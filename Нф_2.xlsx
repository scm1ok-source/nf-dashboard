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stas/Downloads/"/>
    </mc:Choice>
  </mc:AlternateContent>
  <xr:revisionPtr revIDLastSave="0" documentId="13_ncr:1_{7E2BDFD4-24E1-A240-A0D6-0A4A77CF6B15}" xr6:coauthVersionLast="47" xr6:coauthVersionMax="47" xr10:uidLastSave="{00000000-0000-0000-0000-000000000000}"/>
  <bookViews>
    <workbookView xWindow="0" yWindow="500" windowWidth="28800" windowHeight="16400" tabRatio="907" xr2:uid="{00000000-000D-0000-FFFF-FFFF00000000}"/>
  </bookViews>
  <sheets>
    <sheet name="ДЛЯ КАЮ" sheetId="2" r:id="rId1"/>
    <sheet name="Поступления_Тех" sheetId="4" r:id="rId2"/>
    <sheet name="Отгрузки_Тех" sheetId="5" r:id="rId3"/>
    <sheet name="Деньги_Отгрузки" sheetId="8" r:id="rId4"/>
    <sheet name="НИР_ТР" sheetId="9" r:id="rId5"/>
    <sheet name="Реестр_План_Факт" sheetId="10" r:id="rId6"/>
    <sheet name="Реестр_План_Тех" sheetId="17" r:id="rId7"/>
    <sheet name="Карантин" sheetId="11" r:id="rId8"/>
    <sheet name="Сортность" sheetId="12" r:id="rId9"/>
    <sheet name="График ТО обоудования" sheetId="13" r:id="rId10"/>
    <sheet name="Чистота_Порядок" sheetId="14" r:id="rId11"/>
    <sheet name="ВЭД_ТМЦ" sheetId="15" r:id="rId12"/>
    <sheet name="Реестр задач" sheetId="16" r:id="rId13"/>
  </sheets>
  <definedNames>
    <definedName name="Б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" i="2" l="1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2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513" i="15"/>
  <c r="N514" i="15"/>
  <c r="N515" i="15"/>
  <c r="N516" i="15"/>
  <c r="N517" i="15"/>
  <c r="N518" i="15"/>
  <c r="N519" i="15"/>
  <c r="N520" i="15"/>
  <c r="N521" i="15"/>
  <c r="N522" i="15"/>
  <c r="N523" i="15"/>
  <c r="N524" i="15"/>
  <c r="N525" i="15"/>
  <c r="N526" i="15"/>
  <c r="N527" i="15"/>
  <c r="N528" i="15"/>
  <c r="N529" i="15"/>
  <c r="N530" i="15"/>
  <c r="N531" i="15"/>
  <c r="N532" i="15"/>
  <c r="N533" i="15"/>
  <c r="N534" i="15"/>
  <c r="N535" i="15"/>
  <c r="N536" i="15"/>
  <c r="N537" i="15"/>
  <c r="N538" i="15"/>
  <c r="N539" i="15"/>
  <c r="N540" i="15"/>
  <c r="N541" i="15"/>
  <c r="N542" i="15"/>
  <c r="N543" i="15"/>
  <c r="N544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2" i="15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2" i="11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G25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P4" i="2" l="1"/>
  <c r="A3" i="5"/>
  <c r="A4" i="5"/>
  <c r="A5" i="5"/>
  <c r="A6" i="5"/>
  <c r="A7" i="5"/>
  <c r="A8" i="5"/>
  <c r="A9" i="5"/>
  <c r="A10" i="5"/>
  <c r="A11" i="5"/>
  <c r="A12" i="5"/>
  <c r="A13" i="5"/>
  <c r="A2" i="5"/>
  <c r="AQ2" i="17"/>
  <c r="AQ3" i="17"/>
  <c r="AQ4" i="17"/>
  <c r="AQ5" i="17"/>
  <c r="AQ6" i="17"/>
  <c r="AQ7" i="17"/>
  <c r="AQ8" i="17"/>
  <c r="AQ9" i="17"/>
  <c r="AQ10" i="17"/>
  <c r="AQ11" i="17"/>
  <c r="AQ12" i="17"/>
  <c r="AQ13" i="17"/>
  <c r="AQ14" i="17"/>
  <c r="AQ15" i="17"/>
  <c r="AQ16" i="17"/>
  <c r="AQ17" i="17"/>
  <c r="AQ18" i="17"/>
  <c r="AQ19" i="17"/>
  <c r="AQ20" i="17"/>
  <c r="AQ21" i="17"/>
  <c r="AQ22" i="17"/>
  <c r="AQ23" i="17"/>
  <c r="AQ24" i="17"/>
  <c r="AQ25" i="17"/>
  <c r="AQ26" i="17"/>
  <c r="AQ27" i="17"/>
  <c r="AQ28" i="17"/>
  <c r="AQ29" i="17"/>
  <c r="AQ30" i="17"/>
  <c r="AQ31" i="17"/>
  <c r="AQ32" i="17"/>
  <c r="AQ33" i="17"/>
  <c r="AQ34" i="17"/>
  <c r="AQ35" i="17"/>
  <c r="AQ36" i="17"/>
  <c r="AQ37" i="17"/>
  <c r="AQ38" i="17"/>
  <c r="AQ39" i="17"/>
  <c r="AQ40" i="17"/>
  <c r="AQ41" i="17"/>
  <c r="AQ42" i="17"/>
  <c r="AQ43" i="17"/>
  <c r="AQ44" i="17"/>
  <c r="AQ45" i="17"/>
  <c r="AQ46" i="17"/>
  <c r="AQ47" i="17"/>
  <c r="AQ48" i="17"/>
  <c r="AQ49" i="17"/>
  <c r="AQ50" i="17"/>
  <c r="AQ51" i="17"/>
  <c r="AQ52" i="17"/>
  <c r="AQ53" i="17"/>
  <c r="AQ54" i="17"/>
  <c r="AQ55" i="17"/>
  <c r="AQ56" i="17"/>
  <c r="AQ57" i="17"/>
  <c r="AQ58" i="17"/>
  <c r="AQ59" i="17"/>
  <c r="AQ60" i="17"/>
  <c r="AQ61" i="17"/>
  <c r="AQ62" i="17"/>
  <c r="AQ63" i="17"/>
  <c r="AQ64" i="17"/>
  <c r="AQ65" i="17"/>
  <c r="AQ66" i="17"/>
  <c r="AQ67" i="17"/>
  <c r="AQ68" i="17"/>
  <c r="AQ69" i="17"/>
  <c r="AQ70" i="17"/>
  <c r="AQ71" i="17"/>
  <c r="AQ72" i="17"/>
  <c r="AQ73" i="17"/>
  <c r="AQ74" i="17"/>
  <c r="AQ75" i="17"/>
  <c r="AQ76" i="17"/>
  <c r="AQ77" i="17"/>
  <c r="AQ78" i="17"/>
  <c r="AQ79" i="17"/>
  <c r="AQ80" i="17"/>
  <c r="AQ81" i="17"/>
  <c r="AQ82" i="17"/>
  <c r="AQ83" i="17"/>
  <c r="AQ84" i="17"/>
  <c r="AQ85" i="17"/>
  <c r="AQ86" i="17"/>
  <c r="AQ87" i="17"/>
  <c r="AQ88" i="17"/>
  <c r="AQ89" i="17"/>
  <c r="AQ90" i="17"/>
  <c r="AQ91" i="17"/>
  <c r="AQ92" i="17"/>
  <c r="AQ93" i="17"/>
  <c r="AQ94" i="17"/>
  <c r="AQ95" i="17"/>
  <c r="AQ96" i="17"/>
  <c r="AQ97" i="17"/>
  <c r="AQ98" i="17"/>
  <c r="AQ99" i="17"/>
  <c r="AQ100" i="17"/>
  <c r="AQ101" i="17"/>
  <c r="AQ102" i="17"/>
  <c r="AQ103" i="17"/>
  <c r="AQ104" i="17"/>
  <c r="AQ105" i="17"/>
  <c r="AQ106" i="17"/>
  <c r="AQ107" i="17"/>
  <c r="AQ108" i="17"/>
  <c r="AQ109" i="17"/>
  <c r="AQ110" i="17"/>
  <c r="AQ111" i="17"/>
  <c r="AQ112" i="17"/>
  <c r="AQ113" i="17"/>
  <c r="AQ114" i="17"/>
  <c r="AQ115" i="17"/>
  <c r="AQ116" i="17"/>
  <c r="AQ117" i="17"/>
  <c r="AQ118" i="17"/>
  <c r="AQ119" i="17"/>
  <c r="AQ120" i="17"/>
  <c r="AQ121" i="17"/>
  <c r="AQ122" i="17"/>
  <c r="AQ123" i="17"/>
  <c r="AQ124" i="17"/>
  <c r="AQ125" i="17"/>
  <c r="AQ126" i="17"/>
  <c r="AQ127" i="17"/>
  <c r="AQ128" i="17"/>
  <c r="AQ129" i="17"/>
  <c r="AQ130" i="17"/>
  <c r="AQ131" i="17"/>
  <c r="AQ132" i="17"/>
  <c r="AQ133" i="17"/>
  <c r="AQ134" i="17"/>
  <c r="AQ135" i="17"/>
  <c r="AQ136" i="17"/>
  <c r="AQ137" i="17"/>
  <c r="AQ138" i="17"/>
  <c r="AQ139" i="17"/>
  <c r="AQ140" i="17"/>
  <c r="AQ141" i="17"/>
  <c r="AQ142" i="17"/>
  <c r="AQ143" i="17"/>
  <c r="AQ144" i="17"/>
  <c r="AQ145" i="17"/>
  <c r="AQ146" i="17"/>
  <c r="AQ147" i="17"/>
  <c r="AQ148" i="17"/>
  <c r="AQ149" i="17"/>
  <c r="AQ150" i="17"/>
  <c r="AQ151" i="17"/>
  <c r="AQ152" i="17"/>
  <c r="AQ153" i="17"/>
  <c r="AQ154" i="17"/>
  <c r="AQ155" i="17"/>
  <c r="AQ156" i="17"/>
  <c r="AQ157" i="17"/>
  <c r="AQ158" i="17"/>
  <c r="AQ159" i="17"/>
  <c r="AQ160" i="17"/>
  <c r="AQ161" i="17"/>
  <c r="AQ162" i="17"/>
  <c r="AQ163" i="17"/>
  <c r="AQ164" i="17"/>
  <c r="AQ165" i="17"/>
  <c r="AQ166" i="17"/>
  <c r="AQ167" i="17"/>
  <c r="AQ168" i="17"/>
  <c r="AQ169" i="17"/>
  <c r="AQ170" i="17"/>
  <c r="AQ171" i="17"/>
  <c r="AQ172" i="17"/>
  <c r="AQ173" i="17"/>
  <c r="AQ174" i="17"/>
  <c r="AQ175" i="17"/>
  <c r="AQ176" i="17"/>
  <c r="AQ177" i="17"/>
  <c r="AQ178" i="17"/>
  <c r="AQ179" i="17"/>
  <c r="AQ180" i="17"/>
  <c r="AQ181" i="17"/>
  <c r="AQ182" i="17"/>
  <c r="AQ183" i="17"/>
  <c r="AQ184" i="17"/>
  <c r="AQ185" i="17"/>
  <c r="AQ186" i="17"/>
  <c r="AQ187" i="17"/>
  <c r="AQ188" i="17"/>
  <c r="AQ189" i="17"/>
  <c r="AQ190" i="17"/>
  <c r="AQ191" i="17"/>
  <c r="AQ192" i="17"/>
  <c r="AQ193" i="17"/>
  <c r="AQ194" i="17"/>
  <c r="AQ195" i="17"/>
  <c r="AQ196" i="17"/>
  <c r="AQ197" i="17"/>
  <c r="AQ198" i="17"/>
  <c r="AQ199" i="17"/>
  <c r="AQ200" i="17"/>
  <c r="AQ201" i="17"/>
  <c r="AQ202" i="17"/>
  <c r="AQ203" i="17"/>
  <c r="AQ204" i="17"/>
  <c r="AQ205" i="17"/>
  <c r="AQ206" i="17"/>
  <c r="AQ207" i="17"/>
  <c r="AQ208" i="17"/>
  <c r="AQ209" i="17"/>
  <c r="AQ210" i="17"/>
  <c r="AQ211" i="17"/>
  <c r="AQ212" i="17"/>
  <c r="AQ213" i="17"/>
  <c r="AQ214" i="17"/>
  <c r="AQ215" i="17"/>
  <c r="AQ216" i="17"/>
  <c r="AQ217" i="17"/>
  <c r="AQ218" i="17"/>
  <c r="AQ219" i="17"/>
  <c r="AQ220" i="17"/>
  <c r="AQ221" i="17"/>
  <c r="AQ222" i="17"/>
  <c r="AQ223" i="17"/>
  <c r="AQ224" i="17"/>
  <c r="AQ225" i="17"/>
  <c r="AQ226" i="17"/>
  <c r="AQ227" i="17"/>
  <c r="AQ228" i="17"/>
  <c r="AQ229" i="17"/>
  <c r="AQ230" i="17"/>
  <c r="AQ231" i="17"/>
  <c r="AQ232" i="17"/>
  <c r="AQ233" i="17"/>
  <c r="AQ234" i="17"/>
  <c r="AQ235" i="17"/>
  <c r="AQ236" i="17"/>
  <c r="AQ237" i="17"/>
  <c r="AQ238" i="17"/>
  <c r="AQ239" i="17"/>
  <c r="AQ240" i="17"/>
  <c r="AQ241" i="17"/>
  <c r="AQ242" i="17"/>
  <c r="AQ243" i="17"/>
  <c r="AQ244" i="17"/>
  <c r="AQ245" i="17"/>
  <c r="AQ246" i="17"/>
  <c r="AQ247" i="17"/>
  <c r="AQ248" i="17"/>
  <c r="AQ249" i="17"/>
  <c r="AQ250" i="17"/>
  <c r="AQ251" i="17"/>
  <c r="AQ252" i="17"/>
  <c r="AQ253" i="17"/>
  <c r="AQ254" i="17"/>
  <c r="AQ255" i="17"/>
  <c r="AQ256" i="17"/>
  <c r="AQ257" i="17"/>
  <c r="AQ258" i="17"/>
  <c r="AQ259" i="17"/>
  <c r="AQ260" i="17"/>
  <c r="AQ261" i="17"/>
  <c r="AQ262" i="17"/>
  <c r="AQ263" i="17"/>
  <c r="AQ264" i="17"/>
  <c r="AQ265" i="17"/>
  <c r="AQ266" i="17"/>
  <c r="AQ267" i="17"/>
  <c r="AQ268" i="17"/>
  <c r="AQ269" i="17"/>
  <c r="AQ270" i="17"/>
  <c r="AQ271" i="17"/>
  <c r="AQ272" i="17"/>
  <c r="AQ273" i="17"/>
  <c r="AQ274" i="17"/>
  <c r="AQ275" i="17"/>
  <c r="AQ276" i="17"/>
  <c r="AQ277" i="17"/>
  <c r="AQ278" i="17"/>
  <c r="AQ279" i="17"/>
  <c r="AQ280" i="17"/>
  <c r="AQ281" i="17"/>
  <c r="AQ282" i="17"/>
  <c r="AQ283" i="17"/>
  <c r="AQ284" i="17"/>
  <c r="AQ285" i="17"/>
  <c r="AQ286" i="17"/>
  <c r="AQ287" i="17"/>
  <c r="AQ288" i="17"/>
  <c r="AQ289" i="17"/>
  <c r="AQ290" i="17"/>
  <c r="AQ291" i="17"/>
  <c r="AQ292" i="17"/>
  <c r="AQ293" i="17"/>
  <c r="AQ294" i="17"/>
  <c r="AQ295" i="17"/>
  <c r="AQ296" i="17"/>
  <c r="AQ297" i="17"/>
  <c r="AQ298" i="17"/>
  <c r="AQ299" i="17"/>
  <c r="AQ300" i="17"/>
  <c r="AQ301" i="17"/>
  <c r="AQ302" i="17"/>
  <c r="AQ303" i="17"/>
  <c r="AQ304" i="17"/>
  <c r="AQ305" i="17"/>
  <c r="AQ306" i="17"/>
  <c r="AQ307" i="17"/>
  <c r="AQ308" i="17"/>
  <c r="AQ309" i="17"/>
  <c r="AQ310" i="17"/>
  <c r="AQ311" i="17"/>
  <c r="AQ312" i="17"/>
  <c r="AQ313" i="17"/>
  <c r="AQ314" i="17"/>
  <c r="AQ315" i="17"/>
  <c r="AQ316" i="17"/>
  <c r="AQ317" i="17"/>
  <c r="AQ318" i="17"/>
  <c r="AQ319" i="17"/>
  <c r="AQ320" i="17"/>
  <c r="AQ321" i="17"/>
  <c r="AQ322" i="17"/>
  <c r="AQ323" i="17"/>
  <c r="AQ324" i="17"/>
  <c r="AQ325" i="17"/>
  <c r="AQ326" i="17"/>
  <c r="AQ327" i="17"/>
  <c r="AQ328" i="17"/>
  <c r="AQ329" i="17"/>
  <c r="AQ330" i="17"/>
  <c r="AQ331" i="17"/>
  <c r="AQ332" i="17"/>
  <c r="AQ333" i="17"/>
  <c r="AQ334" i="17"/>
  <c r="AQ335" i="17"/>
  <c r="AQ336" i="17"/>
  <c r="AQ337" i="17"/>
  <c r="AQ338" i="17"/>
  <c r="AQ339" i="17"/>
  <c r="AQ340" i="17"/>
  <c r="AQ341" i="17"/>
  <c r="AQ342" i="17"/>
  <c r="AQ343" i="17"/>
  <c r="AQ344" i="17"/>
  <c r="AQ345" i="17"/>
  <c r="AQ346" i="17"/>
  <c r="AQ347" i="17"/>
  <c r="AQ348" i="17"/>
  <c r="AQ349" i="17"/>
  <c r="AQ350" i="17"/>
  <c r="AQ351" i="17"/>
  <c r="AQ352" i="17"/>
  <c r="AQ353" i="17"/>
  <c r="AQ354" i="17"/>
  <c r="AQ355" i="17"/>
  <c r="AQ356" i="17"/>
  <c r="AQ357" i="17"/>
  <c r="AQ358" i="17"/>
  <c r="AQ359" i="17"/>
  <c r="AQ360" i="17"/>
  <c r="AQ361" i="17"/>
  <c r="AQ362" i="17"/>
  <c r="AQ363" i="17"/>
  <c r="AQ364" i="17"/>
  <c r="AQ365" i="17"/>
  <c r="AQ366" i="17"/>
  <c r="D2" i="17"/>
  <c r="E2" i="17"/>
  <c r="G2" i="17"/>
  <c r="H2" i="17"/>
  <c r="I2" i="17"/>
  <c r="J2" i="17"/>
  <c r="K2" i="17"/>
  <c r="M2" i="17"/>
  <c r="N2" i="17"/>
  <c r="P2" i="17"/>
  <c r="Q2" i="17"/>
  <c r="S2" i="17"/>
  <c r="T2" i="17"/>
  <c r="V2" i="17"/>
  <c r="W2" i="17"/>
  <c r="Y2" i="17"/>
  <c r="Z2" i="17"/>
  <c r="AB2" i="17"/>
  <c r="AC2" i="17"/>
  <c r="AE2" i="17"/>
  <c r="AF2" i="17"/>
  <c r="AH2" i="17"/>
  <c r="AI2" i="17"/>
  <c r="AK2" i="17"/>
  <c r="AL2" i="17"/>
  <c r="AN2" i="17"/>
  <c r="AO2" i="17"/>
  <c r="D3" i="17"/>
  <c r="E3" i="17"/>
  <c r="G3" i="17"/>
  <c r="H3" i="17"/>
  <c r="J3" i="17"/>
  <c r="K3" i="17"/>
  <c r="M3" i="17"/>
  <c r="N3" i="17"/>
  <c r="P3" i="17"/>
  <c r="Q3" i="17"/>
  <c r="S3" i="17"/>
  <c r="T3" i="17"/>
  <c r="V3" i="17"/>
  <c r="W3" i="17"/>
  <c r="Y3" i="17"/>
  <c r="Z3" i="17"/>
  <c r="AB3" i="17"/>
  <c r="AC3" i="17"/>
  <c r="AE3" i="17"/>
  <c r="AF3" i="17"/>
  <c r="AH3" i="17"/>
  <c r="AI3" i="17"/>
  <c r="AK3" i="17"/>
  <c r="AL3" i="17"/>
  <c r="AN3" i="17"/>
  <c r="AO3" i="17"/>
  <c r="D4" i="17"/>
  <c r="E4" i="17"/>
  <c r="G4" i="17"/>
  <c r="H4" i="17"/>
  <c r="J4" i="17"/>
  <c r="K4" i="17"/>
  <c r="M4" i="17"/>
  <c r="N4" i="17"/>
  <c r="P4" i="17"/>
  <c r="Q4" i="17"/>
  <c r="S4" i="17"/>
  <c r="T4" i="17"/>
  <c r="V4" i="17"/>
  <c r="W4" i="17"/>
  <c r="Y4" i="17"/>
  <c r="Z4" i="17"/>
  <c r="AB4" i="17"/>
  <c r="AC4" i="17"/>
  <c r="AE4" i="17"/>
  <c r="AF4" i="17"/>
  <c r="AH4" i="17"/>
  <c r="AI4" i="17"/>
  <c r="AK4" i="17"/>
  <c r="AL4" i="17"/>
  <c r="AN4" i="17"/>
  <c r="AO4" i="17"/>
  <c r="D5" i="17"/>
  <c r="E5" i="17"/>
  <c r="G5" i="17"/>
  <c r="H5" i="17"/>
  <c r="J5" i="17"/>
  <c r="K5" i="17"/>
  <c r="M5" i="17"/>
  <c r="N5" i="17"/>
  <c r="P5" i="17"/>
  <c r="Q5" i="17"/>
  <c r="S5" i="17"/>
  <c r="T5" i="17"/>
  <c r="V5" i="17"/>
  <c r="W5" i="17"/>
  <c r="Y5" i="17"/>
  <c r="Z5" i="17"/>
  <c r="AB5" i="17"/>
  <c r="AC5" i="17"/>
  <c r="AE5" i="17"/>
  <c r="AF5" i="17"/>
  <c r="AH5" i="17"/>
  <c r="AI5" i="17"/>
  <c r="AK5" i="17"/>
  <c r="AL5" i="17"/>
  <c r="AN5" i="17"/>
  <c r="AO5" i="17"/>
  <c r="D6" i="17"/>
  <c r="E6" i="17"/>
  <c r="G6" i="17"/>
  <c r="H6" i="17"/>
  <c r="J6" i="17"/>
  <c r="K6" i="17"/>
  <c r="M6" i="17"/>
  <c r="N6" i="17"/>
  <c r="P6" i="17"/>
  <c r="Q6" i="17"/>
  <c r="S6" i="17"/>
  <c r="T6" i="17"/>
  <c r="V6" i="17"/>
  <c r="W6" i="17"/>
  <c r="Y6" i="17"/>
  <c r="Z6" i="17"/>
  <c r="AB6" i="17"/>
  <c r="AC6" i="17"/>
  <c r="AE6" i="17"/>
  <c r="AF6" i="17"/>
  <c r="AH6" i="17"/>
  <c r="AI6" i="17"/>
  <c r="AK6" i="17"/>
  <c r="AL6" i="17"/>
  <c r="AN6" i="17"/>
  <c r="AO6" i="17"/>
  <c r="D7" i="17"/>
  <c r="E7" i="17"/>
  <c r="G7" i="17"/>
  <c r="H7" i="17"/>
  <c r="J7" i="17"/>
  <c r="K7" i="17"/>
  <c r="M7" i="17"/>
  <c r="N7" i="17"/>
  <c r="P7" i="17"/>
  <c r="Q7" i="17"/>
  <c r="S7" i="17"/>
  <c r="T7" i="17"/>
  <c r="V7" i="17"/>
  <c r="W7" i="17"/>
  <c r="Y7" i="17"/>
  <c r="Z7" i="17"/>
  <c r="AB7" i="17"/>
  <c r="AC7" i="17"/>
  <c r="AE7" i="17"/>
  <c r="AF7" i="17"/>
  <c r="AH7" i="17"/>
  <c r="AI7" i="17"/>
  <c r="AK7" i="17"/>
  <c r="AL7" i="17"/>
  <c r="AN7" i="17"/>
  <c r="AO7" i="17"/>
  <c r="D8" i="17"/>
  <c r="E8" i="17"/>
  <c r="G8" i="17"/>
  <c r="H8" i="17"/>
  <c r="J8" i="17"/>
  <c r="K8" i="17"/>
  <c r="M8" i="17"/>
  <c r="N8" i="17"/>
  <c r="P8" i="17"/>
  <c r="Q8" i="17"/>
  <c r="S8" i="17"/>
  <c r="T8" i="17"/>
  <c r="V8" i="17"/>
  <c r="W8" i="17"/>
  <c r="Y8" i="17"/>
  <c r="Z8" i="17"/>
  <c r="AB8" i="17"/>
  <c r="AC8" i="17"/>
  <c r="AE8" i="17"/>
  <c r="AF8" i="17"/>
  <c r="AH8" i="17"/>
  <c r="AI8" i="17"/>
  <c r="AK8" i="17"/>
  <c r="AL8" i="17"/>
  <c r="AN8" i="17"/>
  <c r="AO8" i="17"/>
  <c r="D9" i="17"/>
  <c r="E9" i="17"/>
  <c r="G9" i="17"/>
  <c r="H9" i="17"/>
  <c r="J9" i="17"/>
  <c r="K9" i="17"/>
  <c r="M9" i="17"/>
  <c r="N9" i="17"/>
  <c r="P9" i="17"/>
  <c r="Q9" i="17"/>
  <c r="S9" i="17"/>
  <c r="T9" i="17"/>
  <c r="V9" i="17"/>
  <c r="W9" i="17"/>
  <c r="Y9" i="17"/>
  <c r="Z9" i="17"/>
  <c r="AB9" i="17"/>
  <c r="AC9" i="17"/>
  <c r="AE9" i="17"/>
  <c r="AF9" i="17"/>
  <c r="AH9" i="17"/>
  <c r="AI9" i="17"/>
  <c r="AK9" i="17"/>
  <c r="AL9" i="17"/>
  <c r="AN9" i="17"/>
  <c r="AO9" i="17"/>
  <c r="D10" i="17"/>
  <c r="E10" i="17"/>
  <c r="G10" i="17"/>
  <c r="H10" i="17"/>
  <c r="J10" i="17"/>
  <c r="K10" i="17"/>
  <c r="M10" i="17"/>
  <c r="N10" i="17"/>
  <c r="P10" i="17"/>
  <c r="Q10" i="17"/>
  <c r="S10" i="17"/>
  <c r="T10" i="17"/>
  <c r="V10" i="17"/>
  <c r="W10" i="17"/>
  <c r="Y10" i="17"/>
  <c r="Z10" i="17"/>
  <c r="AB10" i="17"/>
  <c r="AC10" i="17"/>
  <c r="AE10" i="17"/>
  <c r="AF10" i="17"/>
  <c r="AH10" i="17"/>
  <c r="AI10" i="17"/>
  <c r="AK10" i="17"/>
  <c r="AL10" i="17"/>
  <c r="AN10" i="17"/>
  <c r="AO10" i="17"/>
  <c r="D11" i="17"/>
  <c r="E11" i="17"/>
  <c r="G11" i="17"/>
  <c r="H11" i="17"/>
  <c r="J11" i="17"/>
  <c r="K11" i="17"/>
  <c r="M11" i="17"/>
  <c r="N11" i="17"/>
  <c r="P11" i="17"/>
  <c r="Q11" i="17"/>
  <c r="S11" i="17"/>
  <c r="T11" i="17"/>
  <c r="V11" i="17"/>
  <c r="W11" i="17"/>
  <c r="Y11" i="17"/>
  <c r="Z11" i="17"/>
  <c r="AB11" i="17"/>
  <c r="AC11" i="17"/>
  <c r="AE11" i="17"/>
  <c r="AF11" i="17"/>
  <c r="AH11" i="17"/>
  <c r="AI11" i="17"/>
  <c r="AK11" i="17"/>
  <c r="AL11" i="17"/>
  <c r="AN11" i="17"/>
  <c r="AO11" i="17"/>
  <c r="D12" i="17"/>
  <c r="E12" i="17"/>
  <c r="G12" i="17"/>
  <c r="H12" i="17"/>
  <c r="J12" i="17"/>
  <c r="K12" i="17"/>
  <c r="M12" i="17"/>
  <c r="N12" i="17"/>
  <c r="P12" i="17"/>
  <c r="Q12" i="17"/>
  <c r="S12" i="17"/>
  <c r="T12" i="17"/>
  <c r="V12" i="17"/>
  <c r="W12" i="17"/>
  <c r="Y12" i="17"/>
  <c r="Z12" i="17"/>
  <c r="AB12" i="17"/>
  <c r="AC12" i="17"/>
  <c r="AE12" i="17"/>
  <c r="AF12" i="17"/>
  <c r="AH12" i="17"/>
  <c r="AI12" i="17"/>
  <c r="AK12" i="17"/>
  <c r="AL12" i="17"/>
  <c r="AN12" i="17"/>
  <c r="AO12" i="17"/>
  <c r="D13" i="17"/>
  <c r="E13" i="17"/>
  <c r="G13" i="17"/>
  <c r="H13" i="17"/>
  <c r="J13" i="17"/>
  <c r="K13" i="17"/>
  <c r="M13" i="17"/>
  <c r="N13" i="17"/>
  <c r="P13" i="17"/>
  <c r="Q13" i="17"/>
  <c r="S13" i="17"/>
  <c r="T13" i="17"/>
  <c r="V13" i="17"/>
  <c r="W13" i="17"/>
  <c r="Y13" i="17"/>
  <c r="Z13" i="17"/>
  <c r="AB13" i="17"/>
  <c r="AC13" i="17"/>
  <c r="AE13" i="17"/>
  <c r="AF13" i="17"/>
  <c r="AH13" i="17"/>
  <c r="AI13" i="17"/>
  <c r="AK13" i="17"/>
  <c r="AL13" i="17"/>
  <c r="AN13" i="17"/>
  <c r="AO13" i="17"/>
  <c r="D14" i="17"/>
  <c r="E14" i="17"/>
  <c r="G14" i="17"/>
  <c r="H14" i="17"/>
  <c r="J14" i="17"/>
  <c r="K14" i="17"/>
  <c r="M14" i="17"/>
  <c r="N14" i="17"/>
  <c r="P14" i="17"/>
  <c r="Q14" i="17"/>
  <c r="S14" i="17"/>
  <c r="T14" i="17"/>
  <c r="V14" i="17"/>
  <c r="W14" i="17"/>
  <c r="Y14" i="17"/>
  <c r="Z14" i="17"/>
  <c r="AB14" i="17"/>
  <c r="AC14" i="17"/>
  <c r="AE14" i="17"/>
  <c r="AF14" i="17"/>
  <c r="AH14" i="17"/>
  <c r="AI14" i="17"/>
  <c r="AK14" i="17"/>
  <c r="AL14" i="17"/>
  <c r="AN14" i="17"/>
  <c r="AO14" i="17"/>
  <c r="D15" i="17"/>
  <c r="E15" i="17"/>
  <c r="G15" i="17"/>
  <c r="H15" i="17"/>
  <c r="J15" i="17"/>
  <c r="K15" i="17"/>
  <c r="M15" i="17"/>
  <c r="N15" i="17"/>
  <c r="P15" i="17"/>
  <c r="Q15" i="17"/>
  <c r="S15" i="17"/>
  <c r="T15" i="17"/>
  <c r="V15" i="17"/>
  <c r="W15" i="17"/>
  <c r="Y15" i="17"/>
  <c r="Z15" i="17"/>
  <c r="AB15" i="17"/>
  <c r="AC15" i="17"/>
  <c r="AE15" i="17"/>
  <c r="AF15" i="17"/>
  <c r="AH15" i="17"/>
  <c r="AI15" i="17"/>
  <c r="AK15" i="17"/>
  <c r="AL15" i="17"/>
  <c r="AN15" i="17"/>
  <c r="AO15" i="17"/>
  <c r="D16" i="17"/>
  <c r="E16" i="17"/>
  <c r="G16" i="17"/>
  <c r="H16" i="17"/>
  <c r="J16" i="17"/>
  <c r="K16" i="17"/>
  <c r="M16" i="17"/>
  <c r="N16" i="17"/>
  <c r="P16" i="17"/>
  <c r="Q16" i="17"/>
  <c r="S16" i="17"/>
  <c r="T16" i="17"/>
  <c r="V16" i="17"/>
  <c r="W16" i="17"/>
  <c r="Y16" i="17"/>
  <c r="Z16" i="17"/>
  <c r="AB16" i="17"/>
  <c r="AC16" i="17"/>
  <c r="AE16" i="17"/>
  <c r="AF16" i="17"/>
  <c r="AH16" i="17"/>
  <c r="AI16" i="17"/>
  <c r="AK16" i="17"/>
  <c r="AL16" i="17"/>
  <c r="AN16" i="17"/>
  <c r="AO16" i="17"/>
  <c r="D17" i="17"/>
  <c r="E17" i="17"/>
  <c r="G17" i="17"/>
  <c r="H17" i="17"/>
  <c r="J17" i="17"/>
  <c r="K17" i="17"/>
  <c r="M17" i="17"/>
  <c r="N17" i="17"/>
  <c r="P17" i="17"/>
  <c r="Q17" i="17"/>
  <c r="S17" i="17"/>
  <c r="T17" i="17"/>
  <c r="V17" i="17"/>
  <c r="W17" i="17"/>
  <c r="Y17" i="17"/>
  <c r="Z17" i="17"/>
  <c r="AB17" i="17"/>
  <c r="AC17" i="17"/>
  <c r="AE17" i="17"/>
  <c r="AF17" i="17"/>
  <c r="AH17" i="17"/>
  <c r="AI17" i="17"/>
  <c r="AK17" i="17"/>
  <c r="AL17" i="17"/>
  <c r="AN17" i="17"/>
  <c r="AO17" i="17"/>
  <c r="D18" i="17"/>
  <c r="E18" i="17"/>
  <c r="G18" i="17"/>
  <c r="H18" i="17"/>
  <c r="J18" i="17"/>
  <c r="K18" i="17"/>
  <c r="M18" i="17"/>
  <c r="N18" i="17"/>
  <c r="P18" i="17"/>
  <c r="Q18" i="17"/>
  <c r="S18" i="17"/>
  <c r="T18" i="17"/>
  <c r="V18" i="17"/>
  <c r="W18" i="17"/>
  <c r="Y18" i="17"/>
  <c r="Z18" i="17"/>
  <c r="AB18" i="17"/>
  <c r="AC18" i="17"/>
  <c r="AE18" i="17"/>
  <c r="AF18" i="17"/>
  <c r="AH18" i="17"/>
  <c r="AI18" i="17"/>
  <c r="AK18" i="17"/>
  <c r="AL18" i="17"/>
  <c r="AN18" i="17"/>
  <c r="AO18" i="17"/>
  <c r="D19" i="17"/>
  <c r="E19" i="17"/>
  <c r="G19" i="17"/>
  <c r="H19" i="17"/>
  <c r="J19" i="17"/>
  <c r="K19" i="17"/>
  <c r="M19" i="17"/>
  <c r="N19" i="17"/>
  <c r="P19" i="17"/>
  <c r="Q19" i="17"/>
  <c r="S19" i="17"/>
  <c r="T19" i="17"/>
  <c r="V19" i="17"/>
  <c r="W19" i="17"/>
  <c r="Y19" i="17"/>
  <c r="Z19" i="17"/>
  <c r="AB19" i="17"/>
  <c r="AC19" i="17"/>
  <c r="AE19" i="17"/>
  <c r="AF19" i="17"/>
  <c r="AH19" i="17"/>
  <c r="AI19" i="17"/>
  <c r="AK19" i="17"/>
  <c r="AL19" i="17"/>
  <c r="AN19" i="17"/>
  <c r="AO19" i="17"/>
  <c r="D20" i="17"/>
  <c r="E20" i="17"/>
  <c r="G20" i="17"/>
  <c r="H20" i="17"/>
  <c r="J20" i="17"/>
  <c r="K20" i="17"/>
  <c r="M20" i="17"/>
  <c r="N20" i="17"/>
  <c r="P20" i="17"/>
  <c r="Q20" i="17"/>
  <c r="S20" i="17"/>
  <c r="T20" i="17"/>
  <c r="V20" i="17"/>
  <c r="W20" i="17"/>
  <c r="Y20" i="17"/>
  <c r="Z20" i="17"/>
  <c r="AB20" i="17"/>
  <c r="AC20" i="17"/>
  <c r="AE20" i="17"/>
  <c r="AF20" i="17"/>
  <c r="AH20" i="17"/>
  <c r="AI20" i="17"/>
  <c r="AK20" i="17"/>
  <c r="AL20" i="17"/>
  <c r="AN20" i="17"/>
  <c r="AO20" i="17"/>
  <c r="D21" i="17"/>
  <c r="E21" i="17"/>
  <c r="G21" i="17"/>
  <c r="H21" i="17"/>
  <c r="J21" i="17"/>
  <c r="K21" i="17"/>
  <c r="M21" i="17"/>
  <c r="N21" i="17"/>
  <c r="P21" i="17"/>
  <c r="Q21" i="17"/>
  <c r="S21" i="17"/>
  <c r="T21" i="17"/>
  <c r="V21" i="17"/>
  <c r="W21" i="17"/>
  <c r="Y21" i="17"/>
  <c r="Z21" i="17"/>
  <c r="AB21" i="17"/>
  <c r="AC21" i="17"/>
  <c r="AE21" i="17"/>
  <c r="AF21" i="17"/>
  <c r="AH21" i="17"/>
  <c r="AI21" i="17"/>
  <c r="AK21" i="17"/>
  <c r="AL21" i="17"/>
  <c r="AN21" i="17"/>
  <c r="AO21" i="17"/>
  <c r="D22" i="17"/>
  <c r="E22" i="17"/>
  <c r="G22" i="17"/>
  <c r="H22" i="17"/>
  <c r="J22" i="17"/>
  <c r="K22" i="17"/>
  <c r="M22" i="17"/>
  <c r="N22" i="17"/>
  <c r="P22" i="17"/>
  <c r="Q22" i="17"/>
  <c r="S22" i="17"/>
  <c r="T22" i="17"/>
  <c r="V22" i="17"/>
  <c r="W22" i="17"/>
  <c r="Y22" i="17"/>
  <c r="Z22" i="17"/>
  <c r="AB22" i="17"/>
  <c r="AC22" i="17"/>
  <c r="AE22" i="17"/>
  <c r="AF22" i="17"/>
  <c r="AH22" i="17"/>
  <c r="AI22" i="17"/>
  <c r="AK22" i="17"/>
  <c r="AL22" i="17"/>
  <c r="AN22" i="17"/>
  <c r="AO22" i="17"/>
  <c r="D23" i="17"/>
  <c r="E23" i="17"/>
  <c r="G23" i="17"/>
  <c r="H23" i="17"/>
  <c r="J23" i="17"/>
  <c r="K23" i="17"/>
  <c r="M23" i="17"/>
  <c r="N23" i="17"/>
  <c r="P23" i="17"/>
  <c r="Q23" i="17"/>
  <c r="S23" i="17"/>
  <c r="T23" i="17"/>
  <c r="V23" i="17"/>
  <c r="W23" i="17"/>
  <c r="Y23" i="17"/>
  <c r="Z23" i="17"/>
  <c r="AB23" i="17"/>
  <c r="AC23" i="17"/>
  <c r="AE23" i="17"/>
  <c r="AF23" i="17"/>
  <c r="AH23" i="17"/>
  <c r="AI23" i="17"/>
  <c r="AK23" i="17"/>
  <c r="AL23" i="17"/>
  <c r="AN23" i="17"/>
  <c r="AO23" i="17"/>
  <c r="D24" i="17"/>
  <c r="E24" i="17"/>
  <c r="G24" i="17"/>
  <c r="H24" i="17"/>
  <c r="J24" i="17"/>
  <c r="K24" i="17"/>
  <c r="M24" i="17"/>
  <c r="N24" i="17"/>
  <c r="P24" i="17"/>
  <c r="Q24" i="17"/>
  <c r="S24" i="17"/>
  <c r="T24" i="17"/>
  <c r="V24" i="17"/>
  <c r="W24" i="17"/>
  <c r="Y24" i="17"/>
  <c r="Z24" i="17"/>
  <c r="AB24" i="17"/>
  <c r="AC24" i="17"/>
  <c r="AE24" i="17"/>
  <c r="AF24" i="17"/>
  <c r="AH24" i="17"/>
  <c r="AI24" i="17"/>
  <c r="AK24" i="17"/>
  <c r="AL24" i="17"/>
  <c r="AN24" i="17"/>
  <c r="AO24" i="17"/>
  <c r="D25" i="17"/>
  <c r="E25" i="17"/>
  <c r="G25" i="17"/>
  <c r="H25" i="17"/>
  <c r="J25" i="17"/>
  <c r="K25" i="17"/>
  <c r="M25" i="17"/>
  <c r="N25" i="17"/>
  <c r="P25" i="17"/>
  <c r="Q25" i="17"/>
  <c r="S25" i="17"/>
  <c r="T25" i="17"/>
  <c r="V25" i="17"/>
  <c r="W25" i="17"/>
  <c r="Y25" i="17"/>
  <c r="Z25" i="17"/>
  <c r="AB25" i="17"/>
  <c r="AC25" i="17"/>
  <c r="AE25" i="17"/>
  <c r="AF25" i="17"/>
  <c r="AH25" i="17"/>
  <c r="AI25" i="17"/>
  <c r="AK25" i="17"/>
  <c r="AL25" i="17"/>
  <c r="AN25" i="17"/>
  <c r="AO25" i="17"/>
  <c r="D26" i="17"/>
  <c r="E26" i="17"/>
  <c r="G26" i="17"/>
  <c r="H26" i="17"/>
  <c r="J26" i="17"/>
  <c r="K26" i="17"/>
  <c r="M26" i="17"/>
  <c r="N26" i="17"/>
  <c r="P26" i="17"/>
  <c r="Q26" i="17"/>
  <c r="S26" i="17"/>
  <c r="T26" i="17"/>
  <c r="V26" i="17"/>
  <c r="W26" i="17"/>
  <c r="Y26" i="17"/>
  <c r="Z26" i="17"/>
  <c r="AB26" i="17"/>
  <c r="AC26" i="17"/>
  <c r="AE26" i="17"/>
  <c r="AF26" i="17"/>
  <c r="AH26" i="17"/>
  <c r="AI26" i="17"/>
  <c r="AK26" i="17"/>
  <c r="AL26" i="17"/>
  <c r="AN26" i="17"/>
  <c r="AO26" i="17"/>
  <c r="D27" i="17"/>
  <c r="E27" i="17"/>
  <c r="G27" i="17"/>
  <c r="H27" i="17"/>
  <c r="J27" i="17"/>
  <c r="K27" i="17"/>
  <c r="M27" i="17"/>
  <c r="N27" i="17"/>
  <c r="P27" i="17"/>
  <c r="Q27" i="17"/>
  <c r="S27" i="17"/>
  <c r="T27" i="17"/>
  <c r="V27" i="17"/>
  <c r="W27" i="17"/>
  <c r="Y27" i="17"/>
  <c r="Z27" i="17"/>
  <c r="AB27" i="17"/>
  <c r="AC27" i="17"/>
  <c r="AE27" i="17"/>
  <c r="AF27" i="17"/>
  <c r="AH27" i="17"/>
  <c r="AI27" i="17"/>
  <c r="AK27" i="17"/>
  <c r="AL27" i="17"/>
  <c r="AN27" i="17"/>
  <c r="AO27" i="17"/>
  <c r="D28" i="17"/>
  <c r="E28" i="17"/>
  <c r="G28" i="17"/>
  <c r="H28" i="17"/>
  <c r="J28" i="17"/>
  <c r="K28" i="17"/>
  <c r="M28" i="17"/>
  <c r="N28" i="17"/>
  <c r="P28" i="17"/>
  <c r="Q28" i="17"/>
  <c r="S28" i="17"/>
  <c r="T28" i="17"/>
  <c r="V28" i="17"/>
  <c r="W28" i="17"/>
  <c r="Y28" i="17"/>
  <c r="Z28" i="17"/>
  <c r="AB28" i="17"/>
  <c r="AC28" i="17"/>
  <c r="AE28" i="17"/>
  <c r="AF28" i="17"/>
  <c r="AH28" i="17"/>
  <c r="AI28" i="17"/>
  <c r="AK28" i="17"/>
  <c r="AL28" i="17"/>
  <c r="AN28" i="17"/>
  <c r="AO28" i="17"/>
  <c r="D29" i="17"/>
  <c r="E29" i="17"/>
  <c r="G29" i="17"/>
  <c r="H29" i="17"/>
  <c r="J29" i="17"/>
  <c r="K29" i="17"/>
  <c r="M29" i="17"/>
  <c r="N29" i="17"/>
  <c r="P29" i="17"/>
  <c r="Q29" i="17"/>
  <c r="S29" i="17"/>
  <c r="T29" i="17"/>
  <c r="V29" i="17"/>
  <c r="W29" i="17"/>
  <c r="Y29" i="17"/>
  <c r="Z29" i="17"/>
  <c r="AB29" i="17"/>
  <c r="AC29" i="17"/>
  <c r="AE29" i="17"/>
  <c r="AF29" i="17"/>
  <c r="AH29" i="17"/>
  <c r="AI29" i="17"/>
  <c r="AK29" i="17"/>
  <c r="AL29" i="17"/>
  <c r="AN29" i="17"/>
  <c r="AO29" i="17"/>
  <c r="D30" i="17"/>
  <c r="E30" i="17"/>
  <c r="G30" i="17"/>
  <c r="H30" i="17"/>
  <c r="J30" i="17"/>
  <c r="K30" i="17"/>
  <c r="M30" i="17"/>
  <c r="N30" i="17"/>
  <c r="P30" i="17"/>
  <c r="Q30" i="17"/>
  <c r="S30" i="17"/>
  <c r="T30" i="17"/>
  <c r="V30" i="17"/>
  <c r="W30" i="17"/>
  <c r="Y30" i="17"/>
  <c r="Z30" i="17"/>
  <c r="AB30" i="17"/>
  <c r="AC30" i="17"/>
  <c r="AE30" i="17"/>
  <c r="AF30" i="17"/>
  <c r="AH30" i="17"/>
  <c r="AI30" i="17"/>
  <c r="AK30" i="17"/>
  <c r="AL30" i="17"/>
  <c r="AN30" i="17"/>
  <c r="AO30" i="17"/>
  <c r="D31" i="17"/>
  <c r="E31" i="17"/>
  <c r="G31" i="17"/>
  <c r="H31" i="17"/>
  <c r="J31" i="17"/>
  <c r="K31" i="17"/>
  <c r="M31" i="17"/>
  <c r="N31" i="17"/>
  <c r="P31" i="17"/>
  <c r="Q31" i="17"/>
  <c r="S31" i="17"/>
  <c r="T31" i="17"/>
  <c r="V31" i="17"/>
  <c r="W31" i="17"/>
  <c r="Y31" i="17"/>
  <c r="Z31" i="17"/>
  <c r="AB31" i="17"/>
  <c r="AC31" i="17"/>
  <c r="AE31" i="17"/>
  <c r="AF31" i="17"/>
  <c r="AH31" i="17"/>
  <c r="AI31" i="17"/>
  <c r="AK31" i="17"/>
  <c r="AL31" i="17"/>
  <c r="AN31" i="17"/>
  <c r="AO31" i="17"/>
  <c r="D32" i="17"/>
  <c r="E32" i="17"/>
  <c r="G32" i="17"/>
  <c r="H32" i="17"/>
  <c r="J32" i="17"/>
  <c r="K32" i="17"/>
  <c r="M32" i="17"/>
  <c r="N32" i="17"/>
  <c r="P32" i="17"/>
  <c r="Q32" i="17"/>
  <c r="S32" i="17"/>
  <c r="T32" i="17"/>
  <c r="V32" i="17"/>
  <c r="W32" i="17"/>
  <c r="Y32" i="17"/>
  <c r="Z32" i="17"/>
  <c r="AB32" i="17"/>
  <c r="AC32" i="17"/>
  <c r="AE32" i="17"/>
  <c r="AF32" i="17"/>
  <c r="AH32" i="17"/>
  <c r="AI32" i="17"/>
  <c r="AK32" i="17"/>
  <c r="AL32" i="17"/>
  <c r="AN32" i="17"/>
  <c r="AO32" i="17"/>
  <c r="D33" i="17"/>
  <c r="E33" i="17"/>
  <c r="G33" i="17"/>
  <c r="H33" i="17"/>
  <c r="J33" i="17"/>
  <c r="K33" i="17"/>
  <c r="M33" i="17"/>
  <c r="N33" i="17"/>
  <c r="P33" i="17"/>
  <c r="Q33" i="17"/>
  <c r="S33" i="17"/>
  <c r="T33" i="17"/>
  <c r="V33" i="17"/>
  <c r="W33" i="17"/>
  <c r="Y33" i="17"/>
  <c r="Z33" i="17"/>
  <c r="AB33" i="17"/>
  <c r="AC33" i="17"/>
  <c r="AE33" i="17"/>
  <c r="AF33" i="17"/>
  <c r="AH33" i="17"/>
  <c r="AI33" i="17"/>
  <c r="AK33" i="17"/>
  <c r="AL33" i="17"/>
  <c r="AN33" i="17"/>
  <c r="AO33" i="17"/>
  <c r="D34" i="17"/>
  <c r="E34" i="17"/>
  <c r="G34" i="17"/>
  <c r="H34" i="17"/>
  <c r="J34" i="17"/>
  <c r="K34" i="17"/>
  <c r="M34" i="17"/>
  <c r="N34" i="17"/>
  <c r="P34" i="17"/>
  <c r="Q34" i="17"/>
  <c r="S34" i="17"/>
  <c r="T34" i="17"/>
  <c r="V34" i="17"/>
  <c r="W34" i="17"/>
  <c r="Y34" i="17"/>
  <c r="Z34" i="17"/>
  <c r="AB34" i="17"/>
  <c r="AC34" i="17"/>
  <c r="AE34" i="17"/>
  <c r="AF34" i="17"/>
  <c r="AH34" i="17"/>
  <c r="AI34" i="17"/>
  <c r="AK34" i="17"/>
  <c r="AL34" i="17"/>
  <c r="AN34" i="17"/>
  <c r="AO34" i="17"/>
  <c r="D35" i="17"/>
  <c r="E35" i="17"/>
  <c r="G35" i="17"/>
  <c r="H35" i="17"/>
  <c r="J35" i="17"/>
  <c r="K35" i="17"/>
  <c r="M35" i="17"/>
  <c r="N35" i="17"/>
  <c r="P35" i="17"/>
  <c r="Q35" i="17"/>
  <c r="S35" i="17"/>
  <c r="T35" i="17"/>
  <c r="V35" i="17"/>
  <c r="W35" i="17"/>
  <c r="Y35" i="17"/>
  <c r="Z35" i="17"/>
  <c r="AB35" i="17"/>
  <c r="AC35" i="17"/>
  <c r="AE35" i="17"/>
  <c r="AF35" i="17"/>
  <c r="AH35" i="17"/>
  <c r="AI35" i="17"/>
  <c r="AK35" i="17"/>
  <c r="AL35" i="17"/>
  <c r="AN35" i="17"/>
  <c r="AO35" i="17"/>
  <c r="D36" i="17"/>
  <c r="E36" i="17"/>
  <c r="G36" i="17"/>
  <c r="H36" i="17"/>
  <c r="J36" i="17"/>
  <c r="K36" i="17"/>
  <c r="M36" i="17"/>
  <c r="N36" i="17"/>
  <c r="P36" i="17"/>
  <c r="Q36" i="17"/>
  <c r="S36" i="17"/>
  <c r="T36" i="17"/>
  <c r="V36" i="17"/>
  <c r="W36" i="17"/>
  <c r="Y36" i="17"/>
  <c r="Z36" i="17"/>
  <c r="AB36" i="17"/>
  <c r="AC36" i="17"/>
  <c r="AE36" i="17"/>
  <c r="AF36" i="17"/>
  <c r="AH36" i="17"/>
  <c r="AI36" i="17"/>
  <c r="AK36" i="17"/>
  <c r="AL36" i="17"/>
  <c r="AN36" i="17"/>
  <c r="AO36" i="17"/>
  <c r="D37" i="17"/>
  <c r="E37" i="17"/>
  <c r="G37" i="17"/>
  <c r="H37" i="17"/>
  <c r="J37" i="17"/>
  <c r="K37" i="17"/>
  <c r="M37" i="17"/>
  <c r="N37" i="17"/>
  <c r="P37" i="17"/>
  <c r="Q37" i="17"/>
  <c r="S37" i="17"/>
  <c r="T37" i="17"/>
  <c r="V37" i="17"/>
  <c r="W37" i="17"/>
  <c r="Y37" i="17"/>
  <c r="Z37" i="17"/>
  <c r="AB37" i="17"/>
  <c r="AC37" i="17"/>
  <c r="AE37" i="17"/>
  <c r="AF37" i="17"/>
  <c r="AH37" i="17"/>
  <c r="AI37" i="17"/>
  <c r="AK37" i="17"/>
  <c r="AL37" i="17"/>
  <c r="AN37" i="17"/>
  <c r="AO37" i="17"/>
  <c r="D38" i="17"/>
  <c r="E38" i="17"/>
  <c r="G38" i="17"/>
  <c r="H38" i="17"/>
  <c r="J38" i="17"/>
  <c r="K38" i="17"/>
  <c r="M38" i="17"/>
  <c r="N38" i="17"/>
  <c r="P38" i="17"/>
  <c r="Q38" i="17"/>
  <c r="S38" i="17"/>
  <c r="T38" i="17"/>
  <c r="V38" i="17"/>
  <c r="W38" i="17"/>
  <c r="Y38" i="17"/>
  <c r="Z38" i="17"/>
  <c r="AB38" i="17"/>
  <c r="AC38" i="17"/>
  <c r="AE38" i="17"/>
  <c r="AF38" i="17"/>
  <c r="AH38" i="17"/>
  <c r="AI38" i="17"/>
  <c r="AK38" i="17"/>
  <c r="AL38" i="17"/>
  <c r="AN38" i="17"/>
  <c r="AO38" i="17"/>
  <c r="D39" i="17"/>
  <c r="E39" i="17"/>
  <c r="G39" i="17"/>
  <c r="H39" i="17"/>
  <c r="J39" i="17"/>
  <c r="K39" i="17"/>
  <c r="M39" i="17"/>
  <c r="N39" i="17"/>
  <c r="P39" i="17"/>
  <c r="Q39" i="17"/>
  <c r="S39" i="17"/>
  <c r="T39" i="17"/>
  <c r="V39" i="17"/>
  <c r="W39" i="17"/>
  <c r="Y39" i="17"/>
  <c r="Z39" i="17"/>
  <c r="AB39" i="17"/>
  <c r="AC39" i="17"/>
  <c r="AE39" i="17"/>
  <c r="AF39" i="17"/>
  <c r="AH39" i="17"/>
  <c r="AI39" i="17"/>
  <c r="AK39" i="17"/>
  <c r="AL39" i="17"/>
  <c r="AN39" i="17"/>
  <c r="AO39" i="17"/>
  <c r="D40" i="17"/>
  <c r="E40" i="17"/>
  <c r="G40" i="17"/>
  <c r="H40" i="17"/>
  <c r="J40" i="17"/>
  <c r="K40" i="17"/>
  <c r="M40" i="17"/>
  <c r="N40" i="17"/>
  <c r="P40" i="17"/>
  <c r="Q40" i="17"/>
  <c r="S40" i="17"/>
  <c r="T40" i="17"/>
  <c r="V40" i="17"/>
  <c r="W40" i="17"/>
  <c r="Y40" i="17"/>
  <c r="Z40" i="17"/>
  <c r="AB40" i="17"/>
  <c r="AC40" i="17"/>
  <c r="AE40" i="17"/>
  <c r="AF40" i="17"/>
  <c r="AH40" i="17"/>
  <c r="AI40" i="17"/>
  <c r="AK40" i="17"/>
  <c r="AL40" i="17"/>
  <c r="AN40" i="17"/>
  <c r="AO40" i="17"/>
  <c r="D41" i="17"/>
  <c r="E41" i="17"/>
  <c r="G41" i="17"/>
  <c r="H41" i="17"/>
  <c r="J41" i="17"/>
  <c r="K41" i="17"/>
  <c r="M41" i="17"/>
  <c r="N41" i="17"/>
  <c r="P41" i="17"/>
  <c r="Q41" i="17"/>
  <c r="S41" i="17"/>
  <c r="T41" i="17"/>
  <c r="V41" i="17"/>
  <c r="W41" i="17"/>
  <c r="Y41" i="17"/>
  <c r="Z41" i="17"/>
  <c r="AB41" i="17"/>
  <c r="AC41" i="17"/>
  <c r="AE41" i="17"/>
  <c r="AF41" i="17"/>
  <c r="AH41" i="17"/>
  <c r="AI41" i="17"/>
  <c r="AK41" i="17"/>
  <c r="AL41" i="17"/>
  <c r="AN41" i="17"/>
  <c r="AO41" i="17"/>
  <c r="D42" i="17"/>
  <c r="E42" i="17"/>
  <c r="G42" i="17"/>
  <c r="H42" i="17"/>
  <c r="J42" i="17"/>
  <c r="K42" i="17"/>
  <c r="M42" i="17"/>
  <c r="N42" i="17"/>
  <c r="P42" i="17"/>
  <c r="Q42" i="17"/>
  <c r="S42" i="17"/>
  <c r="T42" i="17"/>
  <c r="V42" i="17"/>
  <c r="W42" i="17"/>
  <c r="Y42" i="17"/>
  <c r="Z42" i="17"/>
  <c r="AB42" i="17"/>
  <c r="AC42" i="17"/>
  <c r="AE42" i="17"/>
  <c r="AF42" i="17"/>
  <c r="AH42" i="17"/>
  <c r="AI42" i="17"/>
  <c r="AK42" i="17"/>
  <c r="AL42" i="17"/>
  <c r="AN42" i="17"/>
  <c r="AO42" i="17"/>
  <c r="D43" i="17"/>
  <c r="E43" i="17"/>
  <c r="G43" i="17"/>
  <c r="H43" i="17"/>
  <c r="J43" i="17"/>
  <c r="K43" i="17"/>
  <c r="M43" i="17"/>
  <c r="N43" i="17"/>
  <c r="P43" i="17"/>
  <c r="Q43" i="17"/>
  <c r="S43" i="17"/>
  <c r="T43" i="17"/>
  <c r="V43" i="17"/>
  <c r="W43" i="17"/>
  <c r="Y43" i="17"/>
  <c r="Z43" i="17"/>
  <c r="AB43" i="17"/>
  <c r="AC43" i="17"/>
  <c r="AE43" i="17"/>
  <c r="AF43" i="17"/>
  <c r="AH43" i="17"/>
  <c r="AI43" i="17"/>
  <c r="AK43" i="17"/>
  <c r="AL43" i="17"/>
  <c r="AN43" i="17"/>
  <c r="AO43" i="17"/>
  <c r="D44" i="17"/>
  <c r="E44" i="17"/>
  <c r="G44" i="17"/>
  <c r="H44" i="17"/>
  <c r="J44" i="17"/>
  <c r="K44" i="17"/>
  <c r="M44" i="17"/>
  <c r="N44" i="17"/>
  <c r="P44" i="17"/>
  <c r="Q44" i="17"/>
  <c r="S44" i="17"/>
  <c r="T44" i="17"/>
  <c r="V44" i="17"/>
  <c r="W44" i="17"/>
  <c r="Y44" i="17"/>
  <c r="Z44" i="17"/>
  <c r="AB44" i="17"/>
  <c r="AC44" i="17"/>
  <c r="AE44" i="17"/>
  <c r="AF44" i="17"/>
  <c r="AH44" i="17"/>
  <c r="AI44" i="17"/>
  <c r="AK44" i="17"/>
  <c r="AL44" i="17"/>
  <c r="AN44" i="17"/>
  <c r="AO44" i="17"/>
  <c r="D45" i="17"/>
  <c r="E45" i="17"/>
  <c r="G45" i="17"/>
  <c r="H45" i="17"/>
  <c r="J45" i="17"/>
  <c r="K45" i="17"/>
  <c r="M45" i="17"/>
  <c r="N45" i="17"/>
  <c r="P45" i="17"/>
  <c r="Q45" i="17"/>
  <c r="S45" i="17"/>
  <c r="T45" i="17"/>
  <c r="V45" i="17"/>
  <c r="W45" i="17"/>
  <c r="Y45" i="17"/>
  <c r="Z45" i="17"/>
  <c r="AB45" i="17"/>
  <c r="AC45" i="17"/>
  <c r="AE45" i="17"/>
  <c r="AF45" i="17"/>
  <c r="AH45" i="17"/>
  <c r="AI45" i="17"/>
  <c r="AK45" i="17"/>
  <c r="AL45" i="17"/>
  <c r="AN45" i="17"/>
  <c r="AO45" i="17"/>
  <c r="D46" i="17"/>
  <c r="E46" i="17"/>
  <c r="G46" i="17"/>
  <c r="H46" i="17"/>
  <c r="J46" i="17"/>
  <c r="K46" i="17"/>
  <c r="M46" i="17"/>
  <c r="N46" i="17"/>
  <c r="P46" i="17"/>
  <c r="Q46" i="17"/>
  <c r="S46" i="17"/>
  <c r="T46" i="17"/>
  <c r="V46" i="17"/>
  <c r="W46" i="17"/>
  <c r="Y46" i="17"/>
  <c r="Z46" i="17"/>
  <c r="AB46" i="17"/>
  <c r="AC46" i="17"/>
  <c r="AE46" i="17"/>
  <c r="AF46" i="17"/>
  <c r="AH46" i="17"/>
  <c r="AI46" i="17"/>
  <c r="AK46" i="17"/>
  <c r="AL46" i="17"/>
  <c r="AN46" i="17"/>
  <c r="AO46" i="17"/>
  <c r="D47" i="17"/>
  <c r="E47" i="17"/>
  <c r="G47" i="17"/>
  <c r="H47" i="17"/>
  <c r="J47" i="17"/>
  <c r="K47" i="17"/>
  <c r="M47" i="17"/>
  <c r="N47" i="17"/>
  <c r="P47" i="17"/>
  <c r="Q47" i="17"/>
  <c r="S47" i="17"/>
  <c r="T47" i="17"/>
  <c r="V47" i="17"/>
  <c r="W47" i="17"/>
  <c r="Y47" i="17"/>
  <c r="Z47" i="17"/>
  <c r="AB47" i="17"/>
  <c r="AC47" i="17"/>
  <c r="AE47" i="17"/>
  <c r="AF47" i="17"/>
  <c r="AH47" i="17"/>
  <c r="AI47" i="17"/>
  <c r="AK47" i="17"/>
  <c r="AL47" i="17"/>
  <c r="AN47" i="17"/>
  <c r="AO47" i="17"/>
  <c r="D48" i="17"/>
  <c r="E48" i="17"/>
  <c r="G48" i="17"/>
  <c r="H48" i="17"/>
  <c r="J48" i="17"/>
  <c r="K48" i="17"/>
  <c r="M48" i="17"/>
  <c r="N48" i="17"/>
  <c r="P48" i="17"/>
  <c r="Q48" i="17"/>
  <c r="S48" i="17"/>
  <c r="T48" i="17"/>
  <c r="V48" i="17"/>
  <c r="W48" i="17"/>
  <c r="Y48" i="17"/>
  <c r="Z48" i="17"/>
  <c r="AB48" i="17"/>
  <c r="AC48" i="17"/>
  <c r="AE48" i="17"/>
  <c r="AF48" i="17"/>
  <c r="AH48" i="17"/>
  <c r="AI48" i="17"/>
  <c r="AK48" i="17"/>
  <c r="AL48" i="17"/>
  <c r="AN48" i="17"/>
  <c r="AO48" i="17"/>
  <c r="D49" i="17"/>
  <c r="E49" i="17"/>
  <c r="G49" i="17"/>
  <c r="H49" i="17"/>
  <c r="J49" i="17"/>
  <c r="K49" i="17"/>
  <c r="M49" i="17"/>
  <c r="N49" i="17"/>
  <c r="P49" i="17"/>
  <c r="Q49" i="17"/>
  <c r="S49" i="17"/>
  <c r="T49" i="17"/>
  <c r="V49" i="17"/>
  <c r="W49" i="17"/>
  <c r="Y49" i="17"/>
  <c r="Z49" i="17"/>
  <c r="AB49" i="17"/>
  <c r="AC49" i="17"/>
  <c r="AE49" i="17"/>
  <c r="AF49" i="17"/>
  <c r="AH49" i="17"/>
  <c r="AI49" i="17"/>
  <c r="AK49" i="17"/>
  <c r="AL49" i="17"/>
  <c r="AN49" i="17"/>
  <c r="AO49" i="17"/>
  <c r="D50" i="17"/>
  <c r="E50" i="17"/>
  <c r="G50" i="17"/>
  <c r="H50" i="17"/>
  <c r="J50" i="17"/>
  <c r="K50" i="17"/>
  <c r="M50" i="17"/>
  <c r="N50" i="17"/>
  <c r="P50" i="17"/>
  <c r="Q50" i="17"/>
  <c r="S50" i="17"/>
  <c r="T50" i="17"/>
  <c r="V50" i="17"/>
  <c r="W50" i="17"/>
  <c r="Y50" i="17"/>
  <c r="Z50" i="17"/>
  <c r="AB50" i="17"/>
  <c r="AC50" i="17"/>
  <c r="AE50" i="17"/>
  <c r="AF50" i="17"/>
  <c r="AH50" i="17"/>
  <c r="AI50" i="17"/>
  <c r="AK50" i="17"/>
  <c r="AL50" i="17"/>
  <c r="AN50" i="17"/>
  <c r="AO50" i="17"/>
  <c r="D51" i="17"/>
  <c r="E51" i="17"/>
  <c r="G51" i="17"/>
  <c r="H51" i="17"/>
  <c r="J51" i="17"/>
  <c r="K51" i="17"/>
  <c r="M51" i="17"/>
  <c r="N51" i="17"/>
  <c r="P51" i="17"/>
  <c r="Q51" i="17"/>
  <c r="S51" i="17"/>
  <c r="T51" i="17"/>
  <c r="V51" i="17"/>
  <c r="W51" i="17"/>
  <c r="Y51" i="17"/>
  <c r="Z51" i="17"/>
  <c r="AB51" i="17"/>
  <c r="AC51" i="17"/>
  <c r="AE51" i="17"/>
  <c r="AF51" i="17"/>
  <c r="AH51" i="17"/>
  <c r="AI51" i="17"/>
  <c r="AK51" i="17"/>
  <c r="AL51" i="17"/>
  <c r="AN51" i="17"/>
  <c r="AO51" i="17"/>
  <c r="D52" i="17"/>
  <c r="E52" i="17"/>
  <c r="G52" i="17"/>
  <c r="H52" i="17"/>
  <c r="J52" i="17"/>
  <c r="K52" i="17"/>
  <c r="M52" i="17"/>
  <c r="N52" i="17"/>
  <c r="P52" i="17"/>
  <c r="Q52" i="17"/>
  <c r="S52" i="17"/>
  <c r="T52" i="17"/>
  <c r="V52" i="17"/>
  <c r="W52" i="17"/>
  <c r="Y52" i="17"/>
  <c r="Z52" i="17"/>
  <c r="AB52" i="17"/>
  <c r="AC52" i="17"/>
  <c r="AE52" i="17"/>
  <c r="AF52" i="17"/>
  <c r="AH52" i="17"/>
  <c r="AI52" i="17"/>
  <c r="AK52" i="17"/>
  <c r="AL52" i="17"/>
  <c r="AN52" i="17"/>
  <c r="AO52" i="17"/>
  <c r="D53" i="17"/>
  <c r="E53" i="17"/>
  <c r="G53" i="17"/>
  <c r="H53" i="17"/>
  <c r="J53" i="17"/>
  <c r="K53" i="17"/>
  <c r="M53" i="17"/>
  <c r="N53" i="17"/>
  <c r="P53" i="17"/>
  <c r="Q53" i="17"/>
  <c r="S53" i="17"/>
  <c r="T53" i="17"/>
  <c r="V53" i="17"/>
  <c r="W53" i="17"/>
  <c r="Y53" i="17"/>
  <c r="Z53" i="17"/>
  <c r="AB53" i="17"/>
  <c r="AC53" i="17"/>
  <c r="AE53" i="17"/>
  <c r="AF53" i="17"/>
  <c r="AH53" i="17"/>
  <c r="AI53" i="17"/>
  <c r="AK53" i="17"/>
  <c r="AL53" i="17"/>
  <c r="AN53" i="17"/>
  <c r="AO53" i="17"/>
  <c r="D54" i="17"/>
  <c r="E54" i="17"/>
  <c r="G54" i="17"/>
  <c r="H54" i="17"/>
  <c r="J54" i="17"/>
  <c r="K54" i="17"/>
  <c r="M54" i="17"/>
  <c r="N54" i="17"/>
  <c r="P54" i="17"/>
  <c r="Q54" i="17"/>
  <c r="S54" i="17"/>
  <c r="T54" i="17"/>
  <c r="V54" i="17"/>
  <c r="W54" i="17"/>
  <c r="Y54" i="17"/>
  <c r="Z54" i="17"/>
  <c r="AB54" i="17"/>
  <c r="AC54" i="17"/>
  <c r="AE54" i="17"/>
  <c r="AF54" i="17"/>
  <c r="AH54" i="17"/>
  <c r="AI54" i="17"/>
  <c r="AK54" i="17"/>
  <c r="AL54" i="17"/>
  <c r="AN54" i="17"/>
  <c r="AO54" i="17"/>
  <c r="D55" i="17"/>
  <c r="E55" i="17"/>
  <c r="G55" i="17"/>
  <c r="H55" i="17"/>
  <c r="J55" i="17"/>
  <c r="K55" i="17"/>
  <c r="M55" i="17"/>
  <c r="N55" i="17"/>
  <c r="P55" i="17"/>
  <c r="Q55" i="17"/>
  <c r="S55" i="17"/>
  <c r="T55" i="17"/>
  <c r="V55" i="17"/>
  <c r="W55" i="17"/>
  <c r="Y55" i="17"/>
  <c r="Z55" i="17"/>
  <c r="AB55" i="17"/>
  <c r="AC55" i="17"/>
  <c r="AE55" i="17"/>
  <c r="AF55" i="17"/>
  <c r="AH55" i="17"/>
  <c r="AI55" i="17"/>
  <c r="AK55" i="17"/>
  <c r="AL55" i="17"/>
  <c r="AN55" i="17"/>
  <c r="AO55" i="17"/>
  <c r="D56" i="17"/>
  <c r="E56" i="17"/>
  <c r="G56" i="17"/>
  <c r="H56" i="17"/>
  <c r="J56" i="17"/>
  <c r="K56" i="17"/>
  <c r="M56" i="17"/>
  <c r="N56" i="17"/>
  <c r="P56" i="17"/>
  <c r="Q56" i="17"/>
  <c r="S56" i="17"/>
  <c r="T56" i="17"/>
  <c r="V56" i="17"/>
  <c r="W56" i="17"/>
  <c r="Y56" i="17"/>
  <c r="Z56" i="17"/>
  <c r="AB56" i="17"/>
  <c r="AC56" i="17"/>
  <c r="AE56" i="17"/>
  <c r="AF56" i="17"/>
  <c r="AH56" i="17"/>
  <c r="AI56" i="17"/>
  <c r="AK56" i="17"/>
  <c r="AL56" i="17"/>
  <c r="AN56" i="17"/>
  <c r="AO56" i="17"/>
  <c r="D57" i="17"/>
  <c r="E57" i="17"/>
  <c r="G57" i="17"/>
  <c r="H57" i="17"/>
  <c r="J57" i="17"/>
  <c r="K57" i="17"/>
  <c r="M57" i="17"/>
  <c r="N57" i="17"/>
  <c r="P57" i="17"/>
  <c r="Q57" i="17"/>
  <c r="S57" i="17"/>
  <c r="T57" i="17"/>
  <c r="V57" i="17"/>
  <c r="W57" i="17"/>
  <c r="Y57" i="17"/>
  <c r="Z57" i="17"/>
  <c r="AB57" i="17"/>
  <c r="AC57" i="17"/>
  <c r="AE57" i="17"/>
  <c r="AF57" i="17"/>
  <c r="AH57" i="17"/>
  <c r="AI57" i="17"/>
  <c r="AK57" i="17"/>
  <c r="AL57" i="17"/>
  <c r="AN57" i="17"/>
  <c r="AO57" i="17"/>
  <c r="D58" i="17"/>
  <c r="E58" i="17"/>
  <c r="G58" i="17"/>
  <c r="H58" i="17"/>
  <c r="J58" i="17"/>
  <c r="K58" i="17"/>
  <c r="M58" i="17"/>
  <c r="N58" i="17"/>
  <c r="P58" i="17"/>
  <c r="Q58" i="17"/>
  <c r="S58" i="17"/>
  <c r="T58" i="17"/>
  <c r="V58" i="17"/>
  <c r="W58" i="17"/>
  <c r="Y58" i="17"/>
  <c r="Z58" i="17"/>
  <c r="AB58" i="17"/>
  <c r="AC58" i="17"/>
  <c r="AE58" i="17"/>
  <c r="AF58" i="17"/>
  <c r="AH58" i="17"/>
  <c r="AI58" i="17"/>
  <c r="AK58" i="17"/>
  <c r="AL58" i="17"/>
  <c r="AN58" i="17"/>
  <c r="AO58" i="17"/>
  <c r="D59" i="17"/>
  <c r="E59" i="17"/>
  <c r="G59" i="17"/>
  <c r="H59" i="17"/>
  <c r="J59" i="17"/>
  <c r="K59" i="17"/>
  <c r="M59" i="17"/>
  <c r="N59" i="17"/>
  <c r="P59" i="17"/>
  <c r="Q59" i="17"/>
  <c r="S59" i="17"/>
  <c r="T59" i="17"/>
  <c r="V59" i="17"/>
  <c r="W59" i="17"/>
  <c r="Y59" i="17"/>
  <c r="Z59" i="17"/>
  <c r="AB59" i="17"/>
  <c r="AC59" i="17"/>
  <c r="AE59" i="17"/>
  <c r="AF59" i="17"/>
  <c r="AH59" i="17"/>
  <c r="AI59" i="17"/>
  <c r="AK59" i="17"/>
  <c r="AL59" i="17"/>
  <c r="AN59" i="17"/>
  <c r="AO59" i="17"/>
  <c r="D60" i="17"/>
  <c r="E60" i="17"/>
  <c r="G60" i="17"/>
  <c r="H60" i="17"/>
  <c r="J60" i="17"/>
  <c r="K60" i="17"/>
  <c r="M60" i="17"/>
  <c r="N60" i="17"/>
  <c r="P60" i="17"/>
  <c r="Q60" i="17"/>
  <c r="S60" i="17"/>
  <c r="T60" i="17"/>
  <c r="V60" i="17"/>
  <c r="W60" i="17"/>
  <c r="Y60" i="17"/>
  <c r="Z60" i="17"/>
  <c r="AB60" i="17"/>
  <c r="AC60" i="17"/>
  <c r="AE60" i="17"/>
  <c r="AF60" i="17"/>
  <c r="AH60" i="17"/>
  <c r="AI60" i="17"/>
  <c r="AK60" i="17"/>
  <c r="AL60" i="17"/>
  <c r="AN60" i="17"/>
  <c r="AO60" i="17"/>
  <c r="D61" i="17"/>
  <c r="E61" i="17"/>
  <c r="G61" i="17"/>
  <c r="H61" i="17"/>
  <c r="J61" i="17"/>
  <c r="K61" i="17"/>
  <c r="M61" i="17"/>
  <c r="N61" i="17"/>
  <c r="P61" i="17"/>
  <c r="Q61" i="17"/>
  <c r="S61" i="17"/>
  <c r="T61" i="17"/>
  <c r="V61" i="17"/>
  <c r="W61" i="17"/>
  <c r="Y61" i="17"/>
  <c r="Z61" i="17"/>
  <c r="AB61" i="17"/>
  <c r="AC61" i="17"/>
  <c r="AE61" i="17"/>
  <c r="AF61" i="17"/>
  <c r="AH61" i="17"/>
  <c r="AI61" i="17"/>
  <c r="AK61" i="17"/>
  <c r="AL61" i="17"/>
  <c r="AN61" i="17"/>
  <c r="AO61" i="17"/>
  <c r="D62" i="17"/>
  <c r="E62" i="17"/>
  <c r="G62" i="17"/>
  <c r="H62" i="17"/>
  <c r="J62" i="17"/>
  <c r="K62" i="17"/>
  <c r="M62" i="17"/>
  <c r="N62" i="17"/>
  <c r="P62" i="17"/>
  <c r="Q62" i="17"/>
  <c r="S62" i="17"/>
  <c r="T62" i="17"/>
  <c r="V62" i="17"/>
  <c r="W62" i="17"/>
  <c r="Y62" i="17"/>
  <c r="Z62" i="17"/>
  <c r="AB62" i="17"/>
  <c r="AC62" i="17"/>
  <c r="AE62" i="17"/>
  <c r="AF62" i="17"/>
  <c r="AH62" i="17"/>
  <c r="AI62" i="17"/>
  <c r="AK62" i="17"/>
  <c r="AL62" i="17"/>
  <c r="AN62" i="17"/>
  <c r="AO62" i="17"/>
  <c r="D63" i="17"/>
  <c r="E63" i="17"/>
  <c r="G63" i="17"/>
  <c r="H63" i="17"/>
  <c r="J63" i="17"/>
  <c r="K63" i="17"/>
  <c r="M63" i="17"/>
  <c r="N63" i="17"/>
  <c r="P63" i="17"/>
  <c r="Q63" i="17"/>
  <c r="S63" i="17"/>
  <c r="T63" i="17"/>
  <c r="V63" i="17"/>
  <c r="W63" i="17"/>
  <c r="Y63" i="17"/>
  <c r="Z63" i="17"/>
  <c r="AB63" i="17"/>
  <c r="AC63" i="17"/>
  <c r="AE63" i="17"/>
  <c r="AH63" i="17"/>
  <c r="AI63" i="17"/>
  <c r="AK63" i="17"/>
  <c r="AL63" i="17"/>
  <c r="AN63" i="17"/>
  <c r="AO63" i="17"/>
  <c r="D64" i="17"/>
  <c r="E64" i="17"/>
  <c r="G64" i="17"/>
  <c r="H64" i="17"/>
  <c r="J64" i="17"/>
  <c r="K64" i="17"/>
  <c r="M64" i="17"/>
  <c r="N64" i="17"/>
  <c r="P64" i="17"/>
  <c r="Q64" i="17"/>
  <c r="S64" i="17"/>
  <c r="T64" i="17"/>
  <c r="V64" i="17"/>
  <c r="W64" i="17"/>
  <c r="Y64" i="17"/>
  <c r="Z64" i="17"/>
  <c r="AB64" i="17"/>
  <c r="AC64" i="17"/>
  <c r="AE64" i="17"/>
  <c r="AF64" i="17"/>
  <c r="AH64" i="17"/>
  <c r="AI64" i="17"/>
  <c r="AK64" i="17"/>
  <c r="AL64" i="17"/>
  <c r="AN64" i="17"/>
  <c r="AO64" i="17"/>
  <c r="D65" i="17"/>
  <c r="E65" i="17"/>
  <c r="G65" i="17"/>
  <c r="H65" i="17"/>
  <c r="J65" i="17"/>
  <c r="K65" i="17"/>
  <c r="M65" i="17"/>
  <c r="N65" i="17"/>
  <c r="P65" i="17"/>
  <c r="Q65" i="17"/>
  <c r="S65" i="17"/>
  <c r="T65" i="17"/>
  <c r="V65" i="17"/>
  <c r="W65" i="17"/>
  <c r="Y65" i="17"/>
  <c r="Z65" i="17"/>
  <c r="AB65" i="17"/>
  <c r="AC65" i="17"/>
  <c r="AE65" i="17"/>
  <c r="AF65" i="17"/>
  <c r="AH65" i="17"/>
  <c r="AI65" i="17"/>
  <c r="AK65" i="17"/>
  <c r="AL65" i="17"/>
  <c r="AN65" i="17"/>
  <c r="AO65" i="17"/>
  <c r="D66" i="17"/>
  <c r="E66" i="17"/>
  <c r="G66" i="17"/>
  <c r="H66" i="17"/>
  <c r="I66" i="17"/>
  <c r="J66" i="17"/>
  <c r="K66" i="17"/>
  <c r="M66" i="17"/>
  <c r="N66" i="17"/>
  <c r="P66" i="17"/>
  <c r="Q66" i="17"/>
  <c r="S66" i="17"/>
  <c r="T66" i="17"/>
  <c r="V66" i="17"/>
  <c r="W66" i="17"/>
  <c r="Y66" i="17"/>
  <c r="Z66" i="17"/>
  <c r="AB66" i="17"/>
  <c r="AC66" i="17"/>
  <c r="AE66" i="17"/>
  <c r="AF66" i="17"/>
  <c r="AH66" i="17"/>
  <c r="AI66" i="17"/>
  <c r="AK66" i="17"/>
  <c r="AL66" i="17"/>
  <c r="AN66" i="17"/>
  <c r="AO66" i="17"/>
  <c r="D67" i="17"/>
  <c r="E67" i="17"/>
  <c r="G67" i="17"/>
  <c r="H67" i="17"/>
  <c r="J67" i="17"/>
  <c r="K67" i="17"/>
  <c r="M67" i="17"/>
  <c r="N67" i="17"/>
  <c r="P67" i="17"/>
  <c r="Q67" i="17"/>
  <c r="S67" i="17"/>
  <c r="T67" i="17"/>
  <c r="V67" i="17"/>
  <c r="W67" i="17"/>
  <c r="Y67" i="17"/>
  <c r="Z67" i="17"/>
  <c r="AB67" i="17"/>
  <c r="AC67" i="17"/>
  <c r="AE67" i="17"/>
  <c r="AF67" i="17"/>
  <c r="AH67" i="17"/>
  <c r="AI67" i="17"/>
  <c r="AK67" i="17"/>
  <c r="AL67" i="17"/>
  <c r="AN67" i="17"/>
  <c r="AO67" i="17"/>
  <c r="D68" i="17"/>
  <c r="E68" i="17"/>
  <c r="G68" i="17"/>
  <c r="H68" i="17"/>
  <c r="J68" i="17"/>
  <c r="K68" i="17"/>
  <c r="M68" i="17"/>
  <c r="N68" i="17"/>
  <c r="P68" i="17"/>
  <c r="Q68" i="17"/>
  <c r="S68" i="17"/>
  <c r="T68" i="17"/>
  <c r="V68" i="17"/>
  <c r="W68" i="17"/>
  <c r="Y68" i="17"/>
  <c r="Z68" i="17"/>
  <c r="AB68" i="17"/>
  <c r="AC68" i="17"/>
  <c r="AE68" i="17"/>
  <c r="AF68" i="17"/>
  <c r="AH68" i="17"/>
  <c r="AI68" i="17"/>
  <c r="AK68" i="17"/>
  <c r="AL68" i="17"/>
  <c r="AN68" i="17"/>
  <c r="AO68" i="17"/>
  <c r="D69" i="17"/>
  <c r="E69" i="17"/>
  <c r="G69" i="17"/>
  <c r="H69" i="17"/>
  <c r="J69" i="17"/>
  <c r="K69" i="17"/>
  <c r="M69" i="17"/>
  <c r="N69" i="17"/>
  <c r="P69" i="17"/>
  <c r="Q69" i="17"/>
  <c r="S69" i="17"/>
  <c r="T69" i="17"/>
  <c r="V69" i="17"/>
  <c r="W69" i="17"/>
  <c r="Y69" i="17"/>
  <c r="Z69" i="17"/>
  <c r="AB69" i="17"/>
  <c r="AC69" i="17"/>
  <c r="AE69" i="17"/>
  <c r="AF69" i="17"/>
  <c r="AH69" i="17"/>
  <c r="AI69" i="17"/>
  <c r="AK69" i="17"/>
  <c r="AL69" i="17"/>
  <c r="AN69" i="17"/>
  <c r="AO69" i="17"/>
  <c r="D70" i="17"/>
  <c r="E70" i="17"/>
  <c r="G70" i="17"/>
  <c r="H70" i="17"/>
  <c r="J70" i="17"/>
  <c r="K70" i="17"/>
  <c r="M70" i="17"/>
  <c r="N70" i="17"/>
  <c r="P70" i="17"/>
  <c r="Q70" i="17"/>
  <c r="S70" i="17"/>
  <c r="T70" i="17"/>
  <c r="V70" i="17"/>
  <c r="W70" i="17"/>
  <c r="Y70" i="17"/>
  <c r="Z70" i="17"/>
  <c r="AB70" i="17"/>
  <c r="AC70" i="17"/>
  <c r="AE70" i="17"/>
  <c r="AF70" i="17"/>
  <c r="AH70" i="17"/>
  <c r="AI70" i="17"/>
  <c r="AK70" i="17"/>
  <c r="AL70" i="17"/>
  <c r="AN70" i="17"/>
  <c r="AO70" i="17"/>
  <c r="D71" i="17"/>
  <c r="E71" i="17"/>
  <c r="G71" i="17"/>
  <c r="H71" i="17"/>
  <c r="J71" i="17"/>
  <c r="K71" i="17"/>
  <c r="M71" i="17"/>
  <c r="N71" i="17"/>
  <c r="P71" i="17"/>
  <c r="Q71" i="17"/>
  <c r="S71" i="17"/>
  <c r="T71" i="17"/>
  <c r="V71" i="17"/>
  <c r="W71" i="17"/>
  <c r="Y71" i="17"/>
  <c r="Z71" i="17"/>
  <c r="AB71" i="17"/>
  <c r="AC71" i="17"/>
  <c r="AE71" i="17"/>
  <c r="AF71" i="17"/>
  <c r="AH71" i="17"/>
  <c r="AI71" i="17"/>
  <c r="AK71" i="17"/>
  <c r="AL71" i="17"/>
  <c r="AN71" i="17"/>
  <c r="AO71" i="17"/>
  <c r="D72" i="17"/>
  <c r="E72" i="17"/>
  <c r="G72" i="17"/>
  <c r="H72" i="17"/>
  <c r="J72" i="17"/>
  <c r="K72" i="17"/>
  <c r="M72" i="17"/>
  <c r="N72" i="17"/>
  <c r="P72" i="17"/>
  <c r="Q72" i="17"/>
  <c r="S72" i="17"/>
  <c r="T72" i="17"/>
  <c r="V72" i="17"/>
  <c r="W72" i="17"/>
  <c r="Y72" i="17"/>
  <c r="Z72" i="17"/>
  <c r="AB72" i="17"/>
  <c r="AC72" i="17"/>
  <c r="AE72" i="17"/>
  <c r="AF72" i="17"/>
  <c r="AH72" i="17"/>
  <c r="AI72" i="17"/>
  <c r="AK72" i="17"/>
  <c r="AL72" i="17"/>
  <c r="AN72" i="17"/>
  <c r="AO72" i="17"/>
  <c r="D73" i="17"/>
  <c r="G73" i="17"/>
  <c r="H73" i="17"/>
  <c r="J73" i="17"/>
  <c r="K73" i="17"/>
  <c r="M73" i="17"/>
  <c r="N73" i="17"/>
  <c r="P73" i="17"/>
  <c r="Q73" i="17"/>
  <c r="S73" i="17"/>
  <c r="V73" i="17"/>
  <c r="Y73" i="17"/>
  <c r="Z73" i="17"/>
  <c r="AB73" i="17"/>
  <c r="AC73" i="17"/>
  <c r="AE73" i="17"/>
  <c r="AF73" i="17"/>
  <c r="AH73" i="17"/>
  <c r="AI73" i="17"/>
  <c r="AK73" i="17"/>
  <c r="AL73" i="17"/>
  <c r="AN73" i="17"/>
  <c r="AO73" i="17"/>
  <c r="D74" i="17"/>
  <c r="E74" i="17"/>
  <c r="G74" i="17"/>
  <c r="H74" i="17"/>
  <c r="J74" i="17"/>
  <c r="K74" i="17"/>
  <c r="M74" i="17"/>
  <c r="N74" i="17"/>
  <c r="P74" i="17"/>
  <c r="Q74" i="17"/>
  <c r="S74" i="17"/>
  <c r="T74" i="17"/>
  <c r="V74" i="17"/>
  <c r="W74" i="17"/>
  <c r="Y74" i="17"/>
  <c r="Z74" i="17"/>
  <c r="AB74" i="17"/>
  <c r="AC74" i="17"/>
  <c r="AE74" i="17"/>
  <c r="AF74" i="17"/>
  <c r="AH74" i="17"/>
  <c r="AI74" i="17"/>
  <c r="AK74" i="17"/>
  <c r="AL74" i="17"/>
  <c r="AN74" i="17"/>
  <c r="AO74" i="17"/>
  <c r="D75" i="17"/>
  <c r="E75" i="17"/>
  <c r="G75" i="17"/>
  <c r="H75" i="17"/>
  <c r="J75" i="17"/>
  <c r="K75" i="17"/>
  <c r="M75" i="17"/>
  <c r="N75" i="17"/>
  <c r="P75" i="17"/>
  <c r="Q75" i="17"/>
  <c r="S75" i="17"/>
  <c r="T75" i="17"/>
  <c r="V75" i="17"/>
  <c r="W75" i="17"/>
  <c r="Y75" i="17"/>
  <c r="Z75" i="17"/>
  <c r="AB75" i="17"/>
  <c r="AC75" i="17"/>
  <c r="AE75" i="17"/>
  <c r="AF75" i="17"/>
  <c r="AH75" i="17"/>
  <c r="AI75" i="17"/>
  <c r="AK75" i="17"/>
  <c r="AL75" i="17"/>
  <c r="AN75" i="17"/>
  <c r="AO75" i="17"/>
  <c r="D76" i="17"/>
  <c r="G76" i="17"/>
  <c r="H76" i="17"/>
  <c r="J76" i="17"/>
  <c r="K76" i="17"/>
  <c r="M76" i="17"/>
  <c r="N76" i="17"/>
  <c r="P76" i="17"/>
  <c r="Q76" i="17"/>
  <c r="S76" i="17"/>
  <c r="V76" i="17"/>
  <c r="Y76" i="17"/>
  <c r="Z76" i="17"/>
  <c r="AB76" i="17"/>
  <c r="AC76" i="17"/>
  <c r="AE76" i="17"/>
  <c r="AF76" i="17"/>
  <c r="AH76" i="17"/>
  <c r="AI76" i="17"/>
  <c r="AK76" i="17"/>
  <c r="AL76" i="17"/>
  <c r="AN76" i="17"/>
  <c r="AO76" i="17"/>
  <c r="D77" i="17"/>
  <c r="E77" i="17"/>
  <c r="G77" i="17"/>
  <c r="H77" i="17"/>
  <c r="J77" i="17"/>
  <c r="K77" i="17"/>
  <c r="M77" i="17"/>
  <c r="N77" i="17"/>
  <c r="P77" i="17"/>
  <c r="Q77" i="17"/>
  <c r="S77" i="17"/>
  <c r="T77" i="17"/>
  <c r="V77" i="17"/>
  <c r="W77" i="17"/>
  <c r="Y77" i="17"/>
  <c r="Z77" i="17"/>
  <c r="AB77" i="17"/>
  <c r="AC77" i="17"/>
  <c r="AE77" i="17"/>
  <c r="AF77" i="17"/>
  <c r="AH77" i="17"/>
  <c r="AI77" i="17"/>
  <c r="AK77" i="17"/>
  <c r="AL77" i="17"/>
  <c r="AN77" i="17"/>
  <c r="AO77" i="17"/>
  <c r="D78" i="17"/>
  <c r="E78" i="17"/>
  <c r="G78" i="17"/>
  <c r="H78" i="17"/>
  <c r="J78" i="17"/>
  <c r="K78" i="17"/>
  <c r="M78" i="17"/>
  <c r="N78" i="17"/>
  <c r="P78" i="17"/>
  <c r="Q78" i="17"/>
  <c r="S78" i="17"/>
  <c r="T78" i="17"/>
  <c r="V78" i="17"/>
  <c r="W78" i="17"/>
  <c r="Y78" i="17"/>
  <c r="Z78" i="17"/>
  <c r="AB78" i="17"/>
  <c r="AC78" i="17"/>
  <c r="AE78" i="17"/>
  <c r="AF78" i="17"/>
  <c r="AH78" i="17"/>
  <c r="AI78" i="17"/>
  <c r="AK78" i="17"/>
  <c r="AL78" i="17"/>
  <c r="AN78" i="17"/>
  <c r="AO78" i="17"/>
  <c r="D79" i="17"/>
  <c r="E79" i="17"/>
  <c r="G79" i="17"/>
  <c r="H79" i="17"/>
  <c r="J79" i="17"/>
  <c r="K79" i="17"/>
  <c r="M79" i="17"/>
  <c r="N79" i="17"/>
  <c r="P79" i="17"/>
  <c r="Q79" i="17"/>
  <c r="S79" i="17"/>
  <c r="T79" i="17"/>
  <c r="V79" i="17"/>
  <c r="W79" i="17"/>
  <c r="Y79" i="17"/>
  <c r="Z79" i="17"/>
  <c r="AB79" i="17"/>
  <c r="AC79" i="17"/>
  <c r="AE79" i="17"/>
  <c r="AF79" i="17"/>
  <c r="AH79" i="17"/>
  <c r="AI79" i="17"/>
  <c r="AK79" i="17"/>
  <c r="AL79" i="17"/>
  <c r="AN79" i="17"/>
  <c r="AO79" i="17"/>
  <c r="D80" i="17"/>
  <c r="E80" i="17"/>
  <c r="G80" i="17"/>
  <c r="H80" i="17"/>
  <c r="J80" i="17"/>
  <c r="K80" i="17"/>
  <c r="M80" i="17"/>
  <c r="N80" i="17"/>
  <c r="P80" i="17"/>
  <c r="Q80" i="17"/>
  <c r="S80" i="17"/>
  <c r="T80" i="17"/>
  <c r="V80" i="17"/>
  <c r="W80" i="17"/>
  <c r="Y80" i="17"/>
  <c r="Z80" i="17"/>
  <c r="AB80" i="17"/>
  <c r="AC80" i="17"/>
  <c r="AE80" i="17"/>
  <c r="AF80" i="17"/>
  <c r="AH80" i="17"/>
  <c r="AI80" i="17"/>
  <c r="AK80" i="17"/>
  <c r="AL80" i="17"/>
  <c r="AN80" i="17"/>
  <c r="AO80" i="17"/>
  <c r="D81" i="17"/>
  <c r="E81" i="17"/>
  <c r="G81" i="17"/>
  <c r="H81" i="17"/>
  <c r="J81" i="17"/>
  <c r="K81" i="17"/>
  <c r="M81" i="17"/>
  <c r="N81" i="17"/>
  <c r="P81" i="17"/>
  <c r="Q81" i="17"/>
  <c r="S81" i="17"/>
  <c r="T81" i="17"/>
  <c r="V81" i="17"/>
  <c r="W81" i="17"/>
  <c r="Y81" i="17"/>
  <c r="Z81" i="17"/>
  <c r="AB81" i="17"/>
  <c r="AC81" i="17"/>
  <c r="AE81" i="17"/>
  <c r="AF81" i="17"/>
  <c r="AH81" i="17"/>
  <c r="AI81" i="17"/>
  <c r="AK81" i="17"/>
  <c r="AL81" i="17"/>
  <c r="AN81" i="17"/>
  <c r="AO81" i="17"/>
  <c r="D82" i="17"/>
  <c r="E82" i="17"/>
  <c r="G82" i="17"/>
  <c r="H82" i="17"/>
  <c r="J82" i="17"/>
  <c r="K82" i="17"/>
  <c r="M82" i="17"/>
  <c r="N82" i="17"/>
  <c r="P82" i="17"/>
  <c r="Q82" i="17"/>
  <c r="S82" i="17"/>
  <c r="T82" i="17"/>
  <c r="V82" i="17"/>
  <c r="W82" i="17"/>
  <c r="Y82" i="17"/>
  <c r="Z82" i="17"/>
  <c r="AB82" i="17"/>
  <c r="AC82" i="17"/>
  <c r="AE82" i="17"/>
  <c r="AF82" i="17"/>
  <c r="AH82" i="17"/>
  <c r="AI82" i="17"/>
  <c r="AK82" i="17"/>
  <c r="AL82" i="17"/>
  <c r="AN82" i="17"/>
  <c r="AO82" i="17"/>
  <c r="D83" i="17"/>
  <c r="E83" i="17"/>
  <c r="G83" i="17"/>
  <c r="H83" i="17"/>
  <c r="J83" i="17"/>
  <c r="K83" i="17"/>
  <c r="M83" i="17"/>
  <c r="N83" i="17"/>
  <c r="P83" i="17"/>
  <c r="Q83" i="17"/>
  <c r="S83" i="17"/>
  <c r="T83" i="17"/>
  <c r="V83" i="17"/>
  <c r="W83" i="17"/>
  <c r="Y83" i="17"/>
  <c r="Z83" i="17"/>
  <c r="AB83" i="17"/>
  <c r="AC83" i="17"/>
  <c r="AE83" i="17"/>
  <c r="AF83" i="17"/>
  <c r="AH83" i="17"/>
  <c r="AI83" i="17"/>
  <c r="AK83" i="17"/>
  <c r="AL83" i="17"/>
  <c r="AN83" i="17"/>
  <c r="AO83" i="17"/>
  <c r="D84" i="17"/>
  <c r="E84" i="17"/>
  <c r="G84" i="17"/>
  <c r="H84" i="17"/>
  <c r="J84" i="17"/>
  <c r="K84" i="17"/>
  <c r="M84" i="17"/>
  <c r="N84" i="17"/>
  <c r="P84" i="17"/>
  <c r="Q84" i="17"/>
  <c r="S84" i="17"/>
  <c r="T84" i="17"/>
  <c r="V84" i="17"/>
  <c r="W84" i="17"/>
  <c r="Y84" i="17"/>
  <c r="Z84" i="17"/>
  <c r="AB84" i="17"/>
  <c r="AC84" i="17"/>
  <c r="AE84" i="17"/>
  <c r="AF84" i="17"/>
  <c r="AH84" i="17"/>
  <c r="AI84" i="17"/>
  <c r="AK84" i="17"/>
  <c r="AL84" i="17"/>
  <c r="AN84" i="17"/>
  <c r="AO84" i="17"/>
  <c r="D85" i="17"/>
  <c r="E85" i="17"/>
  <c r="G85" i="17"/>
  <c r="H85" i="17"/>
  <c r="J85" i="17"/>
  <c r="K85" i="17"/>
  <c r="M85" i="17"/>
  <c r="N85" i="17"/>
  <c r="P85" i="17"/>
  <c r="Q85" i="17"/>
  <c r="S85" i="17"/>
  <c r="T85" i="17"/>
  <c r="V85" i="17"/>
  <c r="W85" i="17"/>
  <c r="Y85" i="17"/>
  <c r="Z85" i="17"/>
  <c r="AB85" i="17"/>
  <c r="AC85" i="17"/>
  <c r="AE85" i="17"/>
  <c r="AF85" i="17"/>
  <c r="AH85" i="17"/>
  <c r="AI85" i="17"/>
  <c r="AK85" i="17"/>
  <c r="AL85" i="17"/>
  <c r="AN85" i="17"/>
  <c r="AO85" i="17"/>
  <c r="D86" i="17"/>
  <c r="E86" i="17"/>
  <c r="G86" i="17"/>
  <c r="H86" i="17"/>
  <c r="J86" i="17"/>
  <c r="K86" i="17"/>
  <c r="M86" i="17"/>
  <c r="N86" i="17"/>
  <c r="P86" i="17"/>
  <c r="Q86" i="17"/>
  <c r="S86" i="17"/>
  <c r="T86" i="17"/>
  <c r="V86" i="17"/>
  <c r="W86" i="17"/>
  <c r="Y86" i="17"/>
  <c r="Z86" i="17"/>
  <c r="AB86" i="17"/>
  <c r="AC86" i="17"/>
  <c r="AE86" i="17"/>
  <c r="AF86" i="17"/>
  <c r="AH86" i="17"/>
  <c r="AI86" i="17"/>
  <c r="AK86" i="17"/>
  <c r="AL86" i="17"/>
  <c r="AN86" i="17"/>
  <c r="AO86" i="17"/>
  <c r="D87" i="17"/>
  <c r="E87" i="17"/>
  <c r="G87" i="17"/>
  <c r="H87" i="17"/>
  <c r="J87" i="17"/>
  <c r="K87" i="17"/>
  <c r="M87" i="17"/>
  <c r="N87" i="17"/>
  <c r="P87" i="17"/>
  <c r="Q87" i="17"/>
  <c r="S87" i="17"/>
  <c r="T87" i="17"/>
  <c r="V87" i="17"/>
  <c r="W87" i="17"/>
  <c r="Y87" i="17"/>
  <c r="Z87" i="17"/>
  <c r="AB87" i="17"/>
  <c r="AC87" i="17"/>
  <c r="AE87" i="17"/>
  <c r="AF87" i="17"/>
  <c r="AH87" i="17"/>
  <c r="AI87" i="17"/>
  <c r="AK87" i="17"/>
  <c r="AL87" i="17"/>
  <c r="AN87" i="17"/>
  <c r="AO87" i="17"/>
  <c r="D88" i="17"/>
  <c r="E88" i="17"/>
  <c r="G88" i="17"/>
  <c r="H88" i="17"/>
  <c r="J88" i="17"/>
  <c r="K88" i="17"/>
  <c r="M88" i="17"/>
  <c r="N88" i="17"/>
  <c r="P88" i="17"/>
  <c r="Q88" i="17"/>
  <c r="S88" i="17"/>
  <c r="T88" i="17"/>
  <c r="V88" i="17"/>
  <c r="W88" i="17"/>
  <c r="Y88" i="17"/>
  <c r="Z88" i="17"/>
  <c r="AB88" i="17"/>
  <c r="AC88" i="17"/>
  <c r="AE88" i="17"/>
  <c r="AF88" i="17"/>
  <c r="AH88" i="17"/>
  <c r="AI88" i="17"/>
  <c r="AK88" i="17"/>
  <c r="AL88" i="17"/>
  <c r="AN88" i="17"/>
  <c r="AO88" i="17"/>
  <c r="D89" i="17"/>
  <c r="E89" i="17"/>
  <c r="G89" i="17"/>
  <c r="H89" i="17"/>
  <c r="J89" i="17"/>
  <c r="K89" i="17"/>
  <c r="M89" i="17"/>
  <c r="N89" i="17"/>
  <c r="P89" i="17"/>
  <c r="Q89" i="17"/>
  <c r="S89" i="17"/>
  <c r="T89" i="17"/>
  <c r="V89" i="17"/>
  <c r="W89" i="17"/>
  <c r="Y89" i="17"/>
  <c r="Z89" i="17"/>
  <c r="AB89" i="17"/>
  <c r="AC89" i="17"/>
  <c r="AE89" i="17"/>
  <c r="AF89" i="17"/>
  <c r="AH89" i="17"/>
  <c r="AI89" i="17"/>
  <c r="AK89" i="17"/>
  <c r="AL89" i="17"/>
  <c r="AN89" i="17"/>
  <c r="AO89" i="17"/>
  <c r="D90" i="17"/>
  <c r="E90" i="17"/>
  <c r="G90" i="17"/>
  <c r="H90" i="17"/>
  <c r="J90" i="17"/>
  <c r="K90" i="17"/>
  <c r="M90" i="17"/>
  <c r="N90" i="17"/>
  <c r="P90" i="17"/>
  <c r="Q90" i="17"/>
  <c r="S90" i="17"/>
  <c r="T90" i="17"/>
  <c r="V90" i="17"/>
  <c r="W90" i="17"/>
  <c r="Y90" i="17"/>
  <c r="Z90" i="17"/>
  <c r="AB90" i="17"/>
  <c r="AC90" i="17"/>
  <c r="AE90" i="17"/>
  <c r="AF90" i="17"/>
  <c r="AH90" i="17"/>
  <c r="AI90" i="17"/>
  <c r="AK90" i="17"/>
  <c r="AL90" i="17"/>
  <c r="AN90" i="17"/>
  <c r="AO90" i="17"/>
  <c r="D91" i="17"/>
  <c r="E91" i="17"/>
  <c r="G91" i="17"/>
  <c r="H91" i="17"/>
  <c r="J91" i="17"/>
  <c r="K91" i="17"/>
  <c r="M91" i="17"/>
  <c r="N91" i="17"/>
  <c r="P91" i="17"/>
  <c r="Q91" i="17"/>
  <c r="S91" i="17"/>
  <c r="T91" i="17"/>
  <c r="V91" i="17"/>
  <c r="W91" i="17"/>
  <c r="Y91" i="17"/>
  <c r="Z91" i="17"/>
  <c r="AB91" i="17"/>
  <c r="AC91" i="17"/>
  <c r="AE91" i="17"/>
  <c r="AF91" i="17"/>
  <c r="AH91" i="17"/>
  <c r="AI91" i="17"/>
  <c r="AK91" i="17"/>
  <c r="AL91" i="17"/>
  <c r="AN91" i="17"/>
  <c r="AO91" i="17"/>
  <c r="D92" i="17"/>
  <c r="E92" i="17"/>
  <c r="G92" i="17"/>
  <c r="H92" i="17"/>
  <c r="J92" i="17"/>
  <c r="K92" i="17"/>
  <c r="M92" i="17"/>
  <c r="N92" i="17"/>
  <c r="P92" i="17"/>
  <c r="Q92" i="17"/>
  <c r="S92" i="17"/>
  <c r="T92" i="17"/>
  <c r="V92" i="17"/>
  <c r="W92" i="17"/>
  <c r="Y92" i="17"/>
  <c r="Z92" i="17"/>
  <c r="AB92" i="17"/>
  <c r="AC92" i="17"/>
  <c r="AE92" i="17"/>
  <c r="AF92" i="17"/>
  <c r="AH92" i="17"/>
  <c r="AI92" i="17"/>
  <c r="AK92" i="17"/>
  <c r="AL92" i="17"/>
  <c r="AN92" i="17"/>
  <c r="AO92" i="17"/>
  <c r="D93" i="17"/>
  <c r="E93" i="17"/>
  <c r="G93" i="17"/>
  <c r="H93" i="17"/>
  <c r="J93" i="17"/>
  <c r="K93" i="17"/>
  <c r="M93" i="17"/>
  <c r="N93" i="17"/>
  <c r="P93" i="17"/>
  <c r="Q93" i="17"/>
  <c r="S93" i="17"/>
  <c r="T93" i="17"/>
  <c r="V93" i="17"/>
  <c r="W93" i="17"/>
  <c r="Y93" i="17"/>
  <c r="Z93" i="17"/>
  <c r="AB93" i="17"/>
  <c r="AC93" i="17"/>
  <c r="AE93" i="17"/>
  <c r="AF93" i="17"/>
  <c r="AH93" i="17"/>
  <c r="AI93" i="17"/>
  <c r="AK93" i="17"/>
  <c r="AL93" i="17"/>
  <c r="AN93" i="17"/>
  <c r="AO93" i="17"/>
  <c r="D94" i="17"/>
  <c r="E94" i="17"/>
  <c r="G94" i="17"/>
  <c r="H94" i="17"/>
  <c r="J94" i="17"/>
  <c r="K94" i="17"/>
  <c r="M94" i="17"/>
  <c r="N94" i="17"/>
  <c r="P94" i="17"/>
  <c r="Q94" i="17"/>
  <c r="S94" i="17"/>
  <c r="T94" i="17"/>
  <c r="V94" i="17"/>
  <c r="W94" i="17"/>
  <c r="Y94" i="17"/>
  <c r="Z94" i="17"/>
  <c r="AB94" i="17"/>
  <c r="AC94" i="17"/>
  <c r="AE94" i="17"/>
  <c r="AF94" i="17"/>
  <c r="AH94" i="17"/>
  <c r="AI94" i="17"/>
  <c r="AK94" i="17"/>
  <c r="AL94" i="17"/>
  <c r="AN94" i="17"/>
  <c r="AO94" i="17"/>
  <c r="D95" i="17"/>
  <c r="E95" i="17"/>
  <c r="G95" i="17"/>
  <c r="H95" i="17"/>
  <c r="J95" i="17"/>
  <c r="K95" i="17"/>
  <c r="M95" i="17"/>
  <c r="N95" i="17"/>
  <c r="P95" i="17"/>
  <c r="Q95" i="17"/>
  <c r="S95" i="17"/>
  <c r="T95" i="17"/>
  <c r="V95" i="17"/>
  <c r="W95" i="17"/>
  <c r="Y95" i="17"/>
  <c r="Z95" i="17"/>
  <c r="AB95" i="17"/>
  <c r="AC95" i="17"/>
  <c r="AE95" i="17"/>
  <c r="AF95" i="17"/>
  <c r="AH95" i="17"/>
  <c r="AI95" i="17"/>
  <c r="AK95" i="17"/>
  <c r="AL95" i="17"/>
  <c r="AN95" i="17"/>
  <c r="AO95" i="17"/>
  <c r="D96" i="17"/>
  <c r="E96" i="17"/>
  <c r="G96" i="17"/>
  <c r="H96" i="17"/>
  <c r="J96" i="17"/>
  <c r="K96" i="17"/>
  <c r="M96" i="17"/>
  <c r="N96" i="17"/>
  <c r="P96" i="17"/>
  <c r="Q96" i="17"/>
  <c r="S96" i="17"/>
  <c r="T96" i="17"/>
  <c r="V96" i="17"/>
  <c r="W96" i="17"/>
  <c r="Y96" i="17"/>
  <c r="Z96" i="17"/>
  <c r="AB96" i="17"/>
  <c r="AC96" i="17"/>
  <c r="AE96" i="17"/>
  <c r="AF96" i="17"/>
  <c r="AH96" i="17"/>
  <c r="AI96" i="17"/>
  <c r="AK96" i="17"/>
  <c r="AL96" i="17"/>
  <c r="AN96" i="17"/>
  <c r="AO96" i="17"/>
  <c r="D97" i="17"/>
  <c r="E97" i="17"/>
  <c r="G97" i="17"/>
  <c r="H97" i="17"/>
  <c r="J97" i="17"/>
  <c r="K97" i="17"/>
  <c r="M97" i="17"/>
  <c r="N97" i="17"/>
  <c r="P97" i="17"/>
  <c r="Q97" i="17"/>
  <c r="S97" i="17"/>
  <c r="T97" i="17"/>
  <c r="V97" i="17"/>
  <c r="W97" i="17"/>
  <c r="Y97" i="17"/>
  <c r="Z97" i="17"/>
  <c r="AB97" i="17"/>
  <c r="AC97" i="17"/>
  <c r="AE97" i="17"/>
  <c r="AF97" i="17"/>
  <c r="AH97" i="17"/>
  <c r="AI97" i="17"/>
  <c r="AK97" i="17"/>
  <c r="AL97" i="17"/>
  <c r="AN97" i="17"/>
  <c r="AO97" i="17"/>
  <c r="D98" i="17"/>
  <c r="E98" i="17"/>
  <c r="G98" i="17"/>
  <c r="H98" i="17"/>
  <c r="J98" i="17"/>
  <c r="K98" i="17"/>
  <c r="M98" i="17"/>
  <c r="N98" i="17"/>
  <c r="P98" i="17"/>
  <c r="Q98" i="17"/>
  <c r="S98" i="17"/>
  <c r="T98" i="17"/>
  <c r="V98" i="17"/>
  <c r="W98" i="17"/>
  <c r="Y98" i="17"/>
  <c r="Z98" i="17"/>
  <c r="AB98" i="17"/>
  <c r="AC98" i="17"/>
  <c r="AE98" i="17"/>
  <c r="AF98" i="17"/>
  <c r="AH98" i="17"/>
  <c r="AI98" i="17"/>
  <c r="AK98" i="17"/>
  <c r="AL98" i="17"/>
  <c r="AN98" i="17"/>
  <c r="AO98" i="17"/>
  <c r="D99" i="17"/>
  <c r="E99" i="17"/>
  <c r="G99" i="17"/>
  <c r="H99" i="17"/>
  <c r="J99" i="17"/>
  <c r="K99" i="17"/>
  <c r="M99" i="17"/>
  <c r="N99" i="17"/>
  <c r="P99" i="17"/>
  <c r="Q99" i="17"/>
  <c r="S99" i="17"/>
  <c r="T99" i="17"/>
  <c r="V99" i="17"/>
  <c r="W99" i="17"/>
  <c r="Y99" i="17"/>
  <c r="Z99" i="17"/>
  <c r="AB99" i="17"/>
  <c r="AC99" i="17"/>
  <c r="AE99" i="17"/>
  <c r="AF99" i="17"/>
  <c r="AH99" i="17"/>
  <c r="AI99" i="17"/>
  <c r="AK99" i="17"/>
  <c r="AL99" i="17"/>
  <c r="AN99" i="17"/>
  <c r="AO99" i="17"/>
  <c r="D100" i="17"/>
  <c r="E100" i="17"/>
  <c r="G100" i="17"/>
  <c r="H100" i="17"/>
  <c r="J100" i="17"/>
  <c r="K100" i="17"/>
  <c r="M100" i="17"/>
  <c r="N100" i="17"/>
  <c r="P100" i="17"/>
  <c r="Q100" i="17"/>
  <c r="S100" i="17"/>
  <c r="T100" i="17"/>
  <c r="V100" i="17"/>
  <c r="W100" i="17"/>
  <c r="Y100" i="17"/>
  <c r="Z100" i="17"/>
  <c r="AB100" i="17"/>
  <c r="AC100" i="17"/>
  <c r="AE100" i="17"/>
  <c r="AF100" i="17"/>
  <c r="AH100" i="17"/>
  <c r="AI100" i="17"/>
  <c r="AK100" i="17"/>
  <c r="AL100" i="17"/>
  <c r="AN100" i="17"/>
  <c r="AO100" i="17"/>
  <c r="D101" i="17"/>
  <c r="E101" i="17"/>
  <c r="G101" i="17"/>
  <c r="H101" i="17"/>
  <c r="J101" i="17"/>
  <c r="K101" i="17"/>
  <c r="M101" i="17"/>
  <c r="N101" i="17"/>
  <c r="P101" i="17"/>
  <c r="Q101" i="17"/>
  <c r="S101" i="17"/>
  <c r="T101" i="17"/>
  <c r="V101" i="17"/>
  <c r="W101" i="17"/>
  <c r="Y101" i="17"/>
  <c r="Z101" i="17"/>
  <c r="AB101" i="17"/>
  <c r="AC101" i="17"/>
  <c r="AE101" i="17"/>
  <c r="AF101" i="17"/>
  <c r="AH101" i="17"/>
  <c r="AI101" i="17"/>
  <c r="AK101" i="17"/>
  <c r="AL101" i="17"/>
  <c r="AN101" i="17"/>
  <c r="AO101" i="17"/>
  <c r="D102" i="17"/>
  <c r="E102" i="17"/>
  <c r="G102" i="17"/>
  <c r="H102" i="17"/>
  <c r="J102" i="17"/>
  <c r="K102" i="17"/>
  <c r="M102" i="17"/>
  <c r="N102" i="17"/>
  <c r="P102" i="17"/>
  <c r="Q102" i="17"/>
  <c r="S102" i="17"/>
  <c r="T102" i="17"/>
  <c r="V102" i="17"/>
  <c r="W102" i="17"/>
  <c r="Y102" i="17"/>
  <c r="Z102" i="17"/>
  <c r="AB102" i="17"/>
  <c r="AC102" i="17"/>
  <c r="AE102" i="17"/>
  <c r="AF102" i="17"/>
  <c r="AH102" i="17"/>
  <c r="AI102" i="17"/>
  <c r="AK102" i="17"/>
  <c r="AL102" i="17"/>
  <c r="AN102" i="17"/>
  <c r="AO102" i="17"/>
  <c r="D103" i="17"/>
  <c r="E103" i="17"/>
  <c r="G103" i="17"/>
  <c r="H103" i="17"/>
  <c r="J103" i="17"/>
  <c r="K103" i="17"/>
  <c r="M103" i="17"/>
  <c r="N103" i="17"/>
  <c r="P103" i="17"/>
  <c r="Q103" i="17"/>
  <c r="S103" i="17"/>
  <c r="T103" i="17"/>
  <c r="V103" i="17"/>
  <c r="W103" i="17"/>
  <c r="Y103" i="17"/>
  <c r="Z103" i="17"/>
  <c r="AB103" i="17"/>
  <c r="AC103" i="17"/>
  <c r="AE103" i="17"/>
  <c r="AF103" i="17"/>
  <c r="AH103" i="17"/>
  <c r="AI103" i="17"/>
  <c r="AK103" i="17"/>
  <c r="AL103" i="17"/>
  <c r="AN103" i="17"/>
  <c r="AO103" i="17"/>
  <c r="D104" i="17"/>
  <c r="E104" i="17"/>
  <c r="G104" i="17"/>
  <c r="H104" i="17"/>
  <c r="J104" i="17"/>
  <c r="K104" i="17"/>
  <c r="M104" i="17"/>
  <c r="N104" i="17"/>
  <c r="P104" i="17"/>
  <c r="Q104" i="17"/>
  <c r="S104" i="17"/>
  <c r="T104" i="17"/>
  <c r="V104" i="17"/>
  <c r="W104" i="17"/>
  <c r="Y104" i="17"/>
  <c r="Z104" i="17"/>
  <c r="AB104" i="17"/>
  <c r="AC104" i="17"/>
  <c r="AE104" i="17"/>
  <c r="AF104" i="17"/>
  <c r="AH104" i="17"/>
  <c r="AI104" i="17"/>
  <c r="AK104" i="17"/>
  <c r="AL104" i="17"/>
  <c r="AN104" i="17"/>
  <c r="AO104" i="17"/>
  <c r="D105" i="17"/>
  <c r="E105" i="17"/>
  <c r="G105" i="17"/>
  <c r="H105" i="17"/>
  <c r="J105" i="17"/>
  <c r="K105" i="17"/>
  <c r="M105" i="17"/>
  <c r="N105" i="17"/>
  <c r="P105" i="17"/>
  <c r="Q105" i="17"/>
  <c r="S105" i="17"/>
  <c r="T105" i="17"/>
  <c r="V105" i="17"/>
  <c r="W105" i="17"/>
  <c r="Y105" i="17"/>
  <c r="Z105" i="17"/>
  <c r="AB105" i="17"/>
  <c r="AC105" i="17"/>
  <c r="AE105" i="17"/>
  <c r="AF105" i="17"/>
  <c r="AH105" i="17"/>
  <c r="AI105" i="17"/>
  <c r="AK105" i="17"/>
  <c r="AL105" i="17"/>
  <c r="AN105" i="17"/>
  <c r="AO105" i="17"/>
  <c r="D106" i="17"/>
  <c r="E106" i="17"/>
  <c r="G106" i="17"/>
  <c r="H106" i="17"/>
  <c r="J106" i="17"/>
  <c r="K106" i="17"/>
  <c r="M106" i="17"/>
  <c r="N106" i="17"/>
  <c r="P106" i="17"/>
  <c r="Q106" i="17"/>
  <c r="S106" i="17"/>
  <c r="T106" i="17"/>
  <c r="V106" i="17"/>
  <c r="W106" i="17"/>
  <c r="Y106" i="17"/>
  <c r="Z106" i="17"/>
  <c r="AB106" i="17"/>
  <c r="AC106" i="17"/>
  <c r="AE106" i="17"/>
  <c r="AF106" i="17"/>
  <c r="AH106" i="17"/>
  <c r="AI106" i="17"/>
  <c r="AK106" i="17"/>
  <c r="AL106" i="17"/>
  <c r="AN106" i="17"/>
  <c r="AO106" i="17"/>
  <c r="D107" i="17"/>
  <c r="E107" i="17"/>
  <c r="G107" i="17"/>
  <c r="H107" i="17"/>
  <c r="J107" i="17"/>
  <c r="K107" i="17"/>
  <c r="M107" i="17"/>
  <c r="N107" i="17"/>
  <c r="P107" i="17"/>
  <c r="Q107" i="17"/>
  <c r="S107" i="17"/>
  <c r="T107" i="17"/>
  <c r="V107" i="17"/>
  <c r="W107" i="17"/>
  <c r="Y107" i="17"/>
  <c r="Z107" i="17"/>
  <c r="AB107" i="17"/>
  <c r="AC107" i="17"/>
  <c r="AE107" i="17"/>
  <c r="AF107" i="17"/>
  <c r="AH107" i="17"/>
  <c r="AI107" i="17"/>
  <c r="AK107" i="17"/>
  <c r="AL107" i="17"/>
  <c r="AN107" i="17"/>
  <c r="AO107" i="17"/>
  <c r="D108" i="17"/>
  <c r="E108" i="17"/>
  <c r="G108" i="17"/>
  <c r="H108" i="17"/>
  <c r="J108" i="17"/>
  <c r="K108" i="17"/>
  <c r="M108" i="17"/>
  <c r="N108" i="17"/>
  <c r="P108" i="17"/>
  <c r="Q108" i="17"/>
  <c r="S108" i="17"/>
  <c r="T108" i="17"/>
  <c r="V108" i="17"/>
  <c r="W108" i="17"/>
  <c r="Y108" i="17"/>
  <c r="Z108" i="17"/>
  <c r="AB108" i="17"/>
  <c r="AC108" i="17"/>
  <c r="AE108" i="17"/>
  <c r="AF108" i="17"/>
  <c r="AH108" i="17"/>
  <c r="AI108" i="17"/>
  <c r="AK108" i="17"/>
  <c r="AL108" i="17"/>
  <c r="AN108" i="17"/>
  <c r="AO108" i="17"/>
  <c r="D109" i="17"/>
  <c r="E109" i="17"/>
  <c r="G109" i="17"/>
  <c r="H109" i="17"/>
  <c r="J109" i="17"/>
  <c r="K109" i="17"/>
  <c r="M109" i="17"/>
  <c r="N109" i="17"/>
  <c r="P109" i="17"/>
  <c r="Q109" i="17"/>
  <c r="S109" i="17"/>
  <c r="T109" i="17"/>
  <c r="V109" i="17"/>
  <c r="W109" i="17"/>
  <c r="Y109" i="17"/>
  <c r="Z109" i="17"/>
  <c r="AB109" i="17"/>
  <c r="AC109" i="17"/>
  <c r="AE109" i="17"/>
  <c r="AF109" i="17"/>
  <c r="AH109" i="17"/>
  <c r="AI109" i="17"/>
  <c r="AK109" i="17"/>
  <c r="AL109" i="17"/>
  <c r="AN109" i="17"/>
  <c r="AO109" i="17"/>
  <c r="D110" i="17"/>
  <c r="E110" i="17"/>
  <c r="G110" i="17"/>
  <c r="H110" i="17"/>
  <c r="J110" i="17"/>
  <c r="K110" i="17"/>
  <c r="M110" i="17"/>
  <c r="N110" i="17"/>
  <c r="P110" i="17"/>
  <c r="Q110" i="17"/>
  <c r="S110" i="17"/>
  <c r="T110" i="17"/>
  <c r="V110" i="17"/>
  <c r="W110" i="17"/>
  <c r="Y110" i="17"/>
  <c r="Z110" i="17"/>
  <c r="AB110" i="17"/>
  <c r="AC110" i="17"/>
  <c r="AE110" i="17"/>
  <c r="AF110" i="17"/>
  <c r="AH110" i="17"/>
  <c r="AI110" i="17"/>
  <c r="AK110" i="17"/>
  <c r="AL110" i="17"/>
  <c r="AN110" i="17"/>
  <c r="AO110" i="17"/>
  <c r="D111" i="17"/>
  <c r="E111" i="17"/>
  <c r="G111" i="17"/>
  <c r="H111" i="17"/>
  <c r="J111" i="17"/>
  <c r="K111" i="17"/>
  <c r="M111" i="17"/>
  <c r="N111" i="17"/>
  <c r="P111" i="17"/>
  <c r="Q111" i="17"/>
  <c r="S111" i="17"/>
  <c r="T111" i="17"/>
  <c r="V111" i="17"/>
  <c r="W111" i="17"/>
  <c r="Y111" i="17"/>
  <c r="Z111" i="17"/>
  <c r="AB111" i="17"/>
  <c r="AC111" i="17"/>
  <c r="AE111" i="17"/>
  <c r="AF111" i="17"/>
  <c r="AH111" i="17"/>
  <c r="AI111" i="17"/>
  <c r="AK111" i="17"/>
  <c r="AL111" i="17"/>
  <c r="AN111" i="17"/>
  <c r="AO111" i="17"/>
  <c r="D112" i="17"/>
  <c r="E112" i="17"/>
  <c r="G112" i="17"/>
  <c r="H112" i="17"/>
  <c r="J112" i="17"/>
  <c r="K112" i="17"/>
  <c r="M112" i="17"/>
  <c r="N112" i="17"/>
  <c r="P112" i="17"/>
  <c r="Q112" i="17"/>
  <c r="S112" i="17"/>
  <c r="T112" i="17"/>
  <c r="V112" i="17"/>
  <c r="W112" i="17"/>
  <c r="Y112" i="17"/>
  <c r="Z112" i="17"/>
  <c r="AB112" i="17"/>
  <c r="AC112" i="17"/>
  <c r="AE112" i="17"/>
  <c r="AF112" i="17"/>
  <c r="AH112" i="17"/>
  <c r="AI112" i="17"/>
  <c r="AK112" i="17"/>
  <c r="AL112" i="17"/>
  <c r="AN112" i="17"/>
  <c r="AO112" i="17"/>
  <c r="D113" i="17"/>
  <c r="E113" i="17"/>
  <c r="G113" i="17"/>
  <c r="H113" i="17"/>
  <c r="J113" i="17"/>
  <c r="K113" i="17"/>
  <c r="M113" i="17"/>
  <c r="N113" i="17"/>
  <c r="P113" i="17"/>
  <c r="Q113" i="17"/>
  <c r="S113" i="17"/>
  <c r="T113" i="17"/>
  <c r="V113" i="17"/>
  <c r="W113" i="17"/>
  <c r="Y113" i="17"/>
  <c r="Z113" i="17"/>
  <c r="AB113" i="17"/>
  <c r="AC113" i="17"/>
  <c r="AE113" i="17"/>
  <c r="AF113" i="17"/>
  <c r="AH113" i="17"/>
  <c r="AI113" i="17"/>
  <c r="AK113" i="17"/>
  <c r="AL113" i="17"/>
  <c r="AN113" i="17"/>
  <c r="AO113" i="17"/>
  <c r="D114" i="17"/>
  <c r="E114" i="17"/>
  <c r="G114" i="17"/>
  <c r="H114" i="17"/>
  <c r="J114" i="17"/>
  <c r="K114" i="17"/>
  <c r="M114" i="17"/>
  <c r="N114" i="17"/>
  <c r="P114" i="17"/>
  <c r="Q114" i="17"/>
  <c r="S114" i="17"/>
  <c r="T114" i="17"/>
  <c r="V114" i="17"/>
  <c r="W114" i="17"/>
  <c r="Y114" i="17"/>
  <c r="Z114" i="17"/>
  <c r="AB114" i="17"/>
  <c r="AC114" i="17"/>
  <c r="AE114" i="17"/>
  <c r="AF114" i="17"/>
  <c r="AH114" i="17"/>
  <c r="AI114" i="17"/>
  <c r="AK114" i="17"/>
  <c r="AL114" i="17"/>
  <c r="AN114" i="17"/>
  <c r="AO114" i="17"/>
  <c r="D115" i="17"/>
  <c r="E115" i="17"/>
  <c r="G115" i="17"/>
  <c r="H115" i="17"/>
  <c r="J115" i="17"/>
  <c r="K115" i="17"/>
  <c r="M115" i="17"/>
  <c r="N115" i="17"/>
  <c r="P115" i="17"/>
  <c r="Q115" i="17"/>
  <c r="S115" i="17"/>
  <c r="T115" i="17"/>
  <c r="V115" i="17"/>
  <c r="W115" i="17"/>
  <c r="Y115" i="17"/>
  <c r="Z115" i="17"/>
  <c r="AB115" i="17"/>
  <c r="AC115" i="17"/>
  <c r="AE115" i="17"/>
  <c r="AF115" i="17"/>
  <c r="AH115" i="17"/>
  <c r="AI115" i="17"/>
  <c r="AK115" i="17"/>
  <c r="AL115" i="17"/>
  <c r="AN115" i="17"/>
  <c r="AO115" i="17"/>
  <c r="D116" i="17"/>
  <c r="E116" i="17"/>
  <c r="G116" i="17"/>
  <c r="H116" i="17"/>
  <c r="J116" i="17"/>
  <c r="K116" i="17"/>
  <c r="M116" i="17"/>
  <c r="N116" i="17"/>
  <c r="P116" i="17"/>
  <c r="Q116" i="17"/>
  <c r="S116" i="17"/>
  <c r="T116" i="17"/>
  <c r="V116" i="17"/>
  <c r="W116" i="17"/>
  <c r="Y116" i="17"/>
  <c r="Z116" i="17"/>
  <c r="AB116" i="17"/>
  <c r="AC116" i="17"/>
  <c r="AE116" i="17"/>
  <c r="AF116" i="17"/>
  <c r="AH116" i="17"/>
  <c r="AI116" i="17"/>
  <c r="AK116" i="17"/>
  <c r="AL116" i="17"/>
  <c r="AN116" i="17"/>
  <c r="AO116" i="17"/>
  <c r="D117" i="17"/>
  <c r="E117" i="17"/>
  <c r="G117" i="17"/>
  <c r="H117" i="17"/>
  <c r="J117" i="17"/>
  <c r="K117" i="17"/>
  <c r="M117" i="17"/>
  <c r="N117" i="17"/>
  <c r="P117" i="17"/>
  <c r="Q117" i="17"/>
  <c r="S117" i="17"/>
  <c r="T117" i="17"/>
  <c r="V117" i="17"/>
  <c r="W117" i="17"/>
  <c r="Y117" i="17"/>
  <c r="Z117" i="17"/>
  <c r="AB117" i="17"/>
  <c r="AC117" i="17"/>
  <c r="AE117" i="17"/>
  <c r="AF117" i="17"/>
  <c r="AH117" i="17"/>
  <c r="AI117" i="17"/>
  <c r="AK117" i="17"/>
  <c r="AL117" i="17"/>
  <c r="AN117" i="17"/>
  <c r="AO117" i="17"/>
  <c r="D118" i="17"/>
  <c r="E118" i="17"/>
  <c r="G118" i="17"/>
  <c r="H118" i="17"/>
  <c r="J118" i="17"/>
  <c r="K118" i="17"/>
  <c r="M118" i="17"/>
  <c r="N118" i="17"/>
  <c r="P118" i="17"/>
  <c r="Q118" i="17"/>
  <c r="S118" i="17"/>
  <c r="T118" i="17"/>
  <c r="V118" i="17"/>
  <c r="W118" i="17"/>
  <c r="Y118" i="17"/>
  <c r="Z118" i="17"/>
  <c r="AB118" i="17"/>
  <c r="AC118" i="17"/>
  <c r="AE118" i="17"/>
  <c r="AF118" i="17"/>
  <c r="AH118" i="17"/>
  <c r="AI118" i="17"/>
  <c r="AK118" i="17"/>
  <c r="AL118" i="17"/>
  <c r="AN118" i="17"/>
  <c r="AO118" i="17"/>
  <c r="D119" i="17"/>
  <c r="E119" i="17"/>
  <c r="G119" i="17"/>
  <c r="H119" i="17"/>
  <c r="J119" i="17"/>
  <c r="K119" i="17"/>
  <c r="M119" i="17"/>
  <c r="N119" i="17"/>
  <c r="P119" i="17"/>
  <c r="Q119" i="17"/>
  <c r="S119" i="17"/>
  <c r="T119" i="17"/>
  <c r="V119" i="17"/>
  <c r="W119" i="17"/>
  <c r="Y119" i="17"/>
  <c r="Z119" i="17"/>
  <c r="AB119" i="17"/>
  <c r="AC119" i="17"/>
  <c r="AE119" i="17"/>
  <c r="AF119" i="17"/>
  <c r="AH119" i="17"/>
  <c r="AI119" i="17"/>
  <c r="AK119" i="17"/>
  <c r="AL119" i="17"/>
  <c r="AN119" i="17"/>
  <c r="AO119" i="17"/>
  <c r="D120" i="17"/>
  <c r="E120" i="17"/>
  <c r="G120" i="17"/>
  <c r="H120" i="17"/>
  <c r="J120" i="17"/>
  <c r="K120" i="17"/>
  <c r="M120" i="17"/>
  <c r="N120" i="17"/>
  <c r="P120" i="17"/>
  <c r="Q120" i="17"/>
  <c r="S120" i="17"/>
  <c r="T120" i="17"/>
  <c r="V120" i="17"/>
  <c r="W120" i="17"/>
  <c r="Y120" i="17"/>
  <c r="Z120" i="17"/>
  <c r="AB120" i="17"/>
  <c r="AC120" i="17"/>
  <c r="AE120" i="17"/>
  <c r="AF120" i="17"/>
  <c r="AH120" i="17"/>
  <c r="AI120" i="17"/>
  <c r="AK120" i="17"/>
  <c r="AL120" i="17"/>
  <c r="AN120" i="17"/>
  <c r="AO120" i="17"/>
  <c r="D121" i="17"/>
  <c r="E121" i="17"/>
  <c r="G121" i="17"/>
  <c r="H121" i="17"/>
  <c r="J121" i="17"/>
  <c r="K121" i="17"/>
  <c r="M121" i="17"/>
  <c r="N121" i="17"/>
  <c r="P121" i="17"/>
  <c r="Q121" i="17"/>
  <c r="S121" i="17"/>
  <c r="T121" i="17"/>
  <c r="V121" i="17"/>
  <c r="W121" i="17"/>
  <c r="Y121" i="17"/>
  <c r="Z121" i="17"/>
  <c r="AB121" i="17"/>
  <c r="AC121" i="17"/>
  <c r="AE121" i="17"/>
  <c r="AF121" i="17"/>
  <c r="AH121" i="17"/>
  <c r="AI121" i="17"/>
  <c r="AK121" i="17"/>
  <c r="AL121" i="17"/>
  <c r="AN121" i="17"/>
  <c r="AO121" i="17"/>
  <c r="D122" i="17"/>
  <c r="E122" i="17"/>
  <c r="G122" i="17"/>
  <c r="H122" i="17"/>
  <c r="J122" i="17"/>
  <c r="K122" i="17"/>
  <c r="M122" i="17"/>
  <c r="N122" i="17"/>
  <c r="P122" i="17"/>
  <c r="Q122" i="17"/>
  <c r="S122" i="17"/>
  <c r="T122" i="17"/>
  <c r="V122" i="17"/>
  <c r="W122" i="17"/>
  <c r="Y122" i="17"/>
  <c r="Z122" i="17"/>
  <c r="AB122" i="17"/>
  <c r="AC122" i="17"/>
  <c r="AE122" i="17"/>
  <c r="AF122" i="17"/>
  <c r="AH122" i="17"/>
  <c r="AI122" i="17"/>
  <c r="AK122" i="17"/>
  <c r="AL122" i="17"/>
  <c r="AN122" i="17"/>
  <c r="AO122" i="17"/>
  <c r="D123" i="17"/>
  <c r="E123" i="17"/>
  <c r="G123" i="17"/>
  <c r="H123" i="17"/>
  <c r="J123" i="17"/>
  <c r="K123" i="17"/>
  <c r="M123" i="17"/>
  <c r="N123" i="17"/>
  <c r="P123" i="17"/>
  <c r="Q123" i="17"/>
  <c r="S123" i="17"/>
  <c r="T123" i="17"/>
  <c r="V123" i="17"/>
  <c r="W123" i="17"/>
  <c r="Y123" i="17"/>
  <c r="Z123" i="17"/>
  <c r="AB123" i="17"/>
  <c r="AC123" i="17"/>
  <c r="AE123" i="17"/>
  <c r="AF123" i="17"/>
  <c r="AH123" i="17"/>
  <c r="AI123" i="17"/>
  <c r="AK123" i="17"/>
  <c r="AL123" i="17"/>
  <c r="AN123" i="17"/>
  <c r="AO123" i="17"/>
  <c r="D124" i="17"/>
  <c r="E124" i="17"/>
  <c r="G124" i="17"/>
  <c r="H124" i="17"/>
  <c r="J124" i="17"/>
  <c r="K124" i="17"/>
  <c r="M124" i="17"/>
  <c r="N124" i="17"/>
  <c r="P124" i="17"/>
  <c r="Q124" i="17"/>
  <c r="S124" i="17"/>
  <c r="T124" i="17"/>
  <c r="V124" i="17"/>
  <c r="W124" i="17"/>
  <c r="Y124" i="17"/>
  <c r="Z124" i="17"/>
  <c r="AB124" i="17"/>
  <c r="AC124" i="17"/>
  <c r="AE124" i="17"/>
  <c r="AF124" i="17"/>
  <c r="AH124" i="17"/>
  <c r="AI124" i="17"/>
  <c r="AK124" i="17"/>
  <c r="AL124" i="17"/>
  <c r="AN124" i="17"/>
  <c r="AO124" i="17"/>
  <c r="D125" i="17"/>
  <c r="E125" i="17"/>
  <c r="G125" i="17"/>
  <c r="H125" i="17"/>
  <c r="J125" i="17"/>
  <c r="K125" i="17"/>
  <c r="M125" i="17"/>
  <c r="N125" i="17"/>
  <c r="P125" i="17"/>
  <c r="Q125" i="17"/>
  <c r="S125" i="17"/>
  <c r="T125" i="17"/>
  <c r="V125" i="17"/>
  <c r="W125" i="17"/>
  <c r="Y125" i="17"/>
  <c r="Z125" i="17"/>
  <c r="AB125" i="17"/>
  <c r="AC125" i="17"/>
  <c r="AE125" i="17"/>
  <c r="AF125" i="17"/>
  <c r="AH125" i="17"/>
  <c r="AI125" i="17"/>
  <c r="AK125" i="17"/>
  <c r="AL125" i="17"/>
  <c r="AN125" i="17"/>
  <c r="AO125" i="17"/>
  <c r="D126" i="17"/>
  <c r="E126" i="17"/>
  <c r="G126" i="17"/>
  <c r="H126" i="17"/>
  <c r="J126" i="17"/>
  <c r="K126" i="17"/>
  <c r="M126" i="17"/>
  <c r="N126" i="17"/>
  <c r="P126" i="17"/>
  <c r="Q126" i="17"/>
  <c r="S126" i="17"/>
  <c r="T126" i="17"/>
  <c r="V126" i="17"/>
  <c r="W126" i="17"/>
  <c r="Y126" i="17"/>
  <c r="Z126" i="17"/>
  <c r="AB126" i="17"/>
  <c r="AC126" i="17"/>
  <c r="AE126" i="17"/>
  <c r="AF126" i="17"/>
  <c r="AH126" i="17"/>
  <c r="AI126" i="17"/>
  <c r="AK126" i="17"/>
  <c r="AL126" i="17"/>
  <c r="AN126" i="17"/>
  <c r="AO126" i="17"/>
  <c r="D127" i="17"/>
  <c r="E127" i="17"/>
  <c r="G127" i="17"/>
  <c r="H127" i="17"/>
  <c r="J127" i="17"/>
  <c r="K127" i="17"/>
  <c r="M127" i="17"/>
  <c r="N127" i="17"/>
  <c r="P127" i="17"/>
  <c r="Q127" i="17"/>
  <c r="S127" i="17"/>
  <c r="T127" i="17"/>
  <c r="V127" i="17"/>
  <c r="W127" i="17"/>
  <c r="Y127" i="17"/>
  <c r="Z127" i="17"/>
  <c r="AB127" i="17"/>
  <c r="AC127" i="17"/>
  <c r="AE127" i="17"/>
  <c r="AF127" i="17"/>
  <c r="AH127" i="17"/>
  <c r="AI127" i="17"/>
  <c r="AK127" i="17"/>
  <c r="AL127" i="17"/>
  <c r="AN127" i="17"/>
  <c r="AO127" i="17"/>
  <c r="D128" i="17"/>
  <c r="E128" i="17"/>
  <c r="G128" i="17"/>
  <c r="H128" i="17"/>
  <c r="J128" i="17"/>
  <c r="K128" i="17"/>
  <c r="M128" i="17"/>
  <c r="N128" i="17"/>
  <c r="P128" i="17"/>
  <c r="Q128" i="17"/>
  <c r="S128" i="17"/>
  <c r="T128" i="17"/>
  <c r="V128" i="17"/>
  <c r="W128" i="17"/>
  <c r="Y128" i="17"/>
  <c r="Z128" i="17"/>
  <c r="AB128" i="17"/>
  <c r="AC128" i="17"/>
  <c r="AE128" i="17"/>
  <c r="AF128" i="17"/>
  <c r="AH128" i="17"/>
  <c r="AI128" i="17"/>
  <c r="AK128" i="17"/>
  <c r="AL128" i="17"/>
  <c r="AN128" i="17"/>
  <c r="AO128" i="17"/>
  <c r="D129" i="17"/>
  <c r="E129" i="17"/>
  <c r="G129" i="17"/>
  <c r="H129" i="17"/>
  <c r="J129" i="17"/>
  <c r="K129" i="17"/>
  <c r="M129" i="17"/>
  <c r="N129" i="17"/>
  <c r="P129" i="17"/>
  <c r="Q129" i="17"/>
  <c r="S129" i="17"/>
  <c r="T129" i="17"/>
  <c r="V129" i="17"/>
  <c r="W129" i="17"/>
  <c r="Y129" i="17"/>
  <c r="Z129" i="17"/>
  <c r="AB129" i="17"/>
  <c r="AC129" i="17"/>
  <c r="AE129" i="17"/>
  <c r="AF129" i="17"/>
  <c r="AH129" i="17"/>
  <c r="AI129" i="17"/>
  <c r="AK129" i="17"/>
  <c r="AL129" i="17"/>
  <c r="AN129" i="17"/>
  <c r="AO129" i="17"/>
  <c r="D130" i="17"/>
  <c r="E130" i="17"/>
  <c r="G130" i="17"/>
  <c r="H130" i="17"/>
  <c r="J130" i="17"/>
  <c r="K130" i="17"/>
  <c r="M130" i="17"/>
  <c r="N130" i="17"/>
  <c r="P130" i="17"/>
  <c r="Q130" i="17"/>
  <c r="S130" i="17"/>
  <c r="T130" i="17"/>
  <c r="V130" i="17"/>
  <c r="W130" i="17"/>
  <c r="Y130" i="17"/>
  <c r="Z130" i="17"/>
  <c r="AB130" i="17"/>
  <c r="AC130" i="17"/>
  <c r="AE130" i="17"/>
  <c r="AF130" i="17"/>
  <c r="AH130" i="17"/>
  <c r="AI130" i="17"/>
  <c r="AK130" i="17"/>
  <c r="AL130" i="17"/>
  <c r="AN130" i="17"/>
  <c r="AO130" i="17"/>
  <c r="D131" i="17"/>
  <c r="E131" i="17"/>
  <c r="G131" i="17"/>
  <c r="H131" i="17"/>
  <c r="J131" i="17"/>
  <c r="K131" i="17"/>
  <c r="M131" i="17"/>
  <c r="N131" i="17"/>
  <c r="P131" i="17"/>
  <c r="Q131" i="17"/>
  <c r="S131" i="17"/>
  <c r="T131" i="17"/>
  <c r="V131" i="17"/>
  <c r="W131" i="17"/>
  <c r="Y131" i="17"/>
  <c r="Z131" i="17"/>
  <c r="AB131" i="17"/>
  <c r="AC131" i="17"/>
  <c r="AE131" i="17"/>
  <c r="AF131" i="17"/>
  <c r="AH131" i="17"/>
  <c r="AI131" i="17"/>
  <c r="AK131" i="17"/>
  <c r="AL131" i="17"/>
  <c r="AN131" i="17"/>
  <c r="AO131" i="17"/>
  <c r="D132" i="17"/>
  <c r="E132" i="17"/>
  <c r="G132" i="17"/>
  <c r="H132" i="17"/>
  <c r="J132" i="17"/>
  <c r="K132" i="17"/>
  <c r="M132" i="17"/>
  <c r="N132" i="17"/>
  <c r="P132" i="17"/>
  <c r="Q132" i="17"/>
  <c r="S132" i="17"/>
  <c r="T132" i="17"/>
  <c r="V132" i="17"/>
  <c r="W132" i="17"/>
  <c r="Y132" i="17"/>
  <c r="Z132" i="17"/>
  <c r="AB132" i="17"/>
  <c r="AC132" i="17"/>
  <c r="AE132" i="17"/>
  <c r="AF132" i="17"/>
  <c r="AH132" i="17"/>
  <c r="AI132" i="17"/>
  <c r="AK132" i="17"/>
  <c r="AL132" i="17"/>
  <c r="AN132" i="17"/>
  <c r="AO132" i="17"/>
  <c r="D133" i="17"/>
  <c r="E133" i="17"/>
  <c r="G133" i="17"/>
  <c r="H133" i="17"/>
  <c r="J133" i="17"/>
  <c r="K133" i="17"/>
  <c r="M133" i="17"/>
  <c r="N133" i="17"/>
  <c r="P133" i="17"/>
  <c r="Q133" i="17"/>
  <c r="S133" i="17"/>
  <c r="T133" i="17"/>
  <c r="V133" i="17"/>
  <c r="W133" i="17"/>
  <c r="Y133" i="17"/>
  <c r="Z133" i="17"/>
  <c r="AB133" i="17"/>
  <c r="AC133" i="17"/>
  <c r="AE133" i="17"/>
  <c r="AF133" i="17"/>
  <c r="AH133" i="17"/>
  <c r="AI133" i="17"/>
  <c r="AK133" i="17"/>
  <c r="AL133" i="17"/>
  <c r="AN133" i="17"/>
  <c r="AO133" i="17"/>
  <c r="D134" i="17"/>
  <c r="E134" i="17"/>
  <c r="G134" i="17"/>
  <c r="H134" i="17"/>
  <c r="J134" i="17"/>
  <c r="K134" i="17"/>
  <c r="M134" i="17"/>
  <c r="N134" i="17"/>
  <c r="P134" i="17"/>
  <c r="Q134" i="17"/>
  <c r="S134" i="17"/>
  <c r="T134" i="17"/>
  <c r="V134" i="17"/>
  <c r="W134" i="17"/>
  <c r="Y134" i="17"/>
  <c r="Z134" i="17"/>
  <c r="AB134" i="17"/>
  <c r="AC134" i="17"/>
  <c r="AE134" i="17"/>
  <c r="AF134" i="17"/>
  <c r="AH134" i="17"/>
  <c r="AI134" i="17"/>
  <c r="AK134" i="17"/>
  <c r="AL134" i="17"/>
  <c r="AN134" i="17"/>
  <c r="AO134" i="17"/>
  <c r="D135" i="17"/>
  <c r="E135" i="17"/>
  <c r="G135" i="17"/>
  <c r="H135" i="17"/>
  <c r="J135" i="17"/>
  <c r="K135" i="17"/>
  <c r="M135" i="17"/>
  <c r="N135" i="17"/>
  <c r="P135" i="17"/>
  <c r="Q135" i="17"/>
  <c r="S135" i="17"/>
  <c r="T135" i="17"/>
  <c r="V135" i="17"/>
  <c r="W135" i="17"/>
  <c r="Y135" i="17"/>
  <c r="Z135" i="17"/>
  <c r="AB135" i="17"/>
  <c r="AC135" i="17"/>
  <c r="AE135" i="17"/>
  <c r="AF135" i="17"/>
  <c r="AH135" i="17"/>
  <c r="AI135" i="17"/>
  <c r="AK135" i="17"/>
  <c r="AL135" i="17"/>
  <c r="AN135" i="17"/>
  <c r="AO135" i="17"/>
  <c r="D136" i="17"/>
  <c r="E136" i="17"/>
  <c r="G136" i="17"/>
  <c r="H136" i="17"/>
  <c r="J136" i="17"/>
  <c r="K136" i="17"/>
  <c r="M136" i="17"/>
  <c r="N136" i="17"/>
  <c r="P136" i="17"/>
  <c r="Q136" i="17"/>
  <c r="S136" i="17"/>
  <c r="T136" i="17"/>
  <c r="V136" i="17"/>
  <c r="W136" i="17"/>
  <c r="Y136" i="17"/>
  <c r="Z136" i="17"/>
  <c r="AB136" i="17"/>
  <c r="AC136" i="17"/>
  <c r="AE136" i="17"/>
  <c r="AF136" i="17"/>
  <c r="AH136" i="17"/>
  <c r="AI136" i="17"/>
  <c r="AK136" i="17"/>
  <c r="AL136" i="17"/>
  <c r="AN136" i="17"/>
  <c r="AO136" i="17"/>
  <c r="D137" i="17"/>
  <c r="E137" i="17"/>
  <c r="G137" i="17"/>
  <c r="H137" i="17"/>
  <c r="J137" i="17"/>
  <c r="K137" i="17"/>
  <c r="M137" i="17"/>
  <c r="N137" i="17"/>
  <c r="P137" i="17"/>
  <c r="Q137" i="17"/>
  <c r="S137" i="17"/>
  <c r="T137" i="17"/>
  <c r="V137" i="17"/>
  <c r="W137" i="17"/>
  <c r="Y137" i="17"/>
  <c r="Z137" i="17"/>
  <c r="AB137" i="17"/>
  <c r="AC137" i="17"/>
  <c r="AE137" i="17"/>
  <c r="AF137" i="17"/>
  <c r="AH137" i="17"/>
  <c r="AI137" i="17"/>
  <c r="AK137" i="17"/>
  <c r="AL137" i="17"/>
  <c r="AN137" i="17"/>
  <c r="AO137" i="17"/>
  <c r="D138" i="17"/>
  <c r="E138" i="17"/>
  <c r="G138" i="17"/>
  <c r="H138" i="17"/>
  <c r="J138" i="17"/>
  <c r="K138" i="17"/>
  <c r="M138" i="17"/>
  <c r="N138" i="17"/>
  <c r="P138" i="17"/>
  <c r="Q138" i="17"/>
  <c r="S138" i="17"/>
  <c r="T138" i="17"/>
  <c r="V138" i="17"/>
  <c r="W138" i="17"/>
  <c r="Y138" i="17"/>
  <c r="Z138" i="17"/>
  <c r="AB138" i="17"/>
  <c r="AC138" i="17"/>
  <c r="AE138" i="17"/>
  <c r="AF138" i="17"/>
  <c r="AH138" i="17"/>
  <c r="AI138" i="17"/>
  <c r="AK138" i="17"/>
  <c r="AL138" i="17"/>
  <c r="AN138" i="17"/>
  <c r="AO138" i="17"/>
  <c r="D139" i="17"/>
  <c r="E139" i="17"/>
  <c r="G139" i="17"/>
  <c r="H139" i="17"/>
  <c r="J139" i="17"/>
  <c r="K139" i="17"/>
  <c r="M139" i="17"/>
  <c r="N139" i="17"/>
  <c r="P139" i="17"/>
  <c r="Q139" i="17"/>
  <c r="S139" i="17"/>
  <c r="T139" i="17"/>
  <c r="V139" i="17"/>
  <c r="W139" i="17"/>
  <c r="Y139" i="17"/>
  <c r="Z139" i="17"/>
  <c r="AB139" i="17"/>
  <c r="AC139" i="17"/>
  <c r="AE139" i="17"/>
  <c r="AF139" i="17"/>
  <c r="AH139" i="17"/>
  <c r="AI139" i="17"/>
  <c r="AK139" i="17"/>
  <c r="AL139" i="17"/>
  <c r="AN139" i="17"/>
  <c r="AO139" i="17"/>
  <c r="D140" i="17"/>
  <c r="E140" i="17"/>
  <c r="G140" i="17"/>
  <c r="H140" i="17"/>
  <c r="J140" i="17"/>
  <c r="K140" i="17"/>
  <c r="M140" i="17"/>
  <c r="N140" i="17"/>
  <c r="P140" i="17"/>
  <c r="Q140" i="17"/>
  <c r="S140" i="17"/>
  <c r="T140" i="17"/>
  <c r="V140" i="17"/>
  <c r="W140" i="17"/>
  <c r="Y140" i="17"/>
  <c r="Z140" i="17"/>
  <c r="AB140" i="17"/>
  <c r="AC140" i="17"/>
  <c r="AE140" i="17"/>
  <c r="AF140" i="17"/>
  <c r="AH140" i="17"/>
  <c r="AI140" i="17"/>
  <c r="AK140" i="17"/>
  <c r="AL140" i="17"/>
  <c r="AN140" i="17"/>
  <c r="AO140" i="17"/>
  <c r="D141" i="17"/>
  <c r="E141" i="17"/>
  <c r="G141" i="17"/>
  <c r="H141" i="17"/>
  <c r="J141" i="17"/>
  <c r="K141" i="17"/>
  <c r="M141" i="17"/>
  <c r="N141" i="17"/>
  <c r="P141" i="17"/>
  <c r="Q141" i="17"/>
  <c r="S141" i="17"/>
  <c r="T141" i="17"/>
  <c r="V141" i="17"/>
  <c r="W141" i="17"/>
  <c r="Y141" i="17"/>
  <c r="Z141" i="17"/>
  <c r="AB141" i="17"/>
  <c r="AC141" i="17"/>
  <c r="AE141" i="17"/>
  <c r="AF141" i="17"/>
  <c r="AH141" i="17"/>
  <c r="AI141" i="17"/>
  <c r="AK141" i="17"/>
  <c r="AL141" i="17"/>
  <c r="AN141" i="17"/>
  <c r="AO141" i="17"/>
  <c r="D142" i="17"/>
  <c r="E142" i="17"/>
  <c r="G142" i="17"/>
  <c r="H142" i="17"/>
  <c r="J142" i="17"/>
  <c r="K142" i="17"/>
  <c r="M142" i="17"/>
  <c r="N142" i="17"/>
  <c r="P142" i="17"/>
  <c r="Q142" i="17"/>
  <c r="S142" i="17"/>
  <c r="T142" i="17"/>
  <c r="V142" i="17"/>
  <c r="W142" i="17"/>
  <c r="Y142" i="17"/>
  <c r="Z142" i="17"/>
  <c r="AB142" i="17"/>
  <c r="AC142" i="17"/>
  <c r="AE142" i="17"/>
  <c r="AF142" i="17"/>
  <c r="AH142" i="17"/>
  <c r="AI142" i="17"/>
  <c r="AK142" i="17"/>
  <c r="AL142" i="17"/>
  <c r="AN142" i="17"/>
  <c r="AO142" i="17"/>
  <c r="D143" i="17"/>
  <c r="E143" i="17"/>
  <c r="G143" i="17"/>
  <c r="H143" i="17"/>
  <c r="J143" i="17"/>
  <c r="K143" i="17"/>
  <c r="M143" i="17"/>
  <c r="N143" i="17"/>
  <c r="P143" i="17"/>
  <c r="Q143" i="17"/>
  <c r="S143" i="17"/>
  <c r="T143" i="17"/>
  <c r="V143" i="17"/>
  <c r="W143" i="17"/>
  <c r="Y143" i="17"/>
  <c r="Z143" i="17"/>
  <c r="AB143" i="17"/>
  <c r="AC143" i="17"/>
  <c r="AE143" i="17"/>
  <c r="AF143" i="17"/>
  <c r="AH143" i="17"/>
  <c r="AI143" i="17"/>
  <c r="AK143" i="17"/>
  <c r="AL143" i="17"/>
  <c r="AN143" i="17"/>
  <c r="AO143" i="17"/>
  <c r="D144" i="17"/>
  <c r="E144" i="17"/>
  <c r="G144" i="17"/>
  <c r="H144" i="17"/>
  <c r="J144" i="17"/>
  <c r="K144" i="17"/>
  <c r="M144" i="17"/>
  <c r="N144" i="17"/>
  <c r="P144" i="17"/>
  <c r="Q144" i="17"/>
  <c r="S144" i="17"/>
  <c r="T144" i="17"/>
  <c r="V144" i="17"/>
  <c r="W144" i="17"/>
  <c r="Y144" i="17"/>
  <c r="Z144" i="17"/>
  <c r="AB144" i="17"/>
  <c r="AC144" i="17"/>
  <c r="AE144" i="17"/>
  <c r="AF144" i="17"/>
  <c r="AH144" i="17"/>
  <c r="AI144" i="17"/>
  <c r="AK144" i="17"/>
  <c r="AL144" i="17"/>
  <c r="AN144" i="17"/>
  <c r="AO144" i="17"/>
  <c r="D145" i="17"/>
  <c r="E145" i="17"/>
  <c r="G145" i="17"/>
  <c r="H145" i="17"/>
  <c r="J145" i="17"/>
  <c r="K145" i="17"/>
  <c r="M145" i="17"/>
  <c r="N145" i="17"/>
  <c r="P145" i="17"/>
  <c r="Q145" i="17"/>
  <c r="S145" i="17"/>
  <c r="T145" i="17"/>
  <c r="V145" i="17"/>
  <c r="W145" i="17"/>
  <c r="Y145" i="17"/>
  <c r="Z145" i="17"/>
  <c r="AB145" i="17"/>
  <c r="AC145" i="17"/>
  <c r="AE145" i="17"/>
  <c r="AF145" i="17"/>
  <c r="AH145" i="17"/>
  <c r="AI145" i="17"/>
  <c r="AK145" i="17"/>
  <c r="AL145" i="17"/>
  <c r="AN145" i="17"/>
  <c r="AO145" i="17"/>
  <c r="D146" i="17"/>
  <c r="E146" i="17"/>
  <c r="G146" i="17"/>
  <c r="H146" i="17"/>
  <c r="J146" i="17"/>
  <c r="K146" i="17"/>
  <c r="M146" i="17"/>
  <c r="N146" i="17"/>
  <c r="P146" i="17"/>
  <c r="Q146" i="17"/>
  <c r="S146" i="17"/>
  <c r="T146" i="17"/>
  <c r="V146" i="17"/>
  <c r="W146" i="17"/>
  <c r="Y146" i="17"/>
  <c r="Z146" i="17"/>
  <c r="AB146" i="17"/>
  <c r="AC146" i="17"/>
  <c r="AE146" i="17"/>
  <c r="AF146" i="17"/>
  <c r="AH146" i="17"/>
  <c r="AI146" i="17"/>
  <c r="AK146" i="17"/>
  <c r="AL146" i="17"/>
  <c r="AN146" i="17"/>
  <c r="AO146" i="17"/>
  <c r="D147" i="17"/>
  <c r="E147" i="17"/>
  <c r="G147" i="17"/>
  <c r="H147" i="17"/>
  <c r="J147" i="17"/>
  <c r="K147" i="17"/>
  <c r="M147" i="17"/>
  <c r="N147" i="17"/>
  <c r="P147" i="17"/>
  <c r="Q147" i="17"/>
  <c r="S147" i="17"/>
  <c r="T147" i="17"/>
  <c r="V147" i="17"/>
  <c r="W147" i="17"/>
  <c r="Y147" i="17"/>
  <c r="Z147" i="17"/>
  <c r="AB147" i="17"/>
  <c r="AC147" i="17"/>
  <c r="AE147" i="17"/>
  <c r="AF147" i="17"/>
  <c r="AH147" i="17"/>
  <c r="AI147" i="17"/>
  <c r="AK147" i="17"/>
  <c r="AL147" i="17"/>
  <c r="AN147" i="17"/>
  <c r="AO147" i="17"/>
  <c r="D148" i="17"/>
  <c r="E148" i="17"/>
  <c r="G148" i="17"/>
  <c r="H148" i="17"/>
  <c r="J148" i="17"/>
  <c r="K148" i="17"/>
  <c r="M148" i="17"/>
  <c r="N148" i="17"/>
  <c r="P148" i="17"/>
  <c r="Q148" i="17"/>
  <c r="S148" i="17"/>
  <c r="T148" i="17"/>
  <c r="V148" i="17"/>
  <c r="W148" i="17"/>
  <c r="Y148" i="17"/>
  <c r="Z148" i="17"/>
  <c r="AB148" i="17"/>
  <c r="AC148" i="17"/>
  <c r="AE148" i="17"/>
  <c r="AF148" i="17"/>
  <c r="AH148" i="17"/>
  <c r="AI148" i="17"/>
  <c r="AK148" i="17"/>
  <c r="AL148" i="17"/>
  <c r="AN148" i="17"/>
  <c r="AO148" i="17"/>
  <c r="D149" i="17"/>
  <c r="E149" i="17"/>
  <c r="G149" i="17"/>
  <c r="H149" i="17"/>
  <c r="J149" i="17"/>
  <c r="K149" i="17"/>
  <c r="M149" i="17"/>
  <c r="N149" i="17"/>
  <c r="P149" i="17"/>
  <c r="Q149" i="17"/>
  <c r="S149" i="17"/>
  <c r="T149" i="17"/>
  <c r="V149" i="17"/>
  <c r="W149" i="17"/>
  <c r="Y149" i="17"/>
  <c r="Z149" i="17"/>
  <c r="AB149" i="17"/>
  <c r="AC149" i="17"/>
  <c r="AE149" i="17"/>
  <c r="AF149" i="17"/>
  <c r="AH149" i="17"/>
  <c r="AI149" i="17"/>
  <c r="AK149" i="17"/>
  <c r="AL149" i="17"/>
  <c r="AN149" i="17"/>
  <c r="AO149" i="17"/>
  <c r="D150" i="17"/>
  <c r="E150" i="17"/>
  <c r="G150" i="17"/>
  <c r="H150" i="17"/>
  <c r="J150" i="17"/>
  <c r="K150" i="17"/>
  <c r="M150" i="17"/>
  <c r="N150" i="17"/>
  <c r="P150" i="17"/>
  <c r="Q150" i="17"/>
  <c r="S150" i="17"/>
  <c r="T150" i="17"/>
  <c r="V150" i="17"/>
  <c r="W150" i="17"/>
  <c r="Y150" i="17"/>
  <c r="Z150" i="17"/>
  <c r="AB150" i="17"/>
  <c r="AC150" i="17"/>
  <c r="AE150" i="17"/>
  <c r="AF150" i="17"/>
  <c r="AH150" i="17"/>
  <c r="AI150" i="17"/>
  <c r="AK150" i="17"/>
  <c r="AL150" i="17"/>
  <c r="AN150" i="17"/>
  <c r="AO150" i="17"/>
  <c r="D151" i="17"/>
  <c r="E151" i="17"/>
  <c r="G151" i="17"/>
  <c r="H151" i="17"/>
  <c r="J151" i="17"/>
  <c r="K151" i="17"/>
  <c r="M151" i="17"/>
  <c r="N151" i="17"/>
  <c r="P151" i="17"/>
  <c r="Q151" i="17"/>
  <c r="S151" i="17"/>
  <c r="T151" i="17"/>
  <c r="V151" i="17"/>
  <c r="W151" i="17"/>
  <c r="Y151" i="17"/>
  <c r="Z151" i="17"/>
  <c r="AB151" i="17"/>
  <c r="AC151" i="17"/>
  <c r="AE151" i="17"/>
  <c r="AF151" i="17"/>
  <c r="AH151" i="17"/>
  <c r="AI151" i="17"/>
  <c r="AK151" i="17"/>
  <c r="AL151" i="17"/>
  <c r="AN151" i="17"/>
  <c r="AO151" i="17"/>
  <c r="D152" i="17"/>
  <c r="E152" i="17"/>
  <c r="G152" i="17"/>
  <c r="H152" i="17"/>
  <c r="J152" i="17"/>
  <c r="K152" i="17"/>
  <c r="M152" i="17"/>
  <c r="N152" i="17"/>
  <c r="P152" i="17"/>
  <c r="Q152" i="17"/>
  <c r="S152" i="17"/>
  <c r="T152" i="17"/>
  <c r="V152" i="17"/>
  <c r="W152" i="17"/>
  <c r="Y152" i="17"/>
  <c r="Z152" i="17"/>
  <c r="AB152" i="17"/>
  <c r="AC152" i="17"/>
  <c r="AE152" i="17"/>
  <c r="AF152" i="17"/>
  <c r="AH152" i="17"/>
  <c r="AI152" i="17"/>
  <c r="AK152" i="17"/>
  <c r="AL152" i="17"/>
  <c r="AN152" i="17"/>
  <c r="AO152" i="17"/>
  <c r="D153" i="17"/>
  <c r="E153" i="17"/>
  <c r="G153" i="17"/>
  <c r="H153" i="17"/>
  <c r="J153" i="17"/>
  <c r="K153" i="17"/>
  <c r="M153" i="17"/>
  <c r="N153" i="17"/>
  <c r="P153" i="17"/>
  <c r="Q153" i="17"/>
  <c r="S153" i="17"/>
  <c r="T153" i="17"/>
  <c r="V153" i="17"/>
  <c r="W153" i="17"/>
  <c r="Y153" i="17"/>
  <c r="Z153" i="17"/>
  <c r="AB153" i="17"/>
  <c r="AC153" i="17"/>
  <c r="AE153" i="17"/>
  <c r="AF153" i="17"/>
  <c r="AH153" i="17"/>
  <c r="AI153" i="17"/>
  <c r="AK153" i="17"/>
  <c r="AL153" i="17"/>
  <c r="AN153" i="17"/>
  <c r="AO153" i="17"/>
  <c r="D154" i="17"/>
  <c r="E154" i="17"/>
  <c r="G154" i="17"/>
  <c r="H154" i="17"/>
  <c r="J154" i="17"/>
  <c r="K154" i="17"/>
  <c r="M154" i="17"/>
  <c r="N154" i="17"/>
  <c r="P154" i="17"/>
  <c r="Q154" i="17"/>
  <c r="S154" i="17"/>
  <c r="T154" i="17"/>
  <c r="V154" i="17"/>
  <c r="W154" i="17"/>
  <c r="Y154" i="17"/>
  <c r="Z154" i="17"/>
  <c r="AB154" i="17"/>
  <c r="AC154" i="17"/>
  <c r="AE154" i="17"/>
  <c r="AF154" i="17"/>
  <c r="AH154" i="17"/>
  <c r="AI154" i="17"/>
  <c r="AK154" i="17"/>
  <c r="AL154" i="17"/>
  <c r="AN154" i="17"/>
  <c r="AO154" i="17"/>
  <c r="D155" i="17"/>
  <c r="E155" i="17"/>
  <c r="G155" i="17"/>
  <c r="H155" i="17"/>
  <c r="J155" i="17"/>
  <c r="K155" i="17"/>
  <c r="M155" i="17"/>
  <c r="N155" i="17"/>
  <c r="P155" i="17"/>
  <c r="Q155" i="17"/>
  <c r="S155" i="17"/>
  <c r="T155" i="17"/>
  <c r="V155" i="17"/>
  <c r="W155" i="17"/>
  <c r="Y155" i="17"/>
  <c r="Z155" i="17"/>
  <c r="AB155" i="17"/>
  <c r="AC155" i="17"/>
  <c r="AE155" i="17"/>
  <c r="AF155" i="17"/>
  <c r="AH155" i="17"/>
  <c r="AI155" i="17"/>
  <c r="AK155" i="17"/>
  <c r="AL155" i="17"/>
  <c r="AN155" i="17"/>
  <c r="AO155" i="17"/>
  <c r="D156" i="17"/>
  <c r="E156" i="17"/>
  <c r="G156" i="17"/>
  <c r="H156" i="17"/>
  <c r="J156" i="17"/>
  <c r="K156" i="17"/>
  <c r="M156" i="17"/>
  <c r="N156" i="17"/>
  <c r="P156" i="17"/>
  <c r="Q156" i="17"/>
  <c r="S156" i="17"/>
  <c r="T156" i="17"/>
  <c r="V156" i="17"/>
  <c r="W156" i="17"/>
  <c r="Y156" i="17"/>
  <c r="Z156" i="17"/>
  <c r="AB156" i="17"/>
  <c r="AC156" i="17"/>
  <c r="AE156" i="17"/>
  <c r="AF156" i="17"/>
  <c r="AH156" i="17"/>
  <c r="AI156" i="17"/>
  <c r="AK156" i="17"/>
  <c r="AL156" i="17"/>
  <c r="AN156" i="17"/>
  <c r="AO156" i="17"/>
  <c r="D157" i="17"/>
  <c r="E157" i="17"/>
  <c r="G157" i="17"/>
  <c r="H157" i="17"/>
  <c r="J157" i="17"/>
  <c r="K157" i="17"/>
  <c r="M157" i="17"/>
  <c r="N157" i="17"/>
  <c r="P157" i="17"/>
  <c r="Q157" i="17"/>
  <c r="S157" i="17"/>
  <c r="T157" i="17"/>
  <c r="V157" i="17"/>
  <c r="W157" i="17"/>
  <c r="Y157" i="17"/>
  <c r="Z157" i="17"/>
  <c r="AB157" i="17"/>
  <c r="AC157" i="17"/>
  <c r="AE157" i="17"/>
  <c r="AF157" i="17"/>
  <c r="AH157" i="17"/>
  <c r="AI157" i="17"/>
  <c r="AK157" i="17"/>
  <c r="AL157" i="17"/>
  <c r="AN157" i="17"/>
  <c r="AO157" i="17"/>
  <c r="D158" i="17"/>
  <c r="E158" i="17"/>
  <c r="G158" i="17"/>
  <c r="H158" i="17"/>
  <c r="J158" i="17"/>
  <c r="K158" i="17"/>
  <c r="M158" i="17"/>
  <c r="N158" i="17"/>
  <c r="P158" i="17"/>
  <c r="Q158" i="17"/>
  <c r="S158" i="17"/>
  <c r="T158" i="17"/>
  <c r="V158" i="17"/>
  <c r="W158" i="17"/>
  <c r="Y158" i="17"/>
  <c r="Z158" i="17"/>
  <c r="AB158" i="17"/>
  <c r="AC158" i="17"/>
  <c r="AE158" i="17"/>
  <c r="AF158" i="17"/>
  <c r="AH158" i="17"/>
  <c r="AI158" i="17"/>
  <c r="AK158" i="17"/>
  <c r="AL158" i="17"/>
  <c r="AN158" i="17"/>
  <c r="AO158" i="17"/>
  <c r="D159" i="17"/>
  <c r="E159" i="17"/>
  <c r="G159" i="17"/>
  <c r="H159" i="17"/>
  <c r="J159" i="17"/>
  <c r="K159" i="17"/>
  <c r="M159" i="17"/>
  <c r="N159" i="17"/>
  <c r="P159" i="17"/>
  <c r="Q159" i="17"/>
  <c r="S159" i="17"/>
  <c r="T159" i="17"/>
  <c r="V159" i="17"/>
  <c r="W159" i="17"/>
  <c r="Y159" i="17"/>
  <c r="Z159" i="17"/>
  <c r="AB159" i="17"/>
  <c r="AC159" i="17"/>
  <c r="AE159" i="17"/>
  <c r="AF159" i="17"/>
  <c r="AH159" i="17"/>
  <c r="AI159" i="17"/>
  <c r="AK159" i="17"/>
  <c r="AL159" i="17"/>
  <c r="AN159" i="17"/>
  <c r="AO159" i="17"/>
  <c r="D160" i="17"/>
  <c r="E160" i="17"/>
  <c r="G160" i="17"/>
  <c r="H160" i="17"/>
  <c r="J160" i="17"/>
  <c r="K160" i="17"/>
  <c r="M160" i="17"/>
  <c r="N160" i="17"/>
  <c r="P160" i="17"/>
  <c r="Q160" i="17"/>
  <c r="S160" i="17"/>
  <c r="T160" i="17"/>
  <c r="V160" i="17"/>
  <c r="W160" i="17"/>
  <c r="Y160" i="17"/>
  <c r="Z160" i="17"/>
  <c r="AB160" i="17"/>
  <c r="AC160" i="17"/>
  <c r="AE160" i="17"/>
  <c r="AF160" i="17"/>
  <c r="AH160" i="17"/>
  <c r="AI160" i="17"/>
  <c r="AK160" i="17"/>
  <c r="AL160" i="17"/>
  <c r="AN160" i="17"/>
  <c r="AO160" i="17"/>
  <c r="D161" i="17"/>
  <c r="E161" i="17"/>
  <c r="G161" i="17"/>
  <c r="H161" i="17"/>
  <c r="J161" i="17"/>
  <c r="K161" i="17"/>
  <c r="M161" i="17"/>
  <c r="N161" i="17"/>
  <c r="P161" i="17"/>
  <c r="Q161" i="17"/>
  <c r="S161" i="17"/>
  <c r="T161" i="17"/>
  <c r="V161" i="17"/>
  <c r="W161" i="17"/>
  <c r="Y161" i="17"/>
  <c r="Z161" i="17"/>
  <c r="AB161" i="17"/>
  <c r="AC161" i="17"/>
  <c r="AE161" i="17"/>
  <c r="AF161" i="17"/>
  <c r="AH161" i="17"/>
  <c r="AI161" i="17"/>
  <c r="AK161" i="17"/>
  <c r="AL161" i="17"/>
  <c r="AN161" i="17"/>
  <c r="AO161" i="17"/>
  <c r="D162" i="17"/>
  <c r="E162" i="17"/>
  <c r="G162" i="17"/>
  <c r="H162" i="17"/>
  <c r="J162" i="17"/>
  <c r="K162" i="17"/>
  <c r="M162" i="17"/>
  <c r="N162" i="17"/>
  <c r="P162" i="17"/>
  <c r="Q162" i="17"/>
  <c r="S162" i="17"/>
  <c r="T162" i="17"/>
  <c r="V162" i="17"/>
  <c r="W162" i="17"/>
  <c r="Y162" i="17"/>
  <c r="Z162" i="17"/>
  <c r="AB162" i="17"/>
  <c r="AC162" i="17"/>
  <c r="AE162" i="17"/>
  <c r="AF162" i="17"/>
  <c r="AH162" i="17"/>
  <c r="AI162" i="17"/>
  <c r="AK162" i="17"/>
  <c r="AL162" i="17"/>
  <c r="AN162" i="17"/>
  <c r="AO162" i="17"/>
  <c r="D163" i="17"/>
  <c r="E163" i="17"/>
  <c r="G163" i="17"/>
  <c r="H163" i="17"/>
  <c r="J163" i="17"/>
  <c r="K163" i="17"/>
  <c r="M163" i="17"/>
  <c r="N163" i="17"/>
  <c r="P163" i="17"/>
  <c r="Q163" i="17"/>
  <c r="S163" i="17"/>
  <c r="T163" i="17"/>
  <c r="V163" i="17"/>
  <c r="W163" i="17"/>
  <c r="Y163" i="17"/>
  <c r="Z163" i="17"/>
  <c r="AB163" i="17"/>
  <c r="AC163" i="17"/>
  <c r="AE163" i="17"/>
  <c r="AF163" i="17"/>
  <c r="AH163" i="17"/>
  <c r="AI163" i="17"/>
  <c r="AK163" i="17"/>
  <c r="AL163" i="17"/>
  <c r="AN163" i="17"/>
  <c r="AO163" i="17"/>
  <c r="D164" i="17"/>
  <c r="E164" i="17"/>
  <c r="G164" i="17"/>
  <c r="H164" i="17"/>
  <c r="J164" i="17"/>
  <c r="K164" i="17"/>
  <c r="M164" i="17"/>
  <c r="N164" i="17"/>
  <c r="P164" i="17"/>
  <c r="Q164" i="17"/>
  <c r="S164" i="17"/>
  <c r="T164" i="17"/>
  <c r="V164" i="17"/>
  <c r="W164" i="17"/>
  <c r="Y164" i="17"/>
  <c r="Z164" i="17"/>
  <c r="AB164" i="17"/>
  <c r="AC164" i="17"/>
  <c r="AE164" i="17"/>
  <c r="AF164" i="17"/>
  <c r="AH164" i="17"/>
  <c r="AI164" i="17"/>
  <c r="AK164" i="17"/>
  <c r="AL164" i="17"/>
  <c r="AN164" i="17"/>
  <c r="AO164" i="17"/>
  <c r="D165" i="17"/>
  <c r="E165" i="17"/>
  <c r="G165" i="17"/>
  <c r="H165" i="17"/>
  <c r="J165" i="17"/>
  <c r="K165" i="17"/>
  <c r="M165" i="17"/>
  <c r="N165" i="17"/>
  <c r="P165" i="17"/>
  <c r="Q165" i="17"/>
  <c r="S165" i="17"/>
  <c r="T165" i="17"/>
  <c r="V165" i="17"/>
  <c r="W165" i="17"/>
  <c r="Y165" i="17"/>
  <c r="Z165" i="17"/>
  <c r="AB165" i="17"/>
  <c r="AC165" i="17"/>
  <c r="AE165" i="17"/>
  <c r="AF165" i="17"/>
  <c r="AH165" i="17"/>
  <c r="AI165" i="17"/>
  <c r="AK165" i="17"/>
  <c r="AL165" i="17"/>
  <c r="AN165" i="17"/>
  <c r="AO165" i="17"/>
  <c r="D166" i="17"/>
  <c r="E166" i="17"/>
  <c r="G166" i="17"/>
  <c r="H166" i="17"/>
  <c r="J166" i="17"/>
  <c r="K166" i="17"/>
  <c r="M166" i="17"/>
  <c r="N166" i="17"/>
  <c r="P166" i="17"/>
  <c r="Q166" i="17"/>
  <c r="S166" i="17"/>
  <c r="T166" i="17"/>
  <c r="V166" i="17"/>
  <c r="W166" i="17"/>
  <c r="Y166" i="17"/>
  <c r="Z166" i="17"/>
  <c r="AB166" i="17"/>
  <c r="AC166" i="17"/>
  <c r="AE166" i="17"/>
  <c r="AF166" i="17"/>
  <c r="AH166" i="17"/>
  <c r="AI166" i="17"/>
  <c r="AK166" i="17"/>
  <c r="AL166" i="17"/>
  <c r="AN166" i="17"/>
  <c r="AO166" i="17"/>
  <c r="D167" i="17"/>
  <c r="E167" i="17"/>
  <c r="G167" i="17"/>
  <c r="H167" i="17"/>
  <c r="J167" i="17"/>
  <c r="K167" i="17"/>
  <c r="M167" i="17"/>
  <c r="N167" i="17"/>
  <c r="P167" i="17"/>
  <c r="Q167" i="17"/>
  <c r="S167" i="17"/>
  <c r="T167" i="17"/>
  <c r="V167" i="17"/>
  <c r="W167" i="17"/>
  <c r="Y167" i="17"/>
  <c r="Z167" i="17"/>
  <c r="AB167" i="17"/>
  <c r="AC167" i="17"/>
  <c r="AE167" i="17"/>
  <c r="AF167" i="17"/>
  <c r="AH167" i="17"/>
  <c r="AI167" i="17"/>
  <c r="AK167" i="17"/>
  <c r="AL167" i="17"/>
  <c r="AN167" i="17"/>
  <c r="AO167" i="17"/>
  <c r="D168" i="17"/>
  <c r="E168" i="17"/>
  <c r="G168" i="17"/>
  <c r="H168" i="17"/>
  <c r="J168" i="17"/>
  <c r="K168" i="17"/>
  <c r="M168" i="17"/>
  <c r="N168" i="17"/>
  <c r="P168" i="17"/>
  <c r="Q168" i="17"/>
  <c r="S168" i="17"/>
  <c r="T168" i="17"/>
  <c r="V168" i="17"/>
  <c r="W168" i="17"/>
  <c r="Y168" i="17"/>
  <c r="Z168" i="17"/>
  <c r="AB168" i="17"/>
  <c r="AC168" i="17"/>
  <c r="AE168" i="17"/>
  <c r="AF168" i="17"/>
  <c r="AH168" i="17"/>
  <c r="AI168" i="17"/>
  <c r="AK168" i="17"/>
  <c r="AL168" i="17"/>
  <c r="AN168" i="17"/>
  <c r="AO168" i="17"/>
  <c r="D169" i="17"/>
  <c r="E169" i="17"/>
  <c r="G169" i="17"/>
  <c r="H169" i="17"/>
  <c r="J169" i="17"/>
  <c r="K169" i="17"/>
  <c r="M169" i="17"/>
  <c r="N169" i="17"/>
  <c r="P169" i="17"/>
  <c r="Q169" i="17"/>
  <c r="S169" i="17"/>
  <c r="T169" i="17"/>
  <c r="V169" i="17"/>
  <c r="W169" i="17"/>
  <c r="Y169" i="17"/>
  <c r="Z169" i="17"/>
  <c r="AB169" i="17"/>
  <c r="AC169" i="17"/>
  <c r="AE169" i="17"/>
  <c r="AF169" i="17"/>
  <c r="AH169" i="17"/>
  <c r="AI169" i="17"/>
  <c r="AK169" i="17"/>
  <c r="AL169" i="17"/>
  <c r="AN169" i="17"/>
  <c r="AO169" i="17"/>
  <c r="D170" i="17"/>
  <c r="E170" i="17"/>
  <c r="G170" i="17"/>
  <c r="H170" i="17"/>
  <c r="J170" i="17"/>
  <c r="K170" i="17"/>
  <c r="M170" i="17"/>
  <c r="N170" i="17"/>
  <c r="P170" i="17"/>
  <c r="Q170" i="17"/>
  <c r="S170" i="17"/>
  <c r="T170" i="17"/>
  <c r="V170" i="17"/>
  <c r="W170" i="17"/>
  <c r="Y170" i="17"/>
  <c r="Z170" i="17"/>
  <c r="AB170" i="17"/>
  <c r="AC170" i="17"/>
  <c r="AE170" i="17"/>
  <c r="AF170" i="17"/>
  <c r="AH170" i="17"/>
  <c r="AI170" i="17"/>
  <c r="AK170" i="17"/>
  <c r="AL170" i="17"/>
  <c r="AN170" i="17"/>
  <c r="AO170" i="17"/>
  <c r="D171" i="17"/>
  <c r="E171" i="17"/>
  <c r="G171" i="17"/>
  <c r="H171" i="17"/>
  <c r="J171" i="17"/>
  <c r="K171" i="17"/>
  <c r="M171" i="17"/>
  <c r="N171" i="17"/>
  <c r="P171" i="17"/>
  <c r="Q171" i="17"/>
  <c r="S171" i="17"/>
  <c r="T171" i="17"/>
  <c r="V171" i="17"/>
  <c r="W171" i="17"/>
  <c r="Y171" i="17"/>
  <c r="Z171" i="17"/>
  <c r="AB171" i="17"/>
  <c r="AC171" i="17"/>
  <c r="AE171" i="17"/>
  <c r="AF171" i="17"/>
  <c r="AH171" i="17"/>
  <c r="AI171" i="17"/>
  <c r="AK171" i="17"/>
  <c r="AL171" i="17"/>
  <c r="AN171" i="17"/>
  <c r="AO171" i="17"/>
  <c r="D172" i="17"/>
  <c r="E172" i="17"/>
  <c r="G172" i="17"/>
  <c r="H172" i="17"/>
  <c r="J172" i="17"/>
  <c r="K172" i="17"/>
  <c r="M172" i="17"/>
  <c r="N172" i="17"/>
  <c r="P172" i="17"/>
  <c r="Q172" i="17"/>
  <c r="S172" i="17"/>
  <c r="T172" i="17"/>
  <c r="V172" i="17"/>
  <c r="W172" i="17"/>
  <c r="Y172" i="17"/>
  <c r="Z172" i="17"/>
  <c r="AB172" i="17"/>
  <c r="AC172" i="17"/>
  <c r="AE172" i="17"/>
  <c r="AF172" i="17"/>
  <c r="AH172" i="17"/>
  <c r="AI172" i="17"/>
  <c r="AK172" i="17"/>
  <c r="AL172" i="17"/>
  <c r="AN172" i="17"/>
  <c r="AO172" i="17"/>
  <c r="D173" i="17"/>
  <c r="E173" i="17"/>
  <c r="G173" i="17"/>
  <c r="H173" i="17"/>
  <c r="J173" i="17"/>
  <c r="K173" i="17"/>
  <c r="M173" i="17"/>
  <c r="N173" i="17"/>
  <c r="P173" i="17"/>
  <c r="Q173" i="17"/>
  <c r="S173" i="17"/>
  <c r="T173" i="17"/>
  <c r="V173" i="17"/>
  <c r="W173" i="17"/>
  <c r="Y173" i="17"/>
  <c r="Z173" i="17"/>
  <c r="AB173" i="17"/>
  <c r="AC173" i="17"/>
  <c r="AE173" i="17"/>
  <c r="AF173" i="17"/>
  <c r="AH173" i="17"/>
  <c r="AI173" i="17"/>
  <c r="AK173" i="17"/>
  <c r="AL173" i="17"/>
  <c r="AN173" i="17"/>
  <c r="AO173" i="17"/>
  <c r="D174" i="17"/>
  <c r="E174" i="17"/>
  <c r="G174" i="17"/>
  <c r="H174" i="17"/>
  <c r="J174" i="17"/>
  <c r="K174" i="17"/>
  <c r="M174" i="17"/>
  <c r="N174" i="17"/>
  <c r="P174" i="17"/>
  <c r="Q174" i="17"/>
  <c r="S174" i="17"/>
  <c r="T174" i="17"/>
  <c r="V174" i="17"/>
  <c r="W174" i="17"/>
  <c r="Y174" i="17"/>
  <c r="Z174" i="17"/>
  <c r="AB174" i="17"/>
  <c r="AC174" i="17"/>
  <c r="AE174" i="17"/>
  <c r="AF174" i="17"/>
  <c r="AH174" i="17"/>
  <c r="AI174" i="17"/>
  <c r="AK174" i="17"/>
  <c r="AL174" i="17"/>
  <c r="AN174" i="17"/>
  <c r="AO174" i="17"/>
  <c r="D175" i="17"/>
  <c r="E175" i="17"/>
  <c r="G175" i="17"/>
  <c r="H175" i="17"/>
  <c r="J175" i="17"/>
  <c r="K175" i="17"/>
  <c r="M175" i="17"/>
  <c r="N175" i="17"/>
  <c r="P175" i="17"/>
  <c r="Q175" i="17"/>
  <c r="S175" i="17"/>
  <c r="T175" i="17"/>
  <c r="V175" i="17"/>
  <c r="W175" i="17"/>
  <c r="Y175" i="17"/>
  <c r="Z175" i="17"/>
  <c r="AB175" i="17"/>
  <c r="AC175" i="17"/>
  <c r="AE175" i="17"/>
  <c r="AF175" i="17"/>
  <c r="AH175" i="17"/>
  <c r="AI175" i="17"/>
  <c r="AK175" i="17"/>
  <c r="AL175" i="17"/>
  <c r="AN175" i="17"/>
  <c r="AO175" i="17"/>
  <c r="D176" i="17"/>
  <c r="E176" i="17"/>
  <c r="G176" i="17"/>
  <c r="H176" i="17"/>
  <c r="J176" i="17"/>
  <c r="K176" i="17"/>
  <c r="M176" i="17"/>
  <c r="N176" i="17"/>
  <c r="P176" i="17"/>
  <c r="Q176" i="17"/>
  <c r="S176" i="17"/>
  <c r="T176" i="17"/>
  <c r="V176" i="17"/>
  <c r="W176" i="17"/>
  <c r="Y176" i="17"/>
  <c r="Z176" i="17"/>
  <c r="AB176" i="17"/>
  <c r="AC176" i="17"/>
  <c r="AE176" i="17"/>
  <c r="AF176" i="17"/>
  <c r="AH176" i="17"/>
  <c r="AI176" i="17"/>
  <c r="AK176" i="17"/>
  <c r="AL176" i="17"/>
  <c r="AN176" i="17"/>
  <c r="AO176" i="17"/>
  <c r="D177" i="17"/>
  <c r="E177" i="17"/>
  <c r="G177" i="17"/>
  <c r="H177" i="17"/>
  <c r="J177" i="17"/>
  <c r="K177" i="17"/>
  <c r="M177" i="17"/>
  <c r="N177" i="17"/>
  <c r="P177" i="17"/>
  <c r="Q177" i="17"/>
  <c r="S177" i="17"/>
  <c r="T177" i="17"/>
  <c r="V177" i="17"/>
  <c r="W177" i="17"/>
  <c r="Y177" i="17"/>
  <c r="Z177" i="17"/>
  <c r="AB177" i="17"/>
  <c r="AC177" i="17"/>
  <c r="AE177" i="17"/>
  <c r="AF177" i="17"/>
  <c r="AH177" i="17"/>
  <c r="AI177" i="17"/>
  <c r="AK177" i="17"/>
  <c r="AL177" i="17"/>
  <c r="AN177" i="17"/>
  <c r="AO177" i="17"/>
  <c r="D178" i="17"/>
  <c r="E178" i="17"/>
  <c r="G178" i="17"/>
  <c r="H178" i="17"/>
  <c r="J178" i="17"/>
  <c r="K178" i="17"/>
  <c r="M178" i="17"/>
  <c r="N178" i="17"/>
  <c r="P178" i="17"/>
  <c r="Q178" i="17"/>
  <c r="S178" i="17"/>
  <c r="T178" i="17"/>
  <c r="V178" i="17"/>
  <c r="W178" i="17"/>
  <c r="Y178" i="17"/>
  <c r="Z178" i="17"/>
  <c r="AB178" i="17"/>
  <c r="AC178" i="17"/>
  <c r="AE178" i="17"/>
  <c r="AF178" i="17"/>
  <c r="AH178" i="17"/>
  <c r="AI178" i="17"/>
  <c r="AK178" i="17"/>
  <c r="AL178" i="17"/>
  <c r="AN178" i="17"/>
  <c r="AO178" i="17"/>
  <c r="D179" i="17"/>
  <c r="E179" i="17"/>
  <c r="G179" i="17"/>
  <c r="H179" i="17"/>
  <c r="J179" i="17"/>
  <c r="K179" i="17"/>
  <c r="M179" i="17"/>
  <c r="N179" i="17"/>
  <c r="P179" i="17"/>
  <c r="Q179" i="17"/>
  <c r="S179" i="17"/>
  <c r="T179" i="17"/>
  <c r="V179" i="17"/>
  <c r="W179" i="17"/>
  <c r="Y179" i="17"/>
  <c r="Z179" i="17"/>
  <c r="AB179" i="17"/>
  <c r="AC179" i="17"/>
  <c r="AE179" i="17"/>
  <c r="AF179" i="17"/>
  <c r="AH179" i="17"/>
  <c r="AI179" i="17"/>
  <c r="AK179" i="17"/>
  <c r="AL179" i="17"/>
  <c r="AN179" i="17"/>
  <c r="AO179" i="17"/>
  <c r="D180" i="17"/>
  <c r="E180" i="17"/>
  <c r="G180" i="17"/>
  <c r="H180" i="17"/>
  <c r="J180" i="17"/>
  <c r="K180" i="17"/>
  <c r="M180" i="17"/>
  <c r="N180" i="17"/>
  <c r="P180" i="17"/>
  <c r="Q180" i="17"/>
  <c r="S180" i="17"/>
  <c r="T180" i="17"/>
  <c r="V180" i="17"/>
  <c r="W180" i="17"/>
  <c r="Y180" i="17"/>
  <c r="Z180" i="17"/>
  <c r="AB180" i="17"/>
  <c r="AC180" i="17"/>
  <c r="AE180" i="17"/>
  <c r="AF180" i="17"/>
  <c r="AH180" i="17"/>
  <c r="AI180" i="17"/>
  <c r="AK180" i="17"/>
  <c r="AL180" i="17"/>
  <c r="AN180" i="17"/>
  <c r="AO180" i="17"/>
  <c r="D181" i="17"/>
  <c r="E181" i="17"/>
  <c r="G181" i="17"/>
  <c r="H181" i="17"/>
  <c r="J181" i="17"/>
  <c r="K181" i="17"/>
  <c r="M181" i="17"/>
  <c r="N181" i="17"/>
  <c r="P181" i="17"/>
  <c r="Q181" i="17"/>
  <c r="S181" i="17"/>
  <c r="T181" i="17"/>
  <c r="V181" i="17"/>
  <c r="W181" i="17"/>
  <c r="Y181" i="17"/>
  <c r="Z181" i="17"/>
  <c r="AB181" i="17"/>
  <c r="AC181" i="17"/>
  <c r="AE181" i="17"/>
  <c r="AF181" i="17"/>
  <c r="AH181" i="17"/>
  <c r="AI181" i="17"/>
  <c r="AK181" i="17"/>
  <c r="AL181" i="17"/>
  <c r="AN181" i="17"/>
  <c r="AO181" i="17"/>
  <c r="D182" i="17"/>
  <c r="E182" i="17"/>
  <c r="G182" i="17"/>
  <c r="H182" i="17"/>
  <c r="J182" i="17"/>
  <c r="K182" i="17"/>
  <c r="M182" i="17"/>
  <c r="N182" i="17"/>
  <c r="P182" i="17"/>
  <c r="Q182" i="17"/>
  <c r="S182" i="17"/>
  <c r="T182" i="17"/>
  <c r="V182" i="17"/>
  <c r="W182" i="17"/>
  <c r="Y182" i="17"/>
  <c r="Z182" i="17"/>
  <c r="AB182" i="17"/>
  <c r="AC182" i="17"/>
  <c r="AE182" i="17"/>
  <c r="AF182" i="17"/>
  <c r="AH182" i="17"/>
  <c r="AI182" i="17"/>
  <c r="AK182" i="17"/>
  <c r="AL182" i="17"/>
  <c r="AN182" i="17"/>
  <c r="AO182" i="17"/>
  <c r="D183" i="17"/>
  <c r="E183" i="17"/>
  <c r="G183" i="17"/>
  <c r="H183" i="17"/>
  <c r="J183" i="17"/>
  <c r="K183" i="17"/>
  <c r="M183" i="17"/>
  <c r="N183" i="17"/>
  <c r="P183" i="17"/>
  <c r="Q183" i="17"/>
  <c r="S183" i="17"/>
  <c r="T183" i="17"/>
  <c r="V183" i="17"/>
  <c r="W183" i="17"/>
  <c r="Y183" i="17"/>
  <c r="Z183" i="17"/>
  <c r="AB183" i="17"/>
  <c r="AC183" i="17"/>
  <c r="AE183" i="17"/>
  <c r="AF183" i="17"/>
  <c r="AH183" i="17"/>
  <c r="AI183" i="17"/>
  <c r="AK183" i="17"/>
  <c r="AL183" i="17"/>
  <c r="AN183" i="17"/>
  <c r="AO183" i="17"/>
  <c r="D184" i="17"/>
  <c r="E184" i="17"/>
  <c r="G184" i="17"/>
  <c r="H184" i="17"/>
  <c r="J184" i="17"/>
  <c r="K184" i="17"/>
  <c r="M184" i="17"/>
  <c r="N184" i="17"/>
  <c r="P184" i="17"/>
  <c r="Q184" i="17"/>
  <c r="S184" i="17"/>
  <c r="T184" i="17"/>
  <c r="V184" i="17"/>
  <c r="W184" i="17"/>
  <c r="Y184" i="17"/>
  <c r="Z184" i="17"/>
  <c r="AB184" i="17"/>
  <c r="AC184" i="17"/>
  <c r="AE184" i="17"/>
  <c r="AF184" i="17"/>
  <c r="AH184" i="17"/>
  <c r="AI184" i="17"/>
  <c r="AK184" i="17"/>
  <c r="AL184" i="17"/>
  <c r="AN184" i="17"/>
  <c r="AO184" i="17"/>
  <c r="D185" i="17"/>
  <c r="E185" i="17"/>
  <c r="G185" i="17"/>
  <c r="H185" i="17"/>
  <c r="J185" i="17"/>
  <c r="K185" i="17"/>
  <c r="M185" i="17"/>
  <c r="N185" i="17"/>
  <c r="P185" i="17"/>
  <c r="Q185" i="17"/>
  <c r="S185" i="17"/>
  <c r="T185" i="17"/>
  <c r="V185" i="17"/>
  <c r="W185" i="17"/>
  <c r="Y185" i="17"/>
  <c r="Z185" i="17"/>
  <c r="AB185" i="17"/>
  <c r="AC185" i="17"/>
  <c r="AE185" i="17"/>
  <c r="AF185" i="17"/>
  <c r="AH185" i="17"/>
  <c r="AI185" i="17"/>
  <c r="AK185" i="17"/>
  <c r="AL185" i="17"/>
  <c r="AN185" i="17"/>
  <c r="AO185" i="17"/>
  <c r="D186" i="17"/>
  <c r="E186" i="17"/>
  <c r="G186" i="17"/>
  <c r="H186" i="17"/>
  <c r="J186" i="17"/>
  <c r="K186" i="17"/>
  <c r="M186" i="17"/>
  <c r="N186" i="17"/>
  <c r="P186" i="17"/>
  <c r="Q186" i="17"/>
  <c r="S186" i="17"/>
  <c r="T186" i="17"/>
  <c r="V186" i="17"/>
  <c r="W186" i="17"/>
  <c r="Y186" i="17"/>
  <c r="Z186" i="17"/>
  <c r="AB186" i="17"/>
  <c r="AC186" i="17"/>
  <c r="AE186" i="17"/>
  <c r="AF186" i="17"/>
  <c r="AH186" i="17"/>
  <c r="AI186" i="17"/>
  <c r="AK186" i="17"/>
  <c r="AL186" i="17"/>
  <c r="AN186" i="17"/>
  <c r="AO186" i="17"/>
  <c r="D187" i="17"/>
  <c r="E187" i="17"/>
  <c r="G187" i="17"/>
  <c r="H187" i="17"/>
  <c r="J187" i="17"/>
  <c r="K187" i="17"/>
  <c r="M187" i="17"/>
  <c r="N187" i="17"/>
  <c r="P187" i="17"/>
  <c r="Q187" i="17"/>
  <c r="S187" i="17"/>
  <c r="T187" i="17"/>
  <c r="V187" i="17"/>
  <c r="W187" i="17"/>
  <c r="Y187" i="17"/>
  <c r="Z187" i="17"/>
  <c r="AB187" i="17"/>
  <c r="AC187" i="17"/>
  <c r="AE187" i="17"/>
  <c r="AF187" i="17"/>
  <c r="AH187" i="17"/>
  <c r="AI187" i="17"/>
  <c r="AK187" i="17"/>
  <c r="AL187" i="17"/>
  <c r="AN187" i="17"/>
  <c r="AO187" i="17"/>
  <c r="D188" i="17"/>
  <c r="E188" i="17"/>
  <c r="G188" i="17"/>
  <c r="H188" i="17"/>
  <c r="J188" i="17"/>
  <c r="K188" i="17"/>
  <c r="M188" i="17"/>
  <c r="N188" i="17"/>
  <c r="P188" i="17"/>
  <c r="Q188" i="17"/>
  <c r="S188" i="17"/>
  <c r="T188" i="17"/>
  <c r="V188" i="17"/>
  <c r="W188" i="17"/>
  <c r="Y188" i="17"/>
  <c r="Z188" i="17"/>
  <c r="AB188" i="17"/>
  <c r="AC188" i="17"/>
  <c r="AE188" i="17"/>
  <c r="AF188" i="17"/>
  <c r="AH188" i="17"/>
  <c r="AI188" i="17"/>
  <c r="AK188" i="17"/>
  <c r="AL188" i="17"/>
  <c r="AN188" i="17"/>
  <c r="AO188" i="17"/>
  <c r="D189" i="17"/>
  <c r="E189" i="17"/>
  <c r="G189" i="17"/>
  <c r="H189" i="17"/>
  <c r="J189" i="17"/>
  <c r="K189" i="17"/>
  <c r="M189" i="17"/>
  <c r="N189" i="17"/>
  <c r="P189" i="17"/>
  <c r="Q189" i="17"/>
  <c r="S189" i="17"/>
  <c r="T189" i="17"/>
  <c r="V189" i="17"/>
  <c r="W189" i="17"/>
  <c r="Y189" i="17"/>
  <c r="Z189" i="17"/>
  <c r="AB189" i="17"/>
  <c r="AC189" i="17"/>
  <c r="AE189" i="17"/>
  <c r="AF189" i="17"/>
  <c r="AH189" i="17"/>
  <c r="AI189" i="17"/>
  <c r="AK189" i="17"/>
  <c r="AL189" i="17"/>
  <c r="AN189" i="17"/>
  <c r="AO189" i="17"/>
  <c r="D190" i="17"/>
  <c r="E190" i="17"/>
  <c r="G190" i="17"/>
  <c r="H190" i="17"/>
  <c r="J190" i="17"/>
  <c r="K190" i="17"/>
  <c r="M190" i="17"/>
  <c r="N190" i="17"/>
  <c r="P190" i="17"/>
  <c r="Q190" i="17"/>
  <c r="S190" i="17"/>
  <c r="T190" i="17"/>
  <c r="V190" i="17"/>
  <c r="W190" i="17"/>
  <c r="Y190" i="17"/>
  <c r="Z190" i="17"/>
  <c r="AB190" i="17"/>
  <c r="AC190" i="17"/>
  <c r="AE190" i="17"/>
  <c r="AF190" i="17"/>
  <c r="AH190" i="17"/>
  <c r="AI190" i="17"/>
  <c r="AK190" i="17"/>
  <c r="AL190" i="17"/>
  <c r="AN190" i="17"/>
  <c r="AO190" i="17"/>
  <c r="D191" i="17"/>
  <c r="E191" i="17"/>
  <c r="G191" i="17"/>
  <c r="H191" i="17"/>
  <c r="J191" i="17"/>
  <c r="K191" i="17"/>
  <c r="M191" i="17"/>
  <c r="N191" i="17"/>
  <c r="P191" i="17"/>
  <c r="Q191" i="17"/>
  <c r="S191" i="17"/>
  <c r="T191" i="17"/>
  <c r="V191" i="17"/>
  <c r="W191" i="17"/>
  <c r="Y191" i="17"/>
  <c r="Z191" i="17"/>
  <c r="AB191" i="17"/>
  <c r="AC191" i="17"/>
  <c r="AE191" i="17"/>
  <c r="AF191" i="17"/>
  <c r="AH191" i="17"/>
  <c r="AI191" i="17"/>
  <c r="AK191" i="17"/>
  <c r="AL191" i="17"/>
  <c r="AN191" i="17"/>
  <c r="AO191" i="17"/>
  <c r="D192" i="17"/>
  <c r="E192" i="17"/>
  <c r="G192" i="17"/>
  <c r="H192" i="17"/>
  <c r="J192" i="17"/>
  <c r="K192" i="17"/>
  <c r="M192" i="17"/>
  <c r="N192" i="17"/>
  <c r="P192" i="17"/>
  <c r="Q192" i="17"/>
  <c r="S192" i="17"/>
  <c r="T192" i="17"/>
  <c r="V192" i="17"/>
  <c r="W192" i="17"/>
  <c r="Y192" i="17"/>
  <c r="Z192" i="17"/>
  <c r="AB192" i="17"/>
  <c r="AC192" i="17"/>
  <c r="AE192" i="17"/>
  <c r="AF192" i="17"/>
  <c r="AH192" i="17"/>
  <c r="AI192" i="17"/>
  <c r="AK192" i="17"/>
  <c r="AL192" i="17"/>
  <c r="AN192" i="17"/>
  <c r="AO192" i="17"/>
  <c r="D193" i="17"/>
  <c r="E193" i="17"/>
  <c r="G193" i="17"/>
  <c r="H193" i="17"/>
  <c r="J193" i="17"/>
  <c r="K193" i="17"/>
  <c r="M193" i="17"/>
  <c r="N193" i="17"/>
  <c r="P193" i="17"/>
  <c r="Q193" i="17"/>
  <c r="S193" i="17"/>
  <c r="T193" i="17"/>
  <c r="V193" i="17"/>
  <c r="W193" i="17"/>
  <c r="Y193" i="17"/>
  <c r="Z193" i="17"/>
  <c r="AB193" i="17"/>
  <c r="AC193" i="17"/>
  <c r="AE193" i="17"/>
  <c r="AF193" i="17"/>
  <c r="AH193" i="17"/>
  <c r="AI193" i="17"/>
  <c r="AK193" i="17"/>
  <c r="AL193" i="17"/>
  <c r="AN193" i="17"/>
  <c r="AO193" i="17"/>
  <c r="D194" i="17"/>
  <c r="E194" i="17"/>
  <c r="G194" i="17"/>
  <c r="H194" i="17"/>
  <c r="J194" i="17"/>
  <c r="K194" i="17"/>
  <c r="M194" i="17"/>
  <c r="N194" i="17"/>
  <c r="P194" i="17"/>
  <c r="Q194" i="17"/>
  <c r="S194" i="17"/>
  <c r="T194" i="17"/>
  <c r="V194" i="17"/>
  <c r="W194" i="17"/>
  <c r="Y194" i="17"/>
  <c r="Z194" i="17"/>
  <c r="AB194" i="17"/>
  <c r="AC194" i="17"/>
  <c r="AE194" i="17"/>
  <c r="AF194" i="17"/>
  <c r="AH194" i="17"/>
  <c r="AI194" i="17"/>
  <c r="AK194" i="17"/>
  <c r="AL194" i="17"/>
  <c r="AN194" i="17"/>
  <c r="AO194" i="17"/>
  <c r="D195" i="17"/>
  <c r="E195" i="17"/>
  <c r="G195" i="17"/>
  <c r="H195" i="17"/>
  <c r="J195" i="17"/>
  <c r="K195" i="17"/>
  <c r="M195" i="17"/>
  <c r="N195" i="17"/>
  <c r="P195" i="17"/>
  <c r="Q195" i="17"/>
  <c r="S195" i="17"/>
  <c r="T195" i="17"/>
  <c r="V195" i="17"/>
  <c r="W195" i="17"/>
  <c r="Y195" i="17"/>
  <c r="Z195" i="17"/>
  <c r="AB195" i="17"/>
  <c r="AC195" i="17"/>
  <c r="AE195" i="17"/>
  <c r="AF195" i="17"/>
  <c r="AH195" i="17"/>
  <c r="AI195" i="17"/>
  <c r="AK195" i="17"/>
  <c r="AL195" i="17"/>
  <c r="AN195" i="17"/>
  <c r="AO195" i="17"/>
  <c r="D196" i="17"/>
  <c r="E196" i="17"/>
  <c r="G196" i="17"/>
  <c r="H196" i="17"/>
  <c r="J196" i="17"/>
  <c r="K196" i="17"/>
  <c r="M196" i="17"/>
  <c r="N196" i="17"/>
  <c r="P196" i="17"/>
  <c r="Q196" i="17"/>
  <c r="S196" i="17"/>
  <c r="T196" i="17"/>
  <c r="V196" i="17"/>
  <c r="W196" i="17"/>
  <c r="Y196" i="17"/>
  <c r="Z196" i="17"/>
  <c r="AB196" i="17"/>
  <c r="AC196" i="17"/>
  <c r="AE196" i="17"/>
  <c r="AF196" i="17"/>
  <c r="AH196" i="17"/>
  <c r="AI196" i="17"/>
  <c r="AK196" i="17"/>
  <c r="AL196" i="17"/>
  <c r="AN196" i="17"/>
  <c r="AO196" i="17"/>
  <c r="D197" i="17"/>
  <c r="E197" i="17"/>
  <c r="G197" i="17"/>
  <c r="H197" i="17"/>
  <c r="J197" i="17"/>
  <c r="K197" i="17"/>
  <c r="M197" i="17"/>
  <c r="N197" i="17"/>
  <c r="P197" i="17"/>
  <c r="Q197" i="17"/>
  <c r="S197" i="17"/>
  <c r="T197" i="17"/>
  <c r="V197" i="17"/>
  <c r="W197" i="17"/>
  <c r="Y197" i="17"/>
  <c r="Z197" i="17"/>
  <c r="AB197" i="17"/>
  <c r="AC197" i="17"/>
  <c r="AE197" i="17"/>
  <c r="AF197" i="17"/>
  <c r="AH197" i="17"/>
  <c r="AI197" i="17"/>
  <c r="AK197" i="17"/>
  <c r="AL197" i="17"/>
  <c r="AN197" i="17"/>
  <c r="AO197" i="17"/>
  <c r="D198" i="17"/>
  <c r="E198" i="17"/>
  <c r="G198" i="17"/>
  <c r="H198" i="17"/>
  <c r="J198" i="17"/>
  <c r="K198" i="17"/>
  <c r="M198" i="17"/>
  <c r="N198" i="17"/>
  <c r="P198" i="17"/>
  <c r="Q198" i="17"/>
  <c r="S198" i="17"/>
  <c r="T198" i="17"/>
  <c r="V198" i="17"/>
  <c r="W198" i="17"/>
  <c r="Y198" i="17"/>
  <c r="Z198" i="17"/>
  <c r="AB198" i="17"/>
  <c r="AC198" i="17"/>
  <c r="AE198" i="17"/>
  <c r="AF198" i="17"/>
  <c r="AH198" i="17"/>
  <c r="AI198" i="17"/>
  <c r="AK198" i="17"/>
  <c r="AL198" i="17"/>
  <c r="AN198" i="17"/>
  <c r="AO198" i="17"/>
  <c r="D199" i="17"/>
  <c r="E199" i="17"/>
  <c r="G199" i="17"/>
  <c r="H199" i="17"/>
  <c r="J199" i="17"/>
  <c r="K199" i="17"/>
  <c r="M199" i="17"/>
  <c r="N199" i="17"/>
  <c r="P199" i="17"/>
  <c r="Q199" i="17"/>
  <c r="S199" i="17"/>
  <c r="T199" i="17"/>
  <c r="V199" i="17"/>
  <c r="W199" i="17"/>
  <c r="Y199" i="17"/>
  <c r="Z199" i="17"/>
  <c r="AB199" i="17"/>
  <c r="AC199" i="17"/>
  <c r="AE199" i="17"/>
  <c r="AF199" i="17"/>
  <c r="AH199" i="17"/>
  <c r="AI199" i="17"/>
  <c r="AK199" i="17"/>
  <c r="AL199" i="17"/>
  <c r="AN199" i="17"/>
  <c r="AO199" i="17"/>
  <c r="D200" i="17"/>
  <c r="E200" i="17"/>
  <c r="G200" i="17"/>
  <c r="H200" i="17"/>
  <c r="J200" i="17"/>
  <c r="K200" i="17"/>
  <c r="M200" i="17"/>
  <c r="N200" i="17"/>
  <c r="P200" i="17"/>
  <c r="Q200" i="17"/>
  <c r="S200" i="17"/>
  <c r="T200" i="17"/>
  <c r="V200" i="17"/>
  <c r="W200" i="17"/>
  <c r="Y200" i="17"/>
  <c r="Z200" i="17"/>
  <c r="AB200" i="17"/>
  <c r="AC200" i="17"/>
  <c r="AE200" i="17"/>
  <c r="AF200" i="17"/>
  <c r="AH200" i="17"/>
  <c r="AI200" i="17"/>
  <c r="AK200" i="17"/>
  <c r="AL200" i="17"/>
  <c r="AN200" i="17"/>
  <c r="AO200" i="17"/>
  <c r="D201" i="17"/>
  <c r="E201" i="17"/>
  <c r="G201" i="17"/>
  <c r="H201" i="17"/>
  <c r="J201" i="17"/>
  <c r="K201" i="17"/>
  <c r="M201" i="17"/>
  <c r="N201" i="17"/>
  <c r="P201" i="17"/>
  <c r="Q201" i="17"/>
  <c r="S201" i="17"/>
  <c r="T201" i="17"/>
  <c r="V201" i="17"/>
  <c r="W201" i="17"/>
  <c r="Y201" i="17"/>
  <c r="Z201" i="17"/>
  <c r="AB201" i="17"/>
  <c r="AC201" i="17"/>
  <c r="AE201" i="17"/>
  <c r="AF201" i="17"/>
  <c r="AH201" i="17"/>
  <c r="AI201" i="17"/>
  <c r="AK201" i="17"/>
  <c r="AL201" i="17"/>
  <c r="AN201" i="17"/>
  <c r="AO201" i="17"/>
  <c r="D202" i="17"/>
  <c r="E202" i="17"/>
  <c r="G202" i="17"/>
  <c r="H202" i="17"/>
  <c r="J202" i="17"/>
  <c r="K202" i="17"/>
  <c r="M202" i="17"/>
  <c r="N202" i="17"/>
  <c r="P202" i="17"/>
  <c r="Q202" i="17"/>
  <c r="S202" i="17"/>
  <c r="T202" i="17"/>
  <c r="V202" i="17"/>
  <c r="W202" i="17"/>
  <c r="Y202" i="17"/>
  <c r="Z202" i="17"/>
  <c r="AB202" i="17"/>
  <c r="AC202" i="17"/>
  <c r="AE202" i="17"/>
  <c r="AF202" i="17"/>
  <c r="AH202" i="17"/>
  <c r="AI202" i="17"/>
  <c r="AK202" i="17"/>
  <c r="AL202" i="17"/>
  <c r="AN202" i="17"/>
  <c r="AO202" i="17"/>
  <c r="D203" i="17"/>
  <c r="E203" i="17"/>
  <c r="G203" i="17"/>
  <c r="H203" i="17"/>
  <c r="J203" i="17"/>
  <c r="K203" i="17"/>
  <c r="M203" i="17"/>
  <c r="N203" i="17"/>
  <c r="P203" i="17"/>
  <c r="Q203" i="17"/>
  <c r="S203" i="17"/>
  <c r="T203" i="17"/>
  <c r="V203" i="17"/>
  <c r="W203" i="17"/>
  <c r="Y203" i="17"/>
  <c r="Z203" i="17"/>
  <c r="AB203" i="17"/>
  <c r="AC203" i="17"/>
  <c r="AE203" i="17"/>
  <c r="AF203" i="17"/>
  <c r="AH203" i="17"/>
  <c r="AI203" i="17"/>
  <c r="AK203" i="17"/>
  <c r="AL203" i="17"/>
  <c r="AN203" i="17"/>
  <c r="AO203" i="17"/>
  <c r="D204" i="17"/>
  <c r="E204" i="17"/>
  <c r="G204" i="17"/>
  <c r="H204" i="17"/>
  <c r="J204" i="17"/>
  <c r="K204" i="17"/>
  <c r="M204" i="17"/>
  <c r="N204" i="17"/>
  <c r="P204" i="17"/>
  <c r="Q204" i="17"/>
  <c r="S204" i="17"/>
  <c r="T204" i="17"/>
  <c r="V204" i="17"/>
  <c r="W204" i="17"/>
  <c r="Y204" i="17"/>
  <c r="Z204" i="17"/>
  <c r="AB204" i="17"/>
  <c r="AC204" i="17"/>
  <c r="AE204" i="17"/>
  <c r="AF204" i="17"/>
  <c r="AH204" i="17"/>
  <c r="AI204" i="17"/>
  <c r="AK204" i="17"/>
  <c r="AL204" i="17"/>
  <c r="AN204" i="17"/>
  <c r="AO204" i="17"/>
  <c r="D205" i="17"/>
  <c r="E205" i="17"/>
  <c r="G205" i="17"/>
  <c r="H205" i="17"/>
  <c r="J205" i="17"/>
  <c r="K205" i="17"/>
  <c r="M205" i="17"/>
  <c r="N205" i="17"/>
  <c r="P205" i="17"/>
  <c r="Q205" i="17"/>
  <c r="S205" i="17"/>
  <c r="T205" i="17"/>
  <c r="V205" i="17"/>
  <c r="W205" i="17"/>
  <c r="Y205" i="17"/>
  <c r="Z205" i="17"/>
  <c r="AB205" i="17"/>
  <c r="AC205" i="17"/>
  <c r="AE205" i="17"/>
  <c r="AF205" i="17"/>
  <c r="AH205" i="17"/>
  <c r="AI205" i="17"/>
  <c r="AK205" i="17"/>
  <c r="AL205" i="17"/>
  <c r="AN205" i="17"/>
  <c r="AO205" i="17"/>
  <c r="D206" i="17"/>
  <c r="E206" i="17"/>
  <c r="G206" i="17"/>
  <c r="H206" i="17"/>
  <c r="J206" i="17"/>
  <c r="K206" i="17"/>
  <c r="M206" i="17"/>
  <c r="N206" i="17"/>
  <c r="P206" i="17"/>
  <c r="Q206" i="17"/>
  <c r="S206" i="17"/>
  <c r="T206" i="17"/>
  <c r="V206" i="17"/>
  <c r="W206" i="17"/>
  <c r="Y206" i="17"/>
  <c r="Z206" i="17"/>
  <c r="AB206" i="17"/>
  <c r="AC206" i="17"/>
  <c r="AE206" i="17"/>
  <c r="AF206" i="17"/>
  <c r="AH206" i="17"/>
  <c r="AI206" i="17"/>
  <c r="AK206" i="17"/>
  <c r="AL206" i="17"/>
  <c r="AN206" i="17"/>
  <c r="AO206" i="17"/>
  <c r="D207" i="17"/>
  <c r="E207" i="17"/>
  <c r="G207" i="17"/>
  <c r="H207" i="17"/>
  <c r="J207" i="17"/>
  <c r="K207" i="17"/>
  <c r="M207" i="17"/>
  <c r="N207" i="17"/>
  <c r="P207" i="17"/>
  <c r="Q207" i="17"/>
  <c r="S207" i="17"/>
  <c r="T207" i="17"/>
  <c r="V207" i="17"/>
  <c r="W207" i="17"/>
  <c r="Y207" i="17"/>
  <c r="Z207" i="17"/>
  <c r="AB207" i="17"/>
  <c r="AC207" i="17"/>
  <c r="AE207" i="17"/>
  <c r="AF207" i="17"/>
  <c r="AH207" i="17"/>
  <c r="AI207" i="17"/>
  <c r="AK207" i="17"/>
  <c r="AL207" i="17"/>
  <c r="AN207" i="17"/>
  <c r="AO207" i="17"/>
  <c r="D208" i="17"/>
  <c r="E208" i="17"/>
  <c r="G208" i="17"/>
  <c r="H208" i="17"/>
  <c r="J208" i="17"/>
  <c r="K208" i="17"/>
  <c r="M208" i="17"/>
  <c r="N208" i="17"/>
  <c r="P208" i="17"/>
  <c r="Q208" i="17"/>
  <c r="S208" i="17"/>
  <c r="T208" i="17"/>
  <c r="V208" i="17"/>
  <c r="W208" i="17"/>
  <c r="Y208" i="17"/>
  <c r="Z208" i="17"/>
  <c r="AB208" i="17"/>
  <c r="AC208" i="17"/>
  <c r="AE208" i="17"/>
  <c r="AF208" i="17"/>
  <c r="AH208" i="17"/>
  <c r="AI208" i="17"/>
  <c r="AK208" i="17"/>
  <c r="AL208" i="17"/>
  <c r="AN208" i="17"/>
  <c r="AO208" i="17"/>
  <c r="D209" i="17"/>
  <c r="E209" i="17"/>
  <c r="G209" i="17"/>
  <c r="H209" i="17"/>
  <c r="J209" i="17"/>
  <c r="K209" i="17"/>
  <c r="M209" i="17"/>
  <c r="N209" i="17"/>
  <c r="P209" i="17"/>
  <c r="Q209" i="17"/>
  <c r="S209" i="17"/>
  <c r="T209" i="17"/>
  <c r="V209" i="17"/>
  <c r="W209" i="17"/>
  <c r="Y209" i="17"/>
  <c r="Z209" i="17"/>
  <c r="AB209" i="17"/>
  <c r="AC209" i="17"/>
  <c r="AE209" i="17"/>
  <c r="AF209" i="17"/>
  <c r="AH209" i="17"/>
  <c r="AI209" i="17"/>
  <c r="AK209" i="17"/>
  <c r="AL209" i="17"/>
  <c r="AN209" i="17"/>
  <c r="AO209" i="17"/>
  <c r="D210" i="17"/>
  <c r="E210" i="17"/>
  <c r="G210" i="17"/>
  <c r="H210" i="17"/>
  <c r="J210" i="17"/>
  <c r="K210" i="17"/>
  <c r="M210" i="17"/>
  <c r="N210" i="17"/>
  <c r="P210" i="17"/>
  <c r="Q210" i="17"/>
  <c r="S210" i="17"/>
  <c r="T210" i="17"/>
  <c r="V210" i="17"/>
  <c r="W210" i="17"/>
  <c r="Y210" i="17"/>
  <c r="Z210" i="17"/>
  <c r="AB210" i="17"/>
  <c r="AC210" i="17"/>
  <c r="AE210" i="17"/>
  <c r="AF210" i="17"/>
  <c r="AH210" i="17"/>
  <c r="AI210" i="17"/>
  <c r="AK210" i="17"/>
  <c r="AL210" i="17"/>
  <c r="AN210" i="17"/>
  <c r="AO210" i="17"/>
  <c r="D211" i="17"/>
  <c r="E211" i="17"/>
  <c r="G211" i="17"/>
  <c r="H211" i="17"/>
  <c r="J211" i="17"/>
  <c r="K211" i="17"/>
  <c r="M211" i="17"/>
  <c r="N211" i="17"/>
  <c r="P211" i="17"/>
  <c r="Q211" i="17"/>
  <c r="S211" i="17"/>
  <c r="T211" i="17"/>
  <c r="V211" i="17"/>
  <c r="W211" i="17"/>
  <c r="Y211" i="17"/>
  <c r="Z211" i="17"/>
  <c r="AB211" i="17"/>
  <c r="AC211" i="17"/>
  <c r="AE211" i="17"/>
  <c r="AF211" i="17"/>
  <c r="AH211" i="17"/>
  <c r="AI211" i="17"/>
  <c r="AK211" i="17"/>
  <c r="AL211" i="17"/>
  <c r="AN211" i="17"/>
  <c r="AO211" i="17"/>
  <c r="D212" i="17"/>
  <c r="E212" i="17"/>
  <c r="G212" i="17"/>
  <c r="H212" i="17"/>
  <c r="J212" i="17"/>
  <c r="K212" i="17"/>
  <c r="M212" i="17"/>
  <c r="N212" i="17"/>
  <c r="P212" i="17"/>
  <c r="Q212" i="17"/>
  <c r="S212" i="17"/>
  <c r="T212" i="17"/>
  <c r="V212" i="17"/>
  <c r="W212" i="17"/>
  <c r="Y212" i="17"/>
  <c r="Z212" i="17"/>
  <c r="AB212" i="17"/>
  <c r="AC212" i="17"/>
  <c r="AE212" i="17"/>
  <c r="AF212" i="17"/>
  <c r="AH212" i="17"/>
  <c r="AI212" i="17"/>
  <c r="AK212" i="17"/>
  <c r="AL212" i="17"/>
  <c r="AN212" i="17"/>
  <c r="AO212" i="17"/>
  <c r="D213" i="17"/>
  <c r="E213" i="17"/>
  <c r="G213" i="17"/>
  <c r="H213" i="17"/>
  <c r="J213" i="17"/>
  <c r="K213" i="17"/>
  <c r="M213" i="17"/>
  <c r="N213" i="17"/>
  <c r="P213" i="17"/>
  <c r="Q213" i="17"/>
  <c r="S213" i="17"/>
  <c r="T213" i="17"/>
  <c r="V213" i="17"/>
  <c r="W213" i="17"/>
  <c r="Y213" i="17"/>
  <c r="Z213" i="17"/>
  <c r="AB213" i="17"/>
  <c r="AC213" i="17"/>
  <c r="AE213" i="17"/>
  <c r="AF213" i="17"/>
  <c r="AH213" i="17"/>
  <c r="AI213" i="17"/>
  <c r="AK213" i="17"/>
  <c r="AL213" i="17"/>
  <c r="AN213" i="17"/>
  <c r="AO213" i="17"/>
  <c r="D214" i="17"/>
  <c r="E214" i="17"/>
  <c r="G214" i="17"/>
  <c r="H214" i="17"/>
  <c r="J214" i="17"/>
  <c r="K214" i="17"/>
  <c r="M214" i="17"/>
  <c r="N214" i="17"/>
  <c r="P214" i="17"/>
  <c r="Q214" i="17"/>
  <c r="S214" i="17"/>
  <c r="T214" i="17"/>
  <c r="V214" i="17"/>
  <c r="W214" i="17"/>
  <c r="Y214" i="17"/>
  <c r="Z214" i="17"/>
  <c r="AB214" i="17"/>
  <c r="AC214" i="17"/>
  <c r="AE214" i="17"/>
  <c r="AF214" i="17"/>
  <c r="AH214" i="17"/>
  <c r="AI214" i="17"/>
  <c r="AK214" i="17"/>
  <c r="AL214" i="17"/>
  <c r="AN214" i="17"/>
  <c r="AO214" i="17"/>
  <c r="D215" i="17"/>
  <c r="E215" i="17"/>
  <c r="G215" i="17"/>
  <c r="H215" i="17"/>
  <c r="J215" i="17"/>
  <c r="K215" i="17"/>
  <c r="M215" i="17"/>
  <c r="N215" i="17"/>
  <c r="P215" i="17"/>
  <c r="Q215" i="17"/>
  <c r="S215" i="17"/>
  <c r="T215" i="17"/>
  <c r="V215" i="17"/>
  <c r="W215" i="17"/>
  <c r="Y215" i="17"/>
  <c r="Z215" i="17"/>
  <c r="AB215" i="17"/>
  <c r="AC215" i="17"/>
  <c r="AE215" i="17"/>
  <c r="AF215" i="17"/>
  <c r="AH215" i="17"/>
  <c r="AI215" i="17"/>
  <c r="AK215" i="17"/>
  <c r="AL215" i="17"/>
  <c r="AN215" i="17"/>
  <c r="AO215" i="17"/>
  <c r="D216" i="17"/>
  <c r="E216" i="17"/>
  <c r="G216" i="17"/>
  <c r="H216" i="17"/>
  <c r="J216" i="17"/>
  <c r="K216" i="17"/>
  <c r="M216" i="17"/>
  <c r="N216" i="17"/>
  <c r="P216" i="17"/>
  <c r="Q216" i="17"/>
  <c r="S216" i="17"/>
  <c r="T216" i="17"/>
  <c r="V216" i="17"/>
  <c r="W216" i="17"/>
  <c r="Y216" i="17"/>
  <c r="Z216" i="17"/>
  <c r="AB216" i="17"/>
  <c r="AC216" i="17"/>
  <c r="AE216" i="17"/>
  <c r="AF216" i="17"/>
  <c r="AH216" i="17"/>
  <c r="AI216" i="17"/>
  <c r="AK216" i="17"/>
  <c r="AL216" i="17"/>
  <c r="AN216" i="17"/>
  <c r="AO216" i="17"/>
  <c r="D217" i="17"/>
  <c r="E217" i="17"/>
  <c r="G217" i="17"/>
  <c r="H217" i="17"/>
  <c r="J217" i="17"/>
  <c r="K217" i="17"/>
  <c r="M217" i="17"/>
  <c r="N217" i="17"/>
  <c r="P217" i="17"/>
  <c r="Q217" i="17"/>
  <c r="S217" i="17"/>
  <c r="T217" i="17"/>
  <c r="V217" i="17"/>
  <c r="W217" i="17"/>
  <c r="Y217" i="17"/>
  <c r="Z217" i="17"/>
  <c r="AB217" i="17"/>
  <c r="AC217" i="17"/>
  <c r="AE217" i="17"/>
  <c r="AF217" i="17"/>
  <c r="AH217" i="17"/>
  <c r="AI217" i="17"/>
  <c r="AK217" i="17"/>
  <c r="AL217" i="17"/>
  <c r="AN217" i="17"/>
  <c r="AO217" i="17"/>
  <c r="D218" i="17"/>
  <c r="E218" i="17"/>
  <c r="G218" i="17"/>
  <c r="H218" i="17"/>
  <c r="J218" i="17"/>
  <c r="K218" i="17"/>
  <c r="M218" i="17"/>
  <c r="N218" i="17"/>
  <c r="P218" i="17"/>
  <c r="Q218" i="17"/>
  <c r="S218" i="17"/>
  <c r="T218" i="17"/>
  <c r="V218" i="17"/>
  <c r="W218" i="17"/>
  <c r="Y218" i="17"/>
  <c r="Z218" i="17"/>
  <c r="AB218" i="17"/>
  <c r="AC218" i="17"/>
  <c r="AE218" i="17"/>
  <c r="AF218" i="17"/>
  <c r="AH218" i="17"/>
  <c r="AI218" i="17"/>
  <c r="AK218" i="17"/>
  <c r="AL218" i="17"/>
  <c r="AN218" i="17"/>
  <c r="AO218" i="17"/>
  <c r="D219" i="17"/>
  <c r="E219" i="17"/>
  <c r="G219" i="17"/>
  <c r="H219" i="17"/>
  <c r="J219" i="17"/>
  <c r="K219" i="17"/>
  <c r="M219" i="17"/>
  <c r="N219" i="17"/>
  <c r="P219" i="17"/>
  <c r="Q219" i="17"/>
  <c r="S219" i="17"/>
  <c r="T219" i="17"/>
  <c r="V219" i="17"/>
  <c r="W219" i="17"/>
  <c r="Y219" i="17"/>
  <c r="Z219" i="17"/>
  <c r="AB219" i="17"/>
  <c r="AC219" i="17"/>
  <c r="AE219" i="17"/>
  <c r="AF219" i="17"/>
  <c r="AH219" i="17"/>
  <c r="AI219" i="17"/>
  <c r="AK219" i="17"/>
  <c r="AL219" i="17"/>
  <c r="AN219" i="17"/>
  <c r="AO219" i="17"/>
  <c r="D220" i="17"/>
  <c r="E220" i="17"/>
  <c r="G220" i="17"/>
  <c r="H220" i="17"/>
  <c r="J220" i="17"/>
  <c r="K220" i="17"/>
  <c r="M220" i="17"/>
  <c r="N220" i="17"/>
  <c r="P220" i="17"/>
  <c r="Q220" i="17"/>
  <c r="S220" i="17"/>
  <c r="T220" i="17"/>
  <c r="V220" i="17"/>
  <c r="W220" i="17"/>
  <c r="Y220" i="17"/>
  <c r="Z220" i="17"/>
  <c r="AB220" i="17"/>
  <c r="AC220" i="17"/>
  <c r="AE220" i="17"/>
  <c r="AF220" i="17"/>
  <c r="AH220" i="17"/>
  <c r="AI220" i="17"/>
  <c r="AK220" i="17"/>
  <c r="AL220" i="17"/>
  <c r="AN220" i="17"/>
  <c r="AO220" i="17"/>
  <c r="D221" i="17"/>
  <c r="E221" i="17"/>
  <c r="G221" i="17"/>
  <c r="H221" i="17"/>
  <c r="J221" i="17"/>
  <c r="K221" i="17"/>
  <c r="M221" i="17"/>
  <c r="N221" i="17"/>
  <c r="P221" i="17"/>
  <c r="Q221" i="17"/>
  <c r="S221" i="17"/>
  <c r="T221" i="17"/>
  <c r="V221" i="17"/>
  <c r="W221" i="17"/>
  <c r="Y221" i="17"/>
  <c r="Z221" i="17"/>
  <c r="AB221" i="17"/>
  <c r="AC221" i="17"/>
  <c r="AE221" i="17"/>
  <c r="AF221" i="17"/>
  <c r="AH221" i="17"/>
  <c r="AI221" i="17"/>
  <c r="AK221" i="17"/>
  <c r="AL221" i="17"/>
  <c r="AN221" i="17"/>
  <c r="AO221" i="17"/>
  <c r="D222" i="17"/>
  <c r="E222" i="17"/>
  <c r="G222" i="17"/>
  <c r="H222" i="17"/>
  <c r="J222" i="17"/>
  <c r="K222" i="17"/>
  <c r="M222" i="17"/>
  <c r="N222" i="17"/>
  <c r="P222" i="17"/>
  <c r="Q222" i="17"/>
  <c r="S222" i="17"/>
  <c r="T222" i="17"/>
  <c r="V222" i="17"/>
  <c r="W222" i="17"/>
  <c r="Y222" i="17"/>
  <c r="Z222" i="17"/>
  <c r="AB222" i="17"/>
  <c r="AC222" i="17"/>
  <c r="AE222" i="17"/>
  <c r="AF222" i="17"/>
  <c r="AH222" i="17"/>
  <c r="AI222" i="17"/>
  <c r="AK222" i="17"/>
  <c r="AL222" i="17"/>
  <c r="AN222" i="17"/>
  <c r="AO222" i="17"/>
  <c r="D223" i="17"/>
  <c r="E223" i="17"/>
  <c r="G223" i="17"/>
  <c r="H223" i="17"/>
  <c r="J223" i="17"/>
  <c r="K223" i="17"/>
  <c r="M223" i="17"/>
  <c r="N223" i="17"/>
  <c r="P223" i="17"/>
  <c r="Q223" i="17"/>
  <c r="S223" i="17"/>
  <c r="T223" i="17"/>
  <c r="V223" i="17"/>
  <c r="W223" i="17"/>
  <c r="Y223" i="17"/>
  <c r="Z223" i="17"/>
  <c r="AB223" i="17"/>
  <c r="AC223" i="17"/>
  <c r="AE223" i="17"/>
  <c r="AF223" i="17"/>
  <c r="AH223" i="17"/>
  <c r="AI223" i="17"/>
  <c r="AK223" i="17"/>
  <c r="AL223" i="17"/>
  <c r="AN223" i="17"/>
  <c r="AO223" i="17"/>
  <c r="D224" i="17"/>
  <c r="E224" i="17"/>
  <c r="G224" i="17"/>
  <c r="H224" i="17"/>
  <c r="J224" i="17"/>
  <c r="K224" i="17"/>
  <c r="M224" i="17"/>
  <c r="N224" i="17"/>
  <c r="P224" i="17"/>
  <c r="Q224" i="17"/>
  <c r="S224" i="17"/>
  <c r="T224" i="17"/>
  <c r="V224" i="17"/>
  <c r="W224" i="17"/>
  <c r="Y224" i="17"/>
  <c r="Z224" i="17"/>
  <c r="AB224" i="17"/>
  <c r="AC224" i="17"/>
  <c r="AE224" i="17"/>
  <c r="AF224" i="17"/>
  <c r="AH224" i="17"/>
  <c r="AI224" i="17"/>
  <c r="AK224" i="17"/>
  <c r="AL224" i="17"/>
  <c r="AN224" i="17"/>
  <c r="AO224" i="17"/>
  <c r="D225" i="17"/>
  <c r="E225" i="17"/>
  <c r="G225" i="17"/>
  <c r="H225" i="17"/>
  <c r="J225" i="17"/>
  <c r="K225" i="17"/>
  <c r="M225" i="17"/>
  <c r="N225" i="17"/>
  <c r="P225" i="17"/>
  <c r="Q225" i="17"/>
  <c r="S225" i="17"/>
  <c r="T225" i="17"/>
  <c r="V225" i="17"/>
  <c r="W225" i="17"/>
  <c r="Y225" i="17"/>
  <c r="Z225" i="17"/>
  <c r="AB225" i="17"/>
  <c r="AC225" i="17"/>
  <c r="AE225" i="17"/>
  <c r="AF225" i="17"/>
  <c r="AH225" i="17"/>
  <c r="AI225" i="17"/>
  <c r="AK225" i="17"/>
  <c r="AL225" i="17"/>
  <c r="AN225" i="17"/>
  <c r="AO225" i="17"/>
  <c r="D226" i="17"/>
  <c r="E226" i="17"/>
  <c r="G226" i="17"/>
  <c r="H226" i="17"/>
  <c r="J226" i="17"/>
  <c r="K226" i="17"/>
  <c r="M226" i="17"/>
  <c r="N226" i="17"/>
  <c r="P226" i="17"/>
  <c r="Q226" i="17"/>
  <c r="S226" i="17"/>
  <c r="T226" i="17"/>
  <c r="V226" i="17"/>
  <c r="W226" i="17"/>
  <c r="Y226" i="17"/>
  <c r="Z226" i="17"/>
  <c r="AB226" i="17"/>
  <c r="AC226" i="17"/>
  <c r="AE226" i="17"/>
  <c r="AF226" i="17"/>
  <c r="AH226" i="17"/>
  <c r="AI226" i="17"/>
  <c r="AK226" i="17"/>
  <c r="AL226" i="17"/>
  <c r="AN226" i="17"/>
  <c r="AO226" i="17"/>
  <c r="D227" i="17"/>
  <c r="E227" i="17"/>
  <c r="G227" i="17"/>
  <c r="H227" i="17"/>
  <c r="J227" i="17"/>
  <c r="K227" i="17"/>
  <c r="M227" i="17"/>
  <c r="N227" i="17"/>
  <c r="P227" i="17"/>
  <c r="Q227" i="17"/>
  <c r="S227" i="17"/>
  <c r="T227" i="17"/>
  <c r="V227" i="17"/>
  <c r="W227" i="17"/>
  <c r="Y227" i="17"/>
  <c r="Z227" i="17"/>
  <c r="AB227" i="17"/>
  <c r="AC227" i="17"/>
  <c r="AE227" i="17"/>
  <c r="AF227" i="17"/>
  <c r="AH227" i="17"/>
  <c r="AI227" i="17"/>
  <c r="AK227" i="17"/>
  <c r="AL227" i="17"/>
  <c r="AN227" i="17"/>
  <c r="AO227" i="17"/>
  <c r="D228" i="17"/>
  <c r="E228" i="17"/>
  <c r="G228" i="17"/>
  <c r="H228" i="17"/>
  <c r="J228" i="17"/>
  <c r="K228" i="17"/>
  <c r="M228" i="17"/>
  <c r="N228" i="17"/>
  <c r="P228" i="17"/>
  <c r="Q228" i="17"/>
  <c r="S228" i="17"/>
  <c r="T228" i="17"/>
  <c r="V228" i="17"/>
  <c r="W228" i="17"/>
  <c r="Y228" i="17"/>
  <c r="Z228" i="17"/>
  <c r="AB228" i="17"/>
  <c r="AC228" i="17"/>
  <c r="AE228" i="17"/>
  <c r="AF228" i="17"/>
  <c r="AH228" i="17"/>
  <c r="AI228" i="17"/>
  <c r="AK228" i="17"/>
  <c r="AL228" i="17"/>
  <c r="AN228" i="17"/>
  <c r="AO228" i="17"/>
  <c r="D229" i="17"/>
  <c r="E229" i="17"/>
  <c r="G229" i="17"/>
  <c r="H229" i="17"/>
  <c r="J229" i="17"/>
  <c r="K229" i="17"/>
  <c r="M229" i="17"/>
  <c r="N229" i="17"/>
  <c r="P229" i="17"/>
  <c r="Q229" i="17"/>
  <c r="S229" i="17"/>
  <c r="T229" i="17"/>
  <c r="V229" i="17"/>
  <c r="W229" i="17"/>
  <c r="Y229" i="17"/>
  <c r="Z229" i="17"/>
  <c r="AB229" i="17"/>
  <c r="AC229" i="17"/>
  <c r="AE229" i="17"/>
  <c r="AF229" i="17"/>
  <c r="AH229" i="17"/>
  <c r="AI229" i="17"/>
  <c r="AK229" i="17"/>
  <c r="AL229" i="17"/>
  <c r="AN229" i="17"/>
  <c r="AO229" i="17"/>
  <c r="D230" i="17"/>
  <c r="E230" i="17"/>
  <c r="G230" i="17"/>
  <c r="H230" i="17"/>
  <c r="J230" i="17"/>
  <c r="K230" i="17"/>
  <c r="M230" i="17"/>
  <c r="N230" i="17"/>
  <c r="P230" i="17"/>
  <c r="Q230" i="17"/>
  <c r="S230" i="17"/>
  <c r="T230" i="17"/>
  <c r="V230" i="17"/>
  <c r="W230" i="17"/>
  <c r="Y230" i="17"/>
  <c r="Z230" i="17"/>
  <c r="AB230" i="17"/>
  <c r="AC230" i="17"/>
  <c r="AE230" i="17"/>
  <c r="AF230" i="17"/>
  <c r="AH230" i="17"/>
  <c r="AI230" i="17"/>
  <c r="AK230" i="17"/>
  <c r="AL230" i="17"/>
  <c r="AN230" i="17"/>
  <c r="AO230" i="17"/>
  <c r="D231" i="17"/>
  <c r="E231" i="17"/>
  <c r="G231" i="17"/>
  <c r="H231" i="17"/>
  <c r="J231" i="17"/>
  <c r="K231" i="17"/>
  <c r="M231" i="17"/>
  <c r="N231" i="17"/>
  <c r="P231" i="17"/>
  <c r="Q231" i="17"/>
  <c r="S231" i="17"/>
  <c r="T231" i="17"/>
  <c r="V231" i="17"/>
  <c r="W231" i="17"/>
  <c r="Y231" i="17"/>
  <c r="Z231" i="17"/>
  <c r="AB231" i="17"/>
  <c r="AC231" i="17"/>
  <c r="AE231" i="17"/>
  <c r="AF231" i="17"/>
  <c r="AH231" i="17"/>
  <c r="AI231" i="17"/>
  <c r="AK231" i="17"/>
  <c r="AL231" i="17"/>
  <c r="AN231" i="17"/>
  <c r="AO231" i="17"/>
  <c r="D232" i="17"/>
  <c r="E232" i="17"/>
  <c r="G232" i="17"/>
  <c r="H232" i="17"/>
  <c r="J232" i="17"/>
  <c r="K232" i="17"/>
  <c r="M232" i="17"/>
  <c r="N232" i="17"/>
  <c r="P232" i="17"/>
  <c r="Q232" i="17"/>
  <c r="S232" i="17"/>
  <c r="T232" i="17"/>
  <c r="V232" i="17"/>
  <c r="W232" i="17"/>
  <c r="Y232" i="17"/>
  <c r="Z232" i="17"/>
  <c r="AB232" i="17"/>
  <c r="AC232" i="17"/>
  <c r="AE232" i="17"/>
  <c r="AF232" i="17"/>
  <c r="AH232" i="17"/>
  <c r="AI232" i="17"/>
  <c r="AK232" i="17"/>
  <c r="AL232" i="17"/>
  <c r="AN232" i="17"/>
  <c r="AO232" i="17"/>
  <c r="D233" i="17"/>
  <c r="E233" i="17"/>
  <c r="G233" i="17"/>
  <c r="H233" i="17"/>
  <c r="J233" i="17"/>
  <c r="K233" i="17"/>
  <c r="M233" i="17"/>
  <c r="N233" i="17"/>
  <c r="P233" i="17"/>
  <c r="Q233" i="17"/>
  <c r="S233" i="17"/>
  <c r="T233" i="17"/>
  <c r="V233" i="17"/>
  <c r="W233" i="17"/>
  <c r="Y233" i="17"/>
  <c r="Z233" i="17"/>
  <c r="AB233" i="17"/>
  <c r="AC233" i="17"/>
  <c r="AE233" i="17"/>
  <c r="AF233" i="17"/>
  <c r="AH233" i="17"/>
  <c r="AI233" i="17"/>
  <c r="AK233" i="17"/>
  <c r="AL233" i="17"/>
  <c r="AN233" i="17"/>
  <c r="AO233" i="17"/>
  <c r="D234" i="17"/>
  <c r="E234" i="17"/>
  <c r="G234" i="17"/>
  <c r="H234" i="17"/>
  <c r="J234" i="17"/>
  <c r="K234" i="17"/>
  <c r="M234" i="17"/>
  <c r="N234" i="17"/>
  <c r="P234" i="17"/>
  <c r="Q234" i="17"/>
  <c r="S234" i="17"/>
  <c r="T234" i="17"/>
  <c r="V234" i="17"/>
  <c r="W234" i="17"/>
  <c r="Y234" i="17"/>
  <c r="Z234" i="17"/>
  <c r="AB234" i="17"/>
  <c r="AC234" i="17"/>
  <c r="AE234" i="17"/>
  <c r="AF234" i="17"/>
  <c r="AH234" i="17"/>
  <c r="AI234" i="17"/>
  <c r="AK234" i="17"/>
  <c r="AL234" i="17"/>
  <c r="AN234" i="17"/>
  <c r="AO234" i="17"/>
  <c r="D235" i="17"/>
  <c r="E235" i="17"/>
  <c r="G235" i="17"/>
  <c r="H235" i="17"/>
  <c r="J235" i="17"/>
  <c r="K235" i="17"/>
  <c r="M235" i="17"/>
  <c r="N235" i="17"/>
  <c r="P235" i="17"/>
  <c r="Q235" i="17"/>
  <c r="S235" i="17"/>
  <c r="T235" i="17"/>
  <c r="V235" i="17"/>
  <c r="W235" i="17"/>
  <c r="Y235" i="17"/>
  <c r="Z235" i="17"/>
  <c r="AB235" i="17"/>
  <c r="AC235" i="17"/>
  <c r="AE235" i="17"/>
  <c r="AF235" i="17"/>
  <c r="AH235" i="17"/>
  <c r="AI235" i="17"/>
  <c r="AK235" i="17"/>
  <c r="AL235" i="17"/>
  <c r="AN235" i="17"/>
  <c r="AO235" i="17"/>
  <c r="D236" i="17"/>
  <c r="E236" i="17"/>
  <c r="G236" i="17"/>
  <c r="H236" i="17"/>
  <c r="J236" i="17"/>
  <c r="K236" i="17"/>
  <c r="M236" i="17"/>
  <c r="N236" i="17"/>
  <c r="P236" i="17"/>
  <c r="Q236" i="17"/>
  <c r="S236" i="17"/>
  <c r="T236" i="17"/>
  <c r="V236" i="17"/>
  <c r="W236" i="17"/>
  <c r="Y236" i="17"/>
  <c r="Z236" i="17"/>
  <c r="AB236" i="17"/>
  <c r="AC236" i="17"/>
  <c r="AE236" i="17"/>
  <c r="AF236" i="17"/>
  <c r="AH236" i="17"/>
  <c r="AI236" i="17"/>
  <c r="AK236" i="17"/>
  <c r="AL236" i="17"/>
  <c r="AN236" i="17"/>
  <c r="AO236" i="17"/>
  <c r="D237" i="17"/>
  <c r="E237" i="17"/>
  <c r="G237" i="17"/>
  <c r="H237" i="17"/>
  <c r="J237" i="17"/>
  <c r="K237" i="17"/>
  <c r="M237" i="17"/>
  <c r="N237" i="17"/>
  <c r="P237" i="17"/>
  <c r="Q237" i="17"/>
  <c r="S237" i="17"/>
  <c r="T237" i="17"/>
  <c r="V237" i="17"/>
  <c r="W237" i="17"/>
  <c r="Y237" i="17"/>
  <c r="Z237" i="17"/>
  <c r="AB237" i="17"/>
  <c r="AC237" i="17"/>
  <c r="AE237" i="17"/>
  <c r="AF237" i="17"/>
  <c r="AH237" i="17"/>
  <c r="AI237" i="17"/>
  <c r="AK237" i="17"/>
  <c r="AL237" i="17"/>
  <c r="AN237" i="17"/>
  <c r="AO237" i="17"/>
  <c r="D238" i="17"/>
  <c r="E238" i="17"/>
  <c r="G238" i="17"/>
  <c r="H238" i="17"/>
  <c r="J238" i="17"/>
  <c r="K238" i="17"/>
  <c r="M238" i="17"/>
  <c r="N238" i="17"/>
  <c r="P238" i="17"/>
  <c r="Q238" i="17"/>
  <c r="S238" i="17"/>
  <c r="T238" i="17"/>
  <c r="V238" i="17"/>
  <c r="W238" i="17"/>
  <c r="Y238" i="17"/>
  <c r="Z238" i="17"/>
  <c r="AB238" i="17"/>
  <c r="AC238" i="17"/>
  <c r="AE238" i="17"/>
  <c r="AF238" i="17"/>
  <c r="AH238" i="17"/>
  <c r="AI238" i="17"/>
  <c r="AK238" i="17"/>
  <c r="AL238" i="17"/>
  <c r="AN238" i="17"/>
  <c r="AO238" i="17"/>
  <c r="D239" i="17"/>
  <c r="E239" i="17"/>
  <c r="G239" i="17"/>
  <c r="H239" i="17"/>
  <c r="J239" i="17"/>
  <c r="K239" i="17"/>
  <c r="M239" i="17"/>
  <c r="N239" i="17"/>
  <c r="P239" i="17"/>
  <c r="Q239" i="17"/>
  <c r="S239" i="17"/>
  <c r="T239" i="17"/>
  <c r="V239" i="17"/>
  <c r="W239" i="17"/>
  <c r="Y239" i="17"/>
  <c r="Z239" i="17"/>
  <c r="AB239" i="17"/>
  <c r="AC239" i="17"/>
  <c r="AE239" i="17"/>
  <c r="AF239" i="17"/>
  <c r="AH239" i="17"/>
  <c r="AI239" i="17"/>
  <c r="AK239" i="17"/>
  <c r="AL239" i="17"/>
  <c r="AN239" i="17"/>
  <c r="AO239" i="17"/>
  <c r="D240" i="17"/>
  <c r="E240" i="17"/>
  <c r="G240" i="17"/>
  <c r="H240" i="17"/>
  <c r="J240" i="17"/>
  <c r="K240" i="17"/>
  <c r="M240" i="17"/>
  <c r="N240" i="17"/>
  <c r="P240" i="17"/>
  <c r="Q240" i="17"/>
  <c r="S240" i="17"/>
  <c r="T240" i="17"/>
  <c r="V240" i="17"/>
  <c r="W240" i="17"/>
  <c r="Y240" i="17"/>
  <c r="Z240" i="17"/>
  <c r="AB240" i="17"/>
  <c r="AC240" i="17"/>
  <c r="AE240" i="17"/>
  <c r="AF240" i="17"/>
  <c r="AH240" i="17"/>
  <c r="AI240" i="17"/>
  <c r="AK240" i="17"/>
  <c r="AL240" i="17"/>
  <c r="AN240" i="17"/>
  <c r="AO240" i="17"/>
  <c r="D241" i="17"/>
  <c r="E241" i="17"/>
  <c r="G241" i="17"/>
  <c r="H241" i="17"/>
  <c r="J241" i="17"/>
  <c r="K241" i="17"/>
  <c r="M241" i="17"/>
  <c r="N241" i="17"/>
  <c r="P241" i="17"/>
  <c r="Q241" i="17"/>
  <c r="S241" i="17"/>
  <c r="T241" i="17"/>
  <c r="V241" i="17"/>
  <c r="W241" i="17"/>
  <c r="Y241" i="17"/>
  <c r="Z241" i="17"/>
  <c r="AB241" i="17"/>
  <c r="AC241" i="17"/>
  <c r="AE241" i="17"/>
  <c r="AF241" i="17"/>
  <c r="AH241" i="17"/>
  <c r="AI241" i="17"/>
  <c r="AK241" i="17"/>
  <c r="AL241" i="17"/>
  <c r="AN241" i="17"/>
  <c r="AO241" i="17"/>
  <c r="D242" i="17"/>
  <c r="E242" i="17"/>
  <c r="G242" i="17"/>
  <c r="H242" i="17"/>
  <c r="J242" i="17"/>
  <c r="K242" i="17"/>
  <c r="M242" i="17"/>
  <c r="N242" i="17"/>
  <c r="P242" i="17"/>
  <c r="Q242" i="17"/>
  <c r="S242" i="17"/>
  <c r="T242" i="17"/>
  <c r="V242" i="17"/>
  <c r="W242" i="17"/>
  <c r="Y242" i="17"/>
  <c r="Z242" i="17"/>
  <c r="AB242" i="17"/>
  <c r="AC242" i="17"/>
  <c r="AE242" i="17"/>
  <c r="AF242" i="17"/>
  <c r="AH242" i="17"/>
  <c r="AI242" i="17"/>
  <c r="AK242" i="17"/>
  <c r="AL242" i="17"/>
  <c r="AN242" i="17"/>
  <c r="AO242" i="17"/>
  <c r="D243" i="17"/>
  <c r="E243" i="17"/>
  <c r="G243" i="17"/>
  <c r="H243" i="17"/>
  <c r="J243" i="17"/>
  <c r="K243" i="17"/>
  <c r="M243" i="17"/>
  <c r="N243" i="17"/>
  <c r="P243" i="17"/>
  <c r="Q243" i="17"/>
  <c r="S243" i="17"/>
  <c r="T243" i="17"/>
  <c r="V243" i="17"/>
  <c r="W243" i="17"/>
  <c r="Y243" i="17"/>
  <c r="Z243" i="17"/>
  <c r="AB243" i="17"/>
  <c r="AC243" i="17"/>
  <c r="AE243" i="17"/>
  <c r="AF243" i="17"/>
  <c r="AH243" i="17"/>
  <c r="AI243" i="17"/>
  <c r="AK243" i="17"/>
  <c r="AL243" i="17"/>
  <c r="AN243" i="17"/>
  <c r="AO243" i="17"/>
  <c r="D244" i="17"/>
  <c r="E244" i="17"/>
  <c r="G244" i="17"/>
  <c r="H244" i="17"/>
  <c r="J244" i="17"/>
  <c r="K244" i="17"/>
  <c r="M244" i="17"/>
  <c r="N244" i="17"/>
  <c r="P244" i="17"/>
  <c r="Q244" i="17"/>
  <c r="S244" i="17"/>
  <c r="T244" i="17"/>
  <c r="V244" i="17"/>
  <c r="W244" i="17"/>
  <c r="Y244" i="17"/>
  <c r="Z244" i="17"/>
  <c r="AB244" i="17"/>
  <c r="AC244" i="17"/>
  <c r="AE244" i="17"/>
  <c r="AF244" i="17"/>
  <c r="AH244" i="17"/>
  <c r="AI244" i="17"/>
  <c r="AK244" i="17"/>
  <c r="AL244" i="17"/>
  <c r="AN244" i="17"/>
  <c r="AO244" i="17"/>
  <c r="D245" i="17"/>
  <c r="E245" i="17"/>
  <c r="G245" i="17"/>
  <c r="H245" i="17"/>
  <c r="J245" i="17"/>
  <c r="K245" i="17"/>
  <c r="M245" i="17"/>
  <c r="N245" i="17"/>
  <c r="P245" i="17"/>
  <c r="Q245" i="17"/>
  <c r="S245" i="17"/>
  <c r="T245" i="17"/>
  <c r="V245" i="17"/>
  <c r="W245" i="17"/>
  <c r="Y245" i="17"/>
  <c r="Z245" i="17"/>
  <c r="AB245" i="17"/>
  <c r="AC245" i="17"/>
  <c r="AE245" i="17"/>
  <c r="AF245" i="17"/>
  <c r="AH245" i="17"/>
  <c r="AI245" i="17"/>
  <c r="AK245" i="17"/>
  <c r="AL245" i="17"/>
  <c r="AN245" i="17"/>
  <c r="AO245" i="17"/>
  <c r="D246" i="17"/>
  <c r="E246" i="17"/>
  <c r="G246" i="17"/>
  <c r="H246" i="17"/>
  <c r="J246" i="17"/>
  <c r="K246" i="17"/>
  <c r="M246" i="17"/>
  <c r="N246" i="17"/>
  <c r="P246" i="17"/>
  <c r="Q246" i="17"/>
  <c r="S246" i="17"/>
  <c r="T246" i="17"/>
  <c r="V246" i="17"/>
  <c r="W246" i="17"/>
  <c r="Y246" i="17"/>
  <c r="Z246" i="17"/>
  <c r="AB246" i="17"/>
  <c r="AC246" i="17"/>
  <c r="AE246" i="17"/>
  <c r="AF246" i="17"/>
  <c r="AH246" i="17"/>
  <c r="AI246" i="17"/>
  <c r="AK246" i="17"/>
  <c r="AL246" i="17"/>
  <c r="AN246" i="17"/>
  <c r="AO246" i="17"/>
  <c r="D247" i="17"/>
  <c r="E247" i="17"/>
  <c r="G247" i="17"/>
  <c r="H247" i="17"/>
  <c r="J247" i="17"/>
  <c r="K247" i="17"/>
  <c r="M247" i="17"/>
  <c r="N247" i="17"/>
  <c r="P247" i="17"/>
  <c r="Q247" i="17"/>
  <c r="S247" i="17"/>
  <c r="T247" i="17"/>
  <c r="V247" i="17"/>
  <c r="W247" i="17"/>
  <c r="Y247" i="17"/>
  <c r="Z247" i="17"/>
  <c r="AB247" i="17"/>
  <c r="AC247" i="17"/>
  <c r="AE247" i="17"/>
  <c r="AF247" i="17"/>
  <c r="AH247" i="17"/>
  <c r="AI247" i="17"/>
  <c r="AK247" i="17"/>
  <c r="AL247" i="17"/>
  <c r="AN247" i="17"/>
  <c r="AO247" i="17"/>
  <c r="D248" i="17"/>
  <c r="E248" i="17"/>
  <c r="G248" i="17"/>
  <c r="H248" i="17"/>
  <c r="J248" i="17"/>
  <c r="K248" i="17"/>
  <c r="M248" i="17"/>
  <c r="N248" i="17"/>
  <c r="P248" i="17"/>
  <c r="Q248" i="17"/>
  <c r="S248" i="17"/>
  <c r="T248" i="17"/>
  <c r="V248" i="17"/>
  <c r="W248" i="17"/>
  <c r="Y248" i="17"/>
  <c r="Z248" i="17"/>
  <c r="AB248" i="17"/>
  <c r="AC248" i="17"/>
  <c r="AE248" i="17"/>
  <c r="AF248" i="17"/>
  <c r="AH248" i="17"/>
  <c r="AI248" i="17"/>
  <c r="AK248" i="17"/>
  <c r="AL248" i="17"/>
  <c r="AN248" i="17"/>
  <c r="AO248" i="17"/>
  <c r="D249" i="17"/>
  <c r="E249" i="17"/>
  <c r="G249" i="17"/>
  <c r="H249" i="17"/>
  <c r="J249" i="17"/>
  <c r="K249" i="17"/>
  <c r="M249" i="17"/>
  <c r="N249" i="17"/>
  <c r="P249" i="17"/>
  <c r="Q249" i="17"/>
  <c r="S249" i="17"/>
  <c r="T249" i="17"/>
  <c r="V249" i="17"/>
  <c r="W249" i="17"/>
  <c r="Y249" i="17"/>
  <c r="Z249" i="17"/>
  <c r="AB249" i="17"/>
  <c r="AC249" i="17"/>
  <c r="AE249" i="17"/>
  <c r="AF249" i="17"/>
  <c r="AH249" i="17"/>
  <c r="AI249" i="17"/>
  <c r="AK249" i="17"/>
  <c r="AL249" i="17"/>
  <c r="AN249" i="17"/>
  <c r="AO249" i="17"/>
  <c r="D250" i="17"/>
  <c r="E250" i="17"/>
  <c r="G250" i="17"/>
  <c r="H250" i="17"/>
  <c r="J250" i="17"/>
  <c r="K250" i="17"/>
  <c r="M250" i="17"/>
  <c r="N250" i="17"/>
  <c r="P250" i="17"/>
  <c r="Q250" i="17"/>
  <c r="S250" i="17"/>
  <c r="T250" i="17"/>
  <c r="V250" i="17"/>
  <c r="W250" i="17"/>
  <c r="Y250" i="17"/>
  <c r="Z250" i="17"/>
  <c r="AB250" i="17"/>
  <c r="AC250" i="17"/>
  <c r="AE250" i="17"/>
  <c r="AF250" i="17"/>
  <c r="AH250" i="17"/>
  <c r="AI250" i="17"/>
  <c r="AK250" i="17"/>
  <c r="AL250" i="17"/>
  <c r="AN250" i="17"/>
  <c r="AO250" i="17"/>
  <c r="D251" i="17"/>
  <c r="E251" i="17"/>
  <c r="G251" i="17"/>
  <c r="H251" i="17"/>
  <c r="J251" i="17"/>
  <c r="K251" i="17"/>
  <c r="M251" i="17"/>
  <c r="N251" i="17"/>
  <c r="P251" i="17"/>
  <c r="Q251" i="17"/>
  <c r="S251" i="17"/>
  <c r="T251" i="17"/>
  <c r="V251" i="17"/>
  <c r="W251" i="17"/>
  <c r="Y251" i="17"/>
  <c r="Z251" i="17"/>
  <c r="AB251" i="17"/>
  <c r="AC251" i="17"/>
  <c r="AE251" i="17"/>
  <c r="AF251" i="17"/>
  <c r="AH251" i="17"/>
  <c r="AI251" i="17"/>
  <c r="AK251" i="17"/>
  <c r="AL251" i="17"/>
  <c r="AN251" i="17"/>
  <c r="AO251" i="17"/>
  <c r="D252" i="17"/>
  <c r="E252" i="17"/>
  <c r="G252" i="17"/>
  <c r="H252" i="17"/>
  <c r="J252" i="17"/>
  <c r="K252" i="17"/>
  <c r="M252" i="17"/>
  <c r="N252" i="17"/>
  <c r="P252" i="17"/>
  <c r="Q252" i="17"/>
  <c r="S252" i="17"/>
  <c r="T252" i="17"/>
  <c r="V252" i="17"/>
  <c r="W252" i="17"/>
  <c r="Y252" i="17"/>
  <c r="Z252" i="17"/>
  <c r="AB252" i="17"/>
  <c r="AC252" i="17"/>
  <c r="AE252" i="17"/>
  <c r="AF252" i="17"/>
  <c r="AH252" i="17"/>
  <c r="AI252" i="17"/>
  <c r="AK252" i="17"/>
  <c r="AL252" i="17"/>
  <c r="AN252" i="17"/>
  <c r="AO252" i="17"/>
  <c r="D253" i="17"/>
  <c r="E253" i="17"/>
  <c r="G253" i="17"/>
  <c r="H253" i="17"/>
  <c r="J253" i="17"/>
  <c r="K253" i="17"/>
  <c r="M253" i="17"/>
  <c r="N253" i="17"/>
  <c r="P253" i="17"/>
  <c r="Q253" i="17"/>
  <c r="S253" i="17"/>
  <c r="T253" i="17"/>
  <c r="V253" i="17"/>
  <c r="W253" i="17"/>
  <c r="Y253" i="17"/>
  <c r="Z253" i="17"/>
  <c r="AB253" i="17"/>
  <c r="AC253" i="17"/>
  <c r="AE253" i="17"/>
  <c r="AF253" i="17"/>
  <c r="AH253" i="17"/>
  <c r="AI253" i="17"/>
  <c r="AK253" i="17"/>
  <c r="AL253" i="17"/>
  <c r="AN253" i="17"/>
  <c r="AO253" i="17"/>
  <c r="D254" i="17"/>
  <c r="E254" i="17"/>
  <c r="G254" i="17"/>
  <c r="H254" i="17"/>
  <c r="J254" i="17"/>
  <c r="K254" i="17"/>
  <c r="M254" i="17"/>
  <c r="N254" i="17"/>
  <c r="P254" i="17"/>
  <c r="Q254" i="17"/>
  <c r="S254" i="17"/>
  <c r="T254" i="17"/>
  <c r="V254" i="17"/>
  <c r="W254" i="17"/>
  <c r="Y254" i="17"/>
  <c r="Z254" i="17"/>
  <c r="AB254" i="17"/>
  <c r="AC254" i="17"/>
  <c r="AE254" i="17"/>
  <c r="AF254" i="17"/>
  <c r="AH254" i="17"/>
  <c r="AI254" i="17"/>
  <c r="AK254" i="17"/>
  <c r="AL254" i="17"/>
  <c r="AN254" i="17"/>
  <c r="AO254" i="17"/>
  <c r="D255" i="17"/>
  <c r="E255" i="17"/>
  <c r="G255" i="17"/>
  <c r="H255" i="17"/>
  <c r="J255" i="17"/>
  <c r="K255" i="17"/>
  <c r="M255" i="17"/>
  <c r="N255" i="17"/>
  <c r="P255" i="17"/>
  <c r="Q255" i="17"/>
  <c r="S255" i="17"/>
  <c r="T255" i="17"/>
  <c r="V255" i="17"/>
  <c r="W255" i="17"/>
  <c r="Y255" i="17"/>
  <c r="Z255" i="17"/>
  <c r="AB255" i="17"/>
  <c r="AC255" i="17"/>
  <c r="AE255" i="17"/>
  <c r="AF255" i="17"/>
  <c r="AH255" i="17"/>
  <c r="AI255" i="17"/>
  <c r="AK255" i="17"/>
  <c r="AL255" i="17"/>
  <c r="AN255" i="17"/>
  <c r="AO255" i="17"/>
  <c r="D256" i="17"/>
  <c r="E256" i="17"/>
  <c r="G256" i="17"/>
  <c r="H256" i="17"/>
  <c r="J256" i="17"/>
  <c r="K256" i="17"/>
  <c r="M256" i="17"/>
  <c r="N256" i="17"/>
  <c r="P256" i="17"/>
  <c r="Q256" i="17"/>
  <c r="S256" i="17"/>
  <c r="T256" i="17"/>
  <c r="V256" i="17"/>
  <c r="W256" i="17"/>
  <c r="Y256" i="17"/>
  <c r="Z256" i="17"/>
  <c r="AB256" i="17"/>
  <c r="AC256" i="17"/>
  <c r="AE256" i="17"/>
  <c r="AF256" i="17"/>
  <c r="AH256" i="17"/>
  <c r="AI256" i="17"/>
  <c r="AK256" i="17"/>
  <c r="AL256" i="17"/>
  <c r="AN256" i="17"/>
  <c r="AO256" i="17"/>
  <c r="D257" i="17"/>
  <c r="E257" i="17"/>
  <c r="G257" i="17"/>
  <c r="H257" i="17"/>
  <c r="J257" i="17"/>
  <c r="K257" i="17"/>
  <c r="M257" i="17"/>
  <c r="N257" i="17"/>
  <c r="P257" i="17"/>
  <c r="Q257" i="17"/>
  <c r="S257" i="17"/>
  <c r="T257" i="17"/>
  <c r="V257" i="17"/>
  <c r="W257" i="17"/>
  <c r="Y257" i="17"/>
  <c r="Z257" i="17"/>
  <c r="AB257" i="17"/>
  <c r="AC257" i="17"/>
  <c r="AE257" i="17"/>
  <c r="AF257" i="17"/>
  <c r="AH257" i="17"/>
  <c r="AI257" i="17"/>
  <c r="AK257" i="17"/>
  <c r="AL257" i="17"/>
  <c r="AN257" i="17"/>
  <c r="AO257" i="17"/>
  <c r="D258" i="17"/>
  <c r="E258" i="17"/>
  <c r="G258" i="17"/>
  <c r="H258" i="17"/>
  <c r="J258" i="17"/>
  <c r="K258" i="17"/>
  <c r="M258" i="17"/>
  <c r="N258" i="17"/>
  <c r="P258" i="17"/>
  <c r="Q258" i="17"/>
  <c r="S258" i="17"/>
  <c r="T258" i="17"/>
  <c r="V258" i="17"/>
  <c r="W258" i="17"/>
  <c r="Y258" i="17"/>
  <c r="Z258" i="17"/>
  <c r="AB258" i="17"/>
  <c r="AC258" i="17"/>
  <c r="AE258" i="17"/>
  <c r="AF258" i="17"/>
  <c r="AH258" i="17"/>
  <c r="AI258" i="17"/>
  <c r="AK258" i="17"/>
  <c r="AL258" i="17"/>
  <c r="AN258" i="17"/>
  <c r="AO258" i="17"/>
  <c r="D259" i="17"/>
  <c r="E259" i="17"/>
  <c r="G259" i="17"/>
  <c r="H259" i="17"/>
  <c r="J259" i="17"/>
  <c r="K259" i="17"/>
  <c r="M259" i="17"/>
  <c r="N259" i="17"/>
  <c r="P259" i="17"/>
  <c r="Q259" i="17"/>
  <c r="S259" i="17"/>
  <c r="T259" i="17"/>
  <c r="V259" i="17"/>
  <c r="W259" i="17"/>
  <c r="Y259" i="17"/>
  <c r="Z259" i="17"/>
  <c r="AB259" i="17"/>
  <c r="AC259" i="17"/>
  <c r="AE259" i="17"/>
  <c r="AF259" i="17"/>
  <c r="AH259" i="17"/>
  <c r="AI259" i="17"/>
  <c r="AK259" i="17"/>
  <c r="AL259" i="17"/>
  <c r="AN259" i="17"/>
  <c r="AO259" i="17"/>
  <c r="D260" i="17"/>
  <c r="E260" i="17"/>
  <c r="G260" i="17"/>
  <c r="H260" i="17"/>
  <c r="J260" i="17"/>
  <c r="K260" i="17"/>
  <c r="M260" i="17"/>
  <c r="N260" i="17"/>
  <c r="P260" i="17"/>
  <c r="Q260" i="17"/>
  <c r="S260" i="17"/>
  <c r="T260" i="17"/>
  <c r="V260" i="17"/>
  <c r="W260" i="17"/>
  <c r="Y260" i="17"/>
  <c r="Z260" i="17"/>
  <c r="AB260" i="17"/>
  <c r="AC260" i="17"/>
  <c r="AE260" i="17"/>
  <c r="AF260" i="17"/>
  <c r="AH260" i="17"/>
  <c r="AI260" i="17"/>
  <c r="AK260" i="17"/>
  <c r="AL260" i="17"/>
  <c r="AN260" i="17"/>
  <c r="AO260" i="17"/>
  <c r="D261" i="17"/>
  <c r="E261" i="17"/>
  <c r="G261" i="17"/>
  <c r="H261" i="17"/>
  <c r="J261" i="17"/>
  <c r="K261" i="17"/>
  <c r="M261" i="17"/>
  <c r="N261" i="17"/>
  <c r="P261" i="17"/>
  <c r="Q261" i="17"/>
  <c r="S261" i="17"/>
  <c r="T261" i="17"/>
  <c r="V261" i="17"/>
  <c r="W261" i="17"/>
  <c r="Y261" i="17"/>
  <c r="Z261" i="17"/>
  <c r="AB261" i="17"/>
  <c r="AC261" i="17"/>
  <c r="AE261" i="17"/>
  <c r="AF261" i="17"/>
  <c r="AH261" i="17"/>
  <c r="AI261" i="17"/>
  <c r="AK261" i="17"/>
  <c r="AL261" i="17"/>
  <c r="AN261" i="17"/>
  <c r="AO261" i="17"/>
  <c r="D262" i="17"/>
  <c r="E262" i="17"/>
  <c r="G262" i="17"/>
  <c r="H262" i="17"/>
  <c r="J262" i="17"/>
  <c r="K262" i="17"/>
  <c r="M262" i="17"/>
  <c r="N262" i="17"/>
  <c r="P262" i="17"/>
  <c r="Q262" i="17"/>
  <c r="S262" i="17"/>
  <c r="T262" i="17"/>
  <c r="V262" i="17"/>
  <c r="W262" i="17"/>
  <c r="Y262" i="17"/>
  <c r="Z262" i="17"/>
  <c r="AB262" i="17"/>
  <c r="AC262" i="17"/>
  <c r="AE262" i="17"/>
  <c r="AF262" i="17"/>
  <c r="AH262" i="17"/>
  <c r="AI262" i="17"/>
  <c r="AK262" i="17"/>
  <c r="AL262" i="17"/>
  <c r="AN262" i="17"/>
  <c r="AO262" i="17"/>
  <c r="D263" i="17"/>
  <c r="E263" i="17"/>
  <c r="G263" i="17"/>
  <c r="H263" i="17"/>
  <c r="J263" i="17"/>
  <c r="K263" i="17"/>
  <c r="M263" i="17"/>
  <c r="N263" i="17"/>
  <c r="P263" i="17"/>
  <c r="Q263" i="17"/>
  <c r="S263" i="17"/>
  <c r="T263" i="17"/>
  <c r="V263" i="17"/>
  <c r="W263" i="17"/>
  <c r="Y263" i="17"/>
  <c r="Z263" i="17"/>
  <c r="AB263" i="17"/>
  <c r="AC263" i="17"/>
  <c r="AE263" i="17"/>
  <c r="AF263" i="17"/>
  <c r="AH263" i="17"/>
  <c r="AI263" i="17"/>
  <c r="AK263" i="17"/>
  <c r="AL263" i="17"/>
  <c r="AN263" i="17"/>
  <c r="AO263" i="17"/>
  <c r="D264" i="17"/>
  <c r="E264" i="17"/>
  <c r="G264" i="17"/>
  <c r="H264" i="17"/>
  <c r="J264" i="17"/>
  <c r="K264" i="17"/>
  <c r="M264" i="17"/>
  <c r="N264" i="17"/>
  <c r="P264" i="17"/>
  <c r="Q264" i="17"/>
  <c r="S264" i="17"/>
  <c r="T264" i="17"/>
  <c r="V264" i="17"/>
  <c r="W264" i="17"/>
  <c r="Y264" i="17"/>
  <c r="Z264" i="17"/>
  <c r="AB264" i="17"/>
  <c r="AC264" i="17"/>
  <c r="AE264" i="17"/>
  <c r="AF264" i="17"/>
  <c r="AH264" i="17"/>
  <c r="AI264" i="17"/>
  <c r="AK264" i="17"/>
  <c r="AL264" i="17"/>
  <c r="AN264" i="17"/>
  <c r="AO264" i="17"/>
  <c r="D265" i="17"/>
  <c r="E265" i="17"/>
  <c r="G265" i="17"/>
  <c r="H265" i="17"/>
  <c r="J265" i="17"/>
  <c r="K265" i="17"/>
  <c r="M265" i="17"/>
  <c r="N265" i="17"/>
  <c r="P265" i="17"/>
  <c r="Q265" i="17"/>
  <c r="S265" i="17"/>
  <c r="T265" i="17"/>
  <c r="V265" i="17"/>
  <c r="W265" i="17"/>
  <c r="Y265" i="17"/>
  <c r="Z265" i="17"/>
  <c r="AB265" i="17"/>
  <c r="AC265" i="17"/>
  <c r="AE265" i="17"/>
  <c r="AF265" i="17"/>
  <c r="AH265" i="17"/>
  <c r="AI265" i="17"/>
  <c r="AK265" i="17"/>
  <c r="AL265" i="17"/>
  <c r="AN265" i="17"/>
  <c r="AO265" i="17"/>
  <c r="D266" i="17"/>
  <c r="E266" i="17"/>
  <c r="G266" i="17"/>
  <c r="H266" i="17"/>
  <c r="J266" i="17"/>
  <c r="K266" i="17"/>
  <c r="M266" i="17"/>
  <c r="N266" i="17"/>
  <c r="P266" i="17"/>
  <c r="Q266" i="17"/>
  <c r="S266" i="17"/>
  <c r="T266" i="17"/>
  <c r="V266" i="17"/>
  <c r="W266" i="17"/>
  <c r="Y266" i="17"/>
  <c r="Z266" i="17"/>
  <c r="AB266" i="17"/>
  <c r="AC266" i="17"/>
  <c r="AE266" i="17"/>
  <c r="AF266" i="17"/>
  <c r="AH266" i="17"/>
  <c r="AI266" i="17"/>
  <c r="AK266" i="17"/>
  <c r="AL266" i="17"/>
  <c r="AN266" i="17"/>
  <c r="AO266" i="17"/>
  <c r="D267" i="17"/>
  <c r="E267" i="17"/>
  <c r="G267" i="17"/>
  <c r="H267" i="17"/>
  <c r="J267" i="17"/>
  <c r="K267" i="17"/>
  <c r="M267" i="17"/>
  <c r="N267" i="17"/>
  <c r="P267" i="17"/>
  <c r="Q267" i="17"/>
  <c r="S267" i="17"/>
  <c r="T267" i="17"/>
  <c r="V267" i="17"/>
  <c r="W267" i="17"/>
  <c r="Y267" i="17"/>
  <c r="Z267" i="17"/>
  <c r="AB267" i="17"/>
  <c r="AC267" i="17"/>
  <c r="AE267" i="17"/>
  <c r="AF267" i="17"/>
  <c r="AH267" i="17"/>
  <c r="AI267" i="17"/>
  <c r="AK267" i="17"/>
  <c r="AL267" i="17"/>
  <c r="AN267" i="17"/>
  <c r="AO267" i="17"/>
  <c r="D268" i="17"/>
  <c r="E268" i="17"/>
  <c r="G268" i="17"/>
  <c r="H268" i="17"/>
  <c r="J268" i="17"/>
  <c r="K268" i="17"/>
  <c r="M268" i="17"/>
  <c r="N268" i="17"/>
  <c r="P268" i="17"/>
  <c r="Q268" i="17"/>
  <c r="S268" i="17"/>
  <c r="T268" i="17"/>
  <c r="V268" i="17"/>
  <c r="W268" i="17"/>
  <c r="Y268" i="17"/>
  <c r="Z268" i="17"/>
  <c r="AB268" i="17"/>
  <c r="AC268" i="17"/>
  <c r="AE268" i="17"/>
  <c r="AF268" i="17"/>
  <c r="AH268" i="17"/>
  <c r="AI268" i="17"/>
  <c r="AK268" i="17"/>
  <c r="AL268" i="17"/>
  <c r="AN268" i="17"/>
  <c r="AO268" i="17"/>
  <c r="D269" i="17"/>
  <c r="E269" i="17"/>
  <c r="G269" i="17"/>
  <c r="H269" i="17"/>
  <c r="J269" i="17"/>
  <c r="K269" i="17"/>
  <c r="M269" i="17"/>
  <c r="N269" i="17"/>
  <c r="P269" i="17"/>
  <c r="Q269" i="17"/>
  <c r="S269" i="17"/>
  <c r="T269" i="17"/>
  <c r="V269" i="17"/>
  <c r="W269" i="17"/>
  <c r="Y269" i="17"/>
  <c r="Z269" i="17"/>
  <c r="AB269" i="17"/>
  <c r="AC269" i="17"/>
  <c r="AE269" i="17"/>
  <c r="AF269" i="17"/>
  <c r="AH269" i="17"/>
  <c r="AI269" i="17"/>
  <c r="AK269" i="17"/>
  <c r="AL269" i="17"/>
  <c r="AN269" i="17"/>
  <c r="AO269" i="17"/>
  <c r="D270" i="17"/>
  <c r="E270" i="17"/>
  <c r="G270" i="17"/>
  <c r="H270" i="17"/>
  <c r="J270" i="17"/>
  <c r="K270" i="17"/>
  <c r="M270" i="17"/>
  <c r="N270" i="17"/>
  <c r="P270" i="17"/>
  <c r="Q270" i="17"/>
  <c r="S270" i="17"/>
  <c r="T270" i="17"/>
  <c r="V270" i="17"/>
  <c r="W270" i="17"/>
  <c r="Y270" i="17"/>
  <c r="Z270" i="17"/>
  <c r="AB270" i="17"/>
  <c r="AC270" i="17"/>
  <c r="AE270" i="17"/>
  <c r="AF270" i="17"/>
  <c r="AH270" i="17"/>
  <c r="AI270" i="17"/>
  <c r="AK270" i="17"/>
  <c r="AL270" i="17"/>
  <c r="AN270" i="17"/>
  <c r="AO270" i="17"/>
  <c r="D271" i="17"/>
  <c r="E271" i="17"/>
  <c r="G271" i="17"/>
  <c r="H271" i="17"/>
  <c r="J271" i="17"/>
  <c r="K271" i="17"/>
  <c r="M271" i="17"/>
  <c r="N271" i="17"/>
  <c r="P271" i="17"/>
  <c r="Q271" i="17"/>
  <c r="S271" i="17"/>
  <c r="T271" i="17"/>
  <c r="V271" i="17"/>
  <c r="W271" i="17"/>
  <c r="Y271" i="17"/>
  <c r="Z271" i="17"/>
  <c r="AB271" i="17"/>
  <c r="AC271" i="17"/>
  <c r="AE271" i="17"/>
  <c r="AF271" i="17"/>
  <c r="AH271" i="17"/>
  <c r="AI271" i="17"/>
  <c r="AK271" i="17"/>
  <c r="AL271" i="17"/>
  <c r="AN271" i="17"/>
  <c r="AO271" i="17"/>
  <c r="D272" i="17"/>
  <c r="E272" i="17"/>
  <c r="G272" i="17"/>
  <c r="H272" i="17"/>
  <c r="J272" i="17"/>
  <c r="K272" i="17"/>
  <c r="M272" i="17"/>
  <c r="N272" i="17"/>
  <c r="P272" i="17"/>
  <c r="Q272" i="17"/>
  <c r="S272" i="17"/>
  <c r="T272" i="17"/>
  <c r="V272" i="17"/>
  <c r="W272" i="17"/>
  <c r="Y272" i="17"/>
  <c r="Z272" i="17"/>
  <c r="AB272" i="17"/>
  <c r="AC272" i="17"/>
  <c r="AE272" i="17"/>
  <c r="AF272" i="17"/>
  <c r="AH272" i="17"/>
  <c r="AI272" i="17"/>
  <c r="AK272" i="17"/>
  <c r="AL272" i="17"/>
  <c r="AN272" i="17"/>
  <c r="AO272" i="17"/>
  <c r="D273" i="17"/>
  <c r="E273" i="17"/>
  <c r="G273" i="17"/>
  <c r="H273" i="17"/>
  <c r="J273" i="17"/>
  <c r="K273" i="17"/>
  <c r="M273" i="17"/>
  <c r="N273" i="17"/>
  <c r="P273" i="17"/>
  <c r="Q273" i="17"/>
  <c r="S273" i="17"/>
  <c r="T273" i="17"/>
  <c r="V273" i="17"/>
  <c r="W273" i="17"/>
  <c r="Y273" i="17"/>
  <c r="Z273" i="17"/>
  <c r="AB273" i="17"/>
  <c r="AC273" i="17"/>
  <c r="AE273" i="17"/>
  <c r="AF273" i="17"/>
  <c r="AH273" i="17"/>
  <c r="AI273" i="17"/>
  <c r="AK273" i="17"/>
  <c r="AL273" i="17"/>
  <c r="AN273" i="17"/>
  <c r="AO273" i="17"/>
  <c r="D274" i="17"/>
  <c r="E274" i="17"/>
  <c r="G274" i="17"/>
  <c r="H274" i="17"/>
  <c r="J274" i="17"/>
  <c r="K274" i="17"/>
  <c r="M274" i="17"/>
  <c r="N274" i="17"/>
  <c r="P274" i="17"/>
  <c r="Q274" i="17"/>
  <c r="S274" i="17"/>
  <c r="T274" i="17"/>
  <c r="V274" i="17"/>
  <c r="W274" i="17"/>
  <c r="Y274" i="17"/>
  <c r="Z274" i="17"/>
  <c r="AB274" i="17"/>
  <c r="AC274" i="17"/>
  <c r="AE274" i="17"/>
  <c r="AF274" i="17"/>
  <c r="AH274" i="17"/>
  <c r="AI274" i="17"/>
  <c r="AK274" i="17"/>
  <c r="AL274" i="17"/>
  <c r="AN274" i="17"/>
  <c r="AO274" i="17"/>
  <c r="D275" i="17"/>
  <c r="E275" i="17"/>
  <c r="G275" i="17"/>
  <c r="H275" i="17"/>
  <c r="J275" i="17"/>
  <c r="K275" i="17"/>
  <c r="M275" i="17"/>
  <c r="N275" i="17"/>
  <c r="P275" i="17"/>
  <c r="Q275" i="17"/>
  <c r="S275" i="17"/>
  <c r="T275" i="17"/>
  <c r="V275" i="17"/>
  <c r="W275" i="17"/>
  <c r="Y275" i="17"/>
  <c r="Z275" i="17"/>
  <c r="AB275" i="17"/>
  <c r="AC275" i="17"/>
  <c r="AE275" i="17"/>
  <c r="AF275" i="17"/>
  <c r="AH275" i="17"/>
  <c r="AI275" i="17"/>
  <c r="AK275" i="17"/>
  <c r="AL275" i="17"/>
  <c r="AN275" i="17"/>
  <c r="AO275" i="17"/>
  <c r="D276" i="17"/>
  <c r="E276" i="17"/>
  <c r="G276" i="17"/>
  <c r="H276" i="17"/>
  <c r="J276" i="17"/>
  <c r="K276" i="17"/>
  <c r="M276" i="17"/>
  <c r="N276" i="17"/>
  <c r="P276" i="17"/>
  <c r="Q276" i="17"/>
  <c r="S276" i="17"/>
  <c r="T276" i="17"/>
  <c r="V276" i="17"/>
  <c r="W276" i="17"/>
  <c r="Y276" i="17"/>
  <c r="Z276" i="17"/>
  <c r="AB276" i="17"/>
  <c r="AC276" i="17"/>
  <c r="AE276" i="17"/>
  <c r="AF276" i="17"/>
  <c r="AH276" i="17"/>
  <c r="AI276" i="17"/>
  <c r="AK276" i="17"/>
  <c r="AL276" i="17"/>
  <c r="AN276" i="17"/>
  <c r="AO276" i="17"/>
  <c r="D277" i="17"/>
  <c r="E277" i="17"/>
  <c r="G277" i="17"/>
  <c r="H277" i="17"/>
  <c r="J277" i="17"/>
  <c r="K277" i="17"/>
  <c r="M277" i="17"/>
  <c r="N277" i="17"/>
  <c r="P277" i="17"/>
  <c r="Q277" i="17"/>
  <c r="S277" i="17"/>
  <c r="T277" i="17"/>
  <c r="V277" i="17"/>
  <c r="W277" i="17"/>
  <c r="Y277" i="17"/>
  <c r="Z277" i="17"/>
  <c r="AB277" i="17"/>
  <c r="AC277" i="17"/>
  <c r="AE277" i="17"/>
  <c r="AF277" i="17"/>
  <c r="AH277" i="17"/>
  <c r="AI277" i="17"/>
  <c r="AK277" i="17"/>
  <c r="AL277" i="17"/>
  <c r="AN277" i="17"/>
  <c r="AO277" i="17"/>
  <c r="D278" i="17"/>
  <c r="E278" i="17"/>
  <c r="G278" i="17"/>
  <c r="H278" i="17"/>
  <c r="J278" i="17"/>
  <c r="K278" i="17"/>
  <c r="M278" i="17"/>
  <c r="N278" i="17"/>
  <c r="P278" i="17"/>
  <c r="Q278" i="17"/>
  <c r="S278" i="17"/>
  <c r="T278" i="17"/>
  <c r="V278" i="17"/>
  <c r="W278" i="17"/>
  <c r="Y278" i="17"/>
  <c r="Z278" i="17"/>
  <c r="AB278" i="17"/>
  <c r="AC278" i="17"/>
  <c r="AE278" i="17"/>
  <c r="AF278" i="17"/>
  <c r="AH278" i="17"/>
  <c r="AI278" i="17"/>
  <c r="AK278" i="17"/>
  <c r="AL278" i="17"/>
  <c r="AN278" i="17"/>
  <c r="AO278" i="17"/>
  <c r="D279" i="17"/>
  <c r="E279" i="17"/>
  <c r="G279" i="17"/>
  <c r="H279" i="17"/>
  <c r="J279" i="17"/>
  <c r="K279" i="17"/>
  <c r="M279" i="17"/>
  <c r="N279" i="17"/>
  <c r="P279" i="17"/>
  <c r="Q279" i="17"/>
  <c r="S279" i="17"/>
  <c r="T279" i="17"/>
  <c r="V279" i="17"/>
  <c r="W279" i="17"/>
  <c r="Y279" i="17"/>
  <c r="Z279" i="17"/>
  <c r="AB279" i="17"/>
  <c r="AC279" i="17"/>
  <c r="AE279" i="17"/>
  <c r="AF279" i="17"/>
  <c r="AH279" i="17"/>
  <c r="AI279" i="17"/>
  <c r="AK279" i="17"/>
  <c r="AL279" i="17"/>
  <c r="AN279" i="17"/>
  <c r="AO279" i="17"/>
  <c r="D280" i="17"/>
  <c r="E280" i="17"/>
  <c r="G280" i="17"/>
  <c r="H280" i="17"/>
  <c r="J280" i="17"/>
  <c r="K280" i="17"/>
  <c r="M280" i="17"/>
  <c r="N280" i="17"/>
  <c r="P280" i="17"/>
  <c r="Q280" i="17"/>
  <c r="S280" i="17"/>
  <c r="T280" i="17"/>
  <c r="V280" i="17"/>
  <c r="W280" i="17"/>
  <c r="Y280" i="17"/>
  <c r="Z280" i="17"/>
  <c r="AB280" i="17"/>
  <c r="AC280" i="17"/>
  <c r="AE280" i="17"/>
  <c r="AF280" i="17"/>
  <c r="AH280" i="17"/>
  <c r="AI280" i="17"/>
  <c r="AK280" i="17"/>
  <c r="AL280" i="17"/>
  <c r="AN280" i="17"/>
  <c r="AO280" i="17"/>
  <c r="D281" i="17"/>
  <c r="E281" i="17"/>
  <c r="G281" i="17"/>
  <c r="H281" i="17"/>
  <c r="J281" i="17"/>
  <c r="K281" i="17"/>
  <c r="M281" i="17"/>
  <c r="N281" i="17"/>
  <c r="P281" i="17"/>
  <c r="Q281" i="17"/>
  <c r="S281" i="17"/>
  <c r="T281" i="17"/>
  <c r="V281" i="17"/>
  <c r="W281" i="17"/>
  <c r="Y281" i="17"/>
  <c r="Z281" i="17"/>
  <c r="AB281" i="17"/>
  <c r="AC281" i="17"/>
  <c r="AE281" i="17"/>
  <c r="AF281" i="17"/>
  <c r="AH281" i="17"/>
  <c r="AI281" i="17"/>
  <c r="AK281" i="17"/>
  <c r="AL281" i="17"/>
  <c r="AN281" i="17"/>
  <c r="AO281" i="17"/>
  <c r="D282" i="17"/>
  <c r="E282" i="17"/>
  <c r="G282" i="17"/>
  <c r="H282" i="17"/>
  <c r="J282" i="17"/>
  <c r="K282" i="17"/>
  <c r="M282" i="17"/>
  <c r="N282" i="17"/>
  <c r="P282" i="17"/>
  <c r="Q282" i="17"/>
  <c r="S282" i="17"/>
  <c r="T282" i="17"/>
  <c r="V282" i="17"/>
  <c r="W282" i="17"/>
  <c r="Y282" i="17"/>
  <c r="Z282" i="17"/>
  <c r="AB282" i="17"/>
  <c r="AC282" i="17"/>
  <c r="AE282" i="17"/>
  <c r="AF282" i="17"/>
  <c r="AH282" i="17"/>
  <c r="AI282" i="17"/>
  <c r="AK282" i="17"/>
  <c r="AL282" i="17"/>
  <c r="AN282" i="17"/>
  <c r="AO282" i="17"/>
  <c r="D283" i="17"/>
  <c r="E283" i="17"/>
  <c r="G283" i="17"/>
  <c r="H283" i="17"/>
  <c r="J283" i="17"/>
  <c r="K283" i="17"/>
  <c r="M283" i="17"/>
  <c r="N283" i="17"/>
  <c r="P283" i="17"/>
  <c r="Q283" i="17"/>
  <c r="S283" i="17"/>
  <c r="T283" i="17"/>
  <c r="V283" i="17"/>
  <c r="W283" i="17"/>
  <c r="Y283" i="17"/>
  <c r="Z283" i="17"/>
  <c r="AB283" i="17"/>
  <c r="AC283" i="17"/>
  <c r="AE283" i="17"/>
  <c r="AF283" i="17"/>
  <c r="AH283" i="17"/>
  <c r="AI283" i="17"/>
  <c r="AK283" i="17"/>
  <c r="AL283" i="17"/>
  <c r="AN283" i="17"/>
  <c r="AO283" i="17"/>
  <c r="D284" i="17"/>
  <c r="E284" i="17"/>
  <c r="G284" i="17"/>
  <c r="H284" i="17"/>
  <c r="J284" i="17"/>
  <c r="K284" i="17"/>
  <c r="M284" i="17"/>
  <c r="N284" i="17"/>
  <c r="P284" i="17"/>
  <c r="Q284" i="17"/>
  <c r="S284" i="17"/>
  <c r="T284" i="17"/>
  <c r="V284" i="17"/>
  <c r="W284" i="17"/>
  <c r="Y284" i="17"/>
  <c r="Z284" i="17"/>
  <c r="AB284" i="17"/>
  <c r="AC284" i="17"/>
  <c r="AE284" i="17"/>
  <c r="AF284" i="17"/>
  <c r="AH284" i="17"/>
  <c r="AI284" i="17"/>
  <c r="AK284" i="17"/>
  <c r="AL284" i="17"/>
  <c r="AN284" i="17"/>
  <c r="AO284" i="17"/>
  <c r="D285" i="17"/>
  <c r="E285" i="17"/>
  <c r="G285" i="17"/>
  <c r="H285" i="17"/>
  <c r="J285" i="17"/>
  <c r="K285" i="17"/>
  <c r="M285" i="17"/>
  <c r="N285" i="17"/>
  <c r="P285" i="17"/>
  <c r="Q285" i="17"/>
  <c r="S285" i="17"/>
  <c r="T285" i="17"/>
  <c r="V285" i="17"/>
  <c r="W285" i="17"/>
  <c r="Y285" i="17"/>
  <c r="Z285" i="17"/>
  <c r="AB285" i="17"/>
  <c r="AC285" i="17"/>
  <c r="AE285" i="17"/>
  <c r="AF285" i="17"/>
  <c r="AH285" i="17"/>
  <c r="AI285" i="17"/>
  <c r="AK285" i="17"/>
  <c r="AL285" i="17"/>
  <c r="AN285" i="17"/>
  <c r="AO285" i="17"/>
  <c r="D286" i="17"/>
  <c r="E286" i="17"/>
  <c r="G286" i="17"/>
  <c r="H286" i="17"/>
  <c r="J286" i="17"/>
  <c r="K286" i="17"/>
  <c r="M286" i="17"/>
  <c r="N286" i="17"/>
  <c r="P286" i="17"/>
  <c r="Q286" i="17"/>
  <c r="S286" i="17"/>
  <c r="T286" i="17"/>
  <c r="V286" i="17"/>
  <c r="W286" i="17"/>
  <c r="Y286" i="17"/>
  <c r="Z286" i="17"/>
  <c r="AB286" i="17"/>
  <c r="AC286" i="17"/>
  <c r="AE286" i="17"/>
  <c r="AF286" i="17"/>
  <c r="AH286" i="17"/>
  <c r="AI286" i="17"/>
  <c r="AK286" i="17"/>
  <c r="AL286" i="17"/>
  <c r="AN286" i="17"/>
  <c r="AO286" i="17"/>
  <c r="D287" i="17"/>
  <c r="E287" i="17"/>
  <c r="G287" i="17"/>
  <c r="H287" i="17"/>
  <c r="J287" i="17"/>
  <c r="K287" i="17"/>
  <c r="M287" i="17"/>
  <c r="N287" i="17"/>
  <c r="P287" i="17"/>
  <c r="Q287" i="17"/>
  <c r="S287" i="17"/>
  <c r="T287" i="17"/>
  <c r="V287" i="17"/>
  <c r="W287" i="17"/>
  <c r="Y287" i="17"/>
  <c r="Z287" i="17"/>
  <c r="AB287" i="17"/>
  <c r="AC287" i="17"/>
  <c r="AE287" i="17"/>
  <c r="AF287" i="17"/>
  <c r="AH287" i="17"/>
  <c r="AI287" i="17"/>
  <c r="AK287" i="17"/>
  <c r="AL287" i="17"/>
  <c r="AN287" i="17"/>
  <c r="AO287" i="17"/>
  <c r="D288" i="17"/>
  <c r="E288" i="17"/>
  <c r="G288" i="17"/>
  <c r="H288" i="17"/>
  <c r="J288" i="17"/>
  <c r="K288" i="17"/>
  <c r="M288" i="17"/>
  <c r="N288" i="17"/>
  <c r="P288" i="17"/>
  <c r="Q288" i="17"/>
  <c r="S288" i="17"/>
  <c r="T288" i="17"/>
  <c r="V288" i="17"/>
  <c r="W288" i="17"/>
  <c r="Y288" i="17"/>
  <c r="Z288" i="17"/>
  <c r="AB288" i="17"/>
  <c r="AC288" i="17"/>
  <c r="AE288" i="17"/>
  <c r="AF288" i="17"/>
  <c r="AH288" i="17"/>
  <c r="AI288" i="17"/>
  <c r="AK288" i="17"/>
  <c r="AL288" i="17"/>
  <c r="AN288" i="17"/>
  <c r="AO288" i="17"/>
  <c r="D289" i="17"/>
  <c r="E289" i="17"/>
  <c r="G289" i="17"/>
  <c r="H289" i="17"/>
  <c r="J289" i="17"/>
  <c r="K289" i="17"/>
  <c r="M289" i="17"/>
  <c r="N289" i="17"/>
  <c r="P289" i="17"/>
  <c r="Q289" i="17"/>
  <c r="S289" i="17"/>
  <c r="T289" i="17"/>
  <c r="V289" i="17"/>
  <c r="W289" i="17"/>
  <c r="Y289" i="17"/>
  <c r="Z289" i="17"/>
  <c r="AB289" i="17"/>
  <c r="AC289" i="17"/>
  <c r="AE289" i="17"/>
  <c r="AF289" i="17"/>
  <c r="AH289" i="17"/>
  <c r="AI289" i="17"/>
  <c r="AK289" i="17"/>
  <c r="AL289" i="17"/>
  <c r="AN289" i="17"/>
  <c r="AO289" i="17"/>
  <c r="D290" i="17"/>
  <c r="E290" i="17"/>
  <c r="G290" i="17"/>
  <c r="H290" i="17"/>
  <c r="J290" i="17"/>
  <c r="K290" i="17"/>
  <c r="M290" i="17"/>
  <c r="N290" i="17"/>
  <c r="P290" i="17"/>
  <c r="Q290" i="17"/>
  <c r="S290" i="17"/>
  <c r="T290" i="17"/>
  <c r="V290" i="17"/>
  <c r="W290" i="17"/>
  <c r="Y290" i="17"/>
  <c r="Z290" i="17"/>
  <c r="AB290" i="17"/>
  <c r="AC290" i="17"/>
  <c r="AE290" i="17"/>
  <c r="AF290" i="17"/>
  <c r="AH290" i="17"/>
  <c r="AI290" i="17"/>
  <c r="AK290" i="17"/>
  <c r="AL290" i="17"/>
  <c r="AN290" i="17"/>
  <c r="AO290" i="17"/>
  <c r="D291" i="17"/>
  <c r="E291" i="17"/>
  <c r="G291" i="17"/>
  <c r="H291" i="17"/>
  <c r="J291" i="17"/>
  <c r="K291" i="17"/>
  <c r="M291" i="17"/>
  <c r="N291" i="17"/>
  <c r="P291" i="17"/>
  <c r="Q291" i="17"/>
  <c r="S291" i="17"/>
  <c r="T291" i="17"/>
  <c r="V291" i="17"/>
  <c r="W291" i="17"/>
  <c r="Y291" i="17"/>
  <c r="Z291" i="17"/>
  <c r="AB291" i="17"/>
  <c r="AC291" i="17"/>
  <c r="AE291" i="17"/>
  <c r="AF291" i="17"/>
  <c r="AH291" i="17"/>
  <c r="AI291" i="17"/>
  <c r="AK291" i="17"/>
  <c r="AL291" i="17"/>
  <c r="AN291" i="17"/>
  <c r="AO291" i="17"/>
  <c r="D292" i="17"/>
  <c r="E292" i="17"/>
  <c r="G292" i="17"/>
  <c r="H292" i="17"/>
  <c r="J292" i="17"/>
  <c r="K292" i="17"/>
  <c r="M292" i="17"/>
  <c r="N292" i="17"/>
  <c r="P292" i="17"/>
  <c r="Q292" i="17"/>
  <c r="S292" i="17"/>
  <c r="T292" i="17"/>
  <c r="V292" i="17"/>
  <c r="W292" i="17"/>
  <c r="Y292" i="17"/>
  <c r="Z292" i="17"/>
  <c r="AB292" i="17"/>
  <c r="AC292" i="17"/>
  <c r="AE292" i="17"/>
  <c r="AF292" i="17"/>
  <c r="AH292" i="17"/>
  <c r="AI292" i="17"/>
  <c r="AK292" i="17"/>
  <c r="AL292" i="17"/>
  <c r="AN292" i="17"/>
  <c r="AO292" i="17"/>
  <c r="D293" i="17"/>
  <c r="E293" i="17"/>
  <c r="G293" i="17"/>
  <c r="H293" i="17"/>
  <c r="J293" i="17"/>
  <c r="K293" i="17"/>
  <c r="M293" i="17"/>
  <c r="N293" i="17"/>
  <c r="P293" i="17"/>
  <c r="Q293" i="17"/>
  <c r="S293" i="17"/>
  <c r="T293" i="17"/>
  <c r="V293" i="17"/>
  <c r="W293" i="17"/>
  <c r="Y293" i="17"/>
  <c r="Z293" i="17"/>
  <c r="AB293" i="17"/>
  <c r="AC293" i="17"/>
  <c r="AE293" i="17"/>
  <c r="AF293" i="17"/>
  <c r="AH293" i="17"/>
  <c r="AI293" i="17"/>
  <c r="AK293" i="17"/>
  <c r="AL293" i="17"/>
  <c r="AN293" i="17"/>
  <c r="AO293" i="17"/>
  <c r="D294" i="17"/>
  <c r="E294" i="17"/>
  <c r="G294" i="17"/>
  <c r="H294" i="17"/>
  <c r="J294" i="17"/>
  <c r="K294" i="17"/>
  <c r="M294" i="17"/>
  <c r="N294" i="17"/>
  <c r="P294" i="17"/>
  <c r="Q294" i="17"/>
  <c r="S294" i="17"/>
  <c r="T294" i="17"/>
  <c r="V294" i="17"/>
  <c r="W294" i="17"/>
  <c r="Y294" i="17"/>
  <c r="Z294" i="17"/>
  <c r="AB294" i="17"/>
  <c r="AC294" i="17"/>
  <c r="AE294" i="17"/>
  <c r="AF294" i="17"/>
  <c r="AH294" i="17"/>
  <c r="AI294" i="17"/>
  <c r="AK294" i="17"/>
  <c r="AL294" i="17"/>
  <c r="AN294" i="17"/>
  <c r="AO294" i="17"/>
  <c r="D295" i="17"/>
  <c r="E295" i="17"/>
  <c r="G295" i="17"/>
  <c r="H295" i="17"/>
  <c r="J295" i="17"/>
  <c r="K295" i="17"/>
  <c r="M295" i="17"/>
  <c r="N295" i="17"/>
  <c r="P295" i="17"/>
  <c r="Q295" i="17"/>
  <c r="S295" i="17"/>
  <c r="T295" i="17"/>
  <c r="V295" i="17"/>
  <c r="W295" i="17"/>
  <c r="Y295" i="17"/>
  <c r="Z295" i="17"/>
  <c r="AB295" i="17"/>
  <c r="AC295" i="17"/>
  <c r="AE295" i="17"/>
  <c r="AF295" i="17"/>
  <c r="AH295" i="17"/>
  <c r="AI295" i="17"/>
  <c r="AK295" i="17"/>
  <c r="AL295" i="17"/>
  <c r="AN295" i="17"/>
  <c r="AO295" i="17"/>
  <c r="D296" i="17"/>
  <c r="E296" i="17"/>
  <c r="G296" i="17"/>
  <c r="H296" i="17"/>
  <c r="J296" i="17"/>
  <c r="K296" i="17"/>
  <c r="M296" i="17"/>
  <c r="N296" i="17"/>
  <c r="P296" i="17"/>
  <c r="Q296" i="17"/>
  <c r="S296" i="17"/>
  <c r="T296" i="17"/>
  <c r="V296" i="17"/>
  <c r="W296" i="17"/>
  <c r="Y296" i="17"/>
  <c r="Z296" i="17"/>
  <c r="AB296" i="17"/>
  <c r="AC296" i="17"/>
  <c r="AE296" i="17"/>
  <c r="AF296" i="17"/>
  <c r="AH296" i="17"/>
  <c r="AI296" i="17"/>
  <c r="AK296" i="17"/>
  <c r="AL296" i="17"/>
  <c r="AN296" i="17"/>
  <c r="AO296" i="17"/>
  <c r="D297" i="17"/>
  <c r="E297" i="17"/>
  <c r="G297" i="17"/>
  <c r="H297" i="17"/>
  <c r="J297" i="17"/>
  <c r="K297" i="17"/>
  <c r="M297" i="17"/>
  <c r="N297" i="17"/>
  <c r="P297" i="17"/>
  <c r="Q297" i="17"/>
  <c r="S297" i="17"/>
  <c r="T297" i="17"/>
  <c r="V297" i="17"/>
  <c r="W297" i="17"/>
  <c r="Y297" i="17"/>
  <c r="Z297" i="17"/>
  <c r="AB297" i="17"/>
  <c r="AC297" i="17"/>
  <c r="AE297" i="17"/>
  <c r="AF297" i="17"/>
  <c r="AH297" i="17"/>
  <c r="AI297" i="17"/>
  <c r="AK297" i="17"/>
  <c r="AL297" i="17"/>
  <c r="AN297" i="17"/>
  <c r="AO297" i="17"/>
  <c r="D298" i="17"/>
  <c r="E298" i="17"/>
  <c r="G298" i="17"/>
  <c r="H298" i="17"/>
  <c r="J298" i="17"/>
  <c r="K298" i="17"/>
  <c r="M298" i="17"/>
  <c r="N298" i="17"/>
  <c r="P298" i="17"/>
  <c r="Q298" i="17"/>
  <c r="S298" i="17"/>
  <c r="T298" i="17"/>
  <c r="V298" i="17"/>
  <c r="W298" i="17"/>
  <c r="Y298" i="17"/>
  <c r="Z298" i="17"/>
  <c r="AB298" i="17"/>
  <c r="AC298" i="17"/>
  <c r="AE298" i="17"/>
  <c r="AF298" i="17"/>
  <c r="AH298" i="17"/>
  <c r="AI298" i="17"/>
  <c r="AK298" i="17"/>
  <c r="AL298" i="17"/>
  <c r="AN298" i="17"/>
  <c r="AO298" i="17"/>
  <c r="D299" i="17"/>
  <c r="E299" i="17"/>
  <c r="G299" i="17"/>
  <c r="H299" i="17"/>
  <c r="J299" i="17"/>
  <c r="K299" i="17"/>
  <c r="M299" i="17"/>
  <c r="N299" i="17"/>
  <c r="P299" i="17"/>
  <c r="Q299" i="17"/>
  <c r="S299" i="17"/>
  <c r="T299" i="17"/>
  <c r="V299" i="17"/>
  <c r="W299" i="17"/>
  <c r="Y299" i="17"/>
  <c r="Z299" i="17"/>
  <c r="AB299" i="17"/>
  <c r="AC299" i="17"/>
  <c r="AE299" i="17"/>
  <c r="AF299" i="17"/>
  <c r="AH299" i="17"/>
  <c r="AI299" i="17"/>
  <c r="AK299" i="17"/>
  <c r="AL299" i="17"/>
  <c r="AN299" i="17"/>
  <c r="AO299" i="17"/>
  <c r="D300" i="17"/>
  <c r="E300" i="17"/>
  <c r="G300" i="17"/>
  <c r="H300" i="17"/>
  <c r="J300" i="17"/>
  <c r="K300" i="17"/>
  <c r="M300" i="17"/>
  <c r="N300" i="17"/>
  <c r="P300" i="17"/>
  <c r="Q300" i="17"/>
  <c r="S300" i="17"/>
  <c r="T300" i="17"/>
  <c r="V300" i="17"/>
  <c r="W300" i="17"/>
  <c r="Y300" i="17"/>
  <c r="Z300" i="17"/>
  <c r="AB300" i="17"/>
  <c r="AC300" i="17"/>
  <c r="AE300" i="17"/>
  <c r="AF300" i="17"/>
  <c r="AH300" i="17"/>
  <c r="AI300" i="17"/>
  <c r="AK300" i="17"/>
  <c r="AL300" i="17"/>
  <c r="AN300" i="17"/>
  <c r="AO300" i="17"/>
  <c r="D301" i="17"/>
  <c r="E301" i="17"/>
  <c r="G301" i="17"/>
  <c r="H301" i="17"/>
  <c r="J301" i="17"/>
  <c r="K301" i="17"/>
  <c r="M301" i="17"/>
  <c r="N301" i="17"/>
  <c r="P301" i="17"/>
  <c r="Q301" i="17"/>
  <c r="S301" i="17"/>
  <c r="T301" i="17"/>
  <c r="V301" i="17"/>
  <c r="W301" i="17"/>
  <c r="Y301" i="17"/>
  <c r="Z301" i="17"/>
  <c r="AB301" i="17"/>
  <c r="AC301" i="17"/>
  <c r="AE301" i="17"/>
  <c r="AF301" i="17"/>
  <c r="AH301" i="17"/>
  <c r="AI301" i="17"/>
  <c r="AK301" i="17"/>
  <c r="AL301" i="17"/>
  <c r="AN301" i="17"/>
  <c r="AO301" i="17"/>
  <c r="D302" i="17"/>
  <c r="E302" i="17"/>
  <c r="G302" i="17"/>
  <c r="H302" i="17"/>
  <c r="J302" i="17"/>
  <c r="K302" i="17"/>
  <c r="M302" i="17"/>
  <c r="N302" i="17"/>
  <c r="P302" i="17"/>
  <c r="Q302" i="17"/>
  <c r="S302" i="17"/>
  <c r="T302" i="17"/>
  <c r="V302" i="17"/>
  <c r="W302" i="17"/>
  <c r="Y302" i="17"/>
  <c r="Z302" i="17"/>
  <c r="AB302" i="17"/>
  <c r="AC302" i="17"/>
  <c r="AE302" i="17"/>
  <c r="AF302" i="17"/>
  <c r="AH302" i="17"/>
  <c r="AI302" i="17"/>
  <c r="AK302" i="17"/>
  <c r="AL302" i="17"/>
  <c r="AN302" i="17"/>
  <c r="AO302" i="17"/>
  <c r="D303" i="17"/>
  <c r="E303" i="17"/>
  <c r="G303" i="17"/>
  <c r="H303" i="17"/>
  <c r="J303" i="17"/>
  <c r="K303" i="17"/>
  <c r="M303" i="17"/>
  <c r="N303" i="17"/>
  <c r="P303" i="17"/>
  <c r="Q303" i="17"/>
  <c r="S303" i="17"/>
  <c r="T303" i="17"/>
  <c r="V303" i="17"/>
  <c r="W303" i="17"/>
  <c r="Y303" i="17"/>
  <c r="Z303" i="17"/>
  <c r="AB303" i="17"/>
  <c r="AC303" i="17"/>
  <c r="AE303" i="17"/>
  <c r="AF303" i="17"/>
  <c r="AH303" i="17"/>
  <c r="AI303" i="17"/>
  <c r="AK303" i="17"/>
  <c r="AL303" i="17"/>
  <c r="AN303" i="17"/>
  <c r="AO303" i="17"/>
  <c r="D304" i="17"/>
  <c r="E304" i="17"/>
  <c r="G304" i="17"/>
  <c r="H304" i="17"/>
  <c r="J304" i="17"/>
  <c r="K304" i="17"/>
  <c r="M304" i="17"/>
  <c r="N304" i="17"/>
  <c r="P304" i="17"/>
  <c r="Q304" i="17"/>
  <c r="S304" i="17"/>
  <c r="T304" i="17"/>
  <c r="V304" i="17"/>
  <c r="W304" i="17"/>
  <c r="Y304" i="17"/>
  <c r="Z304" i="17"/>
  <c r="AB304" i="17"/>
  <c r="AC304" i="17"/>
  <c r="AE304" i="17"/>
  <c r="AF304" i="17"/>
  <c r="AH304" i="17"/>
  <c r="AI304" i="17"/>
  <c r="AK304" i="17"/>
  <c r="AL304" i="17"/>
  <c r="AN304" i="17"/>
  <c r="AO304" i="17"/>
  <c r="D305" i="17"/>
  <c r="E305" i="17"/>
  <c r="G305" i="17"/>
  <c r="H305" i="17"/>
  <c r="J305" i="17"/>
  <c r="K305" i="17"/>
  <c r="M305" i="17"/>
  <c r="N305" i="17"/>
  <c r="P305" i="17"/>
  <c r="Q305" i="17"/>
  <c r="S305" i="17"/>
  <c r="T305" i="17"/>
  <c r="V305" i="17"/>
  <c r="W305" i="17"/>
  <c r="Y305" i="17"/>
  <c r="Z305" i="17"/>
  <c r="AB305" i="17"/>
  <c r="AC305" i="17"/>
  <c r="AE305" i="17"/>
  <c r="AF305" i="17"/>
  <c r="AH305" i="17"/>
  <c r="AI305" i="17"/>
  <c r="AK305" i="17"/>
  <c r="AL305" i="17"/>
  <c r="AN305" i="17"/>
  <c r="AO305" i="17"/>
  <c r="D306" i="17"/>
  <c r="E306" i="17"/>
  <c r="G306" i="17"/>
  <c r="H306" i="17"/>
  <c r="J306" i="17"/>
  <c r="K306" i="17"/>
  <c r="M306" i="17"/>
  <c r="N306" i="17"/>
  <c r="P306" i="17"/>
  <c r="Q306" i="17"/>
  <c r="S306" i="17"/>
  <c r="T306" i="17"/>
  <c r="V306" i="17"/>
  <c r="W306" i="17"/>
  <c r="Y306" i="17"/>
  <c r="Z306" i="17"/>
  <c r="AB306" i="17"/>
  <c r="AC306" i="17"/>
  <c r="AE306" i="17"/>
  <c r="AF306" i="17"/>
  <c r="AH306" i="17"/>
  <c r="AI306" i="17"/>
  <c r="AK306" i="17"/>
  <c r="AL306" i="17"/>
  <c r="AN306" i="17"/>
  <c r="AO306" i="17"/>
  <c r="D307" i="17"/>
  <c r="E307" i="17"/>
  <c r="G307" i="17"/>
  <c r="H307" i="17"/>
  <c r="J307" i="17"/>
  <c r="K307" i="17"/>
  <c r="M307" i="17"/>
  <c r="N307" i="17"/>
  <c r="P307" i="17"/>
  <c r="Q307" i="17"/>
  <c r="S307" i="17"/>
  <c r="T307" i="17"/>
  <c r="V307" i="17"/>
  <c r="W307" i="17"/>
  <c r="Y307" i="17"/>
  <c r="Z307" i="17"/>
  <c r="AB307" i="17"/>
  <c r="AC307" i="17"/>
  <c r="AE307" i="17"/>
  <c r="AF307" i="17"/>
  <c r="AH307" i="17"/>
  <c r="AI307" i="17"/>
  <c r="AK307" i="17"/>
  <c r="AL307" i="17"/>
  <c r="AN307" i="17"/>
  <c r="AO307" i="17"/>
  <c r="D308" i="17"/>
  <c r="E308" i="17"/>
  <c r="G308" i="17"/>
  <c r="H308" i="17"/>
  <c r="J308" i="17"/>
  <c r="K308" i="17"/>
  <c r="M308" i="17"/>
  <c r="N308" i="17"/>
  <c r="P308" i="17"/>
  <c r="Q308" i="17"/>
  <c r="S308" i="17"/>
  <c r="T308" i="17"/>
  <c r="V308" i="17"/>
  <c r="W308" i="17"/>
  <c r="Y308" i="17"/>
  <c r="Z308" i="17"/>
  <c r="AB308" i="17"/>
  <c r="AC308" i="17"/>
  <c r="AE308" i="17"/>
  <c r="AF308" i="17"/>
  <c r="AH308" i="17"/>
  <c r="AI308" i="17"/>
  <c r="AK308" i="17"/>
  <c r="AL308" i="17"/>
  <c r="AN308" i="17"/>
  <c r="AO308" i="17"/>
  <c r="D309" i="17"/>
  <c r="E309" i="17"/>
  <c r="G309" i="17"/>
  <c r="H309" i="17"/>
  <c r="J309" i="17"/>
  <c r="K309" i="17"/>
  <c r="M309" i="17"/>
  <c r="N309" i="17"/>
  <c r="P309" i="17"/>
  <c r="Q309" i="17"/>
  <c r="S309" i="17"/>
  <c r="T309" i="17"/>
  <c r="V309" i="17"/>
  <c r="W309" i="17"/>
  <c r="Y309" i="17"/>
  <c r="Z309" i="17"/>
  <c r="AB309" i="17"/>
  <c r="AC309" i="17"/>
  <c r="AE309" i="17"/>
  <c r="AF309" i="17"/>
  <c r="AH309" i="17"/>
  <c r="AI309" i="17"/>
  <c r="AK309" i="17"/>
  <c r="AL309" i="17"/>
  <c r="AN309" i="17"/>
  <c r="AO309" i="17"/>
  <c r="D310" i="17"/>
  <c r="E310" i="17"/>
  <c r="G310" i="17"/>
  <c r="H310" i="17"/>
  <c r="J310" i="17"/>
  <c r="K310" i="17"/>
  <c r="M310" i="17"/>
  <c r="N310" i="17"/>
  <c r="P310" i="17"/>
  <c r="Q310" i="17"/>
  <c r="S310" i="17"/>
  <c r="T310" i="17"/>
  <c r="V310" i="17"/>
  <c r="W310" i="17"/>
  <c r="Y310" i="17"/>
  <c r="Z310" i="17"/>
  <c r="AB310" i="17"/>
  <c r="AC310" i="17"/>
  <c r="AE310" i="17"/>
  <c r="AF310" i="17"/>
  <c r="AH310" i="17"/>
  <c r="AI310" i="17"/>
  <c r="AK310" i="17"/>
  <c r="AL310" i="17"/>
  <c r="AN310" i="17"/>
  <c r="AO310" i="17"/>
  <c r="D311" i="17"/>
  <c r="E311" i="17"/>
  <c r="G311" i="17"/>
  <c r="H311" i="17"/>
  <c r="J311" i="17"/>
  <c r="K311" i="17"/>
  <c r="M311" i="17"/>
  <c r="N311" i="17"/>
  <c r="P311" i="17"/>
  <c r="Q311" i="17"/>
  <c r="S311" i="17"/>
  <c r="T311" i="17"/>
  <c r="V311" i="17"/>
  <c r="W311" i="17"/>
  <c r="Y311" i="17"/>
  <c r="Z311" i="17"/>
  <c r="AB311" i="17"/>
  <c r="AC311" i="17"/>
  <c r="AE311" i="17"/>
  <c r="AF311" i="17"/>
  <c r="AH311" i="17"/>
  <c r="AI311" i="17"/>
  <c r="AK311" i="17"/>
  <c r="AL311" i="17"/>
  <c r="AN311" i="17"/>
  <c r="AO311" i="17"/>
  <c r="D312" i="17"/>
  <c r="E312" i="17"/>
  <c r="G312" i="17"/>
  <c r="H312" i="17"/>
  <c r="J312" i="17"/>
  <c r="K312" i="17"/>
  <c r="M312" i="17"/>
  <c r="N312" i="17"/>
  <c r="P312" i="17"/>
  <c r="Q312" i="17"/>
  <c r="S312" i="17"/>
  <c r="T312" i="17"/>
  <c r="V312" i="17"/>
  <c r="W312" i="17"/>
  <c r="Y312" i="17"/>
  <c r="Z312" i="17"/>
  <c r="AB312" i="17"/>
  <c r="AC312" i="17"/>
  <c r="AE312" i="17"/>
  <c r="AF312" i="17"/>
  <c r="AH312" i="17"/>
  <c r="AI312" i="17"/>
  <c r="AK312" i="17"/>
  <c r="AL312" i="17"/>
  <c r="AN312" i="17"/>
  <c r="AO312" i="17"/>
  <c r="D313" i="17"/>
  <c r="E313" i="17"/>
  <c r="G313" i="17"/>
  <c r="H313" i="17"/>
  <c r="J313" i="17"/>
  <c r="K313" i="17"/>
  <c r="M313" i="17"/>
  <c r="N313" i="17"/>
  <c r="P313" i="17"/>
  <c r="Q313" i="17"/>
  <c r="S313" i="17"/>
  <c r="T313" i="17"/>
  <c r="V313" i="17"/>
  <c r="W313" i="17"/>
  <c r="Y313" i="17"/>
  <c r="Z313" i="17"/>
  <c r="AB313" i="17"/>
  <c r="AC313" i="17"/>
  <c r="AE313" i="17"/>
  <c r="AF313" i="17"/>
  <c r="AH313" i="17"/>
  <c r="AI313" i="17"/>
  <c r="AK313" i="17"/>
  <c r="AL313" i="17"/>
  <c r="AN313" i="17"/>
  <c r="AO313" i="17"/>
  <c r="D314" i="17"/>
  <c r="E314" i="17"/>
  <c r="G314" i="17"/>
  <c r="H314" i="17"/>
  <c r="J314" i="17"/>
  <c r="K314" i="17"/>
  <c r="M314" i="17"/>
  <c r="N314" i="17"/>
  <c r="P314" i="17"/>
  <c r="Q314" i="17"/>
  <c r="S314" i="17"/>
  <c r="T314" i="17"/>
  <c r="V314" i="17"/>
  <c r="W314" i="17"/>
  <c r="Y314" i="17"/>
  <c r="Z314" i="17"/>
  <c r="AB314" i="17"/>
  <c r="AC314" i="17"/>
  <c r="AE314" i="17"/>
  <c r="AF314" i="17"/>
  <c r="AH314" i="17"/>
  <c r="AI314" i="17"/>
  <c r="AK314" i="17"/>
  <c r="AL314" i="17"/>
  <c r="AN314" i="17"/>
  <c r="AO314" i="17"/>
  <c r="D315" i="17"/>
  <c r="E315" i="17"/>
  <c r="G315" i="17"/>
  <c r="H315" i="17"/>
  <c r="J315" i="17"/>
  <c r="K315" i="17"/>
  <c r="M315" i="17"/>
  <c r="N315" i="17"/>
  <c r="P315" i="17"/>
  <c r="Q315" i="17"/>
  <c r="S315" i="17"/>
  <c r="T315" i="17"/>
  <c r="V315" i="17"/>
  <c r="W315" i="17"/>
  <c r="Y315" i="17"/>
  <c r="Z315" i="17"/>
  <c r="AB315" i="17"/>
  <c r="AC315" i="17"/>
  <c r="AE315" i="17"/>
  <c r="AF315" i="17"/>
  <c r="AH315" i="17"/>
  <c r="AI315" i="17"/>
  <c r="AK315" i="17"/>
  <c r="AL315" i="17"/>
  <c r="AN315" i="17"/>
  <c r="AO315" i="17"/>
  <c r="D316" i="17"/>
  <c r="E316" i="17"/>
  <c r="G316" i="17"/>
  <c r="H316" i="17"/>
  <c r="J316" i="17"/>
  <c r="K316" i="17"/>
  <c r="M316" i="17"/>
  <c r="N316" i="17"/>
  <c r="P316" i="17"/>
  <c r="Q316" i="17"/>
  <c r="S316" i="17"/>
  <c r="T316" i="17"/>
  <c r="V316" i="17"/>
  <c r="W316" i="17"/>
  <c r="Y316" i="17"/>
  <c r="Z316" i="17"/>
  <c r="AB316" i="17"/>
  <c r="AC316" i="17"/>
  <c r="AE316" i="17"/>
  <c r="AF316" i="17"/>
  <c r="AH316" i="17"/>
  <c r="AI316" i="17"/>
  <c r="AK316" i="17"/>
  <c r="AL316" i="17"/>
  <c r="AN316" i="17"/>
  <c r="AO316" i="17"/>
  <c r="D317" i="17"/>
  <c r="E317" i="17"/>
  <c r="G317" i="17"/>
  <c r="H317" i="17"/>
  <c r="J317" i="17"/>
  <c r="K317" i="17"/>
  <c r="M317" i="17"/>
  <c r="N317" i="17"/>
  <c r="P317" i="17"/>
  <c r="Q317" i="17"/>
  <c r="S317" i="17"/>
  <c r="T317" i="17"/>
  <c r="V317" i="17"/>
  <c r="W317" i="17"/>
  <c r="Y317" i="17"/>
  <c r="Z317" i="17"/>
  <c r="AB317" i="17"/>
  <c r="AC317" i="17"/>
  <c r="AE317" i="17"/>
  <c r="AF317" i="17"/>
  <c r="AH317" i="17"/>
  <c r="AI317" i="17"/>
  <c r="AK317" i="17"/>
  <c r="AL317" i="17"/>
  <c r="AN317" i="17"/>
  <c r="AO317" i="17"/>
  <c r="D318" i="17"/>
  <c r="E318" i="17"/>
  <c r="G318" i="17"/>
  <c r="H318" i="17"/>
  <c r="J318" i="17"/>
  <c r="K318" i="17"/>
  <c r="M318" i="17"/>
  <c r="N318" i="17"/>
  <c r="P318" i="17"/>
  <c r="Q318" i="17"/>
  <c r="S318" i="17"/>
  <c r="T318" i="17"/>
  <c r="V318" i="17"/>
  <c r="W318" i="17"/>
  <c r="Y318" i="17"/>
  <c r="Z318" i="17"/>
  <c r="AB318" i="17"/>
  <c r="AC318" i="17"/>
  <c r="AE318" i="17"/>
  <c r="AF318" i="17"/>
  <c r="AH318" i="17"/>
  <c r="AI318" i="17"/>
  <c r="AK318" i="17"/>
  <c r="AL318" i="17"/>
  <c r="AN318" i="17"/>
  <c r="AO318" i="17"/>
  <c r="D319" i="17"/>
  <c r="E319" i="17"/>
  <c r="G319" i="17"/>
  <c r="H319" i="17"/>
  <c r="J319" i="17"/>
  <c r="K319" i="17"/>
  <c r="M319" i="17"/>
  <c r="N319" i="17"/>
  <c r="P319" i="17"/>
  <c r="Q319" i="17"/>
  <c r="S319" i="17"/>
  <c r="T319" i="17"/>
  <c r="V319" i="17"/>
  <c r="W319" i="17"/>
  <c r="Y319" i="17"/>
  <c r="Z319" i="17"/>
  <c r="AB319" i="17"/>
  <c r="AC319" i="17"/>
  <c r="AE319" i="17"/>
  <c r="AF319" i="17"/>
  <c r="AH319" i="17"/>
  <c r="AI319" i="17"/>
  <c r="AK319" i="17"/>
  <c r="AL319" i="17"/>
  <c r="AN319" i="17"/>
  <c r="AO319" i="17"/>
  <c r="D320" i="17"/>
  <c r="E320" i="17"/>
  <c r="G320" i="17"/>
  <c r="H320" i="17"/>
  <c r="J320" i="17"/>
  <c r="K320" i="17"/>
  <c r="M320" i="17"/>
  <c r="N320" i="17"/>
  <c r="P320" i="17"/>
  <c r="Q320" i="17"/>
  <c r="S320" i="17"/>
  <c r="T320" i="17"/>
  <c r="V320" i="17"/>
  <c r="W320" i="17"/>
  <c r="Y320" i="17"/>
  <c r="Z320" i="17"/>
  <c r="AB320" i="17"/>
  <c r="AC320" i="17"/>
  <c r="AE320" i="17"/>
  <c r="AF320" i="17"/>
  <c r="AH320" i="17"/>
  <c r="AI320" i="17"/>
  <c r="AK320" i="17"/>
  <c r="AL320" i="17"/>
  <c r="AN320" i="17"/>
  <c r="AO320" i="17"/>
  <c r="D321" i="17"/>
  <c r="E321" i="17"/>
  <c r="G321" i="17"/>
  <c r="H321" i="17"/>
  <c r="J321" i="17"/>
  <c r="K321" i="17"/>
  <c r="M321" i="17"/>
  <c r="N321" i="17"/>
  <c r="P321" i="17"/>
  <c r="Q321" i="17"/>
  <c r="S321" i="17"/>
  <c r="T321" i="17"/>
  <c r="V321" i="17"/>
  <c r="W321" i="17"/>
  <c r="Y321" i="17"/>
  <c r="Z321" i="17"/>
  <c r="AB321" i="17"/>
  <c r="AC321" i="17"/>
  <c r="AE321" i="17"/>
  <c r="AF321" i="17"/>
  <c r="AH321" i="17"/>
  <c r="AI321" i="17"/>
  <c r="AK321" i="17"/>
  <c r="AL321" i="17"/>
  <c r="AN321" i="17"/>
  <c r="AO321" i="17"/>
  <c r="D322" i="17"/>
  <c r="E322" i="17"/>
  <c r="G322" i="17"/>
  <c r="H322" i="17"/>
  <c r="J322" i="17"/>
  <c r="K322" i="17"/>
  <c r="M322" i="17"/>
  <c r="N322" i="17"/>
  <c r="P322" i="17"/>
  <c r="Q322" i="17"/>
  <c r="S322" i="17"/>
  <c r="T322" i="17"/>
  <c r="V322" i="17"/>
  <c r="W322" i="17"/>
  <c r="Y322" i="17"/>
  <c r="Z322" i="17"/>
  <c r="AB322" i="17"/>
  <c r="AC322" i="17"/>
  <c r="AE322" i="17"/>
  <c r="AF322" i="17"/>
  <c r="AH322" i="17"/>
  <c r="AI322" i="17"/>
  <c r="AK322" i="17"/>
  <c r="AL322" i="17"/>
  <c r="AN322" i="17"/>
  <c r="AO322" i="17"/>
  <c r="D323" i="17"/>
  <c r="E323" i="17"/>
  <c r="G323" i="17"/>
  <c r="H323" i="17"/>
  <c r="J323" i="17"/>
  <c r="K323" i="17"/>
  <c r="M323" i="17"/>
  <c r="N323" i="17"/>
  <c r="P323" i="17"/>
  <c r="Q323" i="17"/>
  <c r="S323" i="17"/>
  <c r="T323" i="17"/>
  <c r="V323" i="17"/>
  <c r="W323" i="17"/>
  <c r="Y323" i="17"/>
  <c r="Z323" i="17"/>
  <c r="AB323" i="17"/>
  <c r="AC323" i="17"/>
  <c r="AE323" i="17"/>
  <c r="AF323" i="17"/>
  <c r="AH323" i="17"/>
  <c r="AI323" i="17"/>
  <c r="AK323" i="17"/>
  <c r="AL323" i="17"/>
  <c r="AN323" i="17"/>
  <c r="AO323" i="17"/>
  <c r="D324" i="17"/>
  <c r="E324" i="17"/>
  <c r="G324" i="17"/>
  <c r="H324" i="17"/>
  <c r="J324" i="17"/>
  <c r="K324" i="17"/>
  <c r="M324" i="17"/>
  <c r="N324" i="17"/>
  <c r="P324" i="17"/>
  <c r="Q324" i="17"/>
  <c r="S324" i="17"/>
  <c r="T324" i="17"/>
  <c r="V324" i="17"/>
  <c r="W324" i="17"/>
  <c r="Y324" i="17"/>
  <c r="Z324" i="17"/>
  <c r="AB324" i="17"/>
  <c r="AC324" i="17"/>
  <c r="AE324" i="17"/>
  <c r="AF324" i="17"/>
  <c r="AH324" i="17"/>
  <c r="AI324" i="17"/>
  <c r="AK324" i="17"/>
  <c r="AL324" i="17"/>
  <c r="AN324" i="17"/>
  <c r="AO324" i="17"/>
  <c r="D325" i="17"/>
  <c r="E325" i="17"/>
  <c r="G325" i="17"/>
  <c r="H325" i="17"/>
  <c r="J325" i="17"/>
  <c r="K325" i="17"/>
  <c r="M325" i="17"/>
  <c r="N325" i="17"/>
  <c r="P325" i="17"/>
  <c r="Q325" i="17"/>
  <c r="S325" i="17"/>
  <c r="T325" i="17"/>
  <c r="V325" i="17"/>
  <c r="W325" i="17"/>
  <c r="Y325" i="17"/>
  <c r="Z325" i="17"/>
  <c r="AB325" i="17"/>
  <c r="AC325" i="17"/>
  <c r="AE325" i="17"/>
  <c r="AF325" i="17"/>
  <c r="AH325" i="17"/>
  <c r="AI325" i="17"/>
  <c r="AK325" i="17"/>
  <c r="AL325" i="17"/>
  <c r="AN325" i="17"/>
  <c r="AO325" i="17"/>
  <c r="D326" i="17"/>
  <c r="E326" i="17"/>
  <c r="G326" i="17"/>
  <c r="H326" i="17"/>
  <c r="J326" i="17"/>
  <c r="K326" i="17"/>
  <c r="M326" i="17"/>
  <c r="N326" i="17"/>
  <c r="P326" i="17"/>
  <c r="Q326" i="17"/>
  <c r="S326" i="17"/>
  <c r="T326" i="17"/>
  <c r="V326" i="17"/>
  <c r="W326" i="17"/>
  <c r="Y326" i="17"/>
  <c r="Z326" i="17"/>
  <c r="AB326" i="17"/>
  <c r="AC326" i="17"/>
  <c r="AE326" i="17"/>
  <c r="AF326" i="17"/>
  <c r="AH326" i="17"/>
  <c r="AI326" i="17"/>
  <c r="AK326" i="17"/>
  <c r="AL326" i="17"/>
  <c r="AN326" i="17"/>
  <c r="AO326" i="17"/>
  <c r="D327" i="17"/>
  <c r="E327" i="17"/>
  <c r="G327" i="17"/>
  <c r="H327" i="17"/>
  <c r="J327" i="17"/>
  <c r="K327" i="17"/>
  <c r="M327" i="17"/>
  <c r="N327" i="17"/>
  <c r="P327" i="17"/>
  <c r="Q327" i="17"/>
  <c r="S327" i="17"/>
  <c r="T327" i="17"/>
  <c r="V327" i="17"/>
  <c r="W327" i="17"/>
  <c r="Y327" i="17"/>
  <c r="Z327" i="17"/>
  <c r="AB327" i="17"/>
  <c r="AC327" i="17"/>
  <c r="AE327" i="17"/>
  <c r="AF327" i="17"/>
  <c r="AH327" i="17"/>
  <c r="AI327" i="17"/>
  <c r="AK327" i="17"/>
  <c r="AL327" i="17"/>
  <c r="AN327" i="17"/>
  <c r="AO327" i="17"/>
  <c r="D328" i="17"/>
  <c r="E328" i="17"/>
  <c r="G328" i="17"/>
  <c r="H328" i="17"/>
  <c r="J328" i="17"/>
  <c r="K328" i="17"/>
  <c r="M328" i="17"/>
  <c r="N328" i="17"/>
  <c r="P328" i="17"/>
  <c r="Q328" i="17"/>
  <c r="S328" i="17"/>
  <c r="T328" i="17"/>
  <c r="V328" i="17"/>
  <c r="W328" i="17"/>
  <c r="Y328" i="17"/>
  <c r="Z328" i="17"/>
  <c r="AB328" i="17"/>
  <c r="AC328" i="17"/>
  <c r="AE328" i="17"/>
  <c r="AF328" i="17"/>
  <c r="AH328" i="17"/>
  <c r="AI328" i="17"/>
  <c r="AK328" i="17"/>
  <c r="AL328" i="17"/>
  <c r="AN328" i="17"/>
  <c r="AO328" i="17"/>
  <c r="D329" i="17"/>
  <c r="E329" i="17"/>
  <c r="G329" i="17"/>
  <c r="H329" i="17"/>
  <c r="J329" i="17"/>
  <c r="K329" i="17"/>
  <c r="M329" i="17"/>
  <c r="N329" i="17"/>
  <c r="P329" i="17"/>
  <c r="Q329" i="17"/>
  <c r="S329" i="17"/>
  <c r="T329" i="17"/>
  <c r="V329" i="17"/>
  <c r="W329" i="17"/>
  <c r="Y329" i="17"/>
  <c r="Z329" i="17"/>
  <c r="AB329" i="17"/>
  <c r="AC329" i="17"/>
  <c r="AE329" i="17"/>
  <c r="AF329" i="17"/>
  <c r="AH329" i="17"/>
  <c r="AI329" i="17"/>
  <c r="AK329" i="17"/>
  <c r="AL329" i="17"/>
  <c r="AN329" i="17"/>
  <c r="AO329" i="17"/>
  <c r="D330" i="17"/>
  <c r="E330" i="17"/>
  <c r="G330" i="17"/>
  <c r="H330" i="17"/>
  <c r="J330" i="17"/>
  <c r="K330" i="17"/>
  <c r="M330" i="17"/>
  <c r="N330" i="17"/>
  <c r="P330" i="17"/>
  <c r="Q330" i="17"/>
  <c r="S330" i="17"/>
  <c r="T330" i="17"/>
  <c r="V330" i="17"/>
  <c r="W330" i="17"/>
  <c r="Y330" i="17"/>
  <c r="Z330" i="17"/>
  <c r="AB330" i="17"/>
  <c r="AC330" i="17"/>
  <c r="AE330" i="17"/>
  <c r="AF330" i="17"/>
  <c r="AH330" i="17"/>
  <c r="AI330" i="17"/>
  <c r="AK330" i="17"/>
  <c r="AL330" i="17"/>
  <c r="AN330" i="17"/>
  <c r="AO330" i="17"/>
  <c r="D331" i="17"/>
  <c r="E331" i="17"/>
  <c r="G331" i="17"/>
  <c r="H331" i="17"/>
  <c r="J331" i="17"/>
  <c r="K331" i="17"/>
  <c r="M331" i="17"/>
  <c r="N331" i="17"/>
  <c r="P331" i="17"/>
  <c r="Q331" i="17"/>
  <c r="S331" i="17"/>
  <c r="T331" i="17"/>
  <c r="V331" i="17"/>
  <c r="W331" i="17"/>
  <c r="Y331" i="17"/>
  <c r="Z331" i="17"/>
  <c r="AB331" i="17"/>
  <c r="AC331" i="17"/>
  <c r="AE331" i="17"/>
  <c r="AF331" i="17"/>
  <c r="AH331" i="17"/>
  <c r="AI331" i="17"/>
  <c r="AK331" i="17"/>
  <c r="AL331" i="17"/>
  <c r="AN331" i="17"/>
  <c r="AO331" i="17"/>
  <c r="D332" i="17"/>
  <c r="E332" i="17"/>
  <c r="G332" i="17"/>
  <c r="H332" i="17"/>
  <c r="J332" i="17"/>
  <c r="K332" i="17"/>
  <c r="M332" i="17"/>
  <c r="N332" i="17"/>
  <c r="P332" i="17"/>
  <c r="Q332" i="17"/>
  <c r="S332" i="17"/>
  <c r="T332" i="17"/>
  <c r="V332" i="17"/>
  <c r="W332" i="17"/>
  <c r="Y332" i="17"/>
  <c r="Z332" i="17"/>
  <c r="AB332" i="17"/>
  <c r="AC332" i="17"/>
  <c r="AE332" i="17"/>
  <c r="AF332" i="17"/>
  <c r="AH332" i="17"/>
  <c r="AI332" i="17"/>
  <c r="AK332" i="17"/>
  <c r="AL332" i="17"/>
  <c r="AN332" i="17"/>
  <c r="AO332" i="17"/>
  <c r="D333" i="17"/>
  <c r="E333" i="17"/>
  <c r="G333" i="17"/>
  <c r="H333" i="17"/>
  <c r="J333" i="17"/>
  <c r="K333" i="17"/>
  <c r="M333" i="17"/>
  <c r="N333" i="17"/>
  <c r="P333" i="17"/>
  <c r="Q333" i="17"/>
  <c r="S333" i="17"/>
  <c r="T333" i="17"/>
  <c r="V333" i="17"/>
  <c r="W333" i="17"/>
  <c r="Y333" i="17"/>
  <c r="Z333" i="17"/>
  <c r="AB333" i="17"/>
  <c r="AC333" i="17"/>
  <c r="AE333" i="17"/>
  <c r="AF333" i="17"/>
  <c r="AH333" i="17"/>
  <c r="AI333" i="17"/>
  <c r="AK333" i="17"/>
  <c r="AL333" i="17"/>
  <c r="AN333" i="17"/>
  <c r="AO333" i="17"/>
  <c r="D334" i="17"/>
  <c r="E334" i="17"/>
  <c r="G334" i="17"/>
  <c r="H334" i="17"/>
  <c r="J334" i="17"/>
  <c r="K334" i="17"/>
  <c r="M334" i="17"/>
  <c r="N334" i="17"/>
  <c r="P334" i="17"/>
  <c r="Q334" i="17"/>
  <c r="S334" i="17"/>
  <c r="T334" i="17"/>
  <c r="V334" i="17"/>
  <c r="W334" i="17"/>
  <c r="Y334" i="17"/>
  <c r="Z334" i="17"/>
  <c r="AB334" i="17"/>
  <c r="AC334" i="17"/>
  <c r="AE334" i="17"/>
  <c r="AF334" i="17"/>
  <c r="AH334" i="17"/>
  <c r="AI334" i="17"/>
  <c r="AK334" i="17"/>
  <c r="AL334" i="17"/>
  <c r="AN334" i="17"/>
  <c r="AO334" i="17"/>
  <c r="D335" i="17"/>
  <c r="E335" i="17"/>
  <c r="G335" i="17"/>
  <c r="H335" i="17"/>
  <c r="J335" i="17"/>
  <c r="K335" i="17"/>
  <c r="M335" i="17"/>
  <c r="N335" i="17"/>
  <c r="P335" i="17"/>
  <c r="Q335" i="17"/>
  <c r="S335" i="17"/>
  <c r="T335" i="17"/>
  <c r="V335" i="17"/>
  <c r="W335" i="17"/>
  <c r="Y335" i="17"/>
  <c r="Z335" i="17"/>
  <c r="AB335" i="17"/>
  <c r="AC335" i="17"/>
  <c r="AE335" i="17"/>
  <c r="AF335" i="17"/>
  <c r="AH335" i="17"/>
  <c r="AI335" i="17"/>
  <c r="AK335" i="17"/>
  <c r="AL335" i="17"/>
  <c r="AN335" i="17"/>
  <c r="AO335" i="17"/>
  <c r="D336" i="17"/>
  <c r="E336" i="17"/>
  <c r="G336" i="17"/>
  <c r="H336" i="17"/>
  <c r="J336" i="17"/>
  <c r="K336" i="17"/>
  <c r="M336" i="17"/>
  <c r="N336" i="17"/>
  <c r="P336" i="17"/>
  <c r="Q336" i="17"/>
  <c r="S336" i="17"/>
  <c r="T336" i="17"/>
  <c r="V336" i="17"/>
  <c r="W336" i="17"/>
  <c r="Y336" i="17"/>
  <c r="Z336" i="17"/>
  <c r="AB336" i="17"/>
  <c r="AC336" i="17"/>
  <c r="AE336" i="17"/>
  <c r="AF336" i="17"/>
  <c r="AH336" i="17"/>
  <c r="AI336" i="17"/>
  <c r="AK336" i="17"/>
  <c r="AL336" i="17"/>
  <c r="AN336" i="17"/>
  <c r="AO336" i="17"/>
  <c r="D337" i="17"/>
  <c r="E337" i="17"/>
  <c r="G337" i="17"/>
  <c r="H337" i="17"/>
  <c r="J337" i="17"/>
  <c r="K337" i="17"/>
  <c r="M337" i="17"/>
  <c r="N337" i="17"/>
  <c r="P337" i="17"/>
  <c r="Q337" i="17"/>
  <c r="S337" i="17"/>
  <c r="T337" i="17"/>
  <c r="V337" i="17"/>
  <c r="W337" i="17"/>
  <c r="Y337" i="17"/>
  <c r="Z337" i="17"/>
  <c r="AB337" i="17"/>
  <c r="AC337" i="17"/>
  <c r="AE337" i="17"/>
  <c r="AF337" i="17"/>
  <c r="AH337" i="17"/>
  <c r="AI337" i="17"/>
  <c r="AK337" i="17"/>
  <c r="AL337" i="17"/>
  <c r="AN337" i="17"/>
  <c r="AO337" i="17"/>
  <c r="D338" i="17"/>
  <c r="E338" i="17"/>
  <c r="G338" i="17"/>
  <c r="H338" i="17"/>
  <c r="J338" i="17"/>
  <c r="K338" i="17"/>
  <c r="M338" i="17"/>
  <c r="N338" i="17"/>
  <c r="P338" i="17"/>
  <c r="Q338" i="17"/>
  <c r="S338" i="17"/>
  <c r="T338" i="17"/>
  <c r="V338" i="17"/>
  <c r="W338" i="17"/>
  <c r="Y338" i="17"/>
  <c r="Z338" i="17"/>
  <c r="AB338" i="17"/>
  <c r="AC338" i="17"/>
  <c r="AE338" i="17"/>
  <c r="AF338" i="17"/>
  <c r="AH338" i="17"/>
  <c r="AI338" i="17"/>
  <c r="AK338" i="17"/>
  <c r="AL338" i="17"/>
  <c r="AN338" i="17"/>
  <c r="AO338" i="17"/>
  <c r="D339" i="17"/>
  <c r="E339" i="17"/>
  <c r="G339" i="17"/>
  <c r="H339" i="17"/>
  <c r="J339" i="17"/>
  <c r="K339" i="17"/>
  <c r="M339" i="17"/>
  <c r="N339" i="17"/>
  <c r="P339" i="17"/>
  <c r="Q339" i="17"/>
  <c r="S339" i="17"/>
  <c r="T339" i="17"/>
  <c r="V339" i="17"/>
  <c r="W339" i="17"/>
  <c r="Y339" i="17"/>
  <c r="Z339" i="17"/>
  <c r="AB339" i="17"/>
  <c r="AC339" i="17"/>
  <c r="AE339" i="17"/>
  <c r="AF339" i="17"/>
  <c r="AH339" i="17"/>
  <c r="AI339" i="17"/>
  <c r="AK339" i="17"/>
  <c r="AL339" i="17"/>
  <c r="AN339" i="17"/>
  <c r="AO339" i="17"/>
  <c r="D340" i="17"/>
  <c r="E340" i="17"/>
  <c r="G340" i="17"/>
  <c r="H340" i="17"/>
  <c r="J340" i="17"/>
  <c r="K340" i="17"/>
  <c r="M340" i="17"/>
  <c r="N340" i="17"/>
  <c r="P340" i="17"/>
  <c r="Q340" i="17"/>
  <c r="S340" i="17"/>
  <c r="T340" i="17"/>
  <c r="V340" i="17"/>
  <c r="W340" i="17"/>
  <c r="Y340" i="17"/>
  <c r="Z340" i="17"/>
  <c r="AB340" i="17"/>
  <c r="AC340" i="17"/>
  <c r="AE340" i="17"/>
  <c r="AF340" i="17"/>
  <c r="AH340" i="17"/>
  <c r="AI340" i="17"/>
  <c r="AK340" i="17"/>
  <c r="AL340" i="17"/>
  <c r="AN340" i="17"/>
  <c r="AO340" i="17"/>
  <c r="D341" i="17"/>
  <c r="E341" i="17"/>
  <c r="G341" i="17"/>
  <c r="H341" i="17"/>
  <c r="J341" i="17"/>
  <c r="K341" i="17"/>
  <c r="M341" i="17"/>
  <c r="N341" i="17"/>
  <c r="P341" i="17"/>
  <c r="Q341" i="17"/>
  <c r="S341" i="17"/>
  <c r="T341" i="17"/>
  <c r="V341" i="17"/>
  <c r="W341" i="17"/>
  <c r="Y341" i="17"/>
  <c r="Z341" i="17"/>
  <c r="AB341" i="17"/>
  <c r="AC341" i="17"/>
  <c r="AE341" i="17"/>
  <c r="AF341" i="17"/>
  <c r="AH341" i="17"/>
  <c r="AI341" i="17"/>
  <c r="AK341" i="17"/>
  <c r="AL341" i="17"/>
  <c r="AN341" i="17"/>
  <c r="AO341" i="17"/>
  <c r="D342" i="17"/>
  <c r="E342" i="17"/>
  <c r="G342" i="17"/>
  <c r="H342" i="17"/>
  <c r="J342" i="17"/>
  <c r="K342" i="17"/>
  <c r="M342" i="17"/>
  <c r="N342" i="17"/>
  <c r="P342" i="17"/>
  <c r="Q342" i="17"/>
  <c r="S342" i="17"/>
  <c r="T342" i="17"/>
  <c r="V342" i="17"/>
  <c r="W342" i="17"/>
  <c r="Y342" i="17"/>
  <c r="Z342" i="17"/>
  <c r="AB342" i="17"/>
  <c r="AC342" i="17"/>
  <c r="AE342" i="17"/>
  <c r="AF342" i="17"/>
  <c r="AH342" i="17"/>
  <c r="AI342" i="17"/>
  <c r="AK342" i="17"/>
  <c r="AL342" i="17"/>
  <c r="AN342" i="17"/>
  <c r="AO342" i="17"/>
  <c r="D343" i="17"/>
  <c r="E343" i="17"/>
  <c r="G343" i="17"/>
  <c r="H343" i="17"/>
  <c r="J343" i="17"/>
  <c r="K343" i="17"/>
  <c r="M343" i="17"/>
  <c r="N343" i="17"/>
  <c r="P343" i="17"/>
  <c r="Q343" i="17"/>
  <c r="S343" i="17"/>
  <c r="T343" i="17"/>
  <c r="V343" i="17"/>
  <c r="W343" i="17"/>
  <c r="Y343" i="17"/>
  <c r="Z343" i="17"/>
  <c r="AB343" i="17"/>
  <c r="AC343" i="17"/>
  <c r="AE343" i="17"/>
  <c r="AF343" i="17"/>
  <c r="AH343" i="17"/>
  <c r="AI343" i="17"/>
  <c r="AK343" i="17"/>
  <c r="AL343" i="17"/>
  <c r="AN343" i="17"/>
  <c r="AO343" i="17"/>
  <c r="D344" i="17"/>
  <c r="E344" i="17"/>
  <c r="G344" i="17"/>
  <c r="H344" i="17"/>
  <c r="J344" i="17"/>
  <c r="K344" i="17"/>
  <c r="M344" i="17"/>
  <c r="N344" i="17"/>
  <c r="P344" i="17"/>
  <c r="Q344" i="17"/>
  <c r="S344" i="17"/>
  <c r="T344" i="17"/>
  <c r="V344" i="17"/>
  <c r="W344" i="17"/>
  <c r="Y344" i="17"/>
  <c r="Z344" i="17"/>
  <c r="AB344" i="17"/>
  <c r="AC344" i="17"/>
  <c r="AE344" i="17"/>
  <c r="AF344" i="17"/>
  <c r="AH344" i="17"/>
  <c r="AI344" i="17"/>
  <c r="AK344" i="17"/>
  <c r="AL344" i="17"/>
  <c r="AN344" i="17"/>
  <c r="AO344" i="17"/>
  <c r="D345" i="17"/>
  <c r="E345" i="17"/>
  <c r="G345" i="17"/>
  <c r="H345" i="17"/>
  <c r="J345" i="17"/>
  <c r="K345" i="17"/>
  <c r="M345" i="17"/>
  <c r="N345" i="17"/>
  <c r="P345" i="17"/>
  <c r="Q345" i="17"/>
  <c r="S345" i="17"/>
  <c r="T345" i="17"/>
  <c r="V345" i="17"/>
  <c r="W345" i="17"/>
  <c r="Y345" i="17"/>
  <c r="Z345" i="17"/>
  <c r="AB345" i="17"/>
  <c r="AC345" i="17"/>
  <c r="AE345" i="17"/>
  <c r="AF345" i="17"/>
  <c r="AH345" i="17"/>
  <c r="AI345" i="17"/>
  <c r="AK345" i="17"/>
  <c r="AL345" i="17"/>
  <c r="AN345" i="17"/>
  <c r="AO345" i="17"/>
  <c r="D346" i="17"/>
  <c r="E346" i="17"/>
  <c r="G346" i="17"/>
  <c r="H346" i="17"/>
  <c r="J346" i="17"/>
  <c r="K346" i="17"/>
  <c r="M346" i="17"/>
  <c r="N346" i="17"/>
  <c r="P346" i="17"/>
  <c r="Q346" i="17"/>
  <c r="S346" i="17"/>
  <c r="T346" i="17"/>
  <c r="V346" i="17"/>
  <c r="W346" i="17"/>
  <c r="Y346" i="17"/>
  <c r="Z346" i="17"/>
  <c r="AB346" i="17"/>
  <c r="AC346" i="17"/>
  <c r="AE346" i="17"/>
  <c r="AF346" i="17"/>
  <c r="AH346" i="17"/>
  <c r="AI346" i="17"/>
  <c r="AK346" i="17"/>
  <c r="AL346" i="17"/>
  <c r="AN346" i="17"/>
  <c r="AO346" i="17"/>
  <c r="D347" i="17"/>
  <c r="E347" i="17"/>
  <c r="G347" i="17"/>
  <c r="H347" i="17"/>
  <c r="J347" i="17"/>
  <c r="K347" i="17"/>
  <c r="M347" i="17"/>
  <c r="N347" i="17"/>
  <c r="P347" i="17"/>
  <c r="Q347" i="17"/>
  <c r="S347" i="17"/>
  <c r="T347" i="17"/>
  <c r="V347" i="17"/>
  <c r="W347" i="17"/>
  <c r="Y347" i="17"/>
  <c r="Z347" i="17"/>
  <c r="AB347" i="17"/>
  <c r="AC347" i="17"/>
  <c r="AE347" i="17"/>
  <c r="AF347" i="17"/>
  <c r="AH347" i="17"/>
  <c r="AI347" i="17"/>
  <c r="AK347" i="17"/>
  <c r="AL347" i="17"/>
  <c r="AN347" i="17"/>
  <c r="AO347" i="17"/>
  <c r="D348" i="17"/>
  <c r="E348" i="17"/>
  <c r="G348" i="17"/>
  <c r="H348" i="17"/>
  <c r="J348" i="17"/>
  <c r="K348" i="17"/>
  <c r="M348" i="17"/>
  <c r="N348" i="17"/>
  <c r="P348" i="17"/>
  <c r="Q348" i="17"/>
  <c r="S348" i="17"/>
  <c r="T348" i="17"/>
  <c r="V348" i="17"/>
  <c r="W348" i="17"/>
  <c r="Y348" i="17"/>
  <c r="Z348" i="17"/>
  <c r="AB348" i="17"/>
  <c r="AC348" i="17"/>
  <c r="AE348" i="17"/>
  <c r="AF348" i="17"/>
  <c r="AH348" i="17"/>
  <c r="AI348" i="17"/>
  <c r="AK348" i="17"/>
  <c r="AL348" i="17"/>
  <c r="AN348" i="17"/>
  <c r="AO348" i="17"/>
  <c r="D349" i="17"/>
  <c r="E349" i="17"/>
  <c r="G349" i="17"/>
  <c r="H349" i="17"/>
  <c r="J349" i="17"/>
  <c r="K349" i="17"/>
  <c r="M349" i="17"/>
  <c r="N349" i="17"/>
  <c r="P349" i="17"/>
  <c r="Q349" i="17"/>
  <c r="S349" i="17"/>
  <c r="T349" i="17"/>
  <c r="V349" i="17"/>
  <c r="W349" i="17"/>
  <c r="Y349" i="17"/>
  <c r="Z349" i="17"/>
  <c r="AB349" i="17"/>
  <c r="AC349" i="17"/>
  <c r="AE349" i="17"/>
  <c r="AF349" i="17"/>
  <c r="AH349" i="17"/>
  <c r="AI349" i="17"/>
  <c r="AK349" i="17"/>
  <c r="AL349" i="17"/>
  <c r="AN349" i="17"/>
  <c r="AO349" i="17"/>
  <c r="D350" i="17"/>
  <c r="E350" i="17"/>
  <c r="G350" i="17"/>
  <c r="H350" i="17"/>
  <c r="J350" i="17"/>
  <c r="K350" i="17"/>
  <c r="M350" i="17"/>
  <c r="N350" i="17"/>
  <c r="P350" i="17"/>
  <c r="Q350" i="17"/>
  <c r="S350" i="17"/>
  <c r="T350" i="17"/>
  <c r="V350" i="17"/>
  <c r="W350" i="17"/>
  <c r="Y350" i="17"/>
  <c r="Z350" i="17"/>
  <c r="AB350" i="17"/>
  <c r="AC350" i="17"/>
  <c r="AE350" i="17"/>
  <c r="AF350" i="17"/>
  <c r="AH350" i="17"/>
  <c r="AI350" i="17"/>
  <c r="AK350" i="17"/>
  <c r="AL350" i="17"/>
  <c r="AN350" i="17"/>
  <c r="AO350" i="17"/>
  <c r="D351" i="17"/>
  <c r="E351" i="17"/>
  <c r="G351" i="17"/>
  <c r="H351" i="17"/>
  <c r="J351" i="17"/>
  <c r="K351" i="17"/>
  <c r="M351" i="17"/>
  <c r="N351" i="17"/>
  <c r="P351" i="17"/>
  <c r="Q351" i="17"/>
  <c r="S351" i="17"/>
  <c r="T351" i="17"/>
  <c r="V351" i="17"/>
  <c r="W351" i="17"/>
  <c r="Y351" i="17"/>
  <c r="Z351" i="17"/>
  <c r="AB351" i="17"/>
  <c r="AC351" i="17"/>
  <c r="AE351" i="17"/>
  <c r="AF351" i="17"/>
  <c r="AH351" i="17"/>
  <c r="AI351" i="17"/>
  <c r="AK351" i="17"/>
  <c r="AL351" i="17"/>
  <c r="AN351" i="17"/>
  <c r="AO351" i="17"/>
  <c r="D352" i="17"/>
  <c r="E352" i="17"/>
  <c r="G352" i="17"/>
  <c r="H352" i="17"/>
  <c r="J352" i="17"/>
  <c r="K352" i="17"/>
  <c r="M352" i="17"/>
  <c r="N352" i="17"/>
  <c r="P352" i="17"/>
  <c r="Q352" i="17"/>
  <c r="S352" i="17"/>
  <c r="T352" i="17"/>
  <c r="V352" i="17"/>
  <c r="W352" i="17"/>
  <c r="Y352" i="17"/>
  <c r="Z352" i="17"/>
  <c r="AB352" i="17"/>
  <c r="AC352" i="17"/>
  <c r="AE352" i="17"/>
  <c r="AF352" i="17"/>
  <c r="AH352" i="17"/>
  <c r="AI352" i="17"/>
  <c r="AK352" i="17"/>
  <c r="AL352" i="17"/>
  <c r="AN352" i="17"/>
  <c r="AO352" i="17"/>
  <c r="D353" i="17"/>
  <c r="E353" i="17"/>
  <c r="G353" i="17"/>
  <c r="H353" i="17"/>
  <c r="J353" i="17"/>
  <c r="K353" i="17"/>
  <c r="M353" i="17"/>
  <c r="N353" i="17"/>
  <c r="P353" i="17"/>
  <c r="Q353" i="17"/>
  <c r="S353" i="17"/>
  <c r="T353" i="17"/>
  <c r="V353" i="17"/>
  <c r="W353" i="17"/>
  <c r="Y353" i="17"/>
  <c r="Z353" i="17"/>
  <c r="AB353" i="17"/>
  <c r="AC353" i="17"/>
  <c r="AE353" i="17"/>
  <c r="AF353" i="17"/>
  <c r="AH353" i="17"/>
  <c r="AI353" i="17"/>
  <c r="AK353" i="17"/>
  <c r="AL353" i="17"/>
  <c r="AN353" i="17"/>
  <c r="AO353" i="17"/>
  <c r="D354" i="17"/>
  <c r="E354" i="17"/>
  <c r="G354" i="17"/>
  <c r="H354" i="17"/>
  <c r="J354" i="17"/>
  <c r="K354" i="17"/>
  <c r="M354" i="17"/>
  <c r="N354" i="17"/>
  <c r="P354" i="17"/>
  <c r="Q354" i="17"/>
  <c r="S354" i="17"/>
  <c r="T354" i="17"/>
  <c r="V354" i="17"/>
  <c r="W354" i="17"/>
  <c r="Y354" i="17"/>
  <c r="Z354" i="17"/>
  <c r="AB354" i="17"/>
  <c r="AC354" i="17"/>
  <c r="AE354" i="17"/>
  <c r="AF354" i="17"/>
  <c r="AH354" i="17"/>
  <c r="AI354" i="17"/>
  <c r="AK354" i="17"/>
  <c r="AL354" i="17"/>
  <c r="AN354" i="17"/>
  <c r="AO354" i="17"/>
  <c r="D355" i="17"/>
  <c r="E355" i="17"/>
  <c r="G355" i="17"/>
  <c r="H355" i="17"/>
  <c r="J355" i="17"/>
  <c r="K355" i="17"/>
  <c r="M355" i="17"/>
  <c r="N355" i="17"/>
  <c r="P355" i="17"/>
  <c r="Q355" i="17"/>
  <c r="S355" i="17"/>
  <c r="T355" i="17"/>
  <c r="V355" i="17"/>
  <c r="W355" i="17"/>
  <c r="Y355" i="17"/>
  <c r="Z355" i="17"/>
  <c r="AB355" i="17"/>
  <c r="AC355" i="17"/>
  <c r="AE355" i="17"/>
  <c r="AF355" i="17"/>
  <c r="AH355" i="17"/>
  <c r="AI355" i="17"/>
  <c r="AK355" i="17"/>
  <c r="AL355" i="17"/>
  <c r="AN355" i="17"/>
  <c r="AO355" i="17"/>
  <c r="D356" i="17"/>
  <c r="E356" i="17"/>
  <c r="G356" i="17"/>
  <c r="H356" i="17"/>
  <c r="J356" i="17"/>
  <c r="K356" i="17"/>
  <c r="M356" i="17"/>
  <c r="N356" i="17"/>
  <c r="P356" i="17"/>
  <c r="Q356" i="17"/>
  <c r="S356" i="17"/>
  <c r="T356" i="17"/>
  <c r="V356" i="17"/>
  <c r="W356" i="17"/>
  <c r="Y356" i="17"/>
  <c r="Z356" i="17"/>
  <c r="AB356" i="17"/>
  <c r="AC356" i="17"/>
  <c r="AE356" i="17"/>
  <c r="AF356" i="17"/>
  <c r="AH356" i="17"/>
  <c r="AI356" i="17"/>
  <c r="AK356" i="17"/>
  <c r="AL356" i="17"/>
  <c r="AN356" i="17"/>
  <c r="AO356" i="17"/>
  <c r="D357" i="17"/>
  <c r="E357" i="17"/>
  <c r="G357" i="17"/>
  <c r="H357" i="17"/>
  <c r="J357" i="17"/>
  <c r="K357" i="17"/>
  <c r="M357" i="17"/>
  <c r="N357" i="17"/>
  <c r="P357" i="17"/>
  <c r="Q357" i="17"/>
  <c r="S357" i="17"/>
  <c r="T357" i="17"/>
  <c r="V357" i="17"/>
  <c r="W357" i="17"/>
  <c r="Y357" i="17"/>
  <c r="Z357" i="17"/>
  <c r="AB357" i="17"/>
  <c r="AC357" i="17"/>
  <c r="AE357" i="17"/>
  <c r="AF357" i="17"/>
  <c r="AH357" i="17"/>
  <c r="AI357" i="17"/>
  <c r="AK357" i="17"/>
  <c r="AL357" i="17"/>
  <c r="AN357" i="17"/>
  <c r="AO357" i="17"/>
  <c r="D358" i="17"/>
  <c r="E358" i="17"/>
  <c r="G358" i="17"/>
  <c r="H358" i="17"/>
  <c r="J358" i="17"/>
  <c r="K358" i="17"/>
  <c r="M358" i="17"/>
  <c r="N358" i="17"/>
  <c r="P358" i="17"/>
  <c r="Q358" i="17"/>
  <c r="S358" i="17"/>
  <c r="T358" i="17"/>
  <c r="V358" i="17"/>
  <c r="W358" i="17"/>
  <c r="Y358" i="17"/>
  <c r="Z358" i="17"/>
  <c r="AB358" i="17"/>
  <c r="AC358" i="17"/>
  <c r="AE358" i="17"/>
  <c r="AF358" i="17"/>
  <c r="AH358" i="17"/>
  <c r="AI358" i="17"/>
  <c r="AK358" i="17"/>
  <c r="AL358" i="17"/>
  <c r="AN358" i="17"/>
  <c r="AO358" i="17"/>
  <c r="D359" i="17"/>
  <c r="E359" i="17"/>
  <c r="G359" i="17"/>
  <c r="H359" i="17"/>
  <c r="J359" i="17"/>
  <c r="K359" i="17"/>
  <c r="M359" i="17"/>
  <c r="N359" i="17"/>
  <c r="P359" i="17"/>
  <c r="Q359" i="17"/>
  <c r="S359" i="17"/>
  <c r="T359" i="17"/>
  <c r="V359" i="17"/>
  <c r="W359" i="17"/>
  <c r="Y359" i="17"/>
  <c r="Z359" i="17"/>
  <c r="AB359" i="17"/>
  <c r="AC359" i="17"/>
  <c r="AE359" i="17"/>
  <c r="AF359" i="17"/>
  <c r="AH359" i="17"/>
  <c r="AI359" i="17"/>
  <c r="AK359" i="17"/>
  <c r="AL359" i="17"/>
  <c r="AN359" i="17"/>
  <c r="AO359" i="17"/>
  <c r="D360" i="17"/>
  <c r="E360" i="17"/>
  <c r="G360" i="17"/>
  <c r="H360" i="17"/>
  <c r="J360" i="17"/>
  <c r="K360" i="17"/>
  <c r="M360" i="17"/>
  <c r="N360" i="17"/>
  <c r="P360" i="17"/>
  <c r="Q360" i="17"/>
  <c r="S360" i="17"/>
  <c r="T360" i="17"/>
  <c r="V360" i="17"/>
  <c r="W360" i="17"/>
  <c r="Y360" i="17"/>
  <c r="Z360" i="17"/>
  <c r="AB360" i="17"/>
  <c r="AC360" i="17"/>
  <c r="AE360" i="17"/>
  <c r="AF360" i="17"/>
  <c r="AH360" i="17"/>
  <c r="AI360" i="17"/>
  <c r="AK360" i="17"/>
  <c r="AL360" i="17"/>
  <c r="AN360" i="17"/>
  <c r="AO360" i="17"/>
  <c r="D361" i="17"/>
  <c r="E361" i="17"/>
  <c r="G361" i="17"/>
  <c r="H361" i="17"/>
  <c r="J361" i="17"/>
  <c r="K361" i="17"/>
  <c r="M361" i="17"/>
  <c r="N361" i="17"/>
  <c r="P361" i="17"/>
  <c r="Q361" i="17"/>
  <c r="S361" i="17"/>
  <c r="T361" i="17"/>
  <c r="V361" i="17"/>
  <c r="W361" i="17"/>
  <c r="Y361" i="17"/>
  <c r="Z361" i="17"/>
  <c r="AB361" i="17"/>
  <c r="AC361" i="17"/>
  <c r="AE361" i="17"/>
  <c r="AF361" i="17"/>
  <c r="AH361" i="17"/>
  <c r="AI361" i="17"/>
  <c r="AK361" i="17"/>
  <c r="AL361" i="17"/>
  <c r="AN361" i="17"/>
  <c r="AO361" i="17"/>
  <c r="D362" i="17"/>
  <c r="E362" i="17"/>
  <c r="G362" i="17"/>
  <c r="H362" i="17"/>
  <c r="J362" i="17"/>
  <c r="K362" i="17"/>
  <c r="M362" i="17"/>
  <c r="N362" i="17"/>
  <c r="P362" i="17"/>
  <c r="Q362" i="17"/>
  <c r="S362" i="17"/>
  <c r="T362" i="17"/>
  <c r="V362" i="17"/>
  <c r="W362" i="17"/>
  <c r="Y362" i="17"/>
  <c r="Z362" i="17"/>
  <c r="AB362" i="17"/>
  <c r="AC362" i="17"/>
  <c r="AE362" i="17"/>
  <c r="AF362" i="17"/>
  <c r="AH362" i="17"/>
  <c r="AI362" i="17"/>
  <c r="AK362" i="17"/>
  <c r="AL362" i="17"/>
  <c r="AN362" i="17"/>
  <c r="AO362" i="17"/>
  <c r="D363" i="17"/>
  <c r="E363" i="17"/>
  <c r="G363" i="17"/>
  <c r="H363" i="17"/>
  <c r="J363" i="17"/>
  <c r="K363" i="17"/>
  <c r="M363" i="17"/>
  <c r="N363" i="17"/>
  <c r="P363" i="17"/>
  <c r="Q363" i="17"/>
  <c r="S363" i="17"/>
  <c r="T363" i="17"/>
  <c r="V363" i="17"/>
  <c r="W363" i="17"/>
  <c r="Y363" i="17"/>
  <c r="Z363" i="17"/>
  <c r="AB363" i="17"/>
  <c r="AC363" i="17"/>
  <c r="AE363" i="17"/>
  <c r="AF363" i="17"/>
  <c r="AH363" i="17"/>
  <c r="AI363" i="17"/>
  <c r="AK363" i="17"/>
  <c r="AL363" i="17"/>
  <c r="AN363" i="17"/>
  <c r="AO363" i="17"/>
  <c r="D364" i="17"/>
  <c r="E364" i="17"/>
  <c r="G364" i="17"/>
  <c r="H364" i="17"/>
  <c r="J364" i="17"/>
  <c r="K364" i="17"/>
  <c r="M364" i="17"/>
  <c r="N364" i="17"/>
  <c r="P364" i="17"/>
  <c r="Q364" i="17"/>
  <c r="S364" i="17"/>
  <c r="T364" i="17"/>
  <c r="V364" i="17"/>
  <c r="W364" i="17"/>
  <c r="Y364" i="17"/>
  <c r="Z364" i="17"/>
  <c r="AB364" i="17"/>
  <c r="AC364" i="17"/>
  <c r="AE364" i="17"/>
  <c r="AF364" i="17"/>
  <c r="AH364" i="17"/>
  <c r="AI364" i="17"/>
  <c r="AK364" i="17"/>
  <c r="AL364" i="17"/>
  <c r="AN364" i="17"/>
  <c r="AO364" i="17"/>
  <c r="D365" i="17"/>
  <c r="E365" i="17"/>
  <c r="G365" i="17"/>
  <c r="H365" i="17"/>
  <c r="J365" i="17"/>
  <c r="K365" i="17"/>
  <c r="M365" i="17"/>
  <c r="N365" i="17"/>
  <c r="P365" i="17"/>
  <c r="Q365" i="17"/>
  <c r="S365" i="17"/>
  <c r="T365" i="17"/>
  <c r="V365" i="17"/>
  <c r="W365" i="17"/>
  <c r="Y365" i="17"/>
  <c r="Z365" i="17"/>
  <c r="AB365" i="17"/>
  <c r="AC365" i="17"/>
  <c r="AE365" i="17"/>
  <c r="AF365" i="17"/>
  <c r="AH365" i="17"/>
  <c r="AI365" i="17"/>
  <c r="AK365" i="17"/>
  <c r="AL365" i="17"/>
  <c r="AN365" i="17"/>
  <c r="AO365" i="17"/>
  <c r="D366" i="17"/>
  <c r="E366" i="17"/>
  <c r="G366" i="17"/>
  <c r="H366" i="17"/>
  <c r="J366" i="17"/>
  <c r="K366" i="17"/>
  <c r="M366" i="17"/>
  <c r="N366" i="17"/>
  <c r="P366" i="17"/>
  <c r="Q366" i="17"/>
  <c r="S366" i="17"/>
  <c r="T366" i="17"/>
  <c r="V366" i="17"/>
  <c r="W366" i="17"/>
  <c r="Y366" i="17"/>
  <c r="Z366" i="17"/>
  <c r="AB366" i="17"/>
  <c r="AC366" i="17"/>
  <c r="AE366" i="17"/>
  <c r="AF366" i="17"/>
  <c r="AH366" i="17"/>
  <c r="AI366" i="17"/>
  <c r="AK366" i="17"/>
  <c r="AL366" i="17"/>
  <c r="AN366" i="17"/>
  <c r="AO366" i="17"/>
  <c r="B1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74" i="17"/>
  <c r="A275" i="17"/>
  <c r="A276" i="17"/>
  <c r="A277" i="17"/>
  <c r="A278" i="17"/>
  <c r="A279" i="17"/>
  <c r="A280" i="17"/>
  <c r="A281" i="17"/>
  <c r="A282" i="17"/>
  <c r="A283" i="17"/>
  <c r="A284" i="17"/>
  <c r="A285" i="17"/>
  <c r="A286" i="17"/>
  <c r="A287" i="17"/>
  <c r="A288" i="17"/>
  <c r="A289" i="17"/>
  <c r="A290" i="17"/>
  <c r="A291" i="17"/>
  <c r="A292" i="17"/>
  <c r="A293" i="17"/>
  <c r="A294" i="17"/>
  <c r="A295" i="17"/>
  <c r="A296" i="17"/>
  <c r="A297" i="17"/>
  <c r="A298" i="17"/>
  <c r="A299" i="17"/>
  <c r="A300" i="17"/>
  <c r="A301" i="17"/>
  <c r="A302" i="17"/>
  <c r="A303" i="17"/>
  <c r="A304" i="17"/>
  <c r="A305" i="17"/>
  <c r="A306" i="17"/>
  <c r="A307" i="17"/>
  <c r="A308" i="17"/>
  <c r="A309" i="17"/>
  <c r="A310" i="17"/>
  <c r="A311" i="17"/>
  <c r="A312" i="17"/>
  <c r="A313" i="17"/>
  <c r="A314" i="17"/>
  <c r="A315" i="17"/>
  <c r="A316" i="17"/>
  <c r="A317" i="17"/>
  <c r="A318" i="17"/>
  <c r="A319" i="17"/>
  <c r="A320" i="17"/>
  <c r="A321" i="17"/>
  <c r="A322" i="17"/>
  <c r="A323" i="17"/>
  <c r="A324" i="17"/>
  <c r="A325" i="17"/>
  <c r="A326" i="17"/>
  <c r="A327" i="17"/>
  <c r="A328" i="17"/>
  <c r="A329" i="17"/>
  <c r="A330" i="17"/>
  <c r="A331" i="17"/>
  <c r="A332" i="17"/>
  <c r="A333" i="17"/>
  <c r="A334" i="17"/>
  <c r="A335" i="17"/>
  <c r="A336" i="17"/>
  <c r="A337" i="17"/>
  <c r="A338" i="17"/>
  <c r="A339" i="17"/>
  <c r="A340" i="17"/>
  <c r="A341" i="17"/>
  <c r="A342" i="17"/>
  <c r="A343" i="17"/>
  <c r="A344" i="17"/>
  <c r="A345" i="17"/>
  <c r="A346" i="17"/>
  <c r="A347" i="17"/>
  <c r="A348" i="17"/>
  <c r="A349" i="17"/>
  <c r="A350" i="17"/>
  <c r="A351" i="17"/>
  <c r="A352" i="17"/>
  <c r="A353" i="17"/>
  <c r="A354" i="17"/>
  <c r="A355" i="17"/>
  <c r="A356" i="17"/>
  <c r="A357" i="17"/>
  <c r="A358" i="17"/>
  <c r="A359" i="17"/>
  <c r="A360" i="17"/>
  <c r="A361" i="17"/>
  <c r="A362" i="17"/>
  <c r="A363" i="17"/>
  <c r="A364" i="17"/>
  <c r="A365" i="17"/>
  <c r="A366" i="17"/>
  <c r="AM1" i="17"/>
  <c r="AN1" i="17"/>
  <c r="AO1" i="17"/>
  <c r="AP1" i="17"/>
  <c r="T1" i="17"/>
  <c r="U1" i="17"/>
  <c r="V1" i="17"/>
  <c r="W1" i="17"/>
  <c r="X1" i="17"/>
  <c r="Y1" i="17"/>
  <c r="Z1" i="17"/>
  <c r="AA1" i="17"/>
  <c r="AB1" i="17"/>
  <c r="AC1" i="17"/>
  <c r="AD1" i="17"/>
  <c r="AE1" i="17"/>
  <c r="AF1" i="17"/>
  <c r="AG1" i="17"/>
  <c r="AH1" i="17"/>
  <c r="AI1" i="17"/>
  <c r="AJ1" i="17"/>
  <c r="AK1" i="17"/>
  <c r="AL1" i="17"/>
  <c r="C1" i="17"/>
  <c r="D1" i="17"/>
  <c r="E1" i="17"/>
  <c r="F1" i="17"/>
  <c r="G1" i="17"/>
  <c r="H1" i="17"/>
  <c r="I1" i="17"/>
  <c r="J1" i="17"/>
  <c r="K1" i="17"/>
  <c r="L1" i="17"/>
  <c r="M1" i="17"/>
  <c r="N1" i="17"/>
  <c r="O1" i="17"/>
  <c r="P1" i="17"/>
  <c r="Q1" i="17"/>
  <c r="R1" i="17"/>
  <c r="S1" i="17"/>
  <c r="A3" i="17"/>
  <c r="A4" i="17"/>
  <c r="A5" i="17"/>
  <c r="A6" i="17"/>
  <c r="A2" i="17"/>
  <c r="A1" i="17"/>
  <c r="N1359" i="15"/>
  <c r="N1358" i="15"/>
  <c r="N1357" i="15"/>
  <c r="N1356" i="15"/>
  <c r="N1355" i="15"/>
  <c r="N1354" i="15"/>
  <c r="N1353" i="15"/>
  <c r="N1352" i="15"/>
  <c r="N1351" i="15"/>
  <c r="N1350" i="15"/>
  <c r="N1349" i="15"/>
  <c r="N1348" i="15"/>
  <c r="N1347" i="15"/>
  <c r="N1346" i="15"/>
  <c r="N1345" i="15"/>
  <c r="N1344" i="15"/>
  <c r="N1343" i="15"/>
  <c r="N1342" i="15"/>
  <c r="N1341" i="15"/>
  <c r="N1340" i="15"/>
  <c r="N1339" i="15"/>
  <c r="N1338" i="15"/>
  <c r="N1337" i="15"/>
  <c r="N1336" i="15"/>
  <c r="N1335" i="15"/>
  <c r="N1334" i="15"/>
  <c r="N1333" i="15"/>
  <c r="N1332" i="15"/>
  <c r="N1331" i="15"/>
  <c r="N1330" i="15"/>
  <c r="N1329" i="15"/>
  <c r="N1328" i="15"/>
  <c r="N1327" i="15"/>
  <c r="N1326" i="15"/>
  <c r="N1325" i="15"/>
  <c r="N1324" i="15"/>
  <c r="N1323" i="15"/>
  <c r="N1322" i="15"/>
  <c r="N1321" i="15"/>
  <c r="N1320" i="15"/>
  <c r="N1319" i="15"/>
  <c r="N1318" i="15"/>
  <c r="N1317" i="15"/>
  <c r="N1316" i="15"/>
  <c r="N1315" i="15"/>
  <c r="N1314" i="15"/>
  <c r="N1313" i="15"/>
  <c r="N1312" i="15"/>
  <c r="N1311" i="15"/>
  <c r="N1310" i="15"/>
  <c r="N1309" i="15"/>
  <c r="N1308" i="15"/>
  <c r="N1307" i="15"/>
  <c r="N1306" i="15"/>
  <c r="N1305" i="15"/>
  <c r="N1304" i="15"/>
  <c r="N1303" i="15"/>
  <c r="N1302" i="15"/>
  <c r="N1301" i="15"/>
  <c r="N1300" i="15"/>
  <c r="N1299" i="15"/>
  <c r="N1298" i="15"/>
  <c r="N1297" i="15"/>
  <c r="N1296" i="15"/>
  <c r="N1295" i="15"/>
  <c r="N1294" i="15"/>
  <c r="N1293" i="15"/>
  <c r="N1292" i="15"/>
  <c r="N1291" i="15"/>
  <c r="N1290" i="15"/>
  <c r="N1289" i="15"/>
  <c r="N1288" i="15"/>
  <c r="N1287" i="15"/>
  <c r="N1286" i="15"/>
  <c r="N1285" i="15"/>
  <c r="N1284" i="15"/>
  <c r="N1283" i="15"/>
  <c r="N1282" i="15"/>
  <c r="N1281" i="15"/>
  <c r="N1280" i="15"/>
  <c r="N1279" i="15"/>
  <c r="N1278" i="15"/>
  <c r="N1277" i="15"/>
  <c r="N1276" i="15"/>
  <c r="N1275" i="15"/>
  <c r="N1274" i="15"/>
  <c r="N1273" i="15"/>
  <c r="N1272" i="15"/>
  <c r="N1271" i="15"/>
  <c r="N1270" i="15"/>
  <c r="N1269" i="15"/>
  <c r="N1268" i="15"/>
  <c r="N1267" i="15"/>
  <c r="N1266" i="15"/>
  <c r="N1265" i="15"/>
  <c r="N1264" i="15"/>
  <c r="N1263" i="15"/>
  <c r="N1262" i="15"/>
  <c r="N1261" i="15"/>
  <c r="N1260" i="15"/>
  <c r="N1259" i="15"/>
  <c r="N1258" i="15"/>
  <c r="N1257" i="15"/>
  <c r="N1256" i="15"/>
  <c r="N1255" i="15"/>
  <c r="N1254" i="15"/>
  <c r="N1253" i="15"/>
  <c r="N1252" i="15"/>
  <c r="N1251" i="15"/>
  <c r="N1250" i="15"/>
  <c r="N1249" i="15"/>
  <c r="N1248" i="15"/>
  <c r="N1247" i="15"/>
  <c r="N1246" i="15"/>
  <c r="N1245" i="15"/>
  <c r="N1244" i="15"/>
  <c r="N1243" i="15"/>
  <c r="N1242" i="15"/>
  <c r="N1241" i="15"/>
  <c r="N1240" i="15"/>
  <c r="N1239" i="15"/>
  <c r="N1238" i="15"/>
  <c r="N1237" i="15"/>
  <c r="N1236" i="15"/>
  <c r="N1235" i="15"/>
  <c r="N1234" i="15"/>
  <c r="N1233" i="15"/>
  <c r="N1232" i="15"/>
  <c r="N1231" i="15"/>
  <c r="N1230" i="15"/>
  <c r="N1229" i="15"/>
  <c r="N1228" i="15"/>
  <c r="N1227" i="15"/>
  <c r="N1226" i="15"/>
  <c r="N1225" i="15"/>
  <c r="N1224" i="15"/>
  <c r="N1223" i="15"/>
  <c r="N1222" i="15"/>
  <c r="N1221" i="15"/>
  <c r="N1220" i="15"/>
  <c r="N1219" i="15"/>
  <c r="N1218" i="15"/>
  <c r="N1217" i="15"/>
  <c r="N1216" i="15"/>
  <c r="N1215" i="15"/>
  <c r="N1214" i="15"/>
  <c r="N1213" i="15"/>
  <c r="N1212" i="15"/>
  <c r="N1211" i="15"/>
  <c r="N1210" i="15"/>
  <c r="N1209" i="15"/>
  <c r="N1208" i="15"/>
  <c r="N1207" i="15"/>
  <c r="N1206" i="15"/>
  <c r="N1205" i="15"/>
  <c r="N1204" i="15"/>
  <c r="N1203" i="15"/>
  <c r="N1202" i="15"/>
  <c r="N1201" i="15"/>
  <c r="N1200" i="15"/>
  <c r="N1199" i="15"/>
  <c r="N1198" i="15"/>
  <c r="N1197" i="15"/>
  <c r="N1196" i="15"/>
  <c r="N1195" i="15"/>
  <c r="N1194" i="15"/>
  <c r="N1193" i="15"/>
  <c r="N1192" i="15"/>
  <c r="N1191" i="15"/>
  <c r="N1190" i="15"/>
  <c r="N1189" i="15"/>
  <c r="N1188" i="15"/>
  <c r="N1187" i="15"/>
  <c r="N1186" i="15"/>
  <c r="N1185" i="15"/>
  <c r="N1184" i="15"/>
  <c r="N1183" i="15"/>
  <c r="N1182" i="15"/>
  <c r="N1181" i="15"/>
  <c r="N1180" i="15"/>
  <c r="N1179" i="15"/>
  <c r="N1178" i="15"/>
  <c r="N1177" i="15"/>
  <c r="N1176" i="15"/>
  <c r="N1175" i="15"/>
  <c r="N1174" i="15"/>
  <c r="N1173" i="15"/>
  <c r="N1172" i="15"/>
  <c r="N1171" i="15"/>
  <c r="N1170" i="15"/>
  <c r="N1169" i="15"/>
  <c r="N1168" i="15"/>
  <c r="N1167" i="15"/>
  <c r="N1166" i="15"/>
  <c r="N1165" i="15"/>
  <c r="N1164" i="15"/>
  <c r="N1163" i="15"/>
  <c r="N1162" i="15"/>
  <c r="N1161" i="15"/>
  <c r="N1160" i="15"/>
  <c r="N1159" i="15"/>
  <c r="N1158" i="15"/>
  <c r="N1157" i="15"/>
  <c r="N1156" i="15"/>
  <c r="N1155" i="15"/>
  <c r="N1154" i="15"/>
  <c r="N1153" i="15"/>
  <c r="N1152" i="15"/>
  <c r="N1151" i="15"/>
  <c r="N1150" i="15"/>
  <c r="N1149" i="15"/>
  <c r="N1148" i="15"/>
  <c r="N1147" i="15"/>
  <c r="N1146" i="15"/>
  <c r="N1145" i="15"/>
  <c r="N1144" i="15"/>
  <c r="N1143" i="15"/>
  <c r="N1142" i="15"/>
  <c r="N1141" i="15"/>
  <c r="N1140" i="15"/>
  <c r="N1139" i="15"/>
  <c r="N1138" i="15"/>
  <c r="N1137" i="15"/>
  <c r="N1136" i="15"/>
  <c r="N1135" i="15"/>
  <c r="N1134" i="15"/>
  <c r="N1133" i="15"/>
  <c r="N1132" i="15"/>
  <c r="N1131" i="15"/>
  <c r="N1130" i="15"/>
  <c r="N1129" i="15"/>
  <c r="N1128" i="15"/>
  <c r="N1127" i="15"/>
  <c r="N1126" i="15"/>
  <c r="N1125" i="15"/>
  <c r="N1124" i="15"/>
  <c r="N1123" i="15"/>
  <c r="N1122" i="15"/>
  <c r="N1121" i="15"/>
  <c r="N1120" i="15"/>
  <c r="N1119" i="15"/>
  <c r="N1118" i="15"/>
  <c r="N1117" i="15"/>
  <c r="N1116" i="15"/>
  <c r="N1115" i="15"/>
  <c r="N1114" i="15"/>
  <c r="N1113" i="15"/>
  <c r="N1112" i="15"/>
  <c r="N1111" i="15"/>
  <c r="N1110" i="15"/>
  <c r="N1109" i="15"/>
  <c r="N1108" i="15"/>
  <c r="N1107" i="15"/>
  <c r="N1106" i="15"/>
  <c r="N1105" i="15"/>
  <c r="N1104" i="15"/>
  <c r="N1103" i="15"/>
  <c r="N1102" i="15"/>
  <c r="N1101" i="15"/>
  <c r="N1100" i="15"/>
  <c r="N1099" i="15"/>
  <c r="N1098" i="15"/>
  <c r="N1097" i="15"/>
  <c r="N1096" i="15"/>
  <c r="N1095" i="15"/>
  <c r="N1094" i="15"/>
  <c r="N1093" i="15"/>
  <c r="N1092" i="15"/>
  <c r="N1091" i="15"/>
  <c r="N1090" i="15"/>
  <c r="N1089" i="15"/>
  <c r="N1088" i="15"/>
  <c r="N1087" i="15"/>
  <c r="N1086" i="15"/>
  <c r="N1085" i="15"/>
  <c r="N1084" i="15"/>
  <c r="N1083" i="15"/>
  <c r="N1082" i="15"/>
  <c r="N1081" i="15"/>
  <c r="N1080" i="15"/>
  <c r="N1079" i="15"/>
  <c r="N1078" i="15"/>
  <c r="N1077" i="15"/>
  <c r="N1076" i="15"/>
  <c r="N1075" i="15"/>
  <c r="N1074" i="15"/>
  <c r="N1073" i="15"/>
  <c r="N1072" i="15"/>
  <c r="N1071" i="15"/>
  <c r="N1070" i="15"/>
  <c r="N1069" i="15"/>
  <c r="N1068" i="15"/>
  <c r="N1067" i="15"/>
  <c r="N1066" i="15"/>
  <c r="N1065" i="15"/>
  <c r="N1064" i="15"/>
  <c r="N1063" i="15"/>
  <c r="N1062" i="15"/>
  <c r="N1061" i="15"/>
  <c r="N1060" i="15"/>
  <c r="N1059" i="15"/>
  <c r="N1058" i="15"/>
  <c r="N1057" i="15"/>
  <c r="N1056" i="15"/>
  <c r="N1055" i="15"/>
  <c r="N1054" i="15"/>
  <c r="N1053" i="15"/>
  <c r="N1052" i="15"/>
  <c r="N1051" i="15"/>
  <c r="N1050" i="15"/>
  <c r="N1049" i="15"/>
  <c r="N1048" i="15"/>
  <c r="N1047" i="15"/>
  <c r="N1046" i="15"/>
  <c r="N1045" i="15"/>
  <c r="N1044" i="15"/>
  <c r="N1043" i="15"/>
  <c r="N1042" i="15"/>
  <c r="N1041" i="15"/>
  <c r="N1040" i="15"/>
  <c r="N1039" i="15"/>
  <c r="N1038" i="15"/>
  <c r="N1037" i="15"/>
  <c r="N1036" i="15"/>
  <c r="N1035" i="15"/>
  <c r="N1034" i="15"/>
  <c r="N1033" i="15"/>
  <c r="N1032" i="15"/>
  <c r="N1031" i="15"/>
  <c r="N1030" i="15"/>
  <c r="N1029" i="15"/>
  <c r="N1028" i="15"/>
  <c r="N1027" i="15"/>
  <c r="N1026" i="15"/>
  <c r="N1025" i="15"/>
  <c r="N1024" i="15"/>
  <c r="N1023" i="15"/>
  <c r="N1022" i="15"/>
  <c r="N1021" i="15"/>
  <c r="N1020" i="15"/>
  <c r="N1019" i="15"/>
  <c r="N1018" i="15"/>
  <c r="N1017" i="15"/>
  <c r="N1016" i="15"/>
  <c r="N1015" i="15"/>
  <c r="N1014" i="15"/>
  <c r="N1013" i="15"/>
  <c r="N1012" i="15"/>
  <c r="N1011" i="15"/>
  <c r="N1010" i="15"/>
  <c r="N1009" i="15"/>
  <c r="N1008" i="15"/>
  <c r="N1007" i="15"/>
  <c r="N1006" i="15"/>
  <c r="N1005" i="15"/>
  <c r="N1004" i="15"/>
  <c r="N1003" i="15"/>
  <c r="N1002" i="15"/>
  <c r="N1001" i="15"/>
  <c r="N1000" i="15"/>
  <c r="N999" i="15"/>
  <c r="N998" i="15"/>
  <c r="N997" i="15"/>
  <c r="N996" i="15"/>
  <c r="N995" i="15"/>
  <c r="N994" i="15"/>
  <c r="N993" i="15"/>
  <c r="N992" i="15"/>
  <c r="N991" i="15"/>
  <c r="N990" i="15"/>
  <c r="N989" i="15"/>
  <c r="N988" i="15"/>
  <c r="N987" i="15"/>
  <c r="N986" i="15"/>
  <c r="N985" i="15"/>
  <c r="N984" i="15"/>
  <c r="N983" i="15"/>
  <c r="N982" i="15"/>
  <c r="N981" i="15"/>
  <c r="N980" i="15"/>
  <c r="N979" i="15"/>
  <c r="N978" i="15"/>
  <c r="N977" i="15"/>
  <c r="N976" i="15"/>
  <c r="N975" i="15"/>
  <c r="N974" i="15"/>
  <c r="N973" i="15"/>
  <c r="N972" i="15"/>
  <c r="N971" i="15"/>
  <c r="N970" i="15"/>
  <c r="N969" i="15"/>
  <c r="N968" i="15"/>
  <c r="N967" i="15"/>
  <c r="N966" i="15"/>
  <c r="N965" i="15"/>
  <c r="N964" i="15"/>
  <c r="N963" i="15"/>
  <c r="N962" i="15"/>
  <c r="N961" i="15"/>
  <c r="N960" i="15"/>
  <c r="N959" i="15"/>
  <c r="N958" i="15"/>
  <c r="N957" i="15"/>
  <c r="N956" i="15"/>
  <c r="N955" i="15"/>
  <c r="N954" i="15"/>
  <c r="N953" i="15"/>
  <c r="N952" i="15"/>
  <c r="N951" i="15"/>
  <c r="N950" i="15"/>
  <c r="N949" i="15"/>
  <c r="N948" i="15"/>
  <c r="N947" i="15"/>
  <c r="N946" i="15"/>
  <c r="N945" i="15"/>
  <c r="N944" i="15"/>
  <c r="N943" i="15"/>
  <c r="N942" i="15"/>
  <c r="N941" i="15"/>
  <c r="N940" i="15"/>
  <c r="N939" i="15"/>
  <c r="N938" i="15"/>
  <c r="N937" i="15"/>
  <c r="N936" i="15"/>
  <c r="N935" i="15"/>
  <c r="N934" i="15"/>
  <c r="N933" i="15"/>
  <c r="N932" i="15"/>
  <c r="N931" i="15"/>
  <c r="N930" i="15"/>
  <c r="N929" i="15"/>
  <c r="N928" i="15"/>
  <c r="N927" i="15"/>
  <c r="N926" i="15"/>
  <c r="N925" i="15"/>
  <c r="N924" i="15"/>
  <c r="N923" i="15"/>
  <c r="N922" i="15"/>
  <c r="N921" i="15"/>
  <c r="N920" i="15"/>
  <c r="N919" i="15"/>
  <c r="N918" i="15"/>
  <c r="N917" i="15"/>
  <c r="N916" i="15"/>
  <c r="N915" i="15"/>
  <c r="N914" i="15"/>
  <c r="N913" i="15"/>
  <c r="N912" i="15"/>
  <c r="N911" i="15"/>
  <c r="N910" i="15"/>
  <c r="N909" i="15"/>
  <c r="N908" i="15"/>
  <c r="N907" i="15"/>
  <c r="N906" i="15"/>
  <c r="N905" i="15"/>
  <c r="N904" i="15"/>
  <c r="N903" i="15"/>
  <c r="N902" i="15"/>
  <c r="N901" i="15"/>
  <c r="N900" i="15"/>
  <c r="N899" i="15"/>
  <c r="N898" i="15"/>
  <c r="N897" i="15"/>
  <c r="N896" i="15"/>
  <c r="N895" i="15"/>
  <c r="N894" i="15"/>
  <c r="N893" i="15"/>
  <c r="N892" i="15"/>
  <c r="N891" i="15"/>
  <c r="N890" i="15"/>
  <c r="N889" i="15"/>
  <c r="N888" i="15"/>
  <c r="N887" i="15"/>
  <c r="N886" i="15"/>
  <c r="N885" i="15"/>
  <c r="N884" i="15"/>
  <c r="N883" i="15"/>
  <c r="N882" i="15"/>
  <c r="N881" i="15"/>
  <c r="N880" i="15"/>
  <c r="N879" i="15"/>
  <c r="N878" i="15"/>
  <c r="N877" i="15"/>
  <c r="N876" i="15"/>
  <c r="N875" i="15"/>
  <c r="N874" i="15"/>
  <c r="N873" i="15"/>
  <c r="N872" i="15"/>
  <c r="N871" i="15"/>
  <c r="N870" i="15"/>
  <c r="N869" i="15"/>
  <c r="N868" i="15"/>
  <c r="N867" i="15"/>
  <c r="N866" i="15"/>
  <c r="N865" i="15"/>
  <c r="N864" i="15"/>
  <c r="N863" i="15"/>
  <c r="N862" i="15"/>
  <c r="N861" i="15"/>
  <c r="N860" i="15"/>
  <c r="N859" i="15"/>
  <c r="N858" i="15"/>
  <c r="N857" i="15"/>
  <c r="N856" i="15"/>
  <c r="N855" i="15"/>
  <c r="N854" i="15"/>
  <c r="N853" i="15"/>
  <c r="N852" i="15"/>
  <c r="N851" i="15"/>
  <c r="N850" i="15"/>
  <c r="N849" i="15"/>
  <c r="N848" i="15"/>
  <c r="N847" i="15"/>
  <c r="N846" i="15"/>
  <c r="N845" i="15"/>
  <c r="N844" i="15"/>
  <c r="N843" i="15"/>
  <c r="N842" i="15"/>
  <c r="N841" i="15"/>
  <c r="N840" i="15"/>
  <c r="N839" i="15"/>
  <c r="N838" i="15"/>
  <c r="N837" i="15"/>
  <c r="N836" i="15"/>
  <c r="N835" i="15"/>
  <c r="N834" i="15"/>
  <c r="N833" i="15"/>
  <c r="N832" i="15"/>
  <c r="N831" i="15"/>
  <c r="N830" i="15"/>
  <c r="N829" i="15"/>
  <c r="N828" i="15"/>
  <c r="N827" i="15"/>
  <c r="N826" i="15"/>
  <c r="N825" i="15"/>
  <c r="N824" i="15"/>
  <c r="N823" i="15"/>
  <c r="N822" i="15"/>
  <c r="N821" i="15"/>
  <c r="N820" i="15"/>
  <c r="N819" i="15"/>
  <c r="N818" i="15"/>
  <c r="N817" i="15"/>
  <c r="N816" i="15"/>
  <c r="N815" i="15"/>
  <c r="N814" i="15"/>
  <c r="N813" i="15"/>
  <c r="N812" i="15"/>
  <c r="N811" i="15"/>
  <c r="N810" i="15"/>
  <c r="N809" i="15"/>
  <c r="N808" i="15"/>
  <c r="N807" i="15"/>
  <c r="N806" i="15"/>
  <c r="N805" i="15"/>
  <c r="N804" i="15"/>
  <c r="N803" i="15"/>
  <c r="N802" i="15"/>
  <c r="N801" i="15"/>
  <c r="N800" i="15"/>
  <c r="N799" i="15"/>
  <c r="N798" i="15"/>
  <c r="N797" i="15"/>
  <c r="N796" i="15"/>
  <c r="N795" i="15"/>
  <c r="N794" i="15"/>
  <c r="N793" i="15"/>
  <c r="N792" i="15"/>
  <c r="N791" i="15"/>
  <c r="N790" i="15"/>
  <c r="N789" i="15"/>
  <c r="N788" i="15"/>
  <c r="N787" i="15"/>
  <c r="N786" i="15"/>
  <c r="N785" i="15"/>
  <c r="N784" i="15"/>
  <c r="N783" i="15"/>
  <c r="N782" i="15"/>
  <c r="N781" i="15"/>
  <c r="N780" i="15"/>
  <c r="N779" i="15"/>
  <c r="N778" i="15"/>
  <c r="N777" i="15"/>
  <c r="N776" i="15"/>
  <c r="N775" i="15"/>
  <c r="N774" i="15"/>
  <c r="N773" i="15"/>
  <c r="N772" i="15"/>
  <c r="N771" i="15"/>
  <c r="N770" i="15"/>
  <c r="N769" i="15"/>
  <c r="N768" i="15"/>
  <c r="N767" i="15"/>
  <c r="N766" i="15"/>
  <c r="N765" i="15"/>
  <c r="N764" i="15"/>
  <c r="N763" i="15"/>
  <c r="N762" i="15"/>
  <c r="N761" i="15"/>
  <c r="N760" i="15"/>
  <c r="N759" i="15"/>
  <c r="N758" i="15"/>
  <c r="N757" i="15"/>
  <c r="N756" i="15"/>
  <c r="N755" i="15"/>
  <c r="N754" i="15"/>
  <c r="N753" i="15"/>
  <c r="N752" i="15"/>
  <c r="N751" i="15"/>
  <c r="N750" i="15"/>
  <c r="N749" i="15"/>
  <c r="N748" i="15"/>
  <c r="N747" i="15"/>
  <c r="N746" i="15"/>
  <c r="N745" i="15"/>
  <c r="N744" i="15"/>
  <c r="N743" i="15"/>
  <c r="N742" i="15"/>
  <c r="N741" i="15"/>
  <c r="N740" i="15"/>
  <c r="N739" i="15"/>
  <c r="N738" i="15"/>
  <c r="N737" i="15"/>
  <c r="N736" i="15"/>
  <c r="N735" i="15"/>
  <c r="N734" i="15"/>
  <c r="N733" i="15"/>
  <c r="N732" i="15"/>
  <c r="N731" i="15"/>
  <c r="N730" i="15"/>
  <c r="N729" i="15"/>
  <c r="N728" i="15"/>
  <c r="N727" i="15"/>
  <c r="N726" i="15"/>
  <c r="N725" i="15"/>
  <c r="N724" i="15"/>
  <c r="N723" i="15"/>
  <c r="N722" i="15"/>
  <c r="N721" i="15"/>
  <c r="N720" i="15"/>
  <c r="N719" i="15"/>
  <c r="N718" i="15"/>
  <c r="N717" i="15"/>
  <c r="N716" i="15"/>
  <c r="N715" i="15"/>
  <c r="N714" i="15"/>
  <c r="N713" i="15"/>
  <c r="N712" i="15"/>
  <c r="N711" i="15"/>
  <c r="N710" i="15"/>
  <c r="N709" i="15"/>
  <c r="N708" i="15"/>
  <c r="N707" i="15"/>
  <c r="N706" i="15"/>
  <c r="N705" i="15"/>
  <c r="N704" i="15"/>
  <c r="N703" i="15"/>
  <c r="N702" i="15"/>
  <c r="N701" i="15"/>
  <c r="N700" i="15"/>
  <c r="N699" i="15"/>
  <c r="N698" i="15"/>
  <c r="N697" i="15"/>
  <c r="N696" i="15"/>
  <c r="N695" i="15"/>
  <c r="N694" i="15"/>
  <c r="N693" i="15"/>
  <c r="N692" i="15"/>
  <c r="N691" i="15"/>
  <c r="N690" i="15"/>
  <c r="N689" i="15"/>
  <c r="N688" i="15"/>
  <c r="N687" i="15"/>
  <c r="N686" i="15"/>
  <c r="N685" i="15"/>
  <c r="N684" i="15"/>
  <c r="N683" i="15"/>
  <c r="N682" i="15"/>
  <c r="N681" i="15"/>
  <c r="N680" i="15"/>
  <c r="N679" i="15"/>
  <c r="N678" i="15"/>
  <c r="N677" i="15"/>
  <c r="N676" i="15"/>
  <c r="N675" i="15"/>
  <c r="N674" i="15"/>
  <c r="N673" i="15"/>
  <c r="N672" i="15"/>
  <c r="N671" i="15"/>
  <c r="N670" i="15"/>
  <c r="N669" i="15"/>
  <c r="N668" i="15"/>
  <c r="N667" i="15"/>
  <c r="N666" i="15"/>
  <c r="N665" i="15"/>
  <c r="N664" i="15"/>
  <c r="N663" i="15"/>
  <c r="N662" i="15"/>
  <c r="N661" i="15"/>
  <c r="N660" i="15"/>
  <c r="N659" i="15"/>
  <c r="N658" i="15"/>
  <c r="N657" i="15"/>
  <c r="N656" i="15"/>
  <c r="N655" i="15"/>
  <c r="N654" i="15"/>
  <c r="N653" i="15"/>
  <c r="N652" i="15"/>
  <c r="N651" i="15"/>
  <c r="N650" i="15"/>
  <c r="N649" i="15"/>
  <c r="N648" i="15"/>
  <c r="N647" i="15"/>
  <c r="N646" i="15"/>
  <c r="N645" i="15"/>
  <c r="N644" i="15"/>
  <c r="N643" i="15"/>
  <c r="N642" i="15"/>
  <c r="N641" i="15"/>
  <c r="N640" i="15"/>
  <c r="N639" i="15"/>
  <c r="N638" i="15"/>
  <c r="N637" i="15"/>
  <c r="N636" i="15"/>
  <c r="N635" i="15"/>
  <c r="N634" i="15"/>
  <c r="N633" i="15"/>
  <c r="N632" i="15"/>
  <c r="N631" i="15"/>
  <c r="N630" i="15"/>
  <c r="N629" i="15"/>
  <c r="N628" i="15"/>
  <c r="N627" i="15"/>
  <c r="N626" i="15"/>
  <c r="N625" i="15"/>
  <c r="N624" i="15"/>
  <c r="N623" i="15"/>
  <c r="N622" i="15"/>
  <c r="N621" i="15"/>
  <c r="N620" i="15"/>
  <c r="N619" i="15"/>
  <c r="N618" i="15"/>
  <c r="N617" i="15"/>
  <c r="N616" i="15"/>
  <c r="N615" i="15"/>
  <c r="N614" i="15"/>
  <c r="N613" i="15"/>
  <c r="N612" i="15"/>
  <c r="N611" i="15"/>
  <c r="N610" i="15"/>
  <c r="N609" i="15"/>
  <c r="N608" i="15"/>
  <c r="N607" i="15"/>
  <c r="N606" i="15"/>
  <c r="N605" i="15"/>
  <c r="N604" i="15"/>
  <c r="N603" i="15"/>
  <c r="N602" i="15"/>
  <c r="N601" i="15"/>
  <c r="N600" i="15"/>
  <c r="N599" i="15"/>
  <c r="N598" i="15"/>
  <c r="N597" i="15"/>
  <c r="N596" i="15"/>
  <c r="N595" i="15"/>
  <c r="N594" i="15"/>
  <c r="N593" i="15"/>
  <c r="N592" i="15"/>
  <c r="N591" i="15"/>
  <c r="N590" i="15"/>
  <c r="N589" i="15"/>
  <c r="N588" i="15"/>
  <c r="N587" i="15"/>
  <c r="N586" i="15"/>
  <c r="N585" i="15"/>
  <c r="N584" i="15"/>
  <c r="N583" i="15"/>
  <c r="N582" i="15"/>
  <c r="N581" i="15"/>
  <c r="N580" i="15"/>
  <c r="N579" i="15"/>
  <c r="N578" i="15"/>
  <c r="N577" i="15"/>
  <c r="N576" i="15"/>
  <c r="N575" i="15"/>
  <c r="N574" i="15"/>
  <c r="N573" i="15"/>
  <c r="N572" i="15"/>
  <c r="N571" i="15"/>
  <c r="N570" i="15"/>
  <c r="N569" i="15"/>
  <c r="N568" i="15"/>
  <c r="N567" i="15"/>
  <c r="N566" i="15"/>
  <c r="N565" i="15"/>
  <c r="N564" i="15"/>
  <c r="N563" i="15"/>
  <c r="N562" i="15"/>
  <c r="N561" i="15"/>
  <c r="N560" i="15"/>
  <c r="N559" i="15"/>
  <c r="N558" i="15"/>
  <c r="N557" i="15"/>
  <c r="N556" i="15"/>
  <c r="N555" i="15"/>
  <c r="N554" i="15"/>
  <c r="N553" i="15"/>
  <c r="N552" i="15"/>
  <c r="N551" i="15"/>
  <c r="N550" i="15"/>
  <c r="N549" i="15"/>
  <c r="N548" i="15"/>
  <c r="N547" i="15"/>
  <c r="N546" i="15"/>
  <c r="N545" i="15"/>
  <c r="L419" i="15"/>
  <c r="L418" i="15"/>
  <c r="L417" i="15"/>
  <c r="L416" i="15"/>
  <c r="L415" i="15"/>
  <c r="L414" i="15"/>
  <c r="L413" i="15"/>
  <c r="L412" i="15"/>
  <c r="L411" i="15"/>
  <c r="L410" i="15"/>
  <c r="L409" i="15"/>
  <c r="L408" i="15"/>
  <c r="L407" i="15"/>
  <c r="L406" i="15"/>
  <c r="L405" i="15"/>
  <c r="L404" i="15"/>
  <c r="L403" i="15"/>
  <c r="L402" i="15"/>
  <c r="L401" i="15"/>
  <c r="L400" i="15"/>
  <c r="L399" i="15"/>
  <c r="L398" i="15"/>
  <c r="L397" i="15"/>
  <c r="L396" i="15"/>
  <c r="L395" i="15"/>
  <c r="L394" i="15"/>
  <c r="L393" i="15"/>
  <c r="L392" i="15"/>
  <c r="L391" i="15"/>
  <c r="L390" i="15"/>
  <c r="L389" i="15"/>
  <c r="L388" i="15"/>
  <c r="L387" i="15"/>
  <c r="L386" i="15"/>
  <c r="L385" i="15"/>
  <c r="L384" i="15"/>
  <c r="L383" i="15"/>
  <c r="L382" i="15"/>
  <c r="L381" i="15"/>
  <c r="L380" i="15"/>
  <c r="L379" i="15"/>
  <c r="L378" i="15"/>
  <c r="L377" i="15"/>
  <c r="L376" i="15"/>
  <c r="L375" i="15"/>
  <c r="L374" i="15"/>
  <c r="L373" i="15"/>
  <c r="L372" i="15"/>
  <c r="L371" i="15"/>
  <c r="L370" i="15"/>
  <c r="L369" i="15"/>
  <c r="L368" i="15"/>
  <c r="L367" i="15"/>
  <c r="L366" i="15"/>
  <c r="L365" i="15"/>
  <c r="L364" i="15"/>
  <c r="L363" i="15"/>
  <c r="L362" i="15"/>
  <c r="L361" i="15"/>
  <c r="L360" i="15"/>
  <c r="L359" i="15"/>
  <c r="L358" i="15"/>
  <c r="L357" i="15"/>
  <c r="L356" i="15"/>
  <c r="L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C366" i="12"/>
  <c r="B366" i="12"/>
  <c r="C365" i="12"/>
  <c r="B365" i="12"/>
  <c r="C364" i="12"/>
  <c r="B364" i="12"/>
  <c r="C363" i="12"/>
  <c r="B363" i="12"/>
  <c r="C362" i="12"/>
  <c r="B362" i="12"/>
  <c r="C361" i="12"/>
  <c r="B361" i="12"/>
  <c r="C360" i="12"/>
  <c r="B360" i="12"/>
  <c r="C359" i="12"/>
  <c r="B359" i="12"/>
  <c r="C358" i="12"/>
  <c r="B358" i="12"/>
  <c r="C357" i="12"/>
  <c r="B357" i="12"/>
  <c r="C356" i="12"/>
  <c r="B356" i="12"/>
  <c r="C355" i="12"/>
  <c r="B355" i="12"/>
  <c r="C354" i="12"/>
  <c r="B354" i="12"/>
  <c r="C353" i="12"/>
  <c r="B353" i="12"/>
  <c r="C352" i="12"/>
  <c r="B352" i="12"/>
  <c r="C351" i="12"/>
  <c r="B351" i="12"/>
  <c r="C350" i="12"/>
  <c r="B350" i="12"/>
  <c r="C349" i="12"/>
  <c r="B349" i="12"/>
  <c r="C348" i="12"/>
  <c r="B348" i="12"/>
  <c r="C347" i="12"/>
  <c r="B347" i="12"/>
  <c r="C346" i="12"/>
  <c r="B346" i="12"/>
  <c r="C345" i="12"/>
  <c r="B345" i="12"/>
  <c r="C344" i="12"/>
  <c r="B344" i="12"/>
  <c r="C343" i="12"/>
  <c r="B343" i="12"/>
  <c r="C342" i="12"/>
  <c r="B342" i="12"/>
  <c r="C341" i="12"/>
  <c r="B341" i="12"/>
  <c r="C340" i="12"/>
  <c r="B340" i="12"/>
  <c r="C339" i="12"/>
  <c r="B339" i="12"/>
  <c r="C338" i="12"/>
  <c r="B338" i="12"/>
  <c r="C337" i="12"/>
  <c r="B337" i="12"/>
  <c r="C336" i="12"/>
  <c r="B336" i="12"/>
  <c r="C335" i="12"/>
  <c r="B335" i="12"/>
  <c r="C334" i="12"/>
  <c r="B334" i="12"/>
  <c r="C333" i="12"/>
  <c r="B333" i="12"/>
  <c r="C332" i="12"/>
  <c r="B332" i="12"/>
  <c r="C331" i="12"/>
  <c r="B331" i="12"/>
  <c r="C330" i="12"/>
  <c r="B330" i="12"/>
  <c r="C329" i="12"/>
  <c r="B329" i="12"/>
  <c r="C328" i="12"/>
  <c r="B328" i="12"/>
  <c r="C327" i="12"/>
  <c r="B327" i="12"/>
  <c r="C326" i="12"/>
  <c r="B326" i="12"/>
  <c r="C325" i="12"/>
  <c r="B325" i="12"/>
  <c r="C324" i="12"/>
  <c r="B324" i="12"/>
  <c r="C323" i="12"/>
  <c r="B323" i="12"/>
  <c r="C322" i="12"/>
  <c r="B322" i="12"/>
  <c r="C321" i="12"/>
  <c r="B321" i="12"/>
  <c r="C320" i="12"/>
  <c r="B320" i="12"/>
  <c r="C319" i="12"/>
  <c r="B319" i="12"/>
  <c r="C318" i="12"/>
  <c r="B318" i="12"/>
  <c r="C317" i="12"/>
  <c r="B317" i="12"/>
  <c r="C316" i="12"/>
  <c r="B316" i="12"/>
  <c r="C315" i="12"/>
  <c r="B315" i="12"/>
  <c r="C314" i="12"/>
  <c r="B314" i="12"/>
  <c r="C313" i="12"/>
  <c r="B313" i="12"/>
  <c r="C312" i="12"/>
  <c r="B312" i="12"/>
  <c r="C311" i="12"/>
  <c r="B311" i="12"/>
  <c r="C310" i="12"/>
  <c r="B310" i="12"/>
  <c r="C309" i="12"/>
  <c r="B309" i="12"/>
  <c r="C308" i="12"/>
  <c r="B308" i="12"/>
  <c r="C307" i="12"/>
  <c r="B307" i="12"/>
  <c r="C306" i="12"/>
  <c r="B306" i="12"/>
  <c r="C305" i="12"/>
  <c r="B305" i="12"/>
  <c r="C304" i="12"/>
  <c r="B304" i="12"/>
  <c r="C303" i="12"/>
  <c r="B303" i="12"/>
  <c r="C302" i="12"/>
  <c r="B302" i="12"/>
  <c r="C301" i="12"/>
  <c r="B301" i="12"/>
  <c r="C300" i="12"/>
  <c r="B300" i="12"/>
  <c r="C299" i="12"/>
  <c r="B299" i="12"/>
  <c r="C298" i="12"/>
  <c r="B298" i="12"/>
  <c r="C297" i="12"/>
  <c r="B297" i="12"/>
  <c r="C296" i="12"/>
  <c r="B296" i="12"/>
  <c r="C295" i="12"/>
  <c r="B295" i="12"/>
  <c r="C294" i="12"/>
  <c r="B294" i="12"/>
  <c r="C293" i="12"/>
  <c r="B293" i="12"/>
  <c r="C292" i="12"/>
  <c r="B292" i="12"/>
  <c r="C291" i="12"/>
  <c r="B291" i="12"/>
  <c r="C290" i="12"/>
  <c r="B290" i="12"/>
  <c r="C289" i="12"/>
  <c r="B289" i="12"/>
  <c r="C288" i="12"/>
  <c r="B288" i="12"/>
  <c r="C287" i="12"/>
  <c r="B287" i="12"/>
  <c r="C286" i="12"/>
  <c r="B286" i="12"/>
  <c r="C285" i="12"/>
  <c r="B285" i="12"/>
  <c r="C284" i="12"/>
  <c r="B284" i="12"/>
  <c r="C283" i="12"/>
  <c r="B283" i="12"/>
  <c r="C282" i="12"/>
  <c r="B282" i="12"/>
  <c r="C281" i="12"/>
  <c r="B281" i="12"/>
  <c r="C280" i="12"/>
  <c r="B280" i="12"/>
  <c r="C279" i="12"/>
  <c r="B279" i="12"/>
  <c r="C278" i="12"/>
  <c r="B278" i="12"/>
  <c r="C277" i="12"/>
  <c r="B277" i="12"/>
  <c r="C276" i="12"/>
  <c r="B276" i="12"/>
  <c r="C275" i="12"/>
  <c r="B275" i="12"/>
  <c r="C274" i="12"/>
  <c r="B274" i="12"/>
  <c r="C273" i="12"/>
  <c r="B273" i="12"/>
  <c r="C272" i="12"/>
  <c r="B272" i="12"/>
  <c r="C271" i="12"/>
  <c r="B271" i="12"/>
  <c r="C270" i="12"/>
  <c r="B270" i="12"/>
  <c r="C269" i="12"/>
  <c r="B269" i="12"/>
  <c r="C268" i="12"/>
  <c r="B268" i="12"/>
  <c r="C267" i="12"/>
  <c r="B267" i="12"/>
  <c r="C266" i="12"/>
  <c r="B266" i="12"/>
  <c r="C265" i="12"/>
  <c r="B265" i="12"/>
  <c r="C264" i="12"/>
  <c r="B264" i="12"/>
  <c r="C263" i="12"/>
  <c r="B263" i="12"/>
  <c r="C262" i="12"/>
  <c r="B262" i="12"/>
  <c r="C261" i="12"/>
  <c r="B261" i="12"/>
  <c r="C260" i="12"/>
  <c r="B260" i="12"/>
  <c r="C259" i="12"/>
  <c r="B259" i="12"/>
  <c r="C258" i="12"/>
  <c r="B258" i="12"/>
  <c r="C257" i="12"/>
  <c r="B257" i="12"/>
  <c r="C256" i="12"/>
  <c r="B256" i="12"/>
  <c r="C255" i="12"/>
  <c r="B255" i="12"/>
  <c r="C254" i="12"/>
  <c r="B254" i="12"/>
  <c r="C253" i="12"/>
  <c r="B253" i="12"/>
  <c r="C252" i="12"/>
  <c r="B252" i="12"/>
  <c r="C251" i="12"/>
  <c r="B251" i="12"/>
  <c r="C250" i="12"/>
  <c r="B250" i="12"/>
  <c r="C249" i="12"/>
  <c r="B249" i="12"/>
  <c r="C248" i="12"/>
  <c r="B248" i="12"/>
  <c r="C247" i="12"/>
  <c r="B247" i="12"/>
  <c r="C246" i="12"/>
  <c r="B246" i="12"/>
  <c r="C245" i="12"/>
  <c r="B245" i="12"/>
  <c r="C244" i="12"/>
  <c r="B244" i="12"/>
  <c r="C243" i="12"/>
  <c r="B243" i="12"/>
  <c r="C242" i="12"/>
  <c r="B242" i="12"/>
  <c r="C241" i="12"/>
  <c r="B241" i="12"/>
  <c r="C240" i="12"/>
  <c r="B240" i="12"/>
  <c r="C239" i="12"/>
  <c r="B239" i="12"/>
  <c r="C238" i="12"/>
  <c r="B238" i="12"/>
  <c r="C237" i="12"/>
  <c r="B237" i="12"/>
  <c r="C236" i="12"/>
  <c r="B236" i="12"/>
  <c r="C235" i="12"/>
  <c r="B235" i="12"/>
  <c r="C234" i="12"/>
  <c r="B234" i="12"/>
  <c r="C233" i="12"/>
  <c r="B233" i="12"/>
  <c r="C232" i="12"/>
  <c r="B232" i="12"/>
  <c r="C231" i="12"/>
  <c r="B231" i="12"/>
  <c r="C230" i="12"/>
  <c r="B230" i="12"/>
  <c r="C229" i="12"/>
  <c r="B229" i="12"/>
  <c r="C228" i="12"/>
  <c r="B228" i="12"/>
  <c r="C227" i="12"/>
  <c r="B227" i="12"/>
  <c r="C226" i="12"/>
  <c r="B226" i="12"/>
  <c r="C225" i="12"/>
  <c r="B225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C206" i="12"/>
  <c r="B206" i="12"/>
  <c r="C205" i="12"/>
  <c r="B205" i="12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J54" i="12"/>
  <c r="I54" i="12"/>
  <c r="H54" i="12"/>
  <c r="C54" i="12"/>
  <c r="B54" i="12"/>
  <c r="J53" i="12"/>
  <c r="I53" i="12"/>
  <c r="H53" i="12"/>
  <c r="C53" i="12"/>
  <c r="B53" i="12"/>
  <c r="J52" i="12"/>
  <c r="I52" i="12"/>
  <c r="H52" i="12"/>
  <c r="C52" i="12"/>
  <c r="B52" i="12"/>
  <c r="J51" i="12"/>
  <c r="I51" i="12"/>
  <c r="H51" i="12"/>
  <c r="C51" i="12"/>
  <c r="B51" i="12"/>
  <c r="J50" i="12"/>
  <c r="I50" i="12"/>
  <c r="H50" i="12"/>
  <c r="C50" i="12"/>
  <c r="B50" i="12"/>
  <c r="J49" i="12"/>
  <c r="I49" i="12"/>
  <c r="H49" i="12"/>
  <c r="C49" i="12"/>
  <c r="B49" i="12"/>
  <c r="J48" i="12"/>
  <c r="I48" i="12"/>
  <c r="H48" i="12"/>
  <c r="C48" i="12"/>
  <c r="B48" i="12"/>
  <c r="J47" i="12"/>
  <c r="I47" i="12"/>
  <c r="H47" i="12"/>
  <c r="C47" i="12"/>
  <c r="B47" i="12"/>
  <c r="J46" i="12"/>
  <c r="I46" i="12"/>
  <c r="H46" i="12"/>
  <c r="C46" i="12"/>
  <c r="B46" i="12"/>
  <c r="J45" i="12"/>
  <c r="I45" i="12"/>
  <c r="H45" i="12"/>
  <c r="C45" i="12"/>
  <c r="B45" i="12"/>
  <c r="J44" i="12"/>
  <c r="I44" i="12"/>
  <c r="H44" i="12"/>
  <c r="C44" i="12"/>
  <c r="B44" i="12"/>
  <c r="J43" i="12"/>
  <c r="I43" i="12"/>
  <c r="H43" i="12"/>
  <c r="C43" i="12"/>
  <c r="B43" i="12"/>
  <c r="J42" i="12"/>
  <c r="I42" i="12"/>
  <c r="H42" i="12"/>
  <c r="C42" i="12"/>
  <c r="B42" i="12"/>
  <c r="J41" i="12"/>
  <c r="I41" i="12"/>
  <c r="H41" i="12"/>
  <c r="C41" i="12"/>
  <c r="B41" i="12"/>
  <c r="J40" i="12"/>
  <c r="I40" i="12"/>
  <c r="H40" i="12"/>
  <c r="C40" i="12"/>
  <c r="B40" i="12"/>
  <c r="J39" i="12"/>
  <c r="I39" i="12"/>
  <c r="H39" i="12"/>
  <c r="C39" i="12"/>
  <c r="B39" i="12"/>
  <c r="J38" i="12"/>
  <c r="I38" i="12"/>
  <c r="H38" i="12"/>
  <c r="C38" i="12"/>
  <c r="B38" i="12"/>
  <c r="J37" i="12"/>
  <c r="I37" i="12"/>
  <c r="H37" i="12"/>
  <c r="C37" i="12"/>
  <c r="B37" i="12"/>
  <c r="J36" i="12"/>
  <c r="I36" i="12"/>
  <c r="H36" i="12"/>
  <c r="C36" i="12"/>
  <c r="B36" i="12"/>
  <c r="J35" i="12"/>
  <c r="I35" i="12"/>
  <c r="H35" i="12"/>
  <c r="C35" i="12"/>
  <c r="B35" i="12"/>
  <c r="J34" i="12"/>
  <c r="I34" i="12"/>
  <c r="H34" i="12"/>
  <c r="C34" i="12"/>
  <c r="B34" i="12"/>
  <c r="J33" i="12"/>
  <c r="I33" i="12"/>
  <c r="H33" i="12"/>
  <c r="C33" i="12"/>
  <c r="B33" i="12"/>
  <c r="J32" i="12"/>
  <c r="I32" i="12"/>
  <c r="H32" i="12"/>
  <c r="C32" i="12"/>
  <c r="B32" i="12"/>
  <c r="J31" i="12"/>
  <c r="I31" i="12"/>
  <c r="H31" i="12"/>
  <c r="C31" i="12"/>
  <c r="B31" i="12"/>
  <c r="J30" i="12"/>
  <c r="I30" i="12"/>
  <c r="H30" i="12"/>
  <c r="C30" i="12"/>
  <c r="B30" i="12"/>
  <c r="J29" i="12"/>
  <c r="I29" i="12"/>
  <c r="H29" i="12"/>
  <c r="C29" i="12"/>
  <c r="B29" i="12"/>
  <c r="J28" i="12"/>
  <c r="I28" i="12"/>
  <c r="H28" i="12"/>
  <c r="C28" i="12"/>
  <c r="B28" i="12"/>
  <c r="J27" i="12"/>
  <c r="I27" i="12"/>
  <c r="H27" i="12"/>
  <c r="C27" i="12"/>
  <c r="B27" i="12"/>
  <c r="J26" i="12"/>
  <c r="I26" i="12"/>
  <c r="H26" i="12"/>
  <c r="C26" i="12"/>
  <c r="B26" i="12"/>
  <c r="J25" i="12"/>
  <c r="I25" i="12"/>
  <c r="H25" i="12"/>
  <c r="C25" i="12"/>
  <c r="B25" i="12"/>
  <c r="J24" i="12"/>
  <c r="I24" i="12"/>
  <c r="H24" i="12"/>
  <c r="C24" i="12"/>
  <c r="B24" i="12"/>
  <c r="J23" i="12"/>
  <c r="I23" i="12"/>
  <c r="H23" i="12"/>
  <c r="C23" i="12"/>
  <c r="B23" i="12"/>
  <c r="J22" i="12"/>
  <c r="I22" i="12"/>
  <c r="H22" i="12"/>
  <c r="C22" i="12"/>
  <c r="B22" i="12"/>
  <c r="J21" i="12"/>
  <c r="I21" i="12"/>
  <c r="H21" i="12"/>
  <c r="C21" i="12"/>
  <c r="B21" i="12"/>
  <c r="J20" i="12"/>
  <c r="I20" i="12"/>
  <c r="H20" i="12"/>
  <c r="C20" i="12"/>
  <c r="B20" i="12"/>
  <c r="J19" i="12"/>
  <c r="I19" i="12"/>
  <c r="H19" i="12"/>
  <c r="C19" i="12"/>
  <c r="B19" i="12"/>
  <c r="J18" i="12"/>
  <c r="I18" i="12"/>
  <c r="H18" i="12"/>
  <c r="C18" i="12"/>
  <c r="B18" i="12"/>
  <c r="J17" i="12"/>
  <c r="I17" i="12"/>
  <c r="H17" i="12"/>
  <c r="C17" i="12"/>
  <c r="B17" i="12"/>
  <c r="J16" i="12"/>
  <c r="I16" i="12"/>
  <c r="H16" i="12"/>
  <c r="C16" i="12"/>
  <c r="B16" i="12"/>
  <c r="J15" i="12"/>
  <c r="I15" i="12"/>
  <c r="H15" i="12"/>
  <c r="C15" i="12"/>
  <c r="B15" i="12"/>
  <c r="J14" i="12"/>
  <c r="I14" i="12"/>
  <c r="H14" i="12"/>
  <c r="C14" i="12"/>
  <c r="B14" i="12"/>
  <c r="J13" i="12"/>
  <c r="I13" i="12"/>
  <c r="H13" i="12"/>
  <c r="C13" i="12"/>
  <c r="B13" i="12"/>
  <c r="J12" i="12"/>
  <c r="I12" i="12"/>
  <c r="H12" i="12"/>
  <c r="C12" i="12"/>
  <c r="B12" i="12"/>
  <c r="J11" i="12"/>
  <c r="I11" i="12"/>
  <c r="H11" i="12"/>
  <c r="C11" i="12"/>
  <c r="B11" i="12"/>
  <c r="J10" i="12"/>
  <c r="I10" i="12"/>
  <c r="H10" i="12"/>
  <c r="C10" i="12"/>
  <c r="B10" i="12"/>
  <c r="J9" i="12"/>
  <c r="I9" i="12"/>
  <c r="H9" i="12"/>
  <c r="C9" i="12"/>
  <c r="B9" i="12"/>
  <c r="J8" i="12"/>
  <c r="I8" i="12"/>
  <c r="H8" i="12"/>
  <c r="C8" i="12"/>
  <c r="B8" i="12"/>
  <c r="J7" i="12"/>
  <c r="I7" i="12"/>
  <c r="H7" i="12"/>
  <c r="C7" i="12"/>
  <c r="B7" i="12"/>
  <c r="J6" i="12"/>
  <c r="I6" i="12"/>
  <c r="H6" i="12"/>
  <c r="C6" i="12"/>
  <c r="B6" i="12"/>
  <c r="J5" i="12"/>
  <c r="I5" i="12"/>
  <c r="H5" i="12"/>
  <c r="C5" i="12"/>
  <c r="B5" i="12"/>
  <c r="J4" i="12"/>
  <c r="I4" i="12"/>
  <c r="H4" i="12"/>
  <c r="C4" i="12"/>
  <c r="B4" i="12"/>
  <c r="J3" i="12"/>
  <c r="I3" i="12"/>
  <c r="H3" i="12"/>
  <c r="C3" i="12"/>
  <c r="B3" i="12"/>
  <c r="J2" i="12"/>
  <c r="I2" i="12"/>
  <c r="H2" i="12"/>
  <c r="C2" i="12"/>
  <c r="B2" i="12"/>
  <c r="F1411" i="11"/>
  <c r="F1410" i="11"/>
  <c r="F1409" i="11"/>
  <c r="F1408" i="11"/>
  <c r="F1407" i="11"/>
  <c r="F1406" i="11"/>
  <c r="F1405" i="11"/>
  <c r="F1404" i="11"/>
  <c r="F1403" i="11"/>
  <c r="F1402" i="11"/>
  <c r="F1401" i="11"/>
  <c r="F1400" i="11"/>
  <c r="F1399" i="11"/>
  <c r="F1398" i="11"/>
  <c r="F1397" i="11"/>
  <c r="F1396" i="11"/>
  <c r="F1395" i="11"/>
  <c r="F1394" i="11"/>
  <c r="F1393" i="11"/>
  <c r="F1392" i="11"/>
  <c r="F1391" i="11"/>
  <c r="F1390" i="11"/>
  <c r="F1389" i="11"/>
  <c r="F1388" i="11"/>
  <c r="F1387" i="11"/>
  <c r="F1386" i="11"/>
  <c r="F1385" i="11"/>
  <c r="F1384" i="11"/>
  <c r="F1383" i="11"/>
  <c r="F1382" i="11"/>
  <c r="F1381" i="11"/>
  <c r="F1380" i="11"/>
  <c r="F1379" i="11"/>
  <c r="F1378" i="11"/>
  <c r="F1377" i="11"/>
  <c r="F1376" i="11"/>
  <c r="F1375" i="11"/>
  <c r="F1374" i="11"/>
  <c r="F1373" i="11"/>
  <c r="F1372" i="11"/>
  <c r="F1371" i="11"/>
  <c r="F1370" i="11"/>
  <c r="F1369" i="11"/>
  <c r="F1368" i="11"/>
  <c r="F1367" i="11"/>
  <c r="F1366" i="11"/>
  <c r="F1365" i="11"/>
  <c r="F1364" i="11"/>
  <c r="F1363" i="11"/>
  <c r="F1362" i="11"/>
  <c r="F1361" i="11"/>
  <c r="F1360" i="11"/>
  <c r="F1359" i="11"/>
  <c r="F1358" i="11"/>
  <c r="F1357" i="11"/>
  <c r="F1356" i="11"/>
  <c r="F1355" i="11"/>
  <c r="F1354" i="11"/>
  <c r="F1353" i="11"/>
  <c r="F1352" i="11"/>
  <c r="F1351" i="11"/>
  <c r="F1350" i="11"/>
  <c r="F1349" i="11"/>
  <c r="F1348" i="11"/>
  <c r="F1347" i="11"/>
  <c r="F1346" i="11"/>
  <c r="F1345" i="11"/>
  <c r="F1344" i="11"/>
  <c r="F1343" i="11"/>
  <c r="F1342" i="11"/>
  <c r="F1341" i="11"/>
  <c r="F1340" i="11"/>
  <c r="F1339" i="11"/>
  <c r="F1338" i="11"/>
  <c r="F1337" i="11"/>
  <c r="F1336" i="11"/>
  <c r="F1335" i="11"/>
  <c r="F1334" i="11"/>
  <c r="F1333" i="11"/>
  <c r="F1332" i="11"/>
  <c r="F1331" i="11"/>
  <c r="F1330" i="11"/>
  <c r="F1329" i="11"/>
  <c r="F1328" i="11"/>
  <c r="F1327" i="11"/>
  <c r="F1326" i="11"/>
  <c r="F1325" i="11"/>
  <c r="F1324" i="11"/>
  <c r="F1323" i="11"/>
  <c r="F1322" i="11"/>
  <c r="F1321" i="11"/>
  <c r="F1320" i="11"/>
  <c r="F1319" i="11"/>
  <c r="F1318" i="11"/>
  <c r="F1317" i="11"/>
  <c r="F1316" i="11"/>
  <c r="F1315" i="11"/>
  <c r="F1314" i="11"/>
  <c r="F1313" i="11"/>
  <c r="F1312" i="11"/>
  <c r="F1311" i="11"/>
  <c r="F1310" i="11"/>
  <c r="F1309" i="11"/>
  <c r="F1308" i="11"/>
  <c r="F1307" i="11"/>
  <c r="F1306" i="11"/>
  <c r="F1305" i="11"/>
  <c r="F1304" i="11"/>
  <c r="F1303" i="11"/>
  <c r="F1302" i="11"/>
  <c r="F1301" i="11"/>
  <c r="F1300" i="11"/>
  <c r="F1299" i="11"/>
  <c r="F1298" i="11"/>
  <c r="F1297" i="11"/>
  <c r="F1296" i="11"/>
  <c r="F1295" i="11"/>
  <c r="F1294" i="11"/>
  <c r="F1293" i="11"/>
  <c r="F1292" i="11"/>
  <c r="F1291" i="11"/>
  <c r="F1290" i="11"/>
  <c r="F1289" i="11"/>
  <c r="F1288" i="11"/>
  <c r="F1287" i="11"/>
  <c r="F1286" i="11"/>
  <c r="F1285" i="11"/>
  <c r="F1284" i="11"/>
  <c r="F1283" i="11"/>
  <c r="F1282" i="11"/>
  <c r="F1281" i="11"/>
  <c r="F1280" i="11"/>
  <c r="F1279" i="11"/>
  <c r="F1278" i="11"/>
  <c r="F1277" i="11"/>
  <c r="F1276" i="11"/>
  <c r="F1275" i="11"/>
  <c r="F1274" i="11"/>
  <c r="F1273" i="11"/>
  <c r="F1272" i="11"/>
  <c r="F1271" i="11"/>
  <c r="F1270" i="11"/>
  <c r="F1269" i="11"/>
  <c r="F1268" i="11"/>
  <c r="F1267" i="11"/>
  <c r="F1266" i="11"/>
  <c r="F1265" i="11"/>
  <c r="F1264" i="11"/>
  <c r="F1263" i="11"/>
  <c r="F1262" i="11"/>
  <c r="F1261" i="11"/>
  <c r="F1260" i="11"/>
  <c r="F1259" i="11"/>
  <c r="F1258" i="11"/>
  <c r="F1257" i="11"/>
  <c r="F1256" i="11"/>
  <c r="F1255" i="11"/>
  <c r="F1254" i="11"/>
  <c r="F1253" i="11"/>
  <c r="F1252" i="11"/>
  <c r="F1251" i="11"/>
  <c r="F1250" i="11"/>
  <c r="F1249" i="11"/>
  <c r="F1248" i="11"/>
  <c r="F1247" i="11"/>
  <c r="F1246" i="11"/>
  <c r="F1245" i="11"/>
  <c r="F1244" i="11"/>
  <c r="F1243" i="11"/>
  <c r="F1242" i="11"/>
  <c r="F1241" i="11"/>
  <c r="F1240" i="11"/>
  <c r="F1239" i="11"/>
  <c r="F1238" i="11"/>
  <c r="F1237" i="11"/>
  <c r="F1236" i="11"/>
  <c r="F1235" i="11"/>
  <c r="F1234" i="11"/>
  <c r="F1233" i="11"/>
  <c r="F1232" i="11"/>
  <c r="F1231" i="11"/>
  <c r="F1230" i="11"/>
  <c r="F1229" i="11"/>
  <c r="F1228" i="11"/>
  <c r="F1227" i="11"/>
  <c r="F1226" i="11"/>
  <c r="F1225" i="11"/>
  <c r="F1224" i="11"/>
  <c r="F1223" i="11"/>
  <c r="F1222" i="11"/>
  <c r="F1221" i="11"/>
  <c r="F1220" i="11"/>
  <c r="F1219" i="11"/>
  <c r="F1218" i="11"/>
  <c r="F1217" i="11"/>
  <c r="F1216" i="11"/>
  <c r="F1215" i="11"/>
  <c r="F1214" i="11"/>
  <c r="F1213" i="11"/>
  <c r="F1212" i="11"/>
  <c r="F1211" i="11"/>
  <c r="F1210" i="11"/>
  <c r="F1209" i="11"/>
  <c r="F1208" i="11"/>
  <c r="F1207" i="11"/>
  <c r="F1206" i="11"/>
  <c r="F1205" i="11"/>
  <c r="F1204" i="11"/>
  <c r="F1203" i="11"/>
  <c r="F1202" i="11"/>
  <c r="F1201" i="11"/>
  <c r="F1200" i="11"/>
  <c r="F1199" i="11"/>
  <c r="F1198" i="11"/>
  <c r="F1197" i="11"/>
  <c r="F1196" i="11"/>
  <c r="F1195" i="11"/>
  <c r="F1194" i="11"/>
  <c r="F1193" i="11"/>
  <c r="F1192" i="11"/>
  <c r="F1191" i="11"/>
  <c r="F1190" i="11"/>
  <c r="F1189" i="11"/>
  <c r="F1188" i="11"/>
  <c r="F1187" i="11"/>
  <c r="F1186" i="11"/>
  <c r="F1185" i="11"/>
  <c r="F1184" i="11"/>
  <c r="F1183" i="11"/>
  <c r="F1182" i="11"/>
  <c r="F1181" i="11"/>
  <c r="F1180" i="11"/>
  <c r="F1179" i="11"/>
  <c r="F1178" i="11"/>
  <c r="F1177" i="11"/>
  <c r="F1176" i="11"/>
  <c r="F1175" i="11"/>
  <c r="F1174" i="11"/>
  <c r="F1173" i="11"/>
  <c r="F1172" i="11"/>
  <c r="F1171" i="11"/>
  <c r="F1170" i="11"/>
  <c r="F1169" i="11"/>
  <c r="F1168" i="11"/>
  <c r="F1167" i="11"/>
  <c r="F1166" i="11"/>
  <c r="F1165" i="11"/>
  <c r="F1164" i="11"/>
  <c r="F1163" i="11"/>
  <c r="F1162" i="11"/>
  <c r="F1161" i="11"/>
  <c r="F1160" i="11"/>
  <c r="F1159" i="11"/>
  <c r="F1158" i="11"/>
  <c r="F1157" i="11"/>
  <c r="F1156" i="11"/>
  <c r="F1155" i="11"/>
  <c r="F1154" i="11"/>
  <c r="F1153" i="11"/>
  <c r="F1152" i="11"/>
  <c r="F1151" i="11"/>
  <c r="F1150" i="11"/>
  <c r="F1149" i="11"/>
  <c r="F1148" i="11"/>
  <c r="F1147" i="11"/>
  <c r="F1146" i="11"/>
  <c r="F1145" i="11"/>
  <c r="F1144" i="11"/>
  <c r="F1143" i="11"/>
  <c r="F1142" i="11"/>
  <c r="F1141" i="11"/>
  <c r="F1140" i="11"/>
  <c r="F1139" i="11"/>
  <c r="F1138" i="11"/>
  <c r="F1137" i="11"/>
  <c r="F1136" i="11"/>
  <c r="F1135" i="11"/>
  <c r="F1134" i="11"/>
  <c r="F1133" i="11"/>
  <c r="F1132" i="11"/>
  <c r="F1131" i="11"/>
  <c r="F1130" i="11"/>
  <c r="F1129" i="11"/>
  <c r="F1128" i="11"/>
  <c r="F1127" i="11"/>
  <c r="F1126" i="11"/>
  <c r="F1125" i="11"/>
  <c r="F1124" i="11"/>
  <c r="F1123" i="11"/>
  <c r="F1122" i="11"/>
  <c r="F1121" i="11"/>
  <c r="F1120" i="11"/>
  <c r="F1119" i="11"/>
  <c r="F1118" i="11"/>
  <c r="F1117" i="11"/>
  <c r="F1116" i="11"/>
  <c r="F1115" i="11"/>
  <c r="F1114" i="11"/>
  <c r="F1113" i="11"/>
  <c r="F1112" i="11"/>
  <c r="F1111" i="11"/>
  <c r="F1110" i="11"/>
  <c r="F1109" i="11"/>
  <c r="F1108" i="11"/>
  <c r="F1107" i="11"/>
  <c r="F1106" i="11"/>
  <c r="F1105" i="11"/>
  <c r="F1104" i="11"/>
  <c r="F1103" i="11"/>
  <c r="F1102" i="11"/>
  <c r="F1101" i="11"/>
  <c r="F1100" i="11"/>
  <c r="F1099" i="11"/>
  <c r="F1098" i="11"/>
  <c r="F1097" i="11"/>
  <c r="F1096" i="11"/>
  <c r="F1095" i="11"/>
  <c r="F1094" i="11"/>
  <c r="F1093" i="11"/>
  <c r="F1092" i="11"/>
  <c r="F1091" i="11"/>
  <c r="F1090" i="11"/>
  <c r="F1089" i="11"/>
  <c r="F1088" i="11"/>
  <c r="F1087" i="11"/>
  <c r="F1086" i="11"/>
  <c r="F1085" i="11"/>
  <c r="F1084" i="11"/>
  <c r="F1083" i="11"/>
  <c r="F1082" i="11"/>
  <c r="F1081" i="11"/>
  <c r="F1080" i="11"/>
  <c r="F1079" i="11"/>
  <c r="F1078" i="11"/>
  <c r="F1077" i="11"/>
  <c r="F1076" i="11"/>
  <c r="F1075" i="11"/>
  <c r="F1074" i="11"/>
  <c r="F1073" i="11"/>
  <c r="F1072" i="11"/>
  <c r="F1071" i="11"/>
  <c r="F1070" i="11"/>
  <c r="F1069" i="11"/>
  <c r="F1068" i="11"/>
  <c r="F1067" i="11"/>
  <c r="F1066" i="11"/>
  <c r="F1065" i="11"/>
  <c r="F1064" i="11"/>
  <c r="F1063" i="11"/>
  <c r="F1062" i="11"/>
  <c r="F1061" i="11"/>
  <c r="F1060" i="11"/>
  <c r="F1059" i="11"/>
  <c r="F1058" i="11"/>
  <c r="F1057" i="11"/>
  <c r="F1056" i="11"/>
  <c r="F1055" i="11"/>
  <c r="F1054" i="11"/>
  <c r="F1053" i="11"/>
  <c r="F1052" i="11"/>
  <c r="F1051" i="11"/>
  <c r="F1050" i="11"/>
  <c r="F1049" i="11"/>
  <c r="F1048" i="11"/>
  <c r="F1047" i="11"/>
  <c r="F1046" i="11"/>
  <c r="F1045" i="11"/>
  <c r="F1044" i="11"/>
  <c r="F1043" i="11"/>
  <c r="F1042" i="11"/>
  <c r="F1041" i="11"/>
  <c r="F1040" i="11"/>
  <c r="F1039" i="11"/>
  <c r="F1038" i="11"/>
  <c r="F1037" i="11"/>
  <c r="F1036" i="11"/>
  <c r="F1035" i="11"/>
  <c r="F1034" i="11"/>
  <c r="F1033" i="11"/>
  <c r="F1032" i="11"/>
  <c r="F1031" i="11"/>
  <c r="F1030" i="11"/>
  <c r="F1029" i="11"/>
  <c r="F1028" i="11"/>
  <c r="F1027" i="11"/>
  <c r="F1026" i="11"/>
  <c r="F1025" i="11"/>
  <c r="F1024" i="11"/>
  <c r="F1023" i="11"/>
  <c r="F1022" i="11"/>
  <c r="F1021" i="11"/>
  <c r="F1020" i="11"/>
  <c r="F1019" i="11"/>
  <c r="F1018" i="11"/>
  <c r="F1017" i="11"/>
  <c r="F1016" i="11"/>
  <c r="F1015" i="11"/>
  <c r="F1014" i="11"/>
  <c r="F1013" i="11"/>
  <c r="F1012" i="11"/>
  <c r="F1011" i="11"/>
  <c r="F1010" i="11"/>
  <c r="F1009" i="11"/>
  <c r="F1008" i="11"/>
  <c r="F1007" i="11"/>
  <c r="F1006" i="11"/>
  <c r="F1005" i="11"/>
  <c r="F1004" i="11"/>
  <c r="F1003" i="11"/>
  <c r="F1002" i="11"/>
  <c r="F1001" i="11"/>
  <c r="G1000" i="11"/>
  <c r="F1000" i="11"/>
  <c r="E1000" i="11"/>
  <c r="G999" i="11"/>
  <c r="F999" i="11"/>
  <c r="E999" i="11"/>
  <c r="G998" i="11"/>
  <c r="F998" i="11"/>
  <c r="E998" i="11"/>
  <c r="G997" i="11"/>
  <c r="F997" i="11"/>
  <c r="E997" i="11"/>
  <c r="G996" i="11"/>
  <c r="F996" i="11"/>
  <c r="E996" i="11"/>
  <c r="G995" i="11"/>
  <c r="F995" i="11"/>
  <c r="E995" i="11"/>
  <c r="G994" i="11"/>
  <c r="F994" i="11"/>
  <c r="E994" i="11"/>
  <c r="G993" i="11"/>
  <c r="F993" i="11"/>
  <c r="E993" i="11"/>
  <c r="G992" i="11"/>
  <c r="F992" i="11"/>
  <c r="E992" i="11"/>
  <c r="G991" i="11"/>
  <c r="F991" i="11"/>
  <c r="E991" i="11"/>
  <c r="G990" i="11"/>
  <c r="F990" i="11"/>
  <c r="E990" i="11"/>
  <c r="G989" i="11"/>
  <c r="F989" i="11"/>
  <c r="E989" i="11"/>
  <c r="G988" i="11"/>
  <c r="F988" i="11"/>
  <c r="E988" i="11"/>
  <c r="G987" i="11"/>
  <c r="F987" i="11"/>
  <c r="E987" i="11"/>
  <c r="G986" i="11"/>
  <c r="F986" i="11"/>
  <c r="E986" i="11"/>
  <c r="G985" i="11"/>
  <c r="F985" i="11"/>
  <c r="E985" i="11"/>
  <c r="G984" i="11"/>
  <c r="F984" i="11"/>
  <c r="E984" i="11"/>
  <c r="G983" i="11"/>
  <c r="F983" i="11"/>
  <c r="E983" i="11"/>
  <c r="G982" i="11"/>
  <c r="F982" i="11"/>
  <c r="E982" i="11"/>
  <c r="G981" i="11"/>
  <c r="F981" i="11"/>
  <c r="E981" i="11"/>
  <c r="G980" i="11"/>
  <c r="F980" i="11"/>
  <c r="E980" i="11"/>
  <c r="G979" i="11"/>
  <c r="F979" i="11"/>
  <c r="E979" i="11"/>
  <c r="G978" i="11"/>
  <c r="F978" i="11"/>
  <c r="E978" i="11"/>
  <c r="G977" i="11"/>
  <c r="F977" i="11"/>
  <c r="E977" i="11"/>
  <c r="G976" i="11"/>
  <c r="F976" i="11"/>
  <c r="E976" i="11"/>
  <c r="G975" i="11"/>
  <c r="F975" i="11"/>
  <c r="E975" i="11"/>
  <c r="G974" i="11"/>
  <c r="F974" i="11"/>
  <c r="E974" i="11"/>
  <c r="G973" i="11"/>
  <c r="F973" i="11"/>
  <c r="E973" i="11"/>
  <c r="G972" i="11"/>
  <c r="F972" i="11"/>
  <c r="E972" i="11"/>
  <c r="G971" i="11"/>
  <c r="F971" i="11"/>
  <c r="E971" i="11"/>
  <c r="G970" i="11"/>
  <c r="F970" i="11"/>
  <c r="E970" i="11"/>
  <c r="G969" i="11"/>
  <c r="F969" i="11"/>
  <c r="E969" i="11"/>
  <c r="G968" i="11"/>
  <c r="F968" i="11"/>
  <c r="E968" i="11"/>
  <c r="G967" i="11"/>
  <c r="F967" i="11"/>
  <c r="E967" i="11"/>
  <c r="G966" i="11"/>
  <c r="F966" i="11"/>
  <c r="E966" i="11"/>
  <c r="G965" i="11"/>
  <c r="F965" i="11"/>
  <c r="E965" i="11"/>
  <c r="G964" i="11"/>
  <c r="F964" i="11"/>
  <c r="E964" i="11"/>
  <c r="G963" i="11"/>
  <c r="F963" i="11"/>
  <c r="E963" i="11"/>
  <c r="G962" i="11"/>
  <c r="F962" i="11"/>
  <c r="E962" i="11"/>
  <c r="G961" i="11"/>
  <c r="F961" i="11"/>
  <c r="E961" i="11"/>
  <c r="G960" i="11"/>
  <c r="F960" i="11"/>
  <c r="E960" i="11"/>
  <c r="G959" i="11"/>
  <c r="F959" i="11"/>
  <c r="E959" i="11"/>
  <c r="G958" i="11"/>
  <c r="F958" i="11"/>
  <c r="E958" i="11"/>
  <c r="G957" i="11"/>
  <c r="F957" i="11"/>
  <c r="E957" i="11"/>
  <c r="G956" i="11"/>
  <c r="F956" i="11"/>
  <c r="E956" i="11"/>
  <c r="G955" i="11"/>
  <c r="F955" i="11"/>
  <c r="E955" i="11"/>
  <c r="G954" i="11"/>
  <c r="F954" i="11"/>
  <c r="E954" i="11"/>
  <c r="G953" i="11"/>
  <c r="F953" i="11"/>
  <c r="E953" i="11"/>
  <c r="G952" i="11"/>
  <c r="F952" i="11"/>
  <c r="E952" i="11"/>
  <c r="G951" i="11"/>
  <c r="F951" i="11"/>
  <c r="E951" i="11"/>
  <c r="G950" i="11"/>
  <c r="F950" i="11"/>
  <c r="E950" i="11"/>
  <c r="G949" i="11"/>
  <c r="F949" i="11"/>
  <c r="E949" i="11"/>
  <c r="G948" i="11"/>
  <c r="F948" i="11"/>
  <c r="E948" i="11"/>
  <c r="G947" i="11"/>
  <c r="F947" i="11"/>
  <c r="E947" i="11"/>
  <c r="G946" i="11"/>
  <c r="F946" i="11"/>
  <c r="E946" i="11"/>
  <c r="G945" i="11"/>
  <c r="F945" i="11"/>
  <c r="E945" i="11"/>
  <c r="G944" i="11"/>
  <c r="F944" i="11"/>
  <c r="E944" i="11"/>
  <c r="G943" i="11"/>
  <c r="F943" i="11"/>
  <c r="E943" i="11"/>
  <c r="G942" i="11"/>
  <c r="F942" i="11"/>
  <c r="E942" i="11"/>
  <c r="G941" i="11"/>
  <c r="F941" i="11"/>
  <c r="E941" i="11"/>
  <c r="G940" i="11"/>
  <c r="F940" i="11"/>
  <c r="E940" i="11"/>
  <c r="G939" i="11"/>
  <c r="F939" i="11"/>
  <c r="E939" i="11"/>
  <c r="G938" i="11"/>
  <c r="F938" i="11"/>
  <c r="E938" i="11"/>
  <c r="G937" i="11"/>
  <c r="F937" i="11"/>
  <c r="E937" i="11"/>
  <c r="G936" i="11"/>
  <c r="F936" i="11"/>
  <c r="E936" i="11"/>
  <c r="G935" i="11"/>
  <c r="F935" i="11"/>
  <c r="E935" i="11"/>
  <c r="G934" i="11"/>
  <c r="F934" i="11"/>
  <c r="E934" i="11"/>
  <c r="G933" i="11"/>
  <c r="F933" i="11"/>
  <c r="E933" i="11"/>
  <c r="G932" i="11"/>
  <c r="F932" i="11"/>
  <c r="E932" i="11"/>
  <c r="G931" i="11"/>
  <c r="F931" i="11"/>
  <c r="E931" i="11"/>
  <c r="G930" i="11"/>
  <c r="F930" i="11"/>
  <c r="E930" i="11"/>
  <c r="G929" i="11"/>
  <c r="F929" i="11"/>
  <c r="E929" i="11"/>
  <c r="G928" i="11"/>
  <c r="F928" i="11"/>
  <c r="E928" i="11"/>
  <c r="G927" i="11"/>
  <c r="F927" i="11"/>
  <c r="E927" i="11"/>
  <c r="G926" i="11"/>
  <c r="F926" i="11"/>
  <c r="E926" i="11"/>
  <c r="G925" i="11"/>
  <c r="F925" i="11"/>
  <c r="E925" i="11"/>
  <c r="G924" i="11"/>
  <c r="F924" i="11"/>
  <c r="E924" i="11"/>
  <c r="G923" i="11"/>
  <c r="F923" i="11"/>
  <c r="E923" i="11"/>
  <c r="G922" i="11"/>
  <c r="F922" i="11"/>
  <c r="E922" i="11"/>
  <c r="G921" i="11"/>
  <c r="F921" i="11"/>
  <c r="E921" i="11"/>
  <c r="G920" i="11"/>
  <c r="F920" i="11"/>
  <c r="E920" i="11"/>
  <c r="G919" i="11"/>
  <c r="F919" i="11"/>
  <c r="E919" i="11"/>
  <c r="G918" i="11"/>
  <c r="F918" i="11"/>
  <c r="E918" i="11"/>
  <c r="G917" i="11"/>
  <c r="F917" i="11"/>
  <c r="E917" i="11"/>
  <c r="G916" i="11"/>
  <c r="F916" i="11"/>
  <c r="E916" i="11"/>
  <c r="G915" i="11"/>
  <c r="F915" i="11"/>
  <c r="E915" i="11"/>
  <c r="G914" i="11"/>
  <c r="F914" i="11"/>
  <c r="E914" i="11"/>
  <c r="G913" i="11"/>
  <c r="F913" i="11"/>
  <c r="E913" i="11"/>
  <c r="G912" i="11"/>
  <c r="F912" i="11"/>
  <c r="E912" i="11"/>
  <c r="G911" i="11"/>
  <c r="F911" i="11"/>
  <c r="E911" i="11"/>
  <c r="G910" i="11"/>
  <c r="F910" i="11"/>
  <c r="E910" i="11"/>
  <c r="G909" i="11"/>
  <c r="F909" i="11"/>
  <c r="E909" i="11"/>
  <c r="G908" i="11"/>
  <c r="F908" i="11"/>
  <c r="E908" i="11"/>
  <c r="G907" i="11"/>
  <c r="F907" i="11"/>
  <c r="E907" i="11"/>
  <c r="G906" i="11"/>
  <c r="F906" i="11"/>
  <c r="E906" i="11"/>
  <c r="G905" i="11"/>
  <c r="F905" i="11"/>
  <c r="E905" i="11"/>
  <c r="G904" i="11"/>
  <c r="F904" i="11"/>
  <c r="E904" i="11"/>
  <c r="G903" i="11"/>
  <c r="F903" i="11"/>
  <c r="E903" i="11"/>
  <c r="G902" i="11"/>
  <c r="F902" i="11"/>
  <c r="E902" i="11"/>
  <c r="G901" i="11"/>
  <c r="F901" i="11"/>
  <c r="E901" i="11"/>
  <c r="G900" i="11"/>
  <c r="F900" i="11"/>
  <c r="E900" i="11"/>
  <c r="G899" i="11"/>
  <c r="F899" i="11"/>
  <c r="E899" i="11"/>
  <c r="G898" i="11"/>
  <c r="F898" i="11"/>
  <c r="E898" i="11"/>
  <c r="G897" i="11"/>
  <c r="F897" i="11"/>
  <c r="E897" i="11"/>
  <c r="G896" i="11"/>
  <c r="F896" i="11"/>
  <c r="E896" i="11"/>
  <c r="G895" i="11"/>
  <c r="F895" i="11"/>
  <c r="E895" i="11"/>
  <c r="G894" i="11"/>
  <c r="F894" i="11"/>
  <c r="E894" i="11"/>
  <c r="G893" i="11"/>
  <c r="F893" i="11"/>
  <c r="E893" i="11"/>
  <c r="G892" i="11"/>
  <c r="F892" i="11"/>
  <c r="E892" i="11"/>
  <c r="G891" i="11"/>
  <c r="F891" i="11"/>
  <c r="E891" i="11"/>
  <c r="G890" i="11"/>
  <c r="F890" i="11"/>
  <c r="E890" i="11"/>
  <c r="G889" i="11"/>
  <c r="F889" i="11"/>
  <c r="E889" i="11"/>
  <c r="G888" i="11"/>
  <c r="F888" i="11"/>
  <c r="E888" i="11"/>
  <c r="G887" i="11"/>
  <c r="F887" i="11"/>
  <c r="E887" i="11"/>
  <c r="G886" i="11"/>
  <c r="F886" i="11"/>
  <c r="E886" i="11"/>
  <c r="G885" i="11"/>
  <c r="F885" i="11"/>
  <c r="E885" i="11"/>
  <c r="G884" i="11"/>
  <c r="F884" i="11"/>
  <c r="E884" i="11"/>
  <c r="G883" i="11"/>
  <c r="F883" i="11"/>
  <c r="E883" i="11"/>
  <c r="G882" i="11"/>
  <c r="F882" i="11"/>
  <c r="E882" i="11"/>
  <c r="G881" i="11"/>
  <c r="F881" i="11"/>
  <c r="E881" i="11"/>
  <c r="G880" i="11"/>
  <c r="F880" i="11"/>
  <c r="E880" i="11"/>
  <c r="G879" i="11"/>
  <c r="F879" i="11"/>
  <c r="E879" i="11"/>
  <c r="G878" i="11"/>
  <c r="F878" i="11"/>
  <c r="E878" i="11"/>
  <c r="G877" i="11"/>
  <c r="F877" i="11"/>
  <c r="E877" i="11"/>
  <c r="G876" i="11"/>
  <c r="F876" i="11"/>
  <c r="E876" i="11"/>
  <c r="G875" i="11"/>
  <c r="F875" i="11"/>
  <c r="E875" i="11"/>
  <c r="G874" i="11"/>
  <c r="F874" i="11"/>
  <c r="E874" i="11"/>
  <c r="G873" i="11"/>
  <c r="F873" i="11"/>
  <c r="E873" i="11"/>
  <c r="G872" i="11"/>
  <c r="F872" i="11"/>
  <c r="E872" i="11"/>
  <c r="G871" i="11"/>
  <c r="F871" i="11"/>
  <c r="E871" i="11"/>
  <c r="G870" i="11"/>
  <c r="F870" i="11"/>
  <c r="E870" i="11"/>
  <c r="G869" i="11"/>
  <c r="F869" i="11"/>
  <c r="E869" i="11"/>
  <c r="G868" i="11"/>
  <c r="F868" i="11"/>
  <c r="E868" i="11"/>
  <c r="G867" i="11"/>
  <c r="F867" i="11"/>
  <c r="E867" i="11"/>
  <c r="G866" i="11"/>
  <c r="F866" i="11"/>
  <c r="E866" i="11"/>
  <c r="G865" i="11"/>
  <c r="F865" i="11"/>
  <c r="E865" i="11"/>
  <c r="G864" i="11"/>
  <c r="F864" i="11"/>
  <c r="E864" i="11"/>
  <c r="G863" i="11"/>
  <c r="F863" i="11"/>
  <c r="E863" i="11"/>
  <c r="G862" i="11"/>
  <c r="F862" i="11"/>
  <c r="E862" i="11"/>
  <c r="G861" i="11"/>
  <c r="F861" i="11"/>
  <c r="E861" i="11"/>
  <c r="G860" i="11"/>
  <c r="F860" i="11"/>
  <c r="E860" i="11"/>
  <c r="G859" i="11"/>
  <c r="F859" i="11"/>
  <c r="E859" i="11"/>
  <c r="G858" i="11"/>
  <c r="F858" i="11"/>
  <c r="E858" i="11"/>
  <c r="G857" i="11"/>
  <c r="F857" i="11"/>
  <c r="E857" i="11"/>
  <c r="G856" i="11"/>
  <c r="F856" i="11"/>
  <c r="E856" i="11"/>
  <c r="G855" i="11"/>
  <c r="F855" i="11"/>
  <c r="E855" i="11"/>
  <c r="G854" i="11"/>
  <c r="F854" i="11"/>
  <c r="E854" i="11"/>
  <c r="G853" i="11"/>
  <c r="F853" i="11"/>
  <c r="E853" i="11"/>
  <c r="G852" i="11"/>
  <c r="F852" i="11"/>
  <c r="E852" i="11"/>
  <c r="G851" i="11"/>
  <c r="F851" i="11"/>
  <c r="E851" i="11"/>
  <c r="G850" i="11"/>
  <c r="F850" i="11"/>
  <c r="E850" i="11"/>
  <c r="G849" i="11"/>
  <c r="F849" i="11"/>
  <c r="E849" i="11"/>
  <c r="G848" i="11"/>
  <c r="F848" i="11"/>
  <c r="E848" i="11"/>
  <c r="G847" i="11"/>
  <c r="F847" i="11"/>
  <c r="E847" i="11"/>
  <c r="G846" i="11"/>
  <c r="F846" i="11"/>
  <c r="E846" i="11"/>
  <c r="G845" i="11"/>
  <c r="F845" i="11"/>
  <c r="E845" i="11"/>
  <c r="G844" i="11"/>
  <c r="F844" i="11"/>
  <c r="E844" i="11"/>
  <c r="G843" i="11"/>
  <c r="F843" i="11"/>
  <c r="E843" i="11"/>
  <c r="G842" i="11"/>
  <c r="F842" i="11"/>
  <c r="E842" i="11"/>
  <c r="G841" i="11"/>
  <c r="F841" i="11"/>
  <c r="E841" i="11"/>
  <c r="G840" i="11"/>
  <c r="F840" i="11"/>
  <c r="E840" i="11"/>
  <c r="G839" i="11"/>
  <c r="F839" i="11"/>
  <c r="E839" i="11"/>
  <c r="G838" i="11"/>
  <c r="F838" i="11"/>
  <c r="E838" i="11"/>
  <c r="G837" i="11"/>
  <c r="F837" i="11"/>
  <c r="E837" i="11"/>
  <c r="G836" i="11"/>
  <c r="F836" i="11"/>
  <c r="E836" i="11"/>
  <c r="G835" i="11"/>
  <c r="F835" i="11"/>
  <c r="E835" i="11"/>
  <c r="G834" i="11"/>
  <c r="F834" i="11"/>
  <c r="E834" i="11"/>
  <c r="G833" i="11"/>
  <c r="F833" i="11"/>
  <c r="E833" i="11"/>
  <c r="G832" i="11"/>
  <c r="F832" i="11"/>
  <c r="E832" i="11"/>
  <c r="G831" i="11"/>
  <c r="F831" i="11"/>
  <c r="E831" i="11"/>
  <c r="G830" i="11"/>
  <c r="F830" i="11"/>
  <c r="E830" i="11"/>
  <c r="G829" i="11"/>
  <c r="F829" i="11"/>
  <c r="E829" i="11"/>
  <c r="G828" i="11"/>
  <c r="F828" i="11"/>
  <c r="E828" i="11"/>
  <c r="G827" i="11"/>
  <c r="F827" i="11"/>
  <c r="E827" i="11"/>
  <c r="G826" i="11"/>
  <c r="F826" i="11"/>
  <c r="E826" i="11"/>
  <c r="G825" i="11"/>
  <c r="F825" i="11"/>
  <c r="E825" i="11"/>
  <c r="G824" i="11"/>
  <c r="F824" i="11"/>
  <c r="E824" i="11"/>
  <c r="G823" i="11"/>
  <c r="F823" i="11"/>
  <c r="E823" i="11"/>
  <c r="G822" i="11"/>
  <c r="F822" i="11"/>
  <c r="E822" i="11"/>
  <c r="G821" i="11"/>
  <c r="F821" i="11"/>
  <c r="E821" i="11"/>
  <c r="G820" i="11"/>
  <c r="F820" i="11"/>
  <c r="E820" i="11"/>
  <c r="G819" i="11"/>
  <c r="F819" i="11"/>
  <c r="E819" i="11"/>
  <c r="G818" i="11"/>
  <c r="F818" i="11"/>
  <c r="E818" i="11"/>
  <c r="G817" i="11"/>
  <c r="F817" i="11"/>
  <c r="E817" i="11"/>
  <c r="G816" i="11"/>
  <c r="F816" i="11"/>
  <c r="E816" i="11"/>
  <c r="G815" i="11"/>
  <c r="F815" i="11"/>
  <c r="E815" i="11"/>
  <c r="G814" i="11"/>
  <c r="F814" i="11"/>
  <c r="E814" i="11"/>
  <c r="G813" i="11"/>
  <c r="F813" i="11"/>
  <c r="E813" i="11"/>
  <c r="G812" i="11"/>
  <c r="F812" i="11"/>
  <c r="E812" i="11"/>
  <c r="G811" i="11"/>
  <c r="F811" i="11"/>
  <c r="E811" i="11"/>
  <c r="G810" i="11"/>
  <c r="F810" i="11"/>
  <c r="E810" i="11"/>
  <c r="G809" i="11"/>
  <c r="F809" i="11"/>
  <c r="E809" i="11"/>
  <c r="G808" i="11"/>
  <c r="F808" i="11"/>
  <c r="E808" i="11"/>
  <c r="G807" i="11"/>
  <c r="F807" i="11"/>
  <c r="E807" i="11"/>
  <c r="G806" i="11"/>
  <c r="F806" i="11"/>
  <c r="E806" i="11"/>
  <c r="G805" i="11"/>
  <c r="F805" i="11"/>
  <c r="E805" i="11"/>
  <c r="G804" i="11"/>
  <c r="F804" i="11"/>
  <c r="E804" i="11"/>
  <c r="G803" i="11"/>
  <c r="F803" i="11"/>
  <c r="E803" i="11"/>
  <c r="G802" i="11"/>
  <c r="F802" i="11"/>
  <c r="E802" i="11"/>
  <c r="G801" i="11"/>
  <c r="F801" i="11"/>
  <c r="E801" i="11"/>
  <c r="G800" i="11"/>
  <c r="F800" i="11"/>
  <c r="E800" i="11"/>
  <c r="G799" i="11"/>
  <c r="F799" i="11"/>
  <c r="E799" i="11"/>
  <c r="G798" i="11"/>
  <c r="F798" i="11"/>
  <c r="E798" i="11"/>
  <c r="G797" i="11"/>
  <c r="F797" i="11"/>
  <c r="E797" i="11"/>
  <c r="G796" i="11"/>
  <c r="F796" i="11"/>
  <c r="E796" i="11"/>
  <c r="G795" i="11"/>
  <c r="F795" i="11"/>
  <c r="E795" i="11"/>
  <c r="G794" i="11"/>
  <c r="F794" i="11"/>
  <c r="E794" i="11"/>
  <c r="G793" i="11"/>
  <c r="F793" i="11"/>
  <c r="E793" i="11"/>
  <c r="G792" i="11"/>
  <c r="F792" i="11"/>
  <c r="E792" i="11"/>
  <c r="G791" i="11"/>
  <c r="F791" i="11"/>
  <c r="E791" i="11"/>
  <c r="G790" i="11"/>
  <c r="F790" i="11"/>
  <c r="E790" i="11"/>
  <c r="G789" i="11"/>
  <c r="F789" i="11"/>
  <c r="E789" i="11"/>
  <c r="G788" i="11"/>
  <c r="F788" i="11"/>
  <c r="E788" i="11"/>
  <c r="G787" i="11"/>
  <c r="F787" i="11"/>
  <c r="E787" i="11"/>
  <c r="G786" i="11"/>
  <c r="F786" i="11"/>
  <c r="E786" i="11"/>
  <c r="G785" i="11"/>
  <c r="F785" i="11"/>
  <c r="E785" i="11"/>
  <c r="G784" i="11"/>
  <c r="F784" i="11"/>
  <c r="E784" i="11"/>
  <c r="G783" i="11"/>
  <c r="F783" i="11"/>
  <c r="E783" i="11"/>
  <c r="G782" i="11"/>
  <c r="F782" i="11"/>
  <c r="E782" i="11"/>
  <c r="G781" i="11"/>
  <c r="F781" i="11"/>
  <c r="E781" i="11"/>
  <c r="G780" i="11"/>
  <c r="F780" i="11"/>
  <c r="E780" i="11"/>
  <c r="G779" i="11"/>
  <c r="F779" i="11"/>
  <c r="E779" i="11"/>
  <c r="G778" i="11"/>
  <c r="F778" i="11"/>
  <c r="E778" i="11"/>
  <c r="G777" i="11"/>
  <c r="F777" i="11"/>
  <c r="E777" i="11"/>
  <c r="G776" i="11"/>
  <c r="F776" i="11"/>
  <c r="E776" i="11"/>
  <c r="G775" i="11"/>
  <c r="F775" i="11"/>
  <c r="E775" i="11"/>
  <c r="G774" i="11"/>
  <c r="F774" i="11"/>
  <c r="E774" i="11"/>
  <c r="G773" i="11"/>
  <c r="F773" i="11"/>
  <c r="E773" i="11"/>
  <c r="G772" i="11"/>
  <c r="F772" i="11"/>
  <c r="E772" i="11"/>
  <c r="G771" i="11"/>
  <c r="F771" i="11"/>
  <c r="E771" i="11"/>
  <c r="G770" i="11"/>
  <c r="F770" i="11"/>
  <c r="E770" i="11"/>
  <c r="G769" i="11"/>
  <c r="F769" i="11"/>
  <c r="E769" i="11"/>
  <c r="G768" i="11"/>
  <c r="F768" i="11"/>
  <c r="E768" i="11"/>
  <c r="G767" i="11"/>
  <c r="F767" i="11"/>
  <c r="E767" i="11"/>
  <c r="G766" i="11"/>
  <c r="F766" i="11"/>
  <c r="E766" i="11"/>
  <c r="G765" i="11"/>
  <c r="F765" i="11"/>
  <c r="E765" i="11"/>
  <c r="G764" i="11"/>
  <c r="F764" i="11"/>
  <c r="E764" i="11"/>
  <c r="G763" i="11"/>
  <c r="F763" i="11"/>
  <c r="E763" i="11"/>
  <c r="G762" i="11"/>
  <c r="F762" i="11"/>
  <c r="E762" i="11"/>
  <c r="G761" i="11"/>
  <c r="F761" i="11"/>
  <c r="E761" i="11"/>
  <c r="G760" i="11"/>
  <c r="F760" i="11"/>
  <c r="E760" i="11"/>
  <c r="G759" i="11"/>
  <c r="F759" i="11"/>
  <c r="E759" i="11"/>
  <c r="G758" i="11"/>
  <c r="F758" i="11"/>
  <c r="E758" i="11"/>
  <c r="G757" i="11"/>
  <c r="F757" i="11"/>
  <c r="E757" i="11"/>
  <c r="G756" i="11"/>
  <c r="F756" i="11"/>
  <c r="E756" i="11"/>
  <c r="G755" i="11"/>
  <c r="F755" i="11"/>
  <c r="E755" i="11"/>
  <c r="G754" i="11"/>
  <c r="F754" i="11"/>
  <c r="E754" i="11"/>
  <c r="G753" i="11"/>
  <c r="F753" i="11"/>
  <c r="E753" i="11"/>
  <c r="G752" i="11"/>
  <c r="F752" i="11"/>
  <c r="E752" i="11"/>
  <c r="G751" i="11"/>
  <c r="F751" i="11"/>
  <c r="E751" i="11"/>
  <c r="G750" i="11"/>
  <c r="F750" i="11"/>
  <c r="E750" i="11"/>
  <c r="G749" i="11"/>
  <c r="F749" i="11"/>
  <c r="E749" i="11"/>
  <c r="G748" i="11"/>
  <c r="F748" i="11"/>
  <c r="E748" i="11"/>
  <c r="G747" i="11"/>
  <c r="F747" i="11"/>
  <c r="E747" i="11"/>
  <c r="G746" i="11"/>
  <c r="F746" i="11"/>
  <c r="E746" i="11"/>
  <c r="G745" i="11"/>
  <c r="F745" i="11"/>
  <c r="E745" i="11"/>
  <c r="G744" i="11"/>
  <c r="F744" i="11"/>
  <c r="E744" i="11"/>
  <c r="G743" i="11"/>
  <c r="F743" i="11"/>
  <c r="E743" i="11"/>
  <c r="G742" i="11"/>
  <c r="F742" i="11"/>
  <c r="E742" i="11"/>
  <c r="G741" i="11"/>
  <c r="F741" i="11"/>
  <c r="E741" i="11"/>
  <c r="G740" i="11"/>
  <c r="F740" i="11"/>
  <c r="E740" i="11"/>
  <c r="G739" i="11"/>
  <c r="F739" i="11"/>
  <c r="E739" i="11"/>
  <c r="G738" i="11"/>
  <c r="F738" i="11"/>
  <c r="E738" i="11"/>
  <c r="G737" i="11"/>
  <c r="F737" i="11"/>
  <c r="E737" i="11"/>
  <c r="G736" i="11"/>
  <c r="F736" i="11"/>
  <c r="E736" i="11"/>
  <c r="G735" i="11"/>
  <c r="F735" i="11"/>
  <c r="E735" i="11"/>
  <c r="G734" i="11"/>
  <c r="F734" i="11"/>
  <c r="E734" i="11"/>
  <c r="G733" i="11"/>
  <c r="F733" i="11"/>
  <c r="E733" i="11"/>
  <c r="G732" i="11"/>
  <c r="F732" i="11"/>
  <c r="E732" i="11"/>
  <c r="G731" i="11"/>
  <c r="F731" i="11"/>
  <c r="E731" i="11"/>
  <c r="G730" i="11"/>
  <c r="F730" i="11"/>
  <c r="E730" i="11"/>
  <c r="G729" i="11"/>
  <c r="F729" i="11"/>
  <c r="E729" i="11"/>
  <c r="G728" i="11"/>
  <c r="F728" i="11"/>
  <c r="E728" i="11"/>
  <c r="G727" i="11"/>
  <c r="F727" i="11"/>
  <c r="E727" i="11"/>
  <c r="G726" i="11"/>
  <c r="F726" i="11"/>
  <c r="E726" i="11"/>
  <c r="G725" i="11"/>
  <c r="F725" i="11"/>
  <c r="E725" i="11"/>
  <c r="G724" i="11"/>
  <c r="F724" i="11"/>
  <c r="E724" i="11"/>
  <c r="G723" i="11"/>
  <c r="F723" i="11"/>
  <c r="E723" i="11"/>
  <c r="G722" i="11"/>
  <c r="F722" i="11"/>
  <c r="E722" i="11"/>
  <c r="G721" i="11"/>
  <c r="F721" i="11"/>
  <c r="E721" i="11"/>
  <c r="G720" i="11"/>
  <c r="F720" i="11"/>
  <c r="E720" i="11"/>
  <c r="G719" i="11"/>
  <c r="F719" i="11"/>
  <c r="E719" i="11"/>
  <c r="G718" i="11"/>
  <c r="F718" i="11"/>
  <c r="E718" i="11"/>
  <c r="G717" i="11"/>
  <c r="F717" i="11"/>
  <c r="E717" i="11"/>
  <c r="G716" i="11"/>
  <c r="F716" i="11"/>
  <c r="E716" i="11"/>
  <c r="G715" i="11"/>
  <c r="F715" i="11"/>
  <c r="E715" i="11"/>
  <c r="G714" i="11"/>
  <c r="F714" i="11"/>
  <c r="E714" i="11"/>
  <c r="G713" i="11"/>
  <c r="F713" i="11"/>
  <c r="E713" i="11"/>
  <c r="G712" i="11"/>
  <c r="F712" i="11"/>
  <c r="E712" i="11"/>
  <c r="G711" i="11"/>
  <c r="F711" i="11"/>
  <c r="E711" i="11"/>
  <c r="G710" i="11"/>
  <c r="F710" i="11"/>
  <c r="E710" i="11"/>
  <c r="G709" i="11"/>
  <c r="F709" i="11"/>
  <c r="E709" i="11"/>
  <c r="G708" i="11"/>
  <c r="F708" i="11"/>
  <c r="E708" i="11"/>
  <c r="G707" i="11"/>
  <c r="F707" i="11"/>
  <c r="E707" i="11"/>
  <c r="G706" i="11"/>
  <c r="F706" i="11"/>
  <c r="E706" i="11"/>
  <c r="G705" i="11"/>
  <c r="F705" i="11"/>
  <c r="E705" i="11"/>
  <c r="G704" i="11"/>
  <c r="F704" i="11"/>
  <c r="E704" i="11"/>
  <c r="G703" i="11"/>
  <c r="F703" i="11"/>
  <c r="E703" i="11"/>
  <c r="G702" i="11"/>
  <c r="F702" i="11"/>
  <c r="E702" i="11"/>
  <c r="G701" i="11"/>
  <c r="F701" i="11"/>
  <c r="E701" i="11"/>
  <c r="G700" i="11"/>
  <c r="F700" i="11"/>
  <c r="E700" i="11"/>
  <c r="G699" i="11"/>
  <c r="F699" i="11"/>
  <c r="E699" i="11"/>
  <c r="G698" i="11"/>
  <c r="F698" i="11"/>
  <c r="E698" i="11"/>
  <c r="G697" i="11"/>
  <c r="F697" i="11"/>
  <c r="E697" i="11"/>
  <c r="G696" i="11"/>
  <c r="F696" i="11"/>
  <c r="E696" i="11"/>
  <c r="G695" i="11"/>
  <c r="F695" i="11"/>
  <c r="E695" i="11"/>
  <c r="G694" i="11"/>
  <c r="F694" i="11"/>
  <c r="E694" i="11"/>
  <c r="G693" i="11"/>
  <c r="F693" i="11"/>
  <c r="E693" i="11"/>
  <c r="G692" i="11"/>
  <c r="F692" i="11"/>
  <c r="E692" i="11"/>
  <c r="G691" i="11"/>
  <c r="F691" i="11"/>
  <c r="E691" i="11"/>
  <c r="G690" i="11"/>
  <c r="F690" i="11"/>
  <c r="E690" i="11"/>
  <c r="G689" i="11"/>
  <c r="F689" i="11"/>
  <c r="E689" i="11"/>
  <c r="G688" i="11"/>
  <c r="F688" i="11"/>
  <c r="E688" i="11"/>
  <c r="G687" i="11"/>
  <c r="F687" i="11"/>
  <c r="E687" i="11"/>
  <c r="G686" i="11"/>
  <c r="F686" i="11"/>
  <c r="E686" i="11"/>
  <c r="G685" i="11"/>
  <c r="F685" i="11"/>
  <c r="E685" i="11"/>
  <c r="G684" i="11"/>
  <c r="F684" i="11"/>
  <c r="E684" i="11"/>
  <c r="G683" i="11"/>
  <c r="F683" i="11"/>
  <c r="E683" i="11"/>
  <c r="G682" i="11"/>
  <c r="F682" i="11"/>
  <c r="E682" i="11"/>
  <c r="G681" i="11"/>
  <c r="F681" i="11"/>
  <c r="E681" i="11"/>
  <c r="G680" i="11"/>
  <c r="F680" i="11"/>
  <c r="E680" i="11"/>
  <c r="G679" i="11"/>
  <c r="F679" i="11"/>
  <c r="E679" i="11"/>
  <c r="G678" i="11"/>
  <c r="F678" i="11"/>
  <c r="E678" i="11"/>
  <c r="G677" i="11"/>
  <c r="F677" i="11"/>
  <c r="E677" i="11"/>
  <c r="G676" i="11"/>
  <c r="F676" i="11"/>
  <c r="E676" i="11"/>
  <c r="G675" i="11"/>
  <c r="F675" i="11"/>
  <c r="E675" i="11"/>
  <c r="G674" i="11"/>
  <c r="F674" i="11"/>
  <c r="E674" i="11"/>
  <c r="G673" i="11"/>
  <c r="F673" i="11"/>
  <c r="E673" i="11"/>
  <c r="G672" i="11"/>
  <c r="F672" i="11"/>
  <c r="E672" i="11"/>
  <c r="G671" i="11"/>
  <c r="F671" i="11"/>
  <c r="E671" i="11"/>
  <c r="G670" i="11"/>
  <c r="F670" i="11"/>
  <c r="E670" i="11"/>
  <c r="G669" i="11"/>
  <c r="F669" i="11"/>
  <c r="E669" i="11"/>
  <c r="G668" i="11"/>
  <c r="F668" i="11"/>
  <c r="E668" i="11"/>
  <c r="G667" i="11"/>
  <c r="F667" i="11"/>
  <c r="E667" i="11"/>
  <c r="G666" i="11"/>
  <c r="F666" i="11"/>
  <c r="E666" i="11"/>
  <c r="G665" i="11"/>
  <c r="F665" i="11"/>
  <c r="E665" i="11"/>
  <c r="G664" i="11"/>
  <c r="F664" i="11"/>
  <c r="E664" i="11"/>
  <c r="G663" i="11"/>
  <c r="F663" i="11"/>
  <c r="E663" i="11"/>
  <c r="G662" i="11"/>
  <c r="F662" i="11"/>
  <c r="E662" i="11"/>
  <c r="G661" i="11"/>
  <c r="F661" i="11"/>
  <c r="E661" i="11"/>
  <c r="G660" i="11"/>
  <c r="F660" i="11"/>
  <c r="E660" i="11"/>
  <c r="G659" i="11"/>
  <c r="F659" i="11"/>
  <c r="E659" i="11"/>
  <c r="G658" i="11"/>
  <c r="F658" i="11"/>
  <c r="E658" i="11"/>
  <c r="G657" i="11"/>
  <c r="F657" i="11"/>
  <c r="E657" i="11"/>
  <c r="G656" i="11"/>
  <c r="F656" i="11"/>
  <c r="E656" i="11"/>
  <c r="G655" i="11"/>
  <c r="F655" i="11"/>
  <c r="E655" i="11"/>
  <c r="G654" i="11"/>
  <c r="F654" i="11"/>
  <c r="E654" i="11"/>
  <c r="G653" i="11"/>
  <c r="F653" i="11"/>
  <c r="E653" i="11"/>
  <c r="G652" i="11"/>
  <c r="F652" i="11"/>
  <c r="E652" i="11"/>
  <c r="G651" i="11"/>
  <c r="F651" i="11"/>
  <c r="E651" i="11"/>
  <c r="G650" i="11"/>
  <c r="F650" i="11"/>
  <c r="E650" i="11"/>
  <c r="G649" i="11"/>
  <c r="F649" i="11"/>
  <c r="E649" i="11"/>
  <c r="G648" i="11"/>
  <c r="F648" i="11"/>
  <c r="E648" i="11"/>
  <c r="G647" i="11"/>
  <c r="F647" i="11"/>
  <c r="E647" i="11"/>
  <c r="G646" i="11"/>
  <c r="F646" i="11"/>
  <c r="E646" i="11"/>
  <c r="G645" i="11"/>
  <c r="F645" i="11"/>
  <c r="E645" i="11"/>
  <c r="G644" i="11"/>
  <c r="F644" i="11"/>
  <c r="E644" i="11"/>
  <c r="G643" i="11"/>
  <c r="F643" i="11"/>
  <c r="E643" i="11"/>
  <c r="G642" i="11"/>
  <c r="F642" i="11"/>
  <c r="E642" i="11"/>
  <c r="G641" i="11"/>
  <c r="F641" i="11"/>
  <c r="E641" i="11"/>
  <c r="G640" i="11"/>
  <c r="F640" i="11"/>
  <c r="E640" i="11"/>
  <c r="G639" i="11"/>
  <c r="F639" i="11"/>
  <c r="E639" i="11"/>
  <c r="G638" i="11"/>
  <c r="F638" i="11"/>
  <c r="E638" i="11"/>
  <c r="G637" i="11"/>
  <c r="F637" i="11"/>
  <c r="E637" i="11"/>
  <c r="G636" i="11"/>
  <c r="F636" i="11"/>
  <c r="E636" i="11"/>
  <c r="G635" i="11"/>
  <c r="F635" i="11"/>
  <c r="E635" i="11"/>
  <c r="G634" i="11"/>
  <c r="F634" i="11"/>
  <c r="E634" i="11"/>
  <c r="G633" i="11"/>
  <c r="F633" i="11"/>
  <c r="E633" i="11"/>
  <c r="G632" i="11"/>
  <c r="F632" i="11"/>
  <c r="E632" i="11"/>
  <c r="G631" i="11"/>
  <c r="F631" i="11"/>
  <c r="E631" i="11"/>
  <c r="G630" i="11"/>
  <c r="F630" i="11"/>
  <c r="E630" i="11"/>
  <c r="G629" i="11"/>
  <c r="F629" i="11"/>
  <c r="E629" i="11"/>
  <c r="G628" i="11"/>
  <c r="F628" i="11"/>
  <c r="E628" i="11"/>
  <c r="G627" i="11"/>
  <c r="F627" i="11"/>
  <c r="E627" i="11"/>
  <c r="G626" i="11"/>
  <c r="F626" i="11"/>
  <c r="E626" i="11"/>
  <c r="G625" i="11"/>
  <c r="F625" i="11"/>
  <c r="E625" i="11"/>
  <c r="G624" i="11"/>
  <c r="F624" i="11"/>
  <c r="E624" i="11"/>
  <c r="G623" i="11"/>
  <c r="F623" i="11"/>
  <c r="E623" i="11"/>
  <c r="G622" i="11"/>
  <c r="F622" i="11"/>
  <c r="E622" i="11"/>
  <c r="G621" i="11"/>
  <c r="F621" i="11"/>
  <c r="E621" i="11"/>
  <c r="G620" i="11"/>
  <c r="F620" i="11"/>
  <c r="E620" i="11"/>
  <c r="G619" i="11"/>
  <c r="F619" i="11"/>
  <c r="E619" i="11"/>
  <c r="G618" i="11"/>
  <c r="F618" i="11"/>
  <c r="E618" i="11"/>
  <c r="G617" i="11"/>
  <c r="F617" i="11"/>
  <c r="E617" i="11"/>
  <c r="G616" i="11"/>
  <c r="F616" i="11"/>
  <c r="E616" i="11"/>
  <c r="G615" i="11"/>
  <c r="F615" i="11"/>
  <c r="E615" i="11"/>
  <c r="G614" i="11"/>
  <c r="F614" i="11"/>
  <c r="E614" i="11"/>
  <c r="G613" i="11"/>
  <c r="F613" i="11"/>
  <c r="E613" i="11"/>
  <c r="G612" i="11"/>
  <c r="F612" i="11"/>
  <c r="E612" i="11"/>
  <c r="G611" i="11"/>
  <c r="F611" i="11"/>
  <c r="E611" i="11"/>
  <c r="G610" i="11"/>
  <c r="F610" i="11"/>
  <c r="E610" i="11"/>
  <c r="G609" i="11"/>
  <c r="F609" i="11"/>
  <c r="E609" i="11"/>
  <c r="G608" i="11"/>
  <c r="F608" i="11"/>
  <c r="E608" i="11"/>
  <c r="G607" i="11"/>
  <c r="F607" i="11"/>
  <c r="E607" i="11"/>
  <c r="G606" i="11"/>
  <c r="F606" i="11"/>
  <c r="E606" i="11"/>
  <c r="G605" i="11"/>
  <c r="F605" i="11"/>
  <c r="E605" i="11"/>
  <c r="G604" i="11"/>
  <c r="F604" i="11"/>
  <c r="E604" i="11"/>
  <c r="G603" i="11"/>
  <c r="F603" i="11"/>
  <c r="E603" i="11"/>
  <c r="G602" i="11"/>
  <c r="F602" i="11"/>
  <c r="E602" i="11"/>
  <c r="G601" i="11"/>
  <c r="F601" i="11"/>
  <c r="E601" i="11"/>
  <c r="G600" i="11"/>
  <c r="F600" i="11"/>
  <c r="E600" i="11"/>
  <c r="G599" i="11"/>
  <c r="F599" i="11"/>
  <c r="E599" i="11"/>
  <c r="G598" i="11"/>
  <c r="F598" i="11"/>
  <c r="E598" i="11"/>
  <c r="G597" i="11"/>
  <c r="F597" i="11"/>
  <c r="E597" i="11"/>
  <c r="G596" i="11"/>
  <c r="F596" i="11"/>
  <c r="E596" i="11"/>
  <c r="G595" i="11"/>
  <c r="F595" i="11"/>
  <c r="E595" i="11"/>
  <c r="G594" i="11"/>
  <c r="F594" i="11"/>
  <c r="E594" i="11"/>
  <c r="G593" i="11"/>
  <c r="F593" i="11"/>
  <c r="E593" i="11"/>
  <c r="G592" i="11"/>
  <c r="F592" i="11"/>
  <c r="E592" i="11"/>
  <c r="G591" i="11"/>
  <c r="F591" i="11"/>
  <c r="E591" i="11"/>
  <c r="G590" i="11"/>
  <c r="F590" i="11"/>
  <c r="E590" i="11"/>
  <c r="G589" i="11"/>
  <c r="F589" i="11"/>
  <c r="E589" i="11"/>
  <c r="G588" i="11"/>
  <c r="F588" i="11"/>
  <c r="E588" i="11"/>
  <c r="G587" i="11"/>
  <c r="F587" i="11"/>
  <c r="E587" i="11"/>
  <c r="G586" i="11"/>
  <c r="F586" i="11"/>
  <c r="E586" i="11"/>
  <c r="G585" i="11"/>
  <c r="F585" i="11"/>
  <c r="E585" i="11"/>
  <c r="G584" i="11"/>
  <c r="F584" i="11"/>
  <c r="E584" i="11"/>
  <c r="G583" i="11"/>
  <c r="F583" i="11"/>
  <c r="E583" i="11"/>
  <c r="G582" i="11"/>
  <c r="F582" i="11"/>
  <c r="E582" i="11"/>
  <c r="G581" i="11"/>
  <c r="F581" i="11"/>
  <c r="E581" i="11"/>
  <c r="G580" i="11"/>
  <c r="F580" i="11"/>
  <c r="E580" i="11"/>
  <c r="G579" i="11"/>
  <c r="F579" i="11"/>
  <c r="E579" i="11"/>
  <c r="G578" i="11"/>
  <c r="F578" i="11"/>
  <c r="E578" i="11"/>
  <c r="G577" i="11"/>
  <c r="F577" i="11"/>
  <c r="E577" i="11"/>
  <c r="G576" i="11"/>
  <c r="F576" i="11"/>
  <c r="E576" i="11"/>
  <c r="G575" i="11"/>
  <c r="F575" i="11"/>
  <c r="E575" i="11"/>
  <c r="G574" i="11"/>
  <c r="F574" i="11"/>
  <c r="E574" i="11"/>
  <c r="G573" i="11"/>
  <c r="F573" i="11"/>
  <c r="E573" i="11"/>
  <c r="G572" i="11"/>
  <c r="F572" i="11"/>
  <c r="E572" i="11"/>
  <c r="G571" i="11"/>
  <c r="F571" i="11"/>
  <c r="E571" i="11"/>
  <c r="G570" i="11"/>
  <c r="F570" i="11"/>
  <c r="E570" i="11"/>
  <c r="G569" i="11"/>
  <c r="F569" i="11"/>
  <c r="E569" i="11"/>
  <c r="G568" i="11"/>
  <c r="F568" i="11"/>
  <c r="E568" i="11"/>
  <c r="G567" i="11"/>
  <c r="F567" i="11"/>
  <c r="E567" i="11"/>
  <c r="G566" i="11"/>
  <c r="F566" i="11"/>
  <c r="E566" i="11"/>
  <c r="G565" i="11"/>
  <c r="F565" i="11"/>
  <c r="E565" i="11"/>
  <c r="G564" i="11"/>
  <c r="F564" i="11"/>
  <c r="E564" i="11"/>
  <c r="G563" i="11"/>
  <c r="F563" i="11"/>
  <c r="E563" i="11"/>
  <c r="G562" i="11"/>
  <c r="F562" i="11"/>
  <c r="E562" i="11"/>
  <c r="G561" i="11"/>
  <c r="F561" i="11"/>
  <c r="E561" i="11"/>
  <c r="G560" i="11"/>
  <c r="F560" i="11"/>
  <c r="E560" i="11"/>
  <c r="G559" i="11"/>
  <c r="F559" i="11"/>
  <c r="E559" i="11"/>
  <c r="G558" i="11"/>
  <c r="F558" i="11"/>
  <c r="E558" i="11"/>
  <c r="G557" i="11"/>
  <c r="F557" i="11"/>
  <c r="E557" i="11"/>
  <c r="G556" i="11"/>
  <c r="F556" i="11"/>
  <c r="E556" i="11"/>
  <c r="G555" i="11"/>
  <c r="F555" i="11"/>
  <c r="E555" i="11"/>
  <c r="G554" i="11"/>
  <c r="F554" i="11"/>
  <c r="E554" i="11"/>
  <c r="G553" i="11"/>
  <c r="F553" i="11"/>
  <c r="E553" i="11"/>
  <c r="G552" i="11"/>
  <c r="F552" i="11"/>
  <c r="E552" i="11"/>
  <c r="G551" i="11"/>
  <c r="F551" i="11"/>
  <c r="E551" i="11"/>
  <c r="G550" i="11"/>
  <c r="F550" i="11"/>
  <c r="E550" i="11"/>
  <c r="G549" i="11"/>
  <c r="F549" i="11"/>
  <c r="E549" i="11"/>
  <c r="G548" i="11"/>
  <c r="F548" i="11"/>
  <c r="E548" i="11"/>
  <c r="G547" i="11"/>
  <c r="F547" i="11"/>
  <c r="E547" i="11"/>
  <c r="G546" i="11"/>
  <c r="F546" i="11"/>
  <c r="E546" i="11"/>
  <c r="G545" i="11"/>
  <c r="F545" i="11"/>
  <c r="E545" i="11"/>
  <c r="G544" i="11"/>
  <c r="F544" i="11"/>
  <c r="E544" i="11"/>
  <c r="G543" i="11"/>
  <c r="F543" i="11"/>
  <c r="E543" i="11"/>
  <c r="G542" i="11"/>
  <c r="F542" i="11"/>
  <c r="E542" i="11"/>
  <c r="G541" i="11"/>
  <c r="F541" i="11"/>
  <c r="E541" i="11"/>
  <c r="G540" i="11"/>
  <c r="F540" i="11"/>
  <c r="E540" i="11"/>
  <c r="G539" i="11"/>
  <c r="F539" i="11"/>
  <c r="E539" i="11"/>
  <c r="G538" i="11"/>
  <c r="F538" i="11"/>
  <c r="E538" i="11"/>
  <c r="G537" i="11"/>
  <c r="F537" i="11"/>
  <c r="E537" i="11"/>
  <c r="G536" i="11"/>
  <c r="F536" i="11"/>
  <c r="E536" i="11"/>
  <c r="G535" i="11"/>
  <c r="F535" i="11"/>
  <c r="E535" i="11"/>
  <c r="G534" i="11"/>
  <c r="F534" i="11"/>
  <c r="E534" i="11"/>
  <c r="G533" i="11"/>
  <c r="F533" i="11"/>
  <c r="E533" i="11"/>
  <c r="G532" i="11"/>
  <c r="F532" i="11"/>
  <c r="E532" i="11"/>
  <c r="G531" i="11"/>
  <c r="F531" i="11"/>
  <c r="E531" i="11"/>
  <c r="G530" i="11"/>
  <c r="F530" i="11"/>
  <c r="E530" i="11"/>
  <c r="G529" i="11"/>
  <c r="F529" i="11"/>
  <c r="E529" i="11"/>
  <c r="G528" i="11"/>
  <c r="F528" i="11"/>
  <c r="E528" i="11"/>
  <c r="G527" i="11"/>
  <c r="F527" i="11"/>
  <c r="E527" i="11"/>
  <c r="G526" i="11"/>
  <c r="F526" i="11"/>
  <c r="E526" i="11"/>
  <c r="G525" i="11"/>
  <c r="F525" i="11"/>
  <c r="E525" i="11"/>
  <c r="G524" i="11"/>
  <c r="F524" i="11"/>
  <c r="E524" i="11"/>
  <c r="G523" i="11"/>
  <c r="F523" i="11"/>
  <c r="E523" i="11"/>
  <c r="G522" i="11"/>
  <c r="F522" i="11"/>
  <c r="E522" i="11"/>
  <c r="G521" i="11"/>
  <c r="F521" i="11"/>
  <c r="E521" i="11"/>
  <c r="G520" i="11"/>
  <c r="F520" i="11"/>
  <c r="E520" i="11"/>
  <c r="G519" i="11"/>
  <c r="F519" i="11"/>
  <c r="E519" i="11"/>
  <c r="G518" i="11"/>
  <c r="F518" i="11"/>
  <c r="E518" i="11"/>
  <c r="G517" i="11"/>
  <c r="F517" i="11"/>
  <c r="E517" i="11"/>
  <c r="G516" i="11"/>
  <c r="F516" i="11"/>
  <c r="E516" i="11"/>
  <c r="G515" i="11"/>
  <c r="F515" i="11"/>
  <c r="E515" i="11"/>
  <c r="G514" i="11"/>
  <c r="F514" i="11"/>
  <c r="E514" i="11"/>
  <c r="G513" i="11"/>
  <c r="F513" i="11"/>
  <c r="E513" i="11"/>
  <c r="G512" i="11"/>
  <c r="F512" i="11"/>
  <c r="E512" i="11"/>
  <c r="G511" i="11"/>
  <c r="F511" i="11"/>
  <c r="E511" i="11"/>
  <c r="G510" i="11"/>
  <c r="F510" i="11"/>
  <c r="E510" i="11"/>
  <c r="G509" i="11"/>
  <c r="F509" i="11"/>
  <c r="E509" i="11"/>
  <c r="G508" i="11"/>
  <c r="F508" i="11"/>
  <c r="E508" i="11"/>
  <c r="G507" i="11"/>
  <c r="F507" i="11"/>
  <c r="E507" i="11"/>
  <c r="G506" i="11"/>
  <c r="F506" i="11"/>
  <c r="E506" i="11"/>
  <c r="G505" i="11"/>
  <c r="F505" i="11"/>
  <c r="E505" i="11"/>
  <c r="G504" i="11"/>
  <c r="F504" i="11"/>
  <c r="E504" i="11"/>
  <c r="G503" i="11"/>
  <c r="F503" i="11"/>
  <c r="E503" i="11"/>
  <c r="G502" i="11"/>
  <c r="F502" i="11"/>
  <c r="E502" i="11"/>
  <c r="G501" i="11"/>
  <c r="F501" i="11"/>
  <c r="E501" i="11"/>
  <c r="G500" i="11"/>
  <c r="F500" i="11"/>
  <c r="E500" i="11"/>
  <c r="G499" i="11"/>
  <c r="F499" i="11"/>
  <c r="E499" i="11"/>
  <c r="G498" i="11"/>
  <c r="F498" i="11"/>
  <c r="E498" i="11"/>
  <c r="G497" i="11"/>
  <c r="F497" i="11"/>
  <c r="E497" i="11"/>
  <c r="G496" i="11"/>
  <c r="F496" i="11"/>
  <c r="E496" i="11"/>
  <c r="G495" i="11"/>
  <c r="F495" i="11"/>
  <c r="E495" i="11"/>
  <c r="G494" i="11"/>
  <c r="F494" i="11"/>
  <c r="E494" i="11"/>
  <c r="G493" i="11"/>
  <c r="F493" i="11"/>
  <c r="E493" i="11"/>
  <c r="G492" i="11"/>
  <c r="F492" i="11"/>
  <c r="E492" i="11"/>
  <c r="G491" i="11"/>
  <c r="F491" i="11"/>
  <c r="E491" i="11"/>
  <c r="G490" i="11"/>
  <c r="F490" i="11"/>
  <c r="E490" i="11"/>
  <c r="G489" i="11"/>
  <c r="F489" i="11"/>
  <c r="E489" i="11"/>
  <c r="G488" i="11"/>
  <c r="F488" i="11"/>
  <c r="E488" i="11"/>
  <c r="G487" i="11"/>
  <c r="F487" i="11"/>
  <c r="E487" i="11"/>
  <c r="G486" i="11"/>
  <c r="F486" i="11"/>
  <c r="E486" i="11"/>
  <c r="G485" i="11"/>
  <c r="F485" i="11"/>
  <c r="E485" i="11"/>
  <c r="G484" i="11"/>
  <c r="F484" i="11"/>
  <c r="E484" i="11"/>
  <c r="G483" i="11"/>
  <c r="F483" i="11"/>
  <c r="E483" i="11"/>
  <c r="G482" i="11"/>
  <c r="F482" i="11"/>
  <c r="E482" i="11"/>
  <c r="G481" i="11"/>
  <c r="F481" i="11"/>
  <c r="E481" i="11"/>
  <c r="G480" i="11"/>
  <c r="F480" i="11"/>
  <c r="E480" i="11"/>
  <c r="G479" i="11"/>
  <c r="F479" i="11"/>
  <c r="E479" i="11"/>
  <c r="G478" i="11"/>
  <c r="F478" i="11"/>
  <c r="E478" i="11"/>
  <c r="G477" i="11"/>
  <c r="F477" i="11"/>
  <c r="E477" i="11"/>
  <c r="G476" i="11"/>
  <c r="F476" i="11"/>
  <c r="E476" i="11"/>
  <c r="G475" i="11"/>
  <c r="F475" i="11"/>
  <c r="E475" i="11"/>
  <c r="G474" i="11"/>
  <c r="F474" i="11"/>
  <c r="E474" i="11"/>
  <c r="G473" i="11"/>
  <c r="F473" i="11"/>
  <c r="E473" i="11"/>
  <c r="G472" i="11"/>
  <c r="F472" i="11"/>
  <c r="E472" i="11"/>
  <c r="G471" i="11"/>
  <c r="F471" i="11"/>
  <c r="E471" i="11"/>
  <c r="G470" i="11"/>
  <c r="F470" i="11"/>
  <c r="E470" i="11"/>
  <c r="G469" i="11"/>
  <c r="F469" i="11"/>
  <c r="E469" i="11"/>
  <c r="G468" i="11"/>
  <c r="F468" i="11"/>
  <c r="E468" i="11"/>
  <c r="G467" i="11"/>
  <c r="F467" i="11"/>
  <c r="E467" i="11"/>
  <c r="G466" i="11"/>
  <c r="F466" i="11"/>
  <c r="E466" i="11"/>
  <c r="G465" i="11"/>
  <c r="F465" i="11"/>
  <c r="E465" i="11"/>
  <c r="G464" i="11"/>
  <c r="F464" i="11"/>
  <c r="E464" i="11"/>
  <c r="G463" i="11"/>
  <c r="F463" i="11"/>
  <c r="E463" i="11"/>
  <c r="G462" i="11"/>
  <c r="F462" i="11"/>
  <c r="E462" i="11"/>
  <c r="G461" i="11"/>
  <c r="F461" i="11"/>
  <c r="E461" i="11"/>
  <c r="G460" i="11"/>
  <c r="F460" i="11"/>
  <c r="E460" i="11"/>
  <c r="G459" i="11"/>
  <c r="F459" i="11"/>
  <c r="E459" i="11"/>
  <c r="G458" i="11"/>
  <c r="F458" i="11"/>
  <c r="E458" i="11"/>
  <c r="G457" i="11"/>
  <c r="F457" i="11"/>
  <c r="E457" i="11"/>
  <c r="G456" i="11"/>
  <c r="F456" i="11"/>
  <c r="E456" i="11"/>
  <c r="G455" i="11"/>
  <c r="F455" i="11"/>
  <c r="E455" i="11"/>
  <c r="G454" i="11"/>
  <c r="F454" i="11"/>
  <c r="E454" i="11"/>
  <c r="G453" i="11"/>
  <c r="F453" i="11"/>
  <c r="E453" i="11"/>
  <c r="G452" i="11"/>
  <c r="F452" i="11"/>
  <c r="E452" i="11"/>
  <c r="G451" i="11"/>
  <c r="F451" i="11"/>
  <c r="E451" i="11"/>
  <c r="G450" i="11"/>
  <c r="F450" i="11"/>
  <c r="E450" i="11"/>
  <c r="G449" i="11"/>
  <c r="F449" i="11"/>
  <c r="E449" i="11"/>
  <c r="G448" i="11"/>
  <c r="F448" i="11"/>
  <c r="E448" i="11"/>
  <c r="G447" i="11"/>
  <c r="F447" i="11"/>
  <c r="E447" i="11"/>
  <c r="G446" i="11"/>
  <c r="F446" i="11"/>
  <c r="E446" i="11"/>
  <c r="G445" i="11"/>
  <c r="F445" i="11"/>
  <c r="E445" i="11"/>
  <c r="G444" i="11"/>
  <c r="F444" i="11"/>
  <c r="E444" i="11"/>
  <c r="G443" i="11"/>
  <c r="F443" i="11"/>
  <c r="E443" i="11"/>
  <c r="G442" i="11"/>
  <c r="F442" i="11"/>
  <c r="E442" i="11"/>
  <c r="G441" i="11"/>
  <c r="F441" i="11"/>
  <c r="E441" i="11"/>
  <c r="G440" i="11"/>
  <c r="F440" i="11"/>
  <c r="E440" i="11"/>
  <c r="G439" i="11"/>
  <c r="F439" i="11"/>
  <c r="E439" i="11"/>
  <c r="G438" i="11"/>
  <c r="F438" i="11"/>
  <c r="E438" i="11"/>
  <c r="G437" i="11"/>
  <c r="F437" i="11"/>
  <c r="E437" i="11"/>
  <c r="G436" i="11"/>
  <c r="F436" i="11"/>
  <c r="E436" i="11"/>
  <c r="G435" i="11"/>
  <c r="F435" i="11"/>
  <c r="E435" i="11"/>
  <c r="G434" i="11"/>
  <c r="F434" i="11"/>
  <c r="E434" i="11"/>
  <c r="G433" i="11"/>
  <c r="F433" i="11"/>
  <c r="E433" i="11"/>
  <c r="G432" i="11"/>
  <c r="F432" i="11"/>
  <c r="E432" i="11"/>
  <c r="G431" i="11"/>
  <c r="F431" i="11"/>
  <c r="E431" i="11"/>
  <c r="G430" i="11"/>
  <c r="F430" i="11"/>
  <c r="E430" i="11"/>
  <c r="G429" i="11"/>
  <c r="F429" i="11"/>
  <c r="E429" i="11"/>
  <c r="G428" i="11"/>
  <c r="F428" i="11"/>
  <c r="E428" i="11"/>
  <c r="G427" i="11"/>
  <c r="F427" i="11"/>
  <c r="E427" i="11"/>
  <c r="G426" i="11"/>
  <c r="F426" i="11"/>
  <c r="E426" i="11"/>
  <c r="G425" i="11"/>
  <c r="F425" i="11"/>
  <c r="E425" i="11"/>
  <c r="G424" i="11"/>
  <c r="F424" i="11"/>
  <c r="E424" i="11"/>
  <c r="G423" i="11"/>
  <c r="F423" i="11"/>
  <c r="E423" i="11"/>
  <c r="G422" i="11"/>
  <c r="F422" i="11"/>
  <c r="E422" i="11"/>
  <c r="G421" i="11"/>
  <c r="F421" i="11"/>
  <c r="E421" i="11"/>
  <c r="G420" i="11"/>
  <c r="F420" i="11"/>
  <c r="E420" i="11"/>
  <c r="G419" i="11"/>
  <c r="F419" i="11"/>
  <c r="E419" i="11"/>
  <c r="G418" i="11"/>
  <c r="F418" i="11"/>
  <c r="E418" i="11"/>
  <c r="G417" i="11"/>
  <c r="F417" i="11"/>
  <c r="E417" i="11"/>
  <c r="G416" i="11"/>
  <c r="F416" i="11"/>
  <c r="E416" i="11"/>
  <c r="G415" i="11"/>
  <c r="F415" i="11"/>
  <c r="E415" i="11"/>
  <c r="G414" i="11"/>
  <c r="F414" i="11"/>
  <c r="E414" i="11"/>
  <c r="G413" i="11"/>
  <c r="F413" i="11"/>
  <c r="E413" i="11"/>
  <c r="G412" i="11"/>
  <c r="F412" i="11"/>
  <c r="E412" i="11"/>
  <c r="G411" i="11"/>
  <c r="F411" i="11"/>
  <c r="E411" i="11"/>
  <c r="G410" i="11"/>
  <c r="F410" i="11"/>
  <c r="E410" i="11"/>
  <c r="G409" i="11"/>
  <c r="F409" i="11"/>
  <c r="E409" i="11"/>
  <c r="G408" i="11"/>
  <c r="F408" i="11"/>
  <c r="E408" i="11"/>
  <c r="G407" i="11"/>
  <c r="F407" i="11"/>
  <c r="E407" i="11"/>
  <c r="G406" i="11"/>
  <c r="F406" i="11"/>
  <c r="E406" i="11"/>
  <c r="G405" i="11"/>
  <c r="F405" i="11"/>
  <c r="E405" i="11"/>
  <c r="G404" i="11"/>
  <c r="F404" i="11"/>
  <c r="E404" i="11"/>
  <c r="G403" i="11"/>
  <c r="F403" i="11"/>
  <c r="E403" i="11"/>
  <c r="G402" i="11"/>
  <c r="F402" i="11"/>
  <c r="E402" i="11"/>
  <c r="G401" i="11"/>
  <c r="F401" i="11"/>
  <c r="E401" i="11"/>
  <c r="G400" i="11"/>
  <c r="F400" i="11"/>
  <c r="E400" i="11"/>
  <c r="G399" i="11"/>
  <c r="F399" i="11"/>
  <c r="E399" i="11"/>
  <c r="G398" i="11"/>
  <c r="F398" i="11"/>
  <c r="E398" i="11"/>
  <c r="G397" i="11"/>
  <c r="F397" i="11"/>
  <c r="E397" i="11"/>
  <c r="G396" i="11"/>
  <c r="F396" i="11"/>
  <c r="E396" i="11"/>
  <c r="G395" i="11"/>
  <c r="F395" i="11"/>
  <c r="E395" i="11"/>
  <c r="G394" i="11"/>
  <c r="F394" i="11"/>
  <c r="E394" i="11"/>
  <c r="G393" i="11"/>
  <c r="F393" i="11"/>
  <c r="E393" i="11"/>
  <c r="G392" i="11"/>
  <c r="F392" i="11"/>
  <c r="E392" i="11"/>
  <c r="G391" i="11"/>
  <c r="F391" i="11"/>
  <c r="E391" i="11"/>
  <c r="G390" i="11"/>
  <c r="F390" i="11"/>
  <c r="E390" i="11"/>
  <c r="G389" i="11"/>
  <c r="F389" i="11"/>
  <c r="E389" i="11"/>
  <c r="G388" i="11"/>
  <c r="F388" i="11"/>
  <c r="E388" i="11"/>
  <c r="G387" i="11"/>
  <c r="F387" i="11"/>
  <c r="E387" i="11"/>
  <c r="G386" i="11"/>
  <c r="F386" i="11"/>
  <c r="E386" i="11"/>
  <c r="G385" i="11"/>
  <c r="F385" i="11"/>
  <c r="E385" i="11"/>
  <c r="G384" i="11"/>
  <c r="F384" i="11"/>
  <c r="E384" i="11"/>
  <c r="G383" i="11"/>
  <c r="F383" i="11"/>
  <c r="E383" i="11"/>
  <c r="G382" i="11"/>
  <c r="F382" i="11"/>
  <c r="E382" i="11"/>
  <c r="G381" i="11"/>
  <c r="F381" i="11"/>
  <c r="E381" i="11"/>
  <c r="G380" i="11"/>
  <c r="F380" i="11"/>
  <c r="E380" i="11"/>
  <c r="G379" i="11"/>
  <c r="F379" i="11"/>
  <c r="E379" i="11"/>
  <c r="G378" i="11"/>
  <c r="F378" i="11"/>
  <c r="E378" i="11"/>
  <c r="G377" i="11"/>
  <c r="F377" i="11"/>
  <c r="E377" i="11"/>
  <c r="G376" i="11"/>
  <c r="F376" i="11"/>
  <c r="E376" i="11"/>
  <c r="G375" i="11"/>
  <c r="F375" i="11"/>
  <c r="E375" i="11"/>
  <c r="G374" i="11"/>
  <c r="F374" i="11"/>
  <c r="E374" i="11"/>
  <c r="G373" i="11"/>
  <c r="F373" i="11"/>
  <c r="E373" i="11"/>
  <c r="G372" i="11"/>
  <c r="F372" i="11"/>
  <c r="E372" i="11"/>
  <c r="G371" i="11"/>
  <c r="F371" i="11"/>
  <c r="E371" i="11"/>
  <c r="G370" i="11"/>
  <c r="F370" i="11"/>
  <c r="E370" i="11"/>
  <c r="G369" i="11"/>
  <c r="F369" i="11"/>
  <c r="E369" i="11"/>
  <c r="G368" i="11"/>
  <c r="F368" i="11"/>
  <c r="E368" i="11"/>
  <c r="G367" i="11"/>
  <c r="F367" i="11"/>
  <c r="E367" i="11"/>
  <c r="G366" i="11"/>
  <c r="F366" i="11"/>
  <c r="E366" i="11"/>
  <c r="G365" i="11"/>
  <c r="F365" i="11"/>
  <c r="E365" i="11"/>
  <c r="G364" i="11"/>
  <c r="F364" i="11"/>
  <c r="E364" i="11"/>
  <c r="G363" i="11"/>
  <c r="F363" i="11"/>
  <c r="E363" i="11"/>
  <c r="G362" i="11"/>
  <c r="F362" i="11"/>
  <c r="E362" i="11"/>
  <c r="G361" i="11"/>
  <c r="F361" i="11"/>
  <c r="E361" i="11"/>
  <c r="G360" i="11"/>
  <c r="F360" i="11"/>
  <c r="E360" i="11"/>
  <c r="G359" i="11"/>
  <c r="F359" i="11"/>
  <c r="E359" i="11"/>
  <c r="G358" i="11"/>
  <c r="F358" i="11"/>
  <c r="E358" i="11"/>
  <c r="G357" i="11"/>
  <c r="F357" i="11"/>
  <c r="E357" i="11"/>
  <c r="G356" i="11"/>
  <c r="F356" i="11"/>
  <c r="E356" i="11"/>
  <c r="G355" i="11"/>
  <c r="F355" i="11"/>
  <c r="E355" i="11"/>
  <c r="G354" i="11"/>
  <c r="F354" i="11"/>
  <c r="E354" i="11"/>
  <c r="G353" i="11"/>
  <c r="F353" i="11"/>
  <c r="E353" i="11"/>
  <c r="G352" i="11"/>
  <c r="F352" i="11"/>
  <c r="E352" i="11"/>
  <c r="G351" i="11"/>
  <c r="F351" i="11"/>
  <c r="E351" i="11"/>
  <c r="G350" i="11"/>
  <c r="F350" i="11"/>
  <c r="E350" i="11"/>
  <c r="G349" i="11"/>
  <c r="F349" i="11"/>
  <c r="E349" i="11"/>
  <c r="G348" i="11"/>
  <c r="F348" i="11"/>
  <c r="E348" i="11"/>
  <c r="G347" i="11"/>
  <c r="F347" i="11"/>
  <c r="E347" i="11"/>
  <c r="G346" i="11"/>
  <c r="F346" i="11"/>
  <c r="E346" i="11"/>
  <c r="G345" i="11"/>
  <c r="F345" i="11"/>
  <c r="E345" i="11"/>
  <c r="G344" i="11"/>
  <c r="F344" i="11"/>
  <c r="E344" i="11"/>
  <c r="G343" i="11"/>
  <c r="F343" i="11"/>
  <c r="E343" i="11"/>
  <c r="G342" i="11"/>
  <c r="F342" i="11"/>
  <c r="E342" i="11"/>
  <c r="G341" i="11"/>
  <c r="F341" i="11"/>
  <c r="E341" i="11"/>
  <c r="G340" i="11"/>
  <c r="F340" i="11"/>
  <c r="E340" i="11"/>
  <c r="G339" i="11"/>
  <c r="F339" i="11"/>
  <c r="E339" i="11"/>
  <c r="G338" i="11"/>
  <c r="F338" i="11"/>
  <c r="E338" i="11"/>
  <c r="G337" i="11"/>
  <c r="F337" i="11"/>
  <c r="E337" i="11"/>
  <c r="G336" i="11"/>
  <c r="F336" i="11"/>
  <c r="E336" i="11"/>
  <c r="G335" i="11"/>
  <c r="F335" i="11"/>
  <c r="E335" i="11"/>
  <c r="G334" i="11"/>
  <c r="F334" i="11"/>
  <c r="E334" i="11"/>
  <c r="G333" i="11"/>
  <c r="F333" i="11"/>
  <c r="E333" i="11"/>
  <c r="G332" i="11"/>
  <c r="F332" i="11"/>
  <c r="E332" i="11"/>
  <c r="G331" i="11"/>
  <c r="F331" i="11"/>
  <c r="E331" i="11"/>
  <c r="G330" i="11"/>
  <c r="F330" i="11"/>
  <c r="E330" i="11"/>
  <c r="G329" i="11"/>
  <c r="F329" i="11"/>
  <c r="E329" i="11"/>
  <c r="G328" i="11"/>
  <c r="F328" i="11"/>
  <c r="E328" i="11"/>
  <c r="G327" i="11"/>
  <c r="F327" i="11"/>
  <c r="E327" i="11"/>
  <c r="G326" i="11"/>
  <c r="F326" i="11"/>
  <c r="E326" i="11"/>
  <c r="G325" i="11"/>
  <c r="F325" i="11"/>
  <c r="E325" i="11"/>
  <c r="G324" i="11"/>
  <c r="F324" i="11"/>
  <c r="E324" i="11"/>
  <c r="G323" i="11"/>
  <c r="F323" i="11"/>
  <c r="E323" i="11"/>
  <c r="G322" i="11"/>
  <c r="F322" i="11"/>
  <c r="E322" i="11"/>
  <c r="G321" i="11"/>
  <c r="F321" i="11"/>
  <c r="E321" i="11"/>
  <c r="G320" i="11"/>
  <c r="F320" i="11"/>
  <c r="E320" i="11"/>
  <c r="G319" i="11"/>
  <c r="F319" i="11"/>
  <c r="E319" i="11"/>
  <c r="G318" i="11"/>
  <c r="F318" i="11"/>
  <c r="E318" i="11"/>
  <c r="G317" i="11"/>
  <c r="F317" i="11"/>
  <c r="E317" i="11"/>
  <c r="G316" i="11"/>
  <c r="F316" i="11"/>
  <c r="E316" i="11"/>
  <c r="G315" i="11"/>
  <c r="F315" i="11"/>
  <c r="E315" i="11"/>
  <c r="G314" i="11"/>
  <c r="F314" i="11"/>
  <c r="E314" i="11"/>
  <c r="G313" i="11"/>
  <c r="F313" i="11"/>
  <c r="E313" i="11"/>
  <c r="G312" i="11"/>
  <c r="F312" i="11"/>
  <c r="E312" i="11"/>
  <c r="G311" i="11"/>
  <c r="F311" i="11"/>
  <c r="E311" i="11"/>
  <c r="G310" i="11"/>
  <c r="F310" i="11"/>
  <c r="E310" i="11"/>
  <c r="G309" i="11"/>
  <c r="F309" i="11"/>
  <c r="E309" i="11"/>
  <c r="G308" i="11"/>
  <c r="F308" i="11"/>
  <c r="E308" i="11"/>
  <c r="G307" i="11"/>
  <c r="F307" i="11"/>
  <c r="E307" i="11"/>
  <c r="G306" i="11"/>
  <c r="F306" i="11"/>
  <c r="E306" i="11"/>
  <c r="G305" i="11"/>
  <c r="F305" i="11"/>
  <c r="E305" i="11"/>
  <c r="G304" i="11"/>
  <c r="F304" i="11"/>
  <c r="E304" i="11"/>
  <c r="G303" i="11"/>
  <c r="F303" i="11"/>
  <c r="E303" i="11"/>
  <c r="G302" i="11"/>
  <c r="F302" i="11"/>
  <c r="E302" i="11"/>
  <c r="G301" i="11"/>
  <c r="F301" i="11"/>
  <c r="E301" i="11"/>
  <c r="G300" i="11"/>
  <c r="F300" i="11"/>
  <c r="E300" i="11"/>
  <c r="G299" i="11"/>
  <c r="F299" i="11"/>
  <c r="E299" i="11"/>
  <c r="G298" i="11"/>
  <c r="F298" i="11"/>
  <c r="E298" i="11"/>
  <c r="G297" i="11"/>
  <c r="F297" i="11"/>
  <c r="E297" i="11"/>
  <c r="G296" i="11"/>
  <c r="F296" i="11"/>
  <c r="E296" i="11"/>
  <c r="G295" i="11"/>
  <c r="F295" i="11"/>
  <c r="E295" i="11"/>
  <c r="G294" i="11"/>
  <c r="F294" i="11"/>
  <c r="E294" i="11"/>
  <c r="G293" i="11"/>
  <c r="F293" i="11"/>
  <c r="E293" i="11"/>
  <c r="G292" i="11"/>
  <c r="F292" i="11"/>
  <c r="E292" i="11"/>
  <c r="G291" i="11"/>
  <c r="F291" i="11"/>
  <c r="E291" i="11"/>
  <c r="G290" i="11"/>
  <c r="F290" i="11"/>
  <c r="E290" i="11"/>
  <c r="G289" i="11"/>
  <c r="F289" i="11"/>
  <c r="E289" i="11"/>
  <c r="G288" i="11"/>
  <c r="F288" i="11"/>
  <c r="E288" i="11"/>
  <c r="G287" i="11"/>
  <c r="F287" i="11"/>
  <c r="E287" i="11"/>
  <c r="G286" i="11"/>
  <c r="F286" i="11"/>
  <c r="E286" i="11"/>
  <c r="G285" i="11"/>
  <c r="F285" i="11"/>
  <c r="E285" i="11"/>
  <c r="G284" i="11"/>
  <c r="F284" i="11"/>
  <c r="E284" i="11"/>
  <c r="G283" i="11"/>
  <c r="F283" i="11"/>
  <c r="E283" i="11"/>
  <c r="G282" i="11"/>
  <c r="F282" i="11"/>
  <c r="E282" i="11"/>
  <c r="G281" i="11"/>
  <c r="F281" i="11"/>
  <c r="E281" i="11"/>
  <c r="G280" i="11"/>
  <c r="F280" i="11"/>
  <c r="E280" i="11"/>
  <c r="G279" i="11"/>
  <c r="F279" i="11"/>
  <c r="E279" i="11"/>
  <c r="G278" i="11"/>
  <c r="F278" i="11"/>
  <c r="E278" i="11"/>
  <c r="G277" i="11"/>
  <c r="F277" i="11"/>
  <c r="E277" i="11"/>
  <c r="G276" i="11"/>
  <c r="F276" i="11"/>
  <c r="E276" i="11"/>
  <c r="G275" i="11"/>
  <c r="F275" i="11"/>
  <c r="E275" i="11"/>
  <c r="G274" i="11"/>
  <c r="F274" i="11"/>
  <c r="E274" i="11"/>
  <c r="G273" i="11"/>
  <c r="F273" i="11"/>
  <c r="E273" i="11"/>
  <c r="G272" i="11"/>
  <c r="F272" i="11"/>
  <c r="E272" i="11"/>
  <c r="G271" i="11"/>
  <c r="F271" i="11"/>
  <c r="E271" i="11"/>
  <c r="G270" i="11"/>
  <c r="F270" i="11"/>
  <c r="E270" i="11"/>
  <c r="G269" i="11"/>
  <c r="F269" i="11"/>
  <c r="E269" i="11"/>
  <c r="G268" i="11"/>
  <c r="F268" i="11"/>
  <c r="E268" i="11"/>
  <c r="G267" i="11"/>
  <c r="F267" i="11"/>
  <c r="E267" i="11"/>
  <c r="G266" i="11"/>
  <c r="F266" i="11"/>
  <c r="E266" i="11"/>
  <c r="G265" i="11"/>
  <c r="F265" i="11"/>
  <c r="E265" i="11"/>
  <c r="G264" i="11"/>
  <c r="F264" i="11"/>
  <c r="E264" i="11"/>
  <c r="G263" i="11"/>
  <c r="F263" i="11"/>
  <c r="E263" i="11"/>
  <c r="G262" i="11"/>
  <c r="F262" i="11"/>
  <c r="E262" i="11"/>
  <c r="G261" i="11"/>
  <c r="F261" i="11"/>
  <c r="E261" i="11"/>
  <c r="G260" i="11"/>
  <c r="F260" i="11"/>
  <c r="E260" i="11"/>
  <c r="G259" i="11"/>
  <c r="F259" i="11"/>
  <c r="E259" i="11"/>
  <c r="G258" i="11"/>
  <c r="F258" i="11"/>
  <c r="E258" i="11"/>
  <c r="G257" i="11"/>
  <c r="F257" i="11"/>
  <c r="E257" i="11"/>
  <c r="G256" i="11"/>
  <c r="F256" i="11"/>
  <c r="E256" i="11"/>
  <c r="G255" i="11"/>
  <c r="F255" i="11"/>
  <c r="E255" i="11"/>
  <c r="G254" i="11"/>
  <c r="F254" i="11"/>
  <c r="E254" i="11"/>
  <c r="G253" i="11"/>
  <c r="F253" i="11"/>
  <c r="E253" i="11"/>
  <c r="G252" i="11"/>
  <c r="F252" i="11"/>
  <c r="E252" i="11"/>
  <c r="G251" i="11"/>
  <c r="F251" i="11"/>
  <c r="E251" i="11"/>
  <c r="G250" i="11"/>
  <c r="F250" i="11"/>
  <c r="E250" i="11"/>
  <c r="G249" i="11"/>
  <c r="F249" i="11"/>
  <c r="E249" i="11"/>
  <c r="G248" i="11"/>
  <c r="F248" i="11"/>
  <c r="E248" i="11"/>
  <c r="G247" i="11"/>
  <c r="F247" i="11"/>
  <c r="E247" i="11"/>
  <c r="G246" i="11"/>
  <c r="F246" i="11"/>
  <c r="E246" i="11"/>
  <c r="G245" i="11"/>
  <c r="F245" i="11"/>
  <c r="E245" i="11"/>
  <c r="G244" i="11"/>
  <c r="F244" i="11"/>
  <c r="E244" i="11"/>
  <c r="G243" i="11"/>
  <c r="F243" i="11"/>
  <c r="E243" i="11"/>
  <c r="G242" i="11"/>
  <c r="F242" i="11"/>
  <c r="E242" i="11"/>
  <c r="G241" i="11"/>
  <c r="F241" i="11"/>
  <c r="E241" i="11"/>
  <c r="G240" i="11"/>
  <c r="F240" i="11"/>
  <c r="E240" i="11"/>
  <c r="G239" i="11"/>
  <c r="F239" i="11"/>
  <c r="E239" i="11"/>
  <c r="G238" i="11"/>
  <c r="F238" i="11"/>
  <c r="E238" i="11"/>
  <c r="G237" i="11"/>
  <c r="F237" i="11"/>
  <c r="E237" i="11"/>
  <c r="G236" i="11"/>
  <c r="F236" i="11"/>
  <c r="E236" i="11"/>
  <c r="G235" i="11"/>
  <c r="F235" i="11"/>
  <c r="E235" i="11"/>
  <c r="G234" i="11"/>
  <c r="F234" i="11"/>
  <c r="E234" i="11"/>
  <c r="G233" i="11"/>
  <c r="F233" i="11"/>
  <c r="E233" i="11"/>
  <c r="G232" i="11"/>
  <c r="F232" i="11"/>
  <c r="E232" i="11"/>
  <c r="G231" i="11"/>
  <c r="F231" i="11"/>
  <c r="E231" i="11"/>
  <c r="G230" i="11"/>
  <c r="F230" i="11"/>
  <c r="E230" i="11"/>
  <c r="G229" i="11"/>
  <c r="F229" i="11"/>
  <c r="E229" i="11"/>
  <c r="G228" i="11"/>
  <c r="F228" i="11"/>
  <c r="E228" i="11"/>
  <c r="G227" i="11"/>
  <c r="F227" i="11"/>
  <c r="E227" i="11"/>
  <c r="G226" i="11"/>
  <c r="F226" i="11"/>
  <c r="E226" i="11"/>
  <c r="G225" i="11"/>
  <c r="F225" i="11"/>
  <c r="E225" i="11"/>
  <c r="G224" i="11"/>
  <c r="F224" i="11"/>
  <c r="E224" i="11"/>
  <c r="G223" i="11"/>
  <c r="F223" i="11"/>
  <c r="E223" i="11"/>
  <c r="G222" i="11"/>
  <c r="F222" i="11"/>
  <c r="E222" i="11"/>
  <c r="G221" i="11"/>
  <c r="F221" i="11"/>
  <c r="E221" i="11"/>
  <c r="G220" i="11"/>
  <c r="F220" i="11"/>
  <c r="E220" i="11"/>
  <c r="G219" i="11"/>
  <c r="F219" i="11"/>
  <c r="E219" i="11"/>
  <c r="G218" i="11"/>
  <c r="F218" i="11"/>
  <c r="E218" i="11"/>
  <c r="G217" i="11"/>
  <c r="F217" i="11"/>
  <c r="E217" i="11"/>
  <c r="G216" i="11"/>
  <c r="F216" i="11"/>
  <c r="E216" i="11"/>
  <c r="G215" i="11"/>
  <c r="F215" i="11"/>
  <c r="E215" i="11"/>
  <c r="G214" i="11"/>
  <c r="F214" i="11"/>
  <c r="E214" i="11"/>
  <c r="G213" i="11"/>
  <c r="F213" i="11"/>
  <c r="E213" i="11"/>
  <c r="G212" i="11"/>
  <c r="F212" i="11"/>
  <c r="E212" i="11"/>
  <c r="G211" i="11"/>
  <c r="F211" i="11"/>
  <c r="E211" i="11"/>
  <c r="G210" i="11"/>
  <c r="F210" i="11"/>
  <c r="E210" i="11"/>
  <c r="G209" i="11"/>
  <c r="F209" i="11"/>
  <c r="E209" i="11"/>
  <c r="G208" i="11"/>
  <c r="F208" i="11"/>
  <c r="E208" i="11"/>
  <c r="G207" i="11"/>
  <c r="F207" i="11"/>
  <c r="E207" i="11"/>
  <c r="G206" i="11"/>
  <c r="F206" i="11"/>
  <c r="E206" i="11"/>
  <c r="G205" i="11"/>
  <c r="F205" i="11"/>
  <c r="E205" i="11"/>
  <c r="G204" i="11"/>
  <c r="F204" i="11"/>
  <c r="E204" i="11"/>
  <c r="G203" i="11"/>
  <c r="F203" i="11"/>
  <c r="E203" i="11"/>
  <c r="G202" i="11"/>
  <c r="F202" i="11"/>
  <c r="E202" i="11"/>
  <c r="G201" i="11"/>
  <c r="F201" i="11"/>
  <c r="E201" i="11"/>
  <c r="G200" i="11"/>
  <c r="F200" i="11"/>
  <c r="E200" i="11"/>
  <c r="G199" i="11"/>
  <c r="F199" i="11"/>
  <c r="E199" i="11"/>
  <c r="G198" i="11"/>
  <c r="F198" i="11"/>
  <c r="E198" i="11"/>
  <c r="G197" i="11"/>
  <c r="F197" i="11"/>
  <c r="E197" i="11"/>
  <c r="G196" i="11"/>
  <c r="F196" i="11"/>
  <c r="E196" i="11"/>
  <c r="G195" i="11"/>
  <c r="F195" i="11"/>
  <c r="E195" i="11"/>
  <c r="G194" i="11"/>
  <c r="F194" i="11"/>
  <c r="E194" i="11"/>
  <c r="G193" i="11"/>
  <c r="F193" i="11"/>
  <c r="E193" i="11"/>
  <c r="G192" i="11"/>
  <c r="F192" i="11"/>
  <c r="E192" i="11"/>
  <c r="G191" i="11"/>
  <c r="F191" i="11"/>
  <c r="E191" i="11"/>
  <c r="G190" i="11"/>
  <c r="F190" i="11"/>
  <c r="E190" i="11"/>
  <c r="G189" i="11"/>
  <c r="F189" i="11"/>
  <c r="E189" i="11"/>
  <c r="G188" i="11"/>
  <c r="F188" i="11"/>
  <c r="E188" i="11"/>
  <c r="G187" i="11"/>
  <c r="F187" i="11"/>
  <c r="E187" i="11"/>
  <c r="G186" i="11"/>
  <c r="F186" i="11"/>
  <c r="E186" i="11"/>
  <c r="G185" i="11"/>
  <c r="F185" i="11"/>
  <c r="E185" i="11"/>
  <c r="G184" i="11"/>
  <c r="F184" i="11"/>
  <c r="E184" i="11"/>
  <c r="G183" i="11"/>
  <c r="F183" i="11"/>
  <c r="E183" i="11"/>
  <c r="G182" i="11"/>
  <c r="F182" i="11"/>
  <c r="E182" i="11"/>
  <c r="G181" i="11"/>
  <c r="F181" i="11"/>
  <c r="E181" i="11"/>
  <c r="G180" i="11"/>
  <c r="F180" i="11"/>
  <c r="E180" i="11"/>
  <c r="G179" i="11"/>
  <c r="F179" i="11"/>
  <c r="E179" i="11"/>
  <c r="G178" i="11"/>
  <c r="F178" i="11"/>
  <c r="E178" i="11"/>
  <c r="G177" i="11"/>
  <c r="F177" i="11"/>
  <c r="E177" i="11"/>
  <c r="G176" i="11"/>
  <c r="F176" i="11"/>
  <c r="E176" i="11"/>
  <c r="G175" i="11"/>
  <c r="F175" i="11"/>
  <c r="E175" i="11"/>
  <c r="G174" i="11"/>
  <c r="F174" i="11"/>
  <c r="E174" i="11"/>
  <c r="G173" i="11"/>
  <c r="F173" i="11"/>
  <c r="E173" i="11"/>
  <c r="G172" i="11"/>
  <c r="F172" i="11"/>
  <c r="E172" i="11"/>
  <c r="G171" i="11"/>
  <c r="F171" i="11"/>
  <c r="E171" i="11"/>
  <c r="G170" i="11"/>
  <c r="F170" i="11"/>
  <c r="E170" i="11"/>
  <c r="G169" i="11"/>
  <c r="F169" i="11"/>
  <c r="E169" i="11"/>
  <c r="G168" i="11"/>
  <c r="F168" i="11"/>
  <c r="E168" i="11"/>
  <c r="G167" i="11"/>
  <c r="F167" i="11"/>
  <c r="E167" i="11"/>
  <c r="G166" i="11"/>
  <c r="F166" i="11"/>
  <c r="E166" i="11"/>
  <c r="G165" i="11"/>
  <c r="F165" i="11"/>
  <c r="E165" i="11"/>
  <c r="G164" i="11"/>
  <c r="F164" i="11"/>
  <c r="E164" i="11"/>
  <c r="G163" i="11"/>
  <c r="F163" i="11"/>
  <c r="E163" i="11"/>
  <c r="G162" i="11"/>
  <c r="F162" i="11"/>
  <c r="E162" i="11"/>
  <c r="G161" i="11"/>
  <c r="F161" i="11"/>
  <c r="E161" i="11"/>
  <c r="G160" i="11"/>
  <c r="F160" i="11"/>
  <c r="E160" i="11"/>
  <c r="G159" i="11"/>
  <c r="F159" i="11"/>
  <c r="E159" i="11"/>
  <c r="G158" i="11"/>
  <c r="F158" i="11"/>
  <c r="E158" i="11"/>
  <c r="G157" i="11"/>
  <c r="F157" i="11"/>
  <c r="E157" i="11"/>
  <c r="G156" i="11"/>
  <c r="F156" i="11"/>
  <c r="E156" i="11"/>
  <c r="G155" i="11"/>
  <c r="F155" i="11"/>
  <c r="E155" i="11"/>
  <c r="G154" i="11"/>
  <c r="F154" i="11"/>
  <c r="E154" i="11"/>
  <c r="G153" i="11"/>
  <c r="F153" i="11"/>
  <c r="E153" i="11"/>
  <c r="G152" i="11"/>
  <c r="F152" i="11"/>
  <c r="E152" i="11"/>
  <c r="G151" i="11"/>
  <c r="F151" i="11"/>
  <c r="E151" i="11"/>
  <c r="G150" i="11"/>
  <c r="F150" i="11"/>
  <c r="E150" i="11"/>
  <c r="G149" i="11"/>
  <c r="F149" i="11"/>
  <c r="E149" i="11"/>
  <c r="G148" i="11"/>
  <c r="F148" i="11"/>
  <c r="E148" i="11"/>
  <c r="G147" i="11"/>
  <c r="F147" i="11"/>
  <c r="E147" i="11"/>
  <c r="G146" i="11"/>
  <c r="F146" i="11"/>
  <c r="E146" i="11"/>
  <c r="G145" i="11"/>
  <c r="F145" i="11"/>
  <c r="E145" i="11"/>
  <c r="G144" i="11"/>
  <c r="F144" i="11"/>
  <c r="E144" i="11"/>
  <c r="G143" i="11"/>
  <c r="F143" i="11"/>
  <c r="E143" i="11"/>
  <c r="G142" i="11"/>
  <c r="F142" i="11"/>
  <c r="E142" i="11"/>
  <c r="G141" i="11"/>
  <c r="F141" i="11"/>
  <c r="E141" i="11"/>
  <c r="G140" i="11"/>
  <c r="F140" i="11"/>
  <c r="E140" i="11"/>
  <c r="G139" i="11"/>
  <c r="F139" i="11"/>
  <c r="E139" i="11"/>
  <c r="G138" i="11"/>
  <c r="F138" i="11"/>
  <c r="E138" i="11"/>
  <c r="G137" i="11"/>
  <c r="F137" i="11"/>
  <c r="E137" i="11"/>
  <c r="G136" i="11"/>
  <c r="F136" i="11"/>
  <c r="E136" i="11"/>
  <c r="G135" i="11"/>
  <c r="F135" i="11"/>
  <c r="E135" i="11"/>
  <c r="G134" i="11"/>
  <c r="F134" i="11"/>
  <c r="E134" i="11"/>
  <c r="G133" i="11"/>
  <c r="F133" i="11"/>
  <c r="E133" i="11"/>
  <c r="G132" i="11"/>
  <c r="F132" i="11"/>
  <c r="E132" i="11"/>
  <c r="G131" i="11"/>
  <c r="F131" i="11"/>
  <c r="E131" i="11"/>
  <c r="G130" i="11"/>
  <c r="F130" i="11"/>
  <c r="E130" i="11"/>
  <c r="G129" i="11"/>
  <c r="F129" i="11"/>
  <c r="E129" i="11"/>
  <c r="G128" i="11"/>
  <c r="F128" i="11"/>
  <c r="E128" i="11"/>
  <c r="G127" i="11"/>
  <c r="F127" i="11"/>
  <c r="E127" i="11"/>
  <c r="G126" i="11"/>
  <c r="F126" i="11"/>
  <c r="E126" i="11"/>
  <c r="G125" i="11"/>
  <c r="F125" i="11"/>
  <c r="E125" i="11"/>
  <c r="G124" i="11"/>
  <c r="F124" i="11"/>
  <c r="E124" i="11"/>
  <c r="G123" i="11"/>
  <c r="F123" i="11"/>
  <c r="E123" i="11"/>
  <c r="G122" i="11"/>
  <c r="F122" i="11"/>
  <c r="E122" i="11"/>
  <c r="G121" i="11"/>
  <c r="F121" i="11"/>
  <c r="E121" i="11"/>
  <c r="G120" i="11"/>
  <c r="F120" i="11"/>
  <c r="E120" i="11"/>
  <c r="G119" i="11"/>
  <c r="F119" i="11"/>
  <c r="E119" i="11"/>
  <c r="G118" i="11"/>
  <c r="F118" i="11"/>
  <c r="E118" i="11"/>
  <c r="G117" i="11"/>
  <c r="F117" i="11"/>
  <c r="E117" i="11"/>
  <c r="G116" i="11"/>
  <c r="F116" i="11"/>
  <c r="E116" i="11"/>
  <c r="G115" i="11"/>
  <c r="F115" i="11"/>
  <c r="E115" i="11"/>
  <c r="G114" i="11"/>
  <c r="F114" i="11"/>
  <c r="E114" i="11"/>
  <c r="G113" i="11"/>
  <c r="F113" i="11"/>
  <c r="E113" i="11"/>
  <c r="G112" i="11"/>
  <c r="F112" i="11"/>
  <c r="E112" i="11"/>
  <c r="G111" i="11"/>
  <c r="F111" i="11"/>
  <c r="E111" i="11"/>
  <c r="G110" i="11"/>
  <c r="F110" i="11"/>
  <c r="E110" i="11"/>
  <c r="G109" i="11"/>
  <c r="F109" i="11"/>
  <c r="E109" i="11"/>
  <c r="G108" i="11"/>
  <c r="F108" i="11"/>
  <c r="E108" i="11"/>
  <c r="G107" i="11"/>
  <c r="F107" i="11"/>
  <c r="E107" i="11"/>
  <c r="G106" i="11"/>
  <c r="F106" i="11"/>
  <c r="E106" i="11"/>
  <c r="G105" i="11"/>
  <c r="F105" i="11"/>
  <c r="E105" i="11"/>
  <c r="G104" i="11"/>
  <c r="F104" i="11"/>
  <c r="E104" i="11"/>
  <c r="G103" i="11"/>
  <c r="F103" i="11"/>
  <c r="E103" i="11"/>
  <c r="G102" i="11"/>
  <c r="F102" i="11"/>
  <c r="E102" i="11"/>
  <c r="G101" i="11"/>
  <c r="F101" i="11"/>
  <c r="E101" i="11"/>
  <c r="G100" i="11"/>
  <c r="F100" i="11"/>
  <c r="E100" i="11"/>
  <c r="G99" i="11"/>
  <c r="F99" i="11"/>
  <c r="E99" i="11"/>
  <c r="G98" i="11"/>
  <c r="F98" i="11"/>
  <c r="E98" i="11"/>
  <c r="G97" i="11"/>
  <c r="F97" i="11"/>
  <c r="E97" i="11"/>
  <c r="G96" i="11"/>
  <c r="F96" i="11"/>
  <c r="E96" i="11"/>
  <c r="G95" i="11"/>
  <c r="F95" i="11"/>
  <c r="E95" i="11"/>
  <c r="G94" i="11"/>
  <c r="F94" i="11"/>
  <c r="E94" i="11"/>
  <c r="G93" i="11"/>
  <c r="F93" i="11"/>
  <c r="E93" i="11"/>
  <c r="G92" i="11"/>
  <c r="F92" i="11"/>
  <c r="E92" i="11"/>
  <c r="G91" i="11"/>
  <c r="F91" i="11"/>
  <c r="E91" i="11"/>
  <c r="G90" i="11"/>
  <c r="F90" i="11"/>
  <c r="E90" i="11"/>
  <c r="G89" i="11"/>
  <c r="F89" i="11"/>
  <c r="E89" i="11"/>
  <c r="G88" i="11"/>
  <c r="F88" i="11"/>
  <c r="E88" i="11"/>
  <c r="G87" i="11"/>
  <c r="F87" i="11"/>
  <c r="E87" i="11"/>
  <c r="G86" i="11"/>
  <c r="F86" i="11"/>
  <c r="E86" i="11"/>
  <c r="G85" i="11"/>
  <c r="F85" i="11"/>
  <c r="E85" i="11"/>
  <c r="G84" i="11"/>
  <c r="F84" i="11"/>
  <c r="E84" i="11"/>
  <c r="G83" i="11"/>
  <c r="F83" i="11"/>
  <c r="E83" i="11"/>
  <c r="G82" i="11"/>
  <c r="F82" i="11"/>
  <c r="E82" i="11"/>
  <c r="G81" i="11"/>
  <c r="F81" i="11"/>
  <c r="E81" i="11"/>
  <c r="G80" i="11"/>
  <c r="F80" i="11"/>
  <c r="E80" i="11"/>
  <c r="G79" i="11"/>
  <c r="F79" i="11"/>
  <c r="E79" i="11"/>
  <c r="G78" i="11"/>
  <c r="F78" i="11"/>
  <c r="E78" i="11"/>
  <c r="G77" i="11"/>
  <c r="F77" i="11"/>
  <c r="E77" i="11"/>
  <c r="G76" i="11"/>
  <c r="F76" i="11"/>
  <c r="E76" i="11"/>
  <c r="G75" i="11"/>
  <c r="F75" i="11"/>
  <c r="E75" i="11"/>
  <c r="G74" i="11"/>
  <c r="F74" i="11"/>
  <c r="E74" i="11"/>
  <c r="G73" i="11"/>
  <c r="F73" i="11"/>
  <c r="E73" i="11"/>
  <c r="G72" i="11"/>
  <c r="F72" i="11"/>
  <c r="E72" i="11"/>
  <c r="G71" i="11"/>
  <c r="F71" i="11"/>
  <c r="E71" i="11"/>
  <c r="G70" i="11"/>
  <c r="F70" i="11"/>
  <c r="E70" i="11"/>
  <c r="G69" i="11"/>
  <c r="F69" i="11"/>
  <c r="E69" i="11"/>
  <c r="G68" i="11"/>
  <c r="F68" i="11"/>
  <c r="E68" i="11"/>
  <c r="G67" i="11"/>
  <c r="F67" i="11"/>
  <c r="E67" i="11"/>
  <c r="G66" i="11"/>
  <c r="F66" i="11"/>
  <c r="E66" i="11"/>
  <c r="G65" i="11"/>
  <c r="F65" i="11"/>
  <c r="E65" i="11"/>
  <c r="G64" i="11"/>
  <c r="F64" i="11"/>
  <c r="E64" i="11"/>
  <c r="G63" i="11"/>
  <c r="F63" i="11"/>
  <c r="E63" i="11"/>
  <c r="G62" i="11"/>
  <c r="F62" i="11"/>
  <c r="E62" i="11"/>
  <c r="G61" i="11"/>
  <c r="F61" i="11"/>
  <c r="E61" i="11"/>
  <c r="G60" i="11"/>
  <c r="F60" i="11"/>
  <c r="E60" i="11"/>
  <c r="G59" i="11"/>
  <c r="F59" i="11"/>
  <c r="E59" i="11"/>
  <c r="G58" i="11"/>
  <c r="F58" i="11"/>
  <c r="E58" i="11"/>
  <c r="G57" i="11"/>
  <c r="F57" i="11"/>
  <c r="E57" i="11"/>
  <c r="G56" i="11"/>
  <c r="F56" i="11"/>
  <c r="E56" i="11"/>
  <c r="G55" i="11"/>
  <c r="F55" i="11"/>
  <c r="E55" i="11"/>
  <c r="G54" i="11"/>
  <c r="F54" i="11"/>
  <c r="E54" i="11"/>
  <c r="G53" i="11"/>
  <c r="F53" i="11"/>
  <c r="E53" i="11"/>
  <c r="G52" i="11"/>
  <c r="F52" i="11"/>
  <c r="E52" i="11"/>
  <c r="G51" i="11"/>
  <c r="F51" i="11"/>
  <c r="E51" i="11"/>
  <c r="G50" i="11"/>
  <c r="F50" i="11"/>
  <c r="E50" i="11"/>
  <c r="G49" i="11"/>
  <c r="F49" i="11"/>
  <c r="E49" i="11"/>
  <c r="G48" i="11"/>
  <c r="F48" i="11"/>
  <c r="E48" i="11"/>
  <c r="G47" i="11"/>
  <c r="F47" i="11"/>
  <c r="E47" i="11"/>
  <c r="G46" i="11"/>
  <c r="F46" i="11"/>
  <c r="E46" i="11"/>
  <c r="G45" i="11"/>
  <c r="F45" i="11"/>
  <c r="E45" i="11"/>
  <c r="G44" i="11"/>
  <c r="F44" i="11"/>
  <c r="E44" i="11"/>
  <c r="G43" i="11"/>
  <c r="F43" i="11"/>
  <c r="E43" i="11"/>
  <c r="G42" i="11"/>
  <c r="F42" i="11"/>
  <c r="E42" i="11"/>
  <c r="G41" i="11"/>
  <c r="F41" i="11"/>
  <c r="E41" i="11"/>
  <c r="G40" i="11"/>
  <c r="F40" i="11"/>
  <c r="E40" i="11"/>
  <c r="G39" i="11"/>
  <c r="F39" i="11"/>
  <c r="E39" i="11"/>
  <c r="G38" i="11"/>
  <c r="F38" i="11"/>
  <c r="E38" i="11"/>
  <c r="G37" i="11"/>
  <c r="F37" i="11"/>
  <c r="E37" i="11"/>
  <c r="G36" i="11"/>
  <c r="F36" i="11"/>
  <c r="E36" i="11"/>
  <c r="G35" i="11"/>
  <c r="F35" i="11"/>
  <c r="E35" i="11"/>
  <c r="G34" i="11"/>
  <c r="F34" i="11"/>
  <c r="E34" i="11"/>
  <c r="G33" i="11"/>
  <c r="F33" i="11"/>
  <c r="E33" i="11"/>
  <c r="G32" i="11"/>
  <c r="F32" i="11"/>
  <c r="E32" i="11"/>
  <c r="G31" i="11"/>
  <c r="F31" i="11"/>
  <c r="E31" i="11"/>
  <c r="G30" i="11"/>
  <c r="F30" i="11"/>
  <c r="E30" i="11"/>
  <c r="G29" i="11"/>
  <c r="F29" i="11"/>
  <c r="E29" i="11"/>
  <c r="G28" i="11"/>
  <c r="F28" i="11"/>
  <c r="E28" i="11"/>
  <c r="G27" i="11"/>
  <c r="F27" i="11"/>
  <c r="E27" i="11"/>
  <c r="G26" i="11"/>
  <c r="F26" i="11"/>
  <c r="E26" i="11"/>
  <c r="G25" i="11"/>
  <c r="F25" i="11"/>
  <c r="E25" i="11"/>
  <c r="G24" i="11"/>
  <c r="F24" i="11"/>
  <c r="E24" i="11"/>
  <c r="G23" i="11"/>
  <c r="F23" i="11"/>
  <c r="E23" i="11"/>
  <c r="G22" i="11"/>
  <c r="F22" i="11"/>
  <c r="E22" i="11"/>
  <c r="G21" i="11"/>
  <c r="F21" i="11"/>
  <c r="E21" i="11"/>
  <c r="G20" i="11"/>
  <c r="F20" i="11"/>
  <c r="E20" i="11"/>
  <c r="G19" i="11"/>
  <c r="F19" i="11"/>
  <c r="E19" i="11"/>
  <c r="G18" i="11"/>
  <c r="F18" i="11"/>
  <c r="E18" i="11"/>
  <c r="G17" i="11"/>
  <c r="F17" i="11"/>
  <c r="E17" i="11"/>
  <c r="G16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F3" i="11"/>
  <c r="E3" i="11"/>
  <c r="F2" i="11"/>
  <c r="E2" i="11"/>
  <c r="AM438" i="10"/>
  <c r="AL438" i="10"/>
  <c r="AJ438" i="10"/>
  <c r="AI438" i="10"/>
  <c r="AG438" i="10"/>
  <c r="AF438" i="10"/>
  <c r="AD438" i="10"/>
  <c r="AC438" i="10"/>
  <c r="AA438" i="10"/>
  <c r="Z438" i="10"/>
  <c r="X438" i="10"/>
  <c r="W438" i="10"/>
  <c r="U438" i="10"/>
  <c r="T438" i="10"/>
  <c r="R438" i="10"/>
  <c r="Q438" i="10"/>
  <c r="O438" i="10"/>
  <c r="N438" i="10"/>
  <c r="L438" i="10"/>
  <c r="K438" i="10"/>
  <c r="I438" i="10"/>
  <c r="H438" i="10"/>
  <c r="F438" i="10"/>
  <c r="E438" i="10"/>
  <c r="C438" i="10"/>
  <c r="B438" i="10"/>
  <c r="AM437" i="10"/>
  <c r="AL437" i="10"/>
  <c r="AJ437" i="10"/>
  <c r="AI437" i="10"/>
  <c r="AG437" i="10"/>
  <c r="AF437" i="10"/>
  <c r="AD437" i="10"/>
  <c r="AC437" i="10"/>
  <c r="AA437" i="10"/>
  <c r="Z437" i="10"/>
  <c r="X437" i="10"/>
  <c r="W437" i="10"/>
  <c r="U437" i="10"/>
  <c r="T437" i="10"/>
  <c r="R437" i="10"/>
  <c r="Q437" i="10"/>
  <c r="O437" i="10"/>
  <c r="N437" i="10"/>
  <c r="L437" i="10"/>
  <c r="K437" i="10"/>
  <c r="I437" i="10"/>
  <c r="H437" i="10"/>
  <c r="F437" i="10"/>
  <c r="E437" i="10"/>
  <c r="C437" i="10"/>
  <c r="B437" i="10"/>
  <c r="AM436" i="10"/>
  <c r="AL436" i="10"/>
  <c r="AJ436" i="10"/>
  <c r="AI436" i="10"/>
  <c r="AG436" i="10"/>
  <c r="AF436" i="10"/>
  <c r="AD436" i="10"/>
  <c r="AC436" i="10"/>
  <c r="AA436" i="10"/>
  <c r="Z436" i="10"/>
  <c r="X436" i="10"/>
  <c r="W436" i="10"/>
  <c r="U436" i="10"/>
  <c r="T436" i="10"/>
  <c r="R436" i="10"/>
  <c r="Q436" i="10"/>
  <c r="O436" i="10"/>
  <c r="N436" i="10"/>
  <c r="L436" i="10"/>
  <c r="K436" i="10"/>
  <c r="I436" i="10"/>
  <c r="H436" i="10"/>
  <c r="F436" i="10"/>
  <c r="E436" i="10"/>
  <c r="C436" i="10"/>
  <c r="B436" i="10"/>
  <c r="AM435" i="10"/>
  <c r="AL435" i="10"/>
  <c r="AJ435" i="10"/>
  <c r="AI435" i="10"/>
  <c r="AG435" i="10"/>
  <c r="AF435" i="10"/>
  <c r="AD435" i="10"/>
  <c r="AC435" i="10"/>
  <c r="AA435" i="10"/>
  <c r="Z435" i="10"/>
  <c r="X435" i="10"/>
  <c r="W435" i="10"/>
  <c r="U435" i="10"/>
  <c r="T435" i="10"/>
  <c r="R435" i="10"/>
  <c r="Q435" i="10"/>
  <c r="O435" i="10"/>
  <c r="N435" i="10"/>
  <c r="L435" i="10"/>
  <c r="K435" i="10"/>
  <c r="I435" i="10"/>
  <c r="H435" i="10"/>
  <c r="F435" i="10"/>
  <c r="E435" i="10"/>
  <c r="C435" i="10"/>
  <c r="B435" i="10"/>
  <c r="AM434" i="10"/>
  <c r="AL434" i="10"/>
  <c r="AJ434" i="10"/>
  <c r="AI434" i="10"/>
  <c r="AG434" i="10"/>
  <c r="AF434" i="10"/>
  <c r="AD434" i="10"/>
  <c r="AC434" i="10"/>
  <c r="AA434" i="10"/>
  <c r="Z434" i="10"/>
  <c r="X434" i="10"/>
  <c r="W434" i="10"/>
  <c r="U434" i="10"/>
  <c r="T434" i="10"/>
  <c r="R434" i="10"/>
  <c r="Q434" i="10"/>
  <c r="O434" i="10"/>
  <c r="N434" i="10"/>
  <c r="L434" i="10"/>
  <c r="K434" i="10"/>
  <c r="I434" i="10"/>
  <c r="H434" i="10"/>
  <c r="F434" i="10"/>
  <c r="E434" i="10"/>
  <c r="C434" i="10"/>
  <c r="B434" i="10"/>
  <c r="AM433" i="10"/>
  <c r="AL433" i="10"/>
  <c r="AJ433" i="10"/>
  <c r="AI433" i="10"/>
  <c r="AG433" i="10"/>
  <c r="AF433" i="10"/>
  <c r="AD433" i="10"/>
  <c r="AC433" i="10"/>
  <c r="AA433" i="10"/>
  <c r="Z433" i="10"/>
  <c r="X433" i="10"/>
  <c r="W433" i="10"/>
  <c r="U433" i="10"/>
  <c r="T433" i="10"/>
  <c r="R433" i="10"/>
  <c r="Q433" i="10"/>
  <c r="O433" i="10"/>
  <c r="N433" i="10"/>
  <c r="L433" i="10"/>
  <c r="K433" i="10"/>
  <c r="I433" i="10"/>
  <c r="H433" i="10"/>
  <c r="F433" i="10"/>
  <c r="E433" i="10"/>
  <c r="C433" i="10"/>
  <c r="B433" i="10"/>
  <c r="AM432" i="10"/>
  <c r="AL432" i="10"/>
  <c r="AJ432" i="10"/>
  <c r="AI432" i="10"/>
  <c r="AG432" i="10"/>
  <c r="AF432" i="10"/>
  <c r="AD432" i="10"/>
  <c r="AC432" i="10"/>
  <c r="AA432" i="10"/>
  <c r="Z432" i="10"/>
  <c r="X432" i="10"/>
  <c r="W432" i="10"/>
  <c r="U432" i="10"/>
  <c r="T432" i="10"/>
  <c r="R432" i="10"/>
  <c r="Q432" i="10"/>
  <c r="O432" i="10"/>
  <c r="N432" i="10"/>
  <c r="L432" i="10"/>
  <c r="K432" i="10"/>
  <c r="I432" i="10"/>
  <c r="H432" i="10"/>
  <c r="F432" i="10"/>
  <c r="E432" i="10"/>
  <c r="C432" i="10"/>
  <c r="B432" i="10"/>
  <c r="AM431" i="10"/>
  <c r="AL431" i="10"/>
  <c r="AJ431" i="10"/>
  <c r="AI431" i="10"/>
  <c r="AG431" i="10"/>
  <c r="AF431" i="10"/>
  <c r="AD431" i="10"/>
  <c r="AC431" i="10"/>
  <c r="AA431" i="10"/>
  <c r="Z431" i="10"/>
  <c r="X431" i="10"/>
  <c r="W431" i="10"/>
  <c r="U431" i="10"/>
  <c r="T431" i="10"/>
  <c r="R431" i="10"/>
  <c r="Q431" i="10"/>
  <c r="O431" i="10"/>
  <c r="N431" i="10"/>
  <c r="L431" i="10"/>
  <c r="K431" i="10"/>
  <c r="I431" i="10"/>
  <c r="H431" i="10"/>
  <c r="F431" i="10"/>
  <c r="E431" i="10"/>
  <c r="C431" i="10"/>
  <c r="B431" i="10"/>
  <c r="AM430" i="10"/>
  <c r="AL430" i="10"/>
  <c r="AJ430" i="10"/>
  <c r="AI430" i="10"/>
  <c r="AG430" i="10"/>
  <c r="AF430" i="10"/>
  <c r="AD430" i="10"/>
  <c r="AC430" i="10"/>
  <c r="AA430" i="10"/>
  <c r="Z430" i="10"/>
  <c r="X430" i="10"/>
  <c r="W430" i="10"/>
  <c r="U430" i="10"/>
  <c r="T430" i="10"/>
  <c r="R430" i="10"/>
  <c r="Q430" i="10"/>
  <c r="O430" i="10"/>
  <c r="N430" i="10"/>
  <c r="L430" i="10"/>
  <c r="K430" i="10"/>
  <c r="I430" i="10"/>
  <c r="H430" i="10"/>
  <c r="F430" i="10"/>
  <c r="E430" i="10"/>
  <c r="C430" i="10"/>
  <c r="B430" i="10"/>
  <c r="AM429" i="10"/>
  <c r="AL429" i="10"/>
  <c r="AJ429" i="10"/>
  <c r="AI429" i="10"/>
  <c r="AG429" i="10"/>
  <c r="AF429" i="10"/>
  <c r="AC429" i="10"/>
  <c r="AA429" i="10"/>
  <c r="Z429" i="10"/>
  <c r="X429" i="10"/>
  <c r="W429" i="10"/>
  <c r="T429" i="10"/>
  <c r="Q429" i="10"/>
  <c r="O429" i="10"/>
  <c r="N429" i="10"/>
  <c r="L429" i="10"/>
  <c r="K429" i="10"/>
  <c r="I429" i="10"/>
  <c r="H429" i="10"/>
  <c r="F429" i="10"/>
  <c r="E429" i="10"/>
  <c r="B429" i="10"/>
  <c r="AM428" i="10"/>
  <c r="AL428" i="10"/>
  <c r="AJ428" i="10"/>
  <c r="AI428" i="10"/>
  <c r="AG428" i="10"/>
  <c r="AF428" i="10"/>
  <c r="AD428" i="10"/>
  <c r="AC428" i="10"/>
  <c r="AA428" i="10"/>
  <c r="Z428" i="10"/>
  <c r="X428" i="10"/>
  <c r="W428" i="10"/>
  <c r="U428" i="10"/>
  <c r="T428" i="10"/>
  <c r="R428" i="10"/>
  <c r="Q428" i="10"/>
  <c r="O428" i="10"/>
  <c r="N428" i="10"/>
  <c r="L428" i="10"/>
  <c r="K428" i="10"/>
  <c r="I428" i="10"/>
  <c r="H428" i="10"/>
  <c r="F428" i="10"/>
  <c r="E428" i="10"/>
  <c r="C428" i="10"/>
  <c r="B428" i="10"/>
  <c r="AM427" i="10"/>
  <c r="AL427" i="10"/>
  <c r="AJ427" i="10"/>
  <c r="AI427" i="10"/>
  <c r="AG427" i="10"/>
  <c r="AF427" i="10"/>
  <c r="AD427" i="10"/>
  <c r="AC427" i="10"/>
  <c r="AA427" i="10"/>
  <c r="Z427" i="10"/>
  <c r="X427" i="10"/>
  <c r="W427" i="10"/>
  <c r="U427" i="10"/>
  <c r="T427" i="10"/>
  <c r="R427" i="10"/>
  <c r="Q427" i="10"/>
  <c r="O427" i="10"/>
  <c r="N427" i="10"/>
  <c r="L427" i="10"/>
  <c r="K427" i="10"/>
  <c r="I427" i="10"/>
  <c r="H427" i="10"/>
  <c r="F427" i="10"/>
  <c r="E427" i="10"/>
  <c r="C427" i="10"/>
  <c r="B427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P366" i="10"/>
  <c r="AP366" i="17" s="1"/>
  <c r="AM366" i="10"/>
  <c r="AM366" i="17" s="1"/>
  <c r="AJ366" i="10"/>
  <c r="AJ366" i="17" s="1"/>
  <c r="AG366" i="10"/>
  <c r="AG366" i="17" s="1"/>
  <c r="AD366" i="10"/>
  <c r="AD366" i="17" s="1"/>
  <c r="AA366" i="10"/>
  <c r="AA366" i="17" s="1"/>
  <c r="X366" i="10"/>
  <c r="X366" i="17" s="1"/>
  <c r="U366" i="10"/>
  <c r="U366" i="17" s="1"/>
  <c r="R366" i="10"/>
  <c r="R366" i="17" s="1"/>
  <c r="O366" i="10"/>
  <c r="O366" i="17" s="1"/>
  <c r="L366" i="10"/>
  <c r="L366" i="17" s="1"/>
  <c r="I366" i="10"/>
  <c r="I366" i="17" s="1"/>
  <c r="F366" i="10"/>
  <c r="F366" i="17" s="1"/>
  <c r="C366" i="10"/>
  <c r="C366" i="17" s="1"/>
  <c r="B366" i="10"/>
  <c r="B366" i="17" s="1"/>
  <c r="AP365" i="10"/>
  <c r="AP365" i="17" s="1"/>
  <c r="AM365" i="10"/>
  <c r="AM365" i="17" s="1"/>
  <c r="AJ365" i="10"/>
  <c r="AJ365" i="17" s="1"/>
  <c r="AG365" i="10"/>
  <c r="AG365" i="17" s="1"/>
  <c r="AD365" i="10"/>
  <c r="AD365" i="17" s="1"/>
  <c r="AA365" i="10"/>
  <c r="AA365" i="17" s="1"/>
  <c r="X365" i="10"/>
  <c r="X365" i="17" s="1"/>
  <c r="U365" i="10"/>
  <c r="U365" i="17" s="1"/>
  <c r="R365" i="10"/>
  <c r="R365" i="17" s="1"/>
  <c r="O365" i="10"/>
  <c r="O365" i="17" s="1"/>
  <c r="L365" i="10"/>
  <c r="L365" i="17" s="1"/>
  <c r="I365" i="10"/>
  <c r="I365" i="17" s="1"/>
  <c r="F365" i="10"/>
  <c r="F365" i="17" s="1"/>
  <c r="C365" i="10"/>
  <c r="C365" i="17" s="1"/>
  <c r="B365" i="10"/>
  <c r="B365" i="17" s="1"/>
  <c r="AP364" i="10"/>
  <c r="AP364" i="17" s="1"/>
  <c r="AM364" i="10"/>
  <c r="AM364" i="17" s="1"/>
  <c r="AJ364" i="10"/>
  <c r="AJ364" i="17" s="1"/>
  <c r="AG364" i="10"/>
  <c r="AG364" i="17" s="1"/>
  <c r="AD364" i="10"/>
  <c r="AD364" i="17" s="1"/>
  <c r="AA364" i="10"/>
  <c r="AA364" i="17" s="1"/>
  <c r="X364" i="10"/>
  <c r="X364" i="17" s="1"/>
  <c r="U364" i="10"/>
  <c r="U364" i="17" s="1"/>
  <c r="R364" i="10"/>
  <c r="R364" i="17" s="1"/>
  <c r="O364" i="10"/>
  <c r="O364" i="17" s="1"/>
  <c r="L364" i="10"/>
  <c r="L364" i="17" s="1"/>
  <c r="I364" i="10"/>
  <c r="I364" i="17" s="1"/>
  <c r="F364" i="10"/>
  <c r="F364" i="17" s="1"/>
  <c r="C364" i="10"/>
  <c r="C364" i="17" s="1"/>
  <c r="B364" i="10"/>
  <c r="B364" i="17" s="1"/>
  <c r="AP363" i="10"/>
  <c r="AP363" i="17" s="1"/>
  <c r="AM363" i="10"/>
  <c r="AM363" i="17" s="1"/>
  <c r="AJ363" i="10"/>
  <c r="AJ363" i="17" s="1"/>
  <c r="AG363" i="10"/>
  <c r="AG363" i="17" s="1"/>
  <c r="AD363" i="10"/>
  <c r="AD363" i="17" s="1"/>
  <c r="AA363" i="10"/>
  <c r="AA363" i="17" s="1"/>
  <c r="X363" i="10"/>
  <c r="X363" i="17" s="1"/>
  <c r="U363" i="10"/>
  <c r="U363" i="17" s="1"/>
  <c r="R363" i="10"/>
  <c r="R363" i="17" s="1"/>
  <c r="O363" i="10"/>
  <c r="O363" i="17" s="1"/>
  <c r="L363" i="10"/>
  <c r="L363" i="17" s="1"/>
  <c r="I363" i="10"/>
  <c r="I363" i="17" s="1"/>
  <c r="F363" i="10"/>
  <c r="F363" i="17" s="1"/>
  <c r="C363" i="10"/>
  <c r="C363" i="17" s="1"/>
  <c r="B363" i="10"/>
  <c r="B363" i="17" s="1"/>
  <c r="AP362" i="10"/>
  <c r="AP362" i="17" s="1"/>
  <c r="AM362" i="10"/>
  <c r="AM362" i="17" s="1"/>
  <c r="AJ362" i="10"/>
  <c r="AJ362" i="17" s="1"/>
  <c r="AG362" i="10"/>
  <c r="AG362" i="17" s="1"/>
  <c r="AD362" i="10"/>
  <c r="AD362" i="17" s="1"/>
  <c r="AA362" i="10"/>
  <c r="AA362" i="17" s="1"/>
  <c r="X362" i="10"/>
  <c r="X362" i="17" s="1"/>
  <c r="U362" i="10"/>
  <c r="U362" i="17" s="1"/>
  <c r="R362" i="10"/>
  <c r="R362" i="17" s="1"/>
  <c r="O362" i="10"/>
  <c r="O362" i="17" s="1"/>
  <c r="L362" i="10"/>
  <c r="L362" i="17" s="1"/>
  <c r="I362" i="10"/>
  <c r="I362" i="17" s="1"/>
  <c r="F362" i="10"/>
  <c r="F362" i="17" s="1"/>
  <c r="C362" i="10"/>
  <c r="C362" i="17" s="1"/>
  <c r="B362" i="10"/>
  <c r="B362" i="17" s="1"/>
  <c r="AP361" i="10"/>
  <c r="AP361" i="17" s="1"/>
  <c r="AM361" i="10"/>
  <c r="AM361" i="17" s="1"/>
  <c r="AJ361" i="10"/>
  <c r="AJ361" i="17" s="1"/>
  <c r="AG361" i="10"/>
  <c r="AG361" i="17" s="1"/>
  <c r="AD361" i="10"/>
  <c r="AD361" i="17" s="1"/>
  <c r="AA361" i="10"/>
  <c r="AA361" i="17" s="1"/>
  <c r="X361" i="10"/>
  <c r="X361" i="17" s="1"/>
  <c r="U361" i="10"/>
  <c r="U361" i="17" s="1"/>
  <c r="R361" i="10"/>
  <c r="R361" i="17" s="1"/>
  <c r="O361" i="10"/>
  <c r="O361" i="17" s="1"/>
  <c r="L361" i="10"/>
  <c r="L361" i="17" s="1"/>
  <c r="I361" i="10"/>
  <c r="I361" i="17" s="1"/>
  <c r="F361" i="10"/>
  <c r="F361" i="17" s="1"/>
  <c r="C361" i="10"/>
  <c r="C361" i="17" s="1"/>
  <c r="B361" i="10"/>
  <c r="B361" i="17" s="1"/>
  <c r="AP360" i="10"/>
  <c r="AP360" i="17" s="1"/>
  <c r="AM360" i="10"/>
  <c r="AM360" i="17" s="1"/>
  <c r="AJ360" i="10"/>
  <c r="AJ360" i="17" s="1"/>
  <c r="AG360" i="10"/>
  <c r="AG360" i="17" s="1"/>
  <c r="AD360" i="10"/>
  <c r="AD360" i="17" s="1"/>
  <c r="AA360" i="10"/>
  <c r="AA360" i="17" s="1"/>
  <c r="X360" i="10"/>
  <c r="X360" i="17" s="1"/>
  <c r="U360" i="10"/>
  <c r="U360" i="17" s="1"/>
  <c r="R360" i="10"/>
  <c r="R360" i="17" s="1"/>
  <c r="O360" i="10"/>
  <c r="O360" i="17" s="1"/>
  <c r="L360" i="10"/>
  <c r="L360" i="17" s="1"/>
  <c r="I360" i="10"/>
  <c r="I360" i="17" s="1"/>
  <c r="F360" i="10"/>
  <c r="F360" i="17" s="1"/>
  <c r="C360" i="10"/>
  <c r="C360" i="17" s="1"/>
  <c r="B360" i="10"/>
  <c r="B360" i="17" s="1"/>
  <c r="AP359" i="10"/>
  <c r="AP359" i="17" s="1"/>
  <c r="AM359" i="10"/>
  <c r="AM359" i="17" s="1"/>
  <c r="AJ359" i="10"/>
  <c r="AJ359" i="17" s="1"/>
  <c r="AG359" i="10"/>
  <c r="AG359" i="17" s="1"/>
  <c r="AD359" i="10"/>
  <c r="AD359" i="17" s="1"/>
  <c r="AA359" i="10"/>
  <c r="AA359" i="17" s="1"/>
  <c r="X359" i="10"/>
  <c r="X359" i="17" s="1"/>
  <c r="U359" i="10"/>
  <c r="U359" i="17" s="1"/>
  <c r="R359" i="10"/>
  <c r="R359" i="17" s="1"/>
  <c r="O359" i="10"/>
  <c r="O359" i="17" s="1"/>
  <c r="L359" i="10"/>
  <c r="L359" i="17" s="1"/>
  <c r="I359" i="10"/>
  <c r="I359" i="17" s="1"/>
  <c r="F359" i="10"/>
  <c r="F359" i="17" s="1"/>
  <c r="C359" i="10"/>
  <c r="C359" i="17" s="1"/>
  <c r="B359" i="10"/>
  <c r="B359" i="17" s="1"/>
  <c r="AP358" i="10"/>
  <c r="AP358" i="17" s="1"/>
  <c r="AM358" i="10"/>
  <c r="AM358" i="17" s="1"/>
  <c r="AJ358" i="10"/>
  <c r="AJ358" i="17" s="1"/>
  <c r="AG358" i="10"/>
  <c r="AG358" i="17" s="1"/>
  <c r="AD358" i="10"/>
  <c r="AD358" i="17" s="1"/>
  <c r="AA358" i="10"/>
  <c r="AA358" i="17" s="1"/>
  <c r="X358" i="10"/>
  <c r="X358" i="17" s="1"/>
  <c r="U358" i="10"/>
  <c r="U358" i="17" s="1"/>
  <c r="R358" i="10"/>
  <c r="R358" i="17" s="1"/>
  <c r="O358" i="10"/>
  <c r="O358" i="17" s="1"/>
  <c r="L358" i="10"/>
  <c r="L358" i="17" s="1"/>
  <c r="I358" i="10"/>
  <c r="I358" i="17" s="1"/>
  <c r="F358" i="10"/>
  <c r="F358" i="17" s="1"/>
  <c r="C358" i="10"/>
  <c r="C358" i="17" s="1"/>
  <c r="B358" i="10"/>
  <c r="B358" i="17" s="1"/>
  <c r="AP357" i="10"/>
  <c r="AP357" i="17" s="1"/>
  <c r="AM357" i="10"/>
  <c r="AM357" i="17" s="1"/>
  <c r="AJ357" i="10"/>
  <c r="AJ357" i="17" s="1"/>
  <c r="AG357" i="10"/>
  <c r="AG357" i="17" s="1"/>
  <c r="AD357" i="10"/>
  <c r="AD357" i="17" s="1"/>
  <c r="AA357" i="10"/>
  <c r="AA357" i="17" s="1"/>
  <c r="X357" i="10"/>
  <c r="X357" i="17" s="1"/>
  <c r="U357" i="10"/>
  <c r="U357" i="17" s="1"/>
  <c r="R357" i="10"/>
  <c r="R357" i="17" s="1"/>
  <c r="O357" i="10"/>
  <c r="O357" i="17" s="1"/>
  <c r="L357" i="10"/>
  <c r="L357" i="17" s="1"/>
  <c r="I357" i="10"/>
  <c r="I357" i="17" s="1"/>
  <c r="F357" i="10"/>
  <c r="F357" i="17" s="1"/>
  <c r="C357" i="10"/>
  <c r="C357" i="17" s="1"/>
  <c r="B357" i="10"/>
  <c r="B357" i="17" s="1"/>
  <c r="AP356" i="10"/>
  <c r="AP356" i="17" s="1"/>
  <c r="AM356" i="10"/>
  <c r="AM356" i="17" s="1"/>
  <c r="AJ356" i="10"/>
  <c r="AJ356" i="17" s="1"/>
  <c r="AG356" i="10"/>
  <c r="AG356" i="17" s="1"/>
  <c r="AD356" i="10"/>
  <c r="AD356" i="17" s="1"/>
  <c r="AA356" i="10"/>
  <c r="AA356" i="17" s="1"/>
  <c r="X356" i="10"/>
  <c r="X356" i="17" s="1"/>
  <c r="U356" i="10"/>
  <c r="U356" i="17" s="1"/>
  <c r="R356" i="10"/>
  <c r="R356" i="17" s="1"/>
  <c r="O356" i="10"/>
  <c r="O356" i="17" s="1"/>
  <c r="L356" i="10"/>
  <c r="L356" i="17" s="1"/>
  <c r="I356" i="10"/>
  <c r="I356" i="17" s="1"/>
  <c r="F356" i="10"/>
  <c r="F356" i="17" s="1"/>
  <c r="C356" i="10"/>
  <c r="C356" i="17" s="1"/>
  <c r="B356" i="10"/>
  <c r="B356" i="17" s="1"/>
  <c r="AP355" i="10"/>
  <c r="AP355" i="17" s="1"/>
  <c r="AM355" i="10"/>
  <c r="AM355" i="17" s="1"/>
  <c r="AJ355" i="10"/>
  <c r="AJ355" i="17" s="1"/>
  <c r="AG355" i="10"/>
  <c r="AG355" i="17" s="1"/>
  <c r="AD355" i="10"/>
  <c r="AD355" i="17" s="1"/>
  <c r="AA355" i="10"/>
  <c r="AA355" i="17" s="1"/>
  <c r="X355" i="10"/>
  <c r="X355" i="17" s="1"/>
  <c r="U355" i="10"/>
  <c r="U355" i="17" s="1"/>
  <c r="R355" i="10"/>
  <c r="R355" i="17" s="1"/>
  <c r="O355" i="10"/>
  <c r="O355" i="17" s="1"/>
  <c r="L355" i="10"/>
  <c r="L355" i="17" s="1"/>
  <c r="I355" i="10"/>
  <c r="I355" i="17" s="1"/>
  <c r="F355" i="10"/>
  <c r="F355" i="17" s="1"/>
  <c r="C355" i="10"/>
  <c r="C355" i="17" s="1"/>
  <c r="B355" i="10"/>
  <c r="B355" i="17" s="1"/>
  <c r="AP354" i="10"/>
  <c r="AP354" i="17" s="1"/>
  <c r="AM354" i="10"/>
  <c r="AM354" i="17" s="1"/>
  <c r="AJ354" i="10"/>
  <c r="AJ354" i="17" s="1"/>
  <c r="AG354" i="10"/>
  <c r="AG354" i="17" s="1"/>
  <c r="AD354" i="10"/>
  <c r="AD354" i="17" s="1"/>
  <c r="AA354" i="10"/>
  <c r="AA354" i="17" s="1"/>
  <c r="X354" i="10"/>
  <c r="X354" i="17" s="1"/>
  <c r="U354" i="10"/>
  <c r="U354" i="17" s="1"/>
  <c r="R354" i="10"/>
  <c r="R354" i="17" s="1"/>
  <c r="O354" i="10"/>
  <c r="O354" i="17" s="1"/>
  <c r="L354" i="10"/>
  <c r="L354" i="17" s="1"/>
  <c r="I354" i="10"/>
  <c r="I354" i="17" s="1"/>
  <c r="F354" i="10"/>
  <c r="F354" i="17" s="1"/>
  <c r="C354" i="10"/>
  <c r="C354" i="17" s="1"/>
  <c r="B354" i="10"/>
  <c r="B354" i="17" s="1"/>
  <c r="AP353" i="10"/>
  <c r="AP353" i="17" s="1"/>
  <c r="AM353" i="10"/>
  <c r="AM353" i="17" s="1"/>
  <c r="AJ353" i="10"/>
  <c r="AJ353" i="17" s="1"/>
  <c r="AG353" i="10"/>
  <c r="AG353" i="17" s="1"/>
  <c r="AD353" i="10"/>
  <c r="AD353" i="17" s="1"/>
  <c r="AA353" i="10"/>
  <c r="AA353" i="17" s="1"/>
  <c r="X353" i="10"/>
  <c r="X353" i="17" s="1"/>
  <c r="U353" i="10"/>
  <c r="U353" i="17" s="1"/>
  <c r="R353" i="10"/>
  <c r="R353" i="17" s="1"/>
  <c r="O353" i="10"/>
  <c r="O353" i="17" s="1"/>
  <c r="L353" i="10"/>
  <c r="L353" i="17" s="1"/>
  <c r="I353" i="10"/>
  <c r="I353" i="17" s="1"/>
  <c r="F353" i="10"/>
  <c r="F353" i="17" s="1"/>
  <c r="C353" i="10"/>
  <c r="C353" i="17" s="1"/>
  <c r="B353" i="10"/>
  <c r="B353" i="17" s="1"/>
  <c r="AP352" i="10"/>
  <c r="AP352" i="17" s="1"/>
  <c r="AM352" i="10"/>
  <c r="AM352" i="17" s="1"/>
  <c r="AJ352" i="10"/>
  <c r="AJ352" i="17" s="1"/>
  <c r="AG352" i="10"/>
  <c r="AG352" i="17" s="1"/>
  <c r="AD352" i="10"/>
  <c r="AD352" i="17" s="1"/>
  <c r="AA352" i="10"/>
  <c r="AA352" i="17" s="1"/>
  <c r="X352" i="10"/>
  <c r="X352" i="17" s="1"/>
  <c r="U352" i="10"/>
  <c r="U352" i="17" s="1"/>
  <c r="R352" i="10"/>
  <c r="R352" i="17" s="1"/>
  <c r="O352" i="10"/>
  <c r="O352" i="17" s="1"/>
  <c r="L352" i="10"/>
  <c r="L352" i="17" s="1"/>
  <c r="I352" i="10"/>
  <c r="I352" i="17" s="1"/>
  <c r="F352" i="10"/>
  <c r="F352" i="17" s="1"/>
  <c r="C352" i="10"/>
  <c r="C352" i="17" s="1"/>
  <c r="B352" i="10"/>
  <c r="B352" i="17" s="1"/>
  <c r="AP351" i="10"/>
  <c r="AP351" i="17" s="1"/>
  <c r="AM351" i="10"/>
  <c r="AM351" i="17" s="1"/>
  <c r="AJ351" i="10"/>
  <c r="AJ351" i="17" s="1"/>
  <c r="AG351" i="10"/>
  <c r="AG351" i="17" s="1"/>
  <c r="AD351" i="10"/>
  <c r="AD351" i="17" s="1"/>
  <c r="AA351" i="10"/>
  <c r="AA351" i="17" s="1"/>
  <c r="X351" i="10"/>
  <c r="X351" i="17" s="1"/>
  <c r="U351" i="10"/>
  <c r="U351" i="17" s="1"/>
  <c r="R351" i="10"/>
  <c r="R351" i="17" s="1"/>
  <c r="O351" i="10"/>
  <c r="O351" i="17" s="1"/>
  <c r="L351" i="10"/>
  <c r="L351" i="17" s="1"/>
  <c r="I351" i="10"/>
  <c r="I351" i="17" s="1"/>
  <c r="F351" i="10"/>
  <c r="F351" i="17" s="1"/>
  <c r="C351" i="10"/>
  <c r="C351" i="17" s="1"/>
  <c r="B351" i="10"/>
  <c r="B351" i="17" s="1"/>
  <c r="AP350" i="10"/>
  <c r="AP350" i="17" s="1"/>
  <c r="AM350" i="10"/>
  <c r="AM350" i="17" s="1"/>
  <c r="AJ350" i="10"/>
  <c r="AJ350" i="17" s="1"/>
  <c r="AG350" i="10"/>
  <c r="AG350" i="17" s="1"/>
  <c r="AD350" i="10"/>
  <c r="AD350" i="17" s="1"/>
  <c r="AA350" i="10"/>
  <c r="AA350" i="17" s="1"/>
  <c r="X350" i="10"/>
  <c r="X350" i="17" s="1"/>
  <c r="U350" i="10"/>
  <c r="U350" i="17" s="1"/>
  <c r="R350" i="10"/>
  <c r="R350" i="17" s="1"/>
  <c r="O350" i="10"/>
  <c r="O350" i="17" s="1"/>
  <c r="L350" i="10"/>
  <c r="L350" i="17" s="1"/>
  <c r="I350" i="10"/>
  <c r="I350" i="17" s="1"/>
  <c r="F350" i="10"/>
  <c r="F350" i="17" s="1"/>
  <c r="C350" i="10"/>
  <c r="C350" i="17" s="1"/>
  <c r="B350" i="10"/>
  <c r="B350" i="17" s="1"/>
  <c r="AP349" i="10"/>
  <c r="AP349" i="17" s="1"/>
  <c r="AM349" i="10"/>
  <c r="AM349" i="17" s="1"/>
  <c r="AJ349" i="10"/>
  <c r="AJ349" i="17" s="1"/>
  <c r="AG349" i="10"/>
  <c r="AG349" i="17" s="1"/>
  <c r="AD349" i="10"/>
  <c r="AD349" i="17" s="1"/>
  <c r="AA349" i="10"/>
  <c r="AA349" i="17" s="1"/>
  <c r="X349" i="10"/>
  <c r="X349" i="17" s="1"/>
  <c r="U349" i="10"/>
  <c r="U349" i="17" s="1"/>
  <c r="R349" i="10"/>
  <c r="R349" i="17" s="1"/>
  <c r="O349" i="10"/>
  <c r="O349" i="17" s="1"/>
  <c r="L349" i="10"/>
  <c r="L349" i="17" s="1"/>
  <c r="I349" i="10"/>
  <c r="I349" i="17" s="1"/>
  <c r="F349" i="10"/>
  <c r="F349" i="17" s="1"/>
  <c r="C349" i="10"/>
  <c r="C349" i="17" s="1"/>
  <c r="B349" i="10"/>
  <c r="B349" i="17" s="1"/>
  <c r="AP348" i="10"/>
  <c r="AP348" i="17" s="1"/>
  <c r="AM348" i="10"/>
  <c r="AM348" i="17" s="1"/>
  <c r="AJ348" i="10"/>
  <c r="AJ348" i="17" s="1"/>
  <c r="AG348" i="10"/>
  <c r="AG348" i="17" s="1"/>
  <c r="AD348" i="10"/>
  <c r="AD348" i="17" s="1"/>
  <c r="AA348" i="10"/>
  <c r="AA348" i="17" s="1"/>
  <c r="X348" i="10"/>
  <c r="X348" i="17" s="1"/>
  <c r="U348" i="10"/>
  <c r="U348" i="17" s="1"/>
  <c r="R348" i="10"/>
  <c r="R348" i="17" s="1"/>
  <c r="O348" i="10"/>
  <c r="O348" i="17" s="1"/>
  <c r="L348" i="10"/>
  <c r="L348" i="17" s="1"/>
  <c r="I348" i="10"/>
  <c r="I348" i="17" s="1"/>
  <c r="F348" i="10"/>
  <c r="F348" i="17" s="1"/>
  <c r="C348" i="10"/>
  <c r="C348" i="17" s="1"/>
  <c r="B348" i="10"/>
  <c r="B348" i="17" s="1"/>
  <c r="AP347" i="10"/>
  <c r="AP347" i="17" s="1"/>
  <c r="AM347" i="10"/>
  <c r="AM347" i="17" s="1"/>
  <c r="AJ347" i="10"/>
  <c r="AJ347" i="17" s="1"/>
  <c r="AG347" i="10"/>
  <c r="AG347" i="17" s="1"/>
  <c r="AD347" i="10"/>
  <c r="AD347" i="17" s="1"/>
  <c r="AA347" i="10"/>
  <c r="AA347" i="17" s="1"/>
  <c r="X347" i="10"/>
  <c r="X347" i="17" s="1"/>
  <c r="U347" i="10"/>
  <c r="U347" i="17" s="1"/>
  <c r="R347" i="10"/>
  <c r="R347" i="17" s="1"/>
  <c r="O347" i="10"/>
  <c r="O347" i="17" s="1"/>
  <c r="L347" i="10"/>
  <c r="L347" i="17" s="1"/>
  <c r="I347" i="10"/>
  <c r="I347" i="17" s="1"/>
  <c r="F347" i="10"/>
  <c r="F347" i="17" s="1"/>
  <c r="C347" i="10"/>
  <c r="C347" i="17" s="1"/>
  <c r="B347" i="10"/>
  <c r="B347" i="17" s="1"/>
  <c r="AP346" i="10"/>
  <c r="AP346" i="17" s="1"/>
  <c r="AM346" i="10"/>
  <c r="AM346" i="17" s="1"/>
  <c r="AJ346" i="10"/>
  <c r="AJ346" i="17" s="1"/>
  <c r="AG346" i="10"/>
  <c r="AG346" i="17" s="1"/>
  <c r="AD346" i="10"/>
  <c r="AD346" i="17" s="1"/>
  <c r="AA346" i="10"/>
  <c r="AA346" i="17" s="1"/>
  <c r="X346" i="10"/>
  <c r="X346" i="17" s="1"/>
  <c r="U346" i="10"/>
  <c r="U346" i="17" s="1"/>
  <c r="R346" i="10"/>
  <c r="R346" i="17" s="1"/>
  <c r="O346" i="10"/>
  <c r="O346" i="17" s="1"/>
  <c r="L346" i="10"/>
  <c r="L346" i="17" s="1"/>
  <c r="I346" i="10"/>
  <c r="I346" i="17" s="1"/>
  <c r="F346" i="10"/>
  <c r="F346" i="17" s="1"/>
  <c r="C346" i="10"/>
  <c r="C346" i="17" s="1"/>
  <c r="B346" i="10"/>
  <c r="B346" i="17" s="1"/>
  <c r="AP345" i="10"/>
  <c r="AP345" i="17" s="1"/>
  <c r="AM345" i="10"/>
  <c r="AM345" i="17" s="1"/>
  <c r="AJ345" i="10"/>
  <c r="AJ345" i="17" s="1"/>
  <c r="AG345" i="10"/>
  <c r="AG345" i="17" s="1"/>
  <c r="AD345" i="10"/>
  <c r="AD345" i="17" s="1"/>
  <c r="AA345" i="10"/>
  <c r="AA345" i="17" s="1"/>
  <c r="X345" i="10"/>
  <c r="X345" i="17" s="1"/>
  <c r="U345" i="10"/>
  <c r="U345" i="17" s="1"/>
  <c r="R345" i="10"/>
  <c r="R345" i="17" s="1"/>
  <c r="O345" i="10"/>
  <c r="O345" i="17" s="1"/>
  <c r="L345" i="10"/>
  <c r="L345" i="17" s="1"/>
  <c r="I345" i="10"/>
  <c r="I345" i="17" s="1"/>
  <c r="F345" i="10"/>
  <c r="F345" i="17" s="1"/>
  <c r="C345" i="10"/>
  <c r="C345" i="17" s="1"/>
  <c r="B345" i="10"/>
  <c r="B345" i="17" s="1"/>
  <c r="AP344" i="10"/>
  <c r="AP344" i="17" s="1"/>
  <c r="AM344" i="10"/>
  <c r="AM344" i="17" s="1"/>
  <c r="AJ344" i="10"/>
  <c r="AJ344" i="17" s="1"/>
  <c r="AG344" i="10"/>
  <c r="AG344" i="17" s="1"/>
  <c r="AD344" i="10"/>
  <c r="AD344" i="17" s="1"/>
  <c r="AA344" i="10"/>
  <c r="AA344" i="17" s="1"/>
  <c r="X344" i="10"/>
  <c r="X344" i="17" s="1"/>
  <c r="U344" i="10"/>
  <c r="U344" i="17" s="1"/>
  <c r="R344" i="10"/>
  <c r="R344" i="17" s="1"/>
  <c r="O344" i="10"/>
  <c r="O344" i="17" s="1"/>
  <c r="L344" i="10"/>
  <c r="L344" i="17" s="1"/>
  <c r="I344" i="10"/>
  <c r="I344" i="17" s="1"/>
  <c r="F344" i="10"/>
  <c r="F344" i="17" s="1"/>
  <c r="C344" i="10"/>
  <c r="C344" i="17" s="1"/>
  <c r="B344" i="10"/>
  <c r="B344" i="17" s="1"/>
  <c r="AP343" i="10"/>
  <c r="AP343" i="17" s="1"/>
  <c r="AM343" i="10"/>
  <c r="AM343" i="17" s="1"/>
  <c r="AJ343" i="10"/>
  <c r="AJ343" i="17" s="1"/>
  <c r="AG343" i="10"/>
  <c r="AG343" i="17" s="1"/>
  <c r="AD343" i="10"/>
  <c r="AD343" i="17" s="1"/>
  <c r="AA343" i="10"/>
  <c r="AA343" i="17" s="1"/>
  <c r="X343" i="10"/>
  <c r="X343" i="17" s="1"/>
  <c r="U343" i="10"/>
  <c r="U343" i="17" s="1"/>
  <c r="R343" i="10"/>
  <c r="R343" i="17" s="1"/>
  <c r="O343" i="10"/>
  <c r="O343" i="17" s="1"/>
  <c r="L343" i="10"/>
  <c r="L343" i="17" s="1"/>
  <c r="I343" i="10"/>
  <c r="I343" i="17" s="1"/>
  <c r="F343" i="10"/>
  <c r="F343" i="17" s="1"/>
  <c r="C343" i="10"/>
  <c r="C343" i="17" s="1"/>
  <c r="B343" i="10"/>
  <c r="B343" i="17" s="1"/>
  <c r="AP342" i="10"/>
  <c r="AP342" i="17" s="1"/>
  <c r="AM342" i="10"/>
  <c r="AM342" i="17" s="1"/>
  <c r="AJ342" i="10"/>
  <c r="AJ342" i="17" s="1"/>
  <c r="AG342" i="10"/>
  <c r="AG342" i="17" s="1"/>
  <c r="AD342" i="10"/>
  <c r="AD342" i="17" s="1"/>
  <c r="AA342" i="10"/>
  <c r="AA342" i="17" s="1"/>
  <c r="X342" i="10"/>
  <c r="X342" i="17" s="1"/>
  <c r="U342" i="10"/>
  <c r="U342" i="17" s="1"/>
  <c r="R342" i="10"/>
  <c r="R342" i="17" s="1"/>
  <c r="O342" i="10"/>
  <c r="O342" i="17" s="1"/>
  <c r="L342" i="10"/>
  <c r="L342" i="17" s="1"/>
  <c r="I342" i="10"/>
  <c r="I342" i="17" s="1"/>
  <c r="F342" i="10"/>
  <c r="F342" i="17" s="1"/>
  <c r="C342" i="10"/>
  <c r="C342" i="17" s="1"/>
  <c r="B342" i="10"/>
  <c r="B342" i="17" s="1"/>
  <c r="AP341" i="10"/>
  <c r="AP341" i="17" s="1"/>
  <c r="AM341" i="10"/>
  <c r="AM341" i="17" s="1"/>
  <c r="AJ341" i="10"/>
  <c r="AJ341" i="17" s="1"/>
  <c r="AG341" i="10"/>
  <c r="AG341" i="17" s="1"/>
  <c r="AD341" i="10"/>
  <c r="AD341" i="17" s="1"/>
  <c r="AA341" i="10"/>
  <c r="AA341" i="17" s="1"/>
  <c r="X341" i="10"/>
  <c r="X341" i="17" s="1"/>
  <c r="U341" i="10"/>
  <c r="U341" i="17" s="1"/>
  <c r="R341" i="10"/>
  <c r="R341" i="17" s="1"/>
  <c r="O341" i="10"/>
  <c r="O341" i="17" s="1"/>
  <c r="L341" i="10"/>
  <c r="L341" i="17" s="1"/>
  <c r="I341" i="10"/>
  <c r="I341" i="17" s="1"/>
  <c r="F341" i="10"/>
  <c r="F341" i="17" s="1"/>
  <c r="C341" i="10"/>
  <c r="C341" i="17" s="1"/>
  <c r="B341" i="10"/>
  <c r="B341" i="17" s="1"/>
  <c r="AP340" i="10"/>
  <c r="AP340" i="17" s="1"/>
  <c r="AM340" i="10"/>
  <c r="AM340" i="17" s="1"/>
  <c r="AJ340" i="10"/>
  <c r="AJ340" i="17" s="1"/>
  <c r="AG340" i="10"/>
  <c r="AG340" i="17" s="1"/>
  <c r="AD340" i="10"/>
  <c r="AD340" i="17" s="1"/>
  <c r="AA340" i="10"/>
  <c r="AA340" i="17" s="1"/>
  <c r="X340" i="10"/>
  <c r="X340" i="17" s="1"/>
  <c r="U340" i="10"/>
  <c r="U340" i="17" s="1"/>
  <c r="R340" i="10"/>
  <c r="R340" i="17" s="1"/>
  <c r="O340" i="10"/>
  <c r="O340" i="17" s="1"/>
  <c r="L340" i="10"/>
  <c r="L340" i="17" s="1"/>
  <c r="I340" i="10"/>
  <c r="I340" i="17" s="1"/>
  <c r="F340" i="10"/>
  <c r="F340" i="17" s="1"/>
  <c r="C340" i="10"/>
  <c r="C340" i="17" s="1"/>
  <c r="B340" i="10"/>
  <c r="B340" i="17" s="1"/>
  <c r="AP339" i="10"/>
  <c r="AP339" i="17" s="1"/>
  <c r="AM339" i="10"/>
  <c r="AM339" i="17" s="1"/>
  <c r="AJ339" i="10"/>
  <c r="AJ339" i="17" s="1"/>
  <c r="AG339" i="10"/>
  <c r="AG339" i="17" s="1"/>
  <c r="AD339" i="10"/>
  <c r="AD339" i="17" s="1"/>
  <c r="AA339" i="10"/>
  <c r="AA339" i="17" s="1"/>
  <c r="X339" i="10"/>
  <c r="X339" i="17" s="1"/>
  <c r="U339" i="10"/>
  <c r="U339" i="17" s="1"/>
  <c r="R339" i="10"/>
  <c r="R339" i="17" s="1"/>
  <c r="O339" i="10"/>
  <c r="O339" i="17" s="1"/>
  <c r="L339" i="10"/>
  <c r="L339" i="17" s="1"/>
  <c r="I339" i="10"/>
  <c r="I339" i="17" s="1"/>
  <c r="F339" i="10"/>
  <c r="F339" i="17" s="1"/>
  <c r="C339" i="10"/>
  <c r="C339" i="17" s="1"/>
  <c r="B339" i="10"/>
  <c r="B339" i="17" s="1"/>
  <c r="AP338" i="10"/>
  <c r="AP338" i="17" s="1"/>
  <c r="AM338" i="10"/>
  <c r="AM338" i="17" s="1"/>
  <c r="AJ338" i="10"/>
  <c r="AJ338" i="17" s="1"/>
  <c r="AG338" i="10"/>
  <c r="AG338" i="17" s="1"/>
  <c r="AD338" i="10"/>
  <c r="AD338" i="17" s="1"/>
  <c r="AA338" i="10"/>
  <c r="AA338" i="17" s="1"/>
  <c r="X338" i="10"/>
  <c r="X338" i="17" s="1"/>
  <c r="U338" i="10"/>
  <c r="U338" i="17" s="1"/>
  <c r="R338" i="10"/>
  <c r="R338" i="17" s="1"/>
  <c r="O338" i="10"/>
  <c r="O338" i="17" s="1"/>
  <c r="L338" i="10"/>
  <c r="L338" i="17" s="1"/>
  <c r="I338" i="10"/>
  <c r="I338" i="17" s="1"/>
  <c r="F338" i="10"/>
  <c r="F338" i="17" s="1"/>
  <c r="C338" i="10"/>
  <c r="C338" i="17" s="1"/>
  <c r="B338" i="10"/>
  <c r="B338" i="17" s="1"/>
  <c r="AP337" i="10"/>
  <c r="AP337" i="17" s="1"/>
  <c r="AM337" i="10"/>
  <c r="AM337" i="17" s="1"/>
  <c r="AJ337" i="10"/>
  <c r="AJ337" i="17" s="1"/>
  <c r="AG337" i="10"/>
  <c r="AG337" i="17" s="1"/>
  <c r="AD337" i="10"/>
  <c r="AD337" i="17" s="1"/>
  <c r="AA337" i="10"/>
  <c r="AA337" i="17" s="1"/>
  <c r="X337" i="10"/>
  <c r="X337" i="17" s="1"/>
  <c r="U337" i="10"/>
  <c r="U337" i="17" s="1"/>
  <c r="R337" i="10"/>
  <c r="R337" i="17" s="1"/>
  <c r="O337" i="10"/>
  <c r="O337" i="17" s="1"/>
  <c r="L337" i="10"/>
  <c r="L337" i="17" s="1"/>
  <c r="I337" i="10"/>
  <c r="I337" i="17" s="1"/>
  <c r="F337" i="10"/>
  <c r="F337" i="17" s="1"/>
  <c r="C337" i="10"/>
  <c r="C337" i="17" s="1"/>
  <c r="B337" i="10"/>
  <c r="B337" i="17" s="1"/>
  <c r="AP336" i="10"/>
  <c r="AP336" i="17" s="1"/>
  <c r="AM336" i="10"/>
  <c r="AM336" i="17" s="1"/>
  <c r="AJ336" i="10"/>
  <c r="AJ336" i="17" s="1"/>
  <c r="AG336" i="10"/>
  <c r="AG336" i="17" s="1"/>
  <c r="AD336" i="10"/>
  <c r="AD336" i="17" s="1"/>
  <c r="AA336" i="10"/>
  <c r="AA336" i="17" s="1"/>
  <c r="X336" i="10"/>
  <c r="X336" i="17" s="1"/>
  <c r="U336" i="10"/>
  <c r="U336" i="17" s="1"/>
  <c r="R336" i="10"/>
  <c r="R336" i="17" s="1"/>
  <c r="O336" i="10"/>
  <c r="O336" i="17" s="1"/>
  <c r="L336" i="10"/>
  <c r="L336" i="17" s="1"/>
  <c r="I336" i="10"/>
  <c r="I336" i="17" s="1"/>
  <c r="F336" i="10"/>
  <c r="F336" i="17" s="1"/>
  <c r="C336" i="10"/>
  <c r="C336" i="17" s="1"/>
  <c r="B336" i="10"/>
  <c r="B336" i="17" s="1"/>
  <c r="AP335" i="10"/>
  <c r="AP335" i="17" s="1"/>
  <c r="AM335" i="10"/>
  <c r="AM335" i="17" s="1"/>
  <c r="AJ335" i="10"/>
  <c r="AJ335" i="17" s="1"/>
  <c r="AG335" i="10"/>
  <c r="AG335" i="17" s="1"/>
  <c r="AD335" i="10"/>
  <c r="AD335" i="17" s="1"/>
  <c r="AA335" i="10"/>
  <c r="AA335" i="17" s="1"/>
  <c r="X335" i="10"/>
  <c r="X335" i="17" s="1"/>
  <c r="U335" i="10"/>
  <c r="U335" i="17" s="1"/>
  <c r="R335" i="10"/>
  <c r="R335" i="17" s="1"/>
  <c r="O335" i="10"/>
  <c r="O335" i="17" s="1"/>
  <c r="L335" i="10"/>
  <c r="L335" i="17" s="1"/>
  <c r="I335" i="10"/>
  <c r="I335" i="17" s="1"/>
  <c r="F335" i="10"/>
  <c r="F335" i="17" s="1"/>
  <c r="C335" i="10"/>
  <c r="C335" i="17" s="1"/>
  <c r="B335" i="10"/>
  <c r="B335" i="17" s="1"/>
  <c r="AP334" i="10"/>
  <c r="AP334" i="17" s="1"/>
  <c r="AM334" i="10"/>
  <c r="AM334" i="17" s="1"/>
  <c r="AJ334" i="10"/>
  <c r="AJ334" i="17" s="1"/>
  <c r="AG334" i="10"/>
  <c r="AG334" i="17" s="1"/>
  <c r="AD334" i="10"/>
  <c r="AD334" i="17" s="1"/>
  <c r="AA334" i="10"/>
  <c r="AA334" i="17" s="1"/>
  <c r="X334" i="10"/>
  <c r="X334" i="17" s="1"/>
  <c r="U334" i="10"/>
  <c r="U334" i="17" s="1"/>
  <c r="R334" i="10"/>
  <c r="R334" i="17" s="1"/>
  <c r="O334" i="10"/>
  <c r="O334" i="17" s="1"/>
  <c r="L334" i="10"/>
  <c r="L334" i="17" s="1"/>
  <c r="I334" i="10"/>
  <c r="I334" i="17" s="1"/>
  <c r="F334" i="10"/>
  <c r="F334" i="17" s="1"/>
  <c r="C334" i="10"/>
  <c r="C334" i="17" s="1"/>
  <c r="B334" i="10"/>
  <c r="B334" i="17" s="1"/>
  <c r="AP333" i="10"/>
  <c r="AP333" i="17" s="1"/>
  <c r="AM333" i="10"/>
  <c r="AM333" i="17" s="1"/>
  <c r="AJ333" i="10"/>
  <c r="AJ333" i="17" s="1"/>
  <c r="AG333" i="10"/>
  <c r="AG333" i="17" s="1"/>
  <c r="AD333" i="10"/>
  <c r="AD333" i="17" s="1"/>
  <c r="AA333" i="10"/>
  <c r="AA333" i="17" s="1"/>
  <c r="X333" i="10"/>
  <c r="X333" i="17" s="1"/>
  <c r="U333" i="10"/>
  <c r="U333" i="17" s="1"/>
  <c r="R333" i="10"/>
  <c r="R333" i="17" s="1"/>
  <c r="O333" i="10"/>
  <c r="O333" i="17" s="1"/>
  <c r="L333" i="10"/>
  <c r="L333" i="17" s="1"/>
  <c r="I333" i="10"/>
  <c r="I333" i="17" s="1"/>
  <c r="F333" i="10"/>
  <c r="F333" i="17" s="1"/>
  <c r="C333" i="10"/>
  <c r="C333" i="17" s="1"/>
  <c r="B333" i="10"/>
  <c r="B333" i="17" s="1"/>
  <c r="AP332" i="10"/>
  <c r="AP332" i="17" s="1"/>
  <c r="AM332" i="10"/>
  <c r="AM332" i="17" s="1"/>
  <c r="AJ332" i="10"/>
  <c r="AJ332" i="17" s="1"/>
  <c r="AG332" i="10"/>
  <c r="AG332" i="17" s="1"/>
  <c r="AD332" i="10"/>
  <c r="AD332" i="17" s="1"/>
  <c r="AA332" i="10"/>
  <c r="AA332" i="17" s="1"/>
  <c r="X332" i="10"/>
  <c r="X332" i="17" s="1"/>
  <c r="U332" i="10"/>
  <c r="U332" i="17" s="1"/>
  <c r="R332" i="10"/>
  <c r="R332" i="17" s="1"/>
  <c r="O332" i="10"/>
  <c r="O332" i="17" s="1"/>
  <c r="L332" i="10"/>
  <c r="L332" i="17" s="1"/>
  <c r="I332" i="10"/>
  <c r="I332" i="17" s="1"/>
  <c r="F332" i="10"/>
  <c r="F332" i="17" s="1"/>
  <c r="C332" i="10"/>
  <c r="C332" i="17" s="1"/>
  <c r="B332" i="10"/>
  <c r="B332" i="17" s="1"/>
  <c r="AP331" i="10"/>
  <c r="AP331" i="17" s="1"/>
  <c r="AM331" i="10"/>
  <c r="AM331" i="17" s="1"/>
  <c r="AJ331" i="10"/>
  <c r="AJ331" i="17" s="1"/>
  <c r="AG331" i="10"/>
  <c r="AG331" i="17" s="1"/>
  <c r="AD331" i="10"/>
  <c r="AD331" i="17" s="1"/>
  <c r="AA331" i="10"/>
  <c r="AA331" i="17" s="1"/>
  <c r="X331" i="10"/>
  <c r="X331" i="17" s="1"/>
  <c r="U331" i="10"/>
  <c r="U331" i="17" s="1"/>
  <c r="R331" i="10"/>
  <c r="R331" i="17" s="1"/>
  <c r="O331" i="10"/>
  <c r="O331" i="17" s="1"/>
  <c r="L331" i="10"/>
  <c r="L331" i="17" s="1"/>
  <c r="I331" i="10"/>
  <c r="I331" i="17" s="1"/>
  <c r="F331" i="10"/>
  <c r="F331" i="17" s="1"/>
  <c r="C331" i="10"/>
  <c r="C331" i="17" s="1"/>
  <c r="B331" i="10"/>
  <c r="B331" i="17" s="1"/>
  <c r="AP330" i="10"/>
  <c r="AP330" i="17" s="1"/>
  <c r="AM330" i="10"/>
  <c r="AM330" i="17" s="1"/>
  <c r="AJ330" i="10"/>
  <c r="AJ330" i="17" s="1"/>
  <c r="AG330" i="10"/>
  <c r="AG330" i="17" s="1"/>
  <c r="AD330" i="10"/>
  <c r="AD330" i="17" s="1"/>
  <c r="AA330" i="10"/>
  <c r="AA330" i="17" s="1"/>
  <c r="X330" i="10"/>
  <c r="X330" i="17" s="1"/>
  <c r="U330" i="10"/>
  <c r="U330" i="17" s="1"/>
  <c r="R330" i="10"/>
  <c r="R330" i="17" s="1"/>
  <c r="O330" i="10"/>
  <c r="O330" i="17" s="1"/>
  <c r="L330" i="10"/>
  <c r="L330" i="17" s="1"/>
  <c r="I330" i="10"/>
  <c r="I330" i="17" s="1"/>
  <c r="F330" i="10"/>
  <c r="F330" i="17" s="1"/>
  <c r="C330" i="10"/>
  <c r="C330" i="17" s="1"/>
  <c r="B330" i="10"/>
  <c r="B330" i="17" s="1"/>
  <c r="AP329" i="10"/>
  <c r="AP329" i="17" s="1"/>
  <c r="AM329" i="10"/>
  <c r="AM329" i="17" s="1"/>
  <c r="AJ329" i="10"/>
  <c r="AJ329" i="17" s="1"/>
  <c r="AG329" i="10"/>
  <c r="AG329" i="17" s="1"/>
  <c r="AD329" i="10"/>
  <c r="AD329" i="17" s="1"/>
  <c r="AA329" i="10"/>
  <c r="AA329" i="17" s="1"/>
  <c r="X329" i="10"/>
  <c r="X329" i="17" s="1"/>
  <c r="U329" i="10"/>
  <c r="U329" i="17" s="1"/>
  <c r="R329" i="10"/>
  <c r="R329" i="17" s="1"/>
  <c r="O329" i="10"/>
  <c r="O329" i="17" s="1"/>
  <c r="L329" i="10"/>
  <c r="L329" i="17" s="1"/>
  <c r="I329" i="10"/>
  <c r="I329" i="17" s="1"/>
  <c r="F329" i="10"/>
  <c r="F329" i="17" s="1"/>
  <c r="C329" i="10"/>
  <c r="C329" i="17" s="1"/>
  <c r="B329" i="10"/>
  <c r="B329" i="17" s="1"/>
  <c r="AP328" i="10"/>
  <c r="AP328" i="17" s="1"/>
  <c r="AM328" i="10"/>
  <c r="AM328" i="17" s="1"/>
  <c r="AJ328" i="10"/>
  <c r="AJ328" i="17" s="1"/>
  <c r="AG328" i="10"/>
  <c r="AG328" i="17" s="1"/>
  <c r="AD328" i="10"/>
  <c r="AD328" i="17" s="1"/>
  <c r="AA328" i="10"/>
  <c r="AA328" i="17" s="1"/>
  <c r="X328" i="10"/>
  <c r="X328" i="17" s="1"/>
  <c r="U328" i="10"/>
  <c r="U328" i="17" s="1"/>
  <c r="R328" i="10"/>
  <c r="R328" i="17" s="1"/>
  <c r="O328" i="10"/>
  <c r="O328" i="17" s="1"/>
  <c r="L328" i="10"/>
  <c r="L328" i="17" s="1"/>
  <c r="I328" i="10"/>
  <c r="I328" i="17" s="1"/>
  <c r="F328" i="10"/>
  <c r="F328" i="17" s="1"/>
  <c r="C328" i="10"/>
  <c r="C328" i="17" s="1"/>
  <c r="B328" i="10"/>
  <c r="B328" i="17" s="1"/>
  <c r="AP327" i="10"/>
  <c r="AP327" i="17" s="1"/>
  <c r="AM327" i="10"/>
  <c r="AM327" i="17" s="1"/>
  <c r="AJ327" i="10"/>
  <c r="AJ327" i="17" s="1"/>
  <c r="AG327" i="10"/>
  <c r="AG327" i="17" s="1"/>
  <c r="AD327" i="10"/>
  <c r="AD327" i="17" s="1"/>
  <c r="AA327" i="10"/>
  <c r="AA327" i="17" s="1"/>
  <c r="X327" i="10"/>
  <c r="X327" i="17" s="1"/>
  <c r="U327" i="10"/>
  <c r="U327" i="17" s="1"/>
  <c r="R327" i="10"/>
  <c r="R327" i="17" s="1"/>
  <c r="O327" i="10"/>
  <c r="O327" i="17" s="1"/>
  <c r="L327" i="10"/>
  <c r="L327" i="17" s="1"/>
  <c r="I327" i="10"/>
  <c r="I327" i="17" s="1"/>
  <c r="F327" i="10"/>
  <c r="F327" i="17" s="1"/>
  <c r="C327" i="10"/>
  <c r="C327" i="17" s="1"/>
  <c r="B327" i="10"/>
  <c r="B327" i="17" s="1"/>
  <c r="AP326" i="10"/>
  <c r="AP326" i="17" s="1"/>
  <c r="AM326" i="10"/>
  <c r="AM326" i="17" s="1"/>
  <c r="AJ326" i="10"/>
  <c r="AJ326" i="17" s="1"/>
  <c r="AG326" i="10"/>
  <c r="AG326" i="17" s="1"/>
  <c r="AD326" i="10"/>
  <c r="AD326" i="17" s="1"/>
  <c r="AA326" i="10"/>
  <c r="AA326" i="17" s="1"/>
  <c r="X326" i="10"/>
  <c r="X326" i="17" s="1"/>
  <c r="U326" i="10"/>
  <c r="U326" i="17" s="1"/>
  <c r="R326" i="10"/>
  <c r="R326" i="17" s="1"/>
  <c r="O326" i="10"/>
  <c r="O326" i="17" s="1"/>
  <c r="L326" i="10"/>
  <c r="L326" i="17" s="1"/>
  <c r="I326" i="10"/>
  <c r="I326" i="17" s="1"/>
  <c r="F326" i="10"/>
  <c r="F326" i="17" s="1"/>
  <c r="C326" i="10"/>
  <c r="C326" i="17" s="1"/>
  <c r="B326" i="10"/>
  <c r="B326" i="17" s="1"/>
  <c r="AP325" i="10"/>
  <c r="AP325" i="17" s="1"/>
  <c r="AM325" i="10"/>
  <c r="AM325" i="17" s="1"/>
  <c r="AJ325" i="10"/>
  <c r="AJ325" i="17" s="1"/>
  <c r="AG325" i="10"/>
  <c r="AG325" i="17" s="1"/>
  <c r="AD325" i="10"/>
  <c r="AD325" i="17" s="1"/>
  <c r="AA325" i="10"/>
  <c r="AA325" i="17" s="1"/>
  <c r="X325" i="10"/>
  <c r="X325" i="17" s="1"/>
  <c r="U325" i="10"/>
  <c r="U325" i="17" s="1"/>
  <c r="R325" i="10"/>
  <c r="R325" i="17" s="1"/>
  <c r="O325" i="10"/>
  <c r="O325" i="17" s="1"/>
  <c r="L325" i="10"/>
  <c r="L325" i="17" s="1"/>
  <c r="I325" i="10"/>
  <c r="I325" i="17" s="1"/>
  <c r="F325" i="10"/>
  <c r="F325" i="17" s="1"/>
  <c r="C325" i="10"/>
  <c r="C325" i="17" s="1"/>
  <c r="B325" i="10"/>
  <c r="B325" i="17" s="1"/>
  <c r="AP324" i="10"/>
  <c r="AP324" i="17" s="1"/>
  <c r="AM324" i="10"/>
  <c r="AM324" i="17" s="1"/>
  <c r="AJ324" i="10"/>
  <c r="AJ324" i="17" s="1"/>
  <c r="AG324" i="10"/>
  <c r="AG324" i="17" s="1"/>
  <c r="AD324" i="10"/>
  <c r="AD324" i="17" s="1"/>
  <c r="AA324" i="10"/>
  <c r="AA324" i="17" s="1"/>
  <c r="X324" i="10"/>
  <c r="X324" i="17" s="1"/>
  <c r="U324" i="10"/>
  <c r="U324" i="17" s="1"/>
  <c r="R324" i="10"/>
  <c r="R324" i="17" s="1"/>
  <c r="O324" i="10"/>
  <c r="O324" i="17" s="1"/>
  <c r="L324" i="10"/>
  <c r="L324" i="17" s="1"/>
  <c r="I324" i="10"/>
  <c r="I324" i="17" s="1"/>
  <c r="F324" i="10"/>
  <c r="F324" i="17" s="1"/>
  <c r="C324" i="10"/>
  <c r="C324" i="17" s="1"/>
  <c r="B324" i="10"/>
  <c r="B324" i="17" s="1"/>
  <c r="AP323" i="10"/>
  <c r="AP323" i="17" s="1"/>
  <c r="AM323" i="10"/>
  <c r="AM323" i="17" s="1"/>
  <c r="AJ323" i="10"/>
  <c r="AJ323" i="17" s="1"/>
  <c r="AG323" i="10"/>
  <c r="AG323" i="17" s="1"/>
  <c r="AD323" i="10"/>
  <c r="AD323" i="17" s="1"/>
  <c r="AA323" i="10"/>
  <c r="AA323" i="17" s="1"/>
  <c r="X323" i="10"/>
  <c r="X323" i="17" s="1"/>
  <c r="U323" i="10"/>
  <c r="U323" i="17" s="1"/>
  <c r="R323" i="10"/>
  <c r="R323" i="17" s="1"/>
  <c r="O323" i="10"/>
  <c r="O323" i="17" s="1"/>
  <c r="L323" i="10"/>
  <c r="L323" i="17" s="1"/>
  <c r="I323" i="10"/>
  <c r="I323" i="17" s="1"/>
  <c r="F323" i="10"/>
  <c r="F323" i="17" s="1"/>
  <c r="C323" i="10"/>
  <c r="C323" i="17" s="1"/>
  <c r="B323" i="10"/>
  <c r="B323" i="17" s="1"/>
  <c r="AP322" i="10"/>
  <c r="AP322" i="17" s="1"/>
  <c r="AM322" i="10"/>
  <c r="AM322" i="17" s="1"/>
  <c r="AJ322" i="10"/>
  <c r="AJ322" i="17" s="1"/>
  <c r="AG322" i="10"/>
  <c r="AG322" i="17" s="1"/>
  <c r="AD322" i="10"/>
  <c r="AD322" i="17" s="1"/>
  <c r="AA322" i="10"/>
  <c r="AA322" i="17" s="1"/>
  <c r="X322" i="10"/>
  <c r="X322" i="17" s="1"/>
  <c r="U322" i="10"/>
  <c r="U322" i="17" s="1"/>
  <c r="R322" i="10"/>
  <c r="R322" i="17" s="1"/>
  <c r="O322" i="10"/>
  <c r="O322" i="17" s="1"/>
  <c r="L322" i="10"/>
  <c r="L322" i="17" s="1"/>
  <c r="I322" i="10"/>
  <c r="I322" i="17" s="1"/>
  <c r="F322" i="10"/>
  <c r="F322" i="17" s="1"/>
  <c r="C322" i="10"/>
  <c r="C322" i="17" s="1"/>
  <c r="B322" i="10"/>
  <c r="B322" i="17" s="1"/>
  <c r="AP321" i="10"/>
  <c r="AP321" i="17" s="1"/>
  <c r="AM321" i="10"/>
  <c r="AM321" i="17" s="1"/>
  <c r="AJ321" i="10"/>
  <c r="AJ321" i="17" s="1"/>
  <c r="AG321" i="10"/>
  <c r="AG321" i="17" s="1"/>
  <c r="AD321" i="10"/>
  <c r="AD321" i="17" s="1"/>
  <c r="AA321" i="10"/>
  <c r="AA321" i="17" s="1"/>
  <c r="X321" i="10"/>
  <c r="X321" i="17" s="1"/>
  <c r="U321" i="10"/>
  <c r="U321" i="17" s="1"/>
  <c r="R321" i="10"/>
  <c r="R321" i="17" s="1"/>
  <c r="O321" i="10"/>
  <c r="O321" i="17" s="1"/>
  <c r="L321" i="10"/>
  <c r="L321" i="17" s="1"/>
  <c r="I321" i="10"/>
  <c r="I321" i="17" s="1"/>
  <c r="F321" i="10"/>
  <c r="F321" i="17" s="1"/>
  <c r="C321" i="10"/>
  <c r="C321" i="17" s="1"/>
  <c r="B321" i="10"/>
  <c r="B321" i="17" s="1"/>
  <c r="AP320" i="10"/>
  <c r="AP320" i="17" s="1"/>
  <c r="AM320" i="10"/>
  <c r="AM320" i="17" s="1"/>
  <c r="AJ320" i="10"/>
  <c r="AJ320" i="17" s="1"/>
  <c r="AG320" i="10"/>
  <c r="AG320" i="17" s="1"/>
  <c r="AD320" i="10"/>
  <c r="AD320" i="17" s="1"/>
  <c r="AA320" i="10"/>
  <c r="AA320" i="17" s="1"/>
  <c r="X320" i="10"/>
  <c r="X320" i="17" s="1"/>
  <c r="U320" i="10"/>
  <c r="U320" i="17" s="1"/>
  <c r="R320" i="10"/>
  <c r="R320" i="17" s="1"/>
  <c r="O320" i="10"/>
  <c r="O320" i="17" s="1"/>
  <c r="L320" i="10"/>
  <c r="L320" i="17" s="1"/>
  <c r="I320" i="10"/>
  <c r="I320" i="17" s="1"/>
  <c r="F320" i="10"/>
  <c r="F320" i="17" s="1"/>
  <c r="C320" i="10"/>
  <c r="C320" i="17" s="1"/>
  <c r="B320" i="10"/>
  <c r="B320" i="17" s="1"/>
  <c r="AP319" i="10"/>
  <c r="AP319" i="17" s="1"/>
  <c r="AM319" i="10"/>
  <c r="AM319" i="17" s="1"/>
  <c r="AJ319" i="10"/>
  <c r="AJ319" i="17" s="1"/>
  <c r="AG319" i="10"/>
  <c r="AG319" i="17" s="1"/>
  <c r="AD319" i="10"/>
  <c r="AD319" i="17" s="1"/>
  <c r="AA319" i="10"/>
  <c r="AA319" i="17" s="1"/>
  <c r="X319" i="10"/>
  <c r="X319" i="17" s="1"/>
  <c r="U319" i="10"/>
  <c r="U319" i="17" s="1"/>
  <c r="R319" i="10"/>
  <c r="R319" i="17" s="1"/>
  <c r="O319" i="10"/>
  <c r="O319" i="17" s="1"/>
  <c r="L319" i="10"/>
  <c r="L319" i="17" s="1"/>
  <c r="I319" i="10"/>
  <c r="I319" i="17" s="1"/>
  <c r="F319" i="10"/>
  <c r="F319" i="17" s="1"/>
  <c r="C319" i="10"/>
  <c r="C319" i="17" s="1"/>
  <c r="B319" i="10"/>
  <c r="B319" i="17" s="1"/>
  <c r="AP318" i="10"/>
  <c r="AP318" i="17" s="1"/>
  <c r="AM318" i="10"/>
  <c r="AM318" i="17" s="1"/>
  <c r="AJ318" i="10"/>
  <c r="AJ318" i="17" s="1"/>
  <c r="AG318" i="10"/>
  <c r="AG318" i="17" s="1"/>
  <c r="AD318" i="10"/>
  <c r="AD318" i="17" s="1"/>
  <c r="AA318" i="10"/>
  <c r="AA318" i="17" s="1"/>
  <c r="X318" i="10"/>
  <c r="X318" i="17" s="1"/>
  <c r="U318" i="10"/>
  <c r="U318" i="17" s="1"/>
  <c r="R318" i="10"/>
  <c r="R318" i="17" s="1"/>
  <c r="O318" i="10"/>
  <c r="O318" i="17" s="1"/>
  <c r="L318" i="10"/>
  <c r="L318" i="17" s="1"/>
  <c r="I318" i="10"/>
  <c r="I318" i="17" s="1"/>
  <c r="F318" i="10"/>
  <c r="F318" i="17" s="1"/>
  <c r="C318" i="10"/>
  <c r="C318" i="17" s="1"/>
  <c r="B318" i="10"/>
  <c r="B318" i="17" s="1"/>
  <c r="AP317" i="10"/>
  <c r="AP317" i="17" s="1"/>
  <c r="AM317" i="10"/>
  <c r="AM317" i="17" s="1"/>
  <c r="AJ317" i="10"/>
  <c r="AJ317" i="17" s="1"/>
  <c r="AG317" i="10"/>
  <c r="AG317" i="17" s="1"/>
  <c r="AD317" i="10"/>
  <c r="AD317" i="17" s="1"/>
  <c r="AA317" i="10"/>
  <c r="AA317" i="17" s="1"/>
  <c r="X317" i="10"/>
  <c r="X317" i="17" s="1"/>
  <c r="U317" i="10"/>
  <c r="U317" i="17" s="1"/>
  <c r="R317" i="10"/>
  <c r="R317" i="17" s="1"/>
  <c r="O317" i="10"/>
  <c r="O317" i="17" s="1"/>
  <c r="L317" i="10"/>
  <c r="L317" i="17" s="1"/>
  <c r="I317" i="10"/>
  <c r="I317" i="17" s="1"/>
  <c r="F317" i="10"/>
  <c r="F317" i="17" s="1"/>
  <c r="C317" i="10"/>
  <c r="C317" i="17" s="1"/>
  <c r="B317" i="10"/>
  <c r="B317" i="17" s="1"/>
  <c r="AP316" i="10"/>
  <c r="AP316" i="17" s="1"/>
  <c r="AM316" i="10"/>
  <c r="AM316" i="17" s="1"/>
  <c r="AJ316" i="10"/>
  <c r="AJ316" i="17" s="1"/>
  <c r="AG316" i="10"/>
  <c r="AG316" i="17" s="1"/>
  <c r="AD316" i="10"/>
  <c r="AD316" i="17" s="1"/>
  <c r="AA316" i="10"/>
  <c r="AA316" i="17" s="1"/>
  <c r="X316" i="10"/>
  <c r="X316" i="17" s="1"/>
  <c r="U316" i="10"/>
  <c r="U316" i="17" s="1"/>
  <c r="R316" i="10"/>
  <c r="R316" i="17" s="1"/>
  <c r="O316" i="10"/>
  <c r="O316" i="17" s="1"/>
  <c r="L316" i="10"/>
  <c r="L316" i="17" s="1"/>
  <c r="I316" i="10"/>
  <c r="I316" i="17" s="1"/>
  <c r="F316" i="10"/>
  <c r="F316" i="17" s="1"/>
  <c r="C316" i="10"/>
  <c r="C316" i="17" s="1"/>
  <c r="B316" i="10"/>
  <c r="B316" i="17" s="1"/>
  <c r="AP315" i="10"/>
  <c r="AP315" i="17" s="1"/>
  <c r="AM315" i="10"/>
  <c r="AM315" i="17" s="1"/>
  <c r="AJ315" i="10"/>
  <c r="AJ315" i="17" s="1"/>
  <c r="AG315" i="10"/>
  <c r="AG315" i="17" s="1"/>
  <c r="AD315" i="10"/>
  <c r="AD315" i="17" s="1"/>
  <c r="AA315" i="10"/>
  <c r="AA315" i="17" s="1"/>
  <c r="X315" i="10"/>
  <c r="X315" i="17" s="1"/>
  <c r="U315" i="10"/>
  <c r="U315" i="17" s="1"/>
  <c r="R315" i="10"/>
  <c r="R315" i="17" s="1"/>
  <c r="O315" i="10"/>
  <c r="O315" i="17" s="1"/>
  <c r="L315" i="10"/>
  <c r="L315" i="17" s="1"/>
  <c r="I315" i="10"/>
  <c r="I315" i="17" s="1"/>
  <c r="F315" i="10"/>
  <c r="F315" i="17" s="1"/>
  <c r="C315" i="10"/>
  <c r="C315" i="17" s="1"/>
  <c r="B315" i="10"/>
  <c r="B315" i="17" s="1"/>
  <c r="AP314" i="10"/>
  <c r="AP314" i="17" s="1"/>
  <c r="AM314" i="10"/>
  <c r="AM314" i="17" s="1"/>
  <c r="AJ314" i="10"/>
  <c r="AJ314" i="17" s="1"/>
  <c r="AG314" i="10"/>
  <c r="AG314" i="17" s="1"/>
  <c r="AD314" i="10"/>
  <c r="AD314" i="17" s="1"/>
  <c r="AA314" i="10"/>
  <c r="AA314" i="17" s="1"/>
  <c r="X314" i="10"/>
  <c r="X314" i="17" s="1"/>
  <c r="U314" i="10"/>
  <c r="U314" i="17" s="1"/>
  <c r="R314" i="10"/>
  <c r="R314" i="17" s="1"/>
  <c r="O314" i="10"/>
  <c r="O314" i="17" s="1"/>
  <c r="L314" i="10"/>
  <c r="L314" i="17" s="1"/>
  <c r="I314" i="10"/>
  <c r="I314" i="17" s="1"/>
  <c r="F314" i="10"/>
  <c r="F314" i="17" s="1"/>
  <c r="C314" i="10"/>
  <c r="C314" i="17" s="1"/>
  <c r="B314" i="10"/>
  <c r="B314" i="17" s="1"/>
  <c r="AP313" i="10"/>
  <c r="AP313" i="17" s="1"/>
  <c r="AM313" i="10"/>
  <c r="AM313" i="17" s="1"/>
  <c r="AJ313" i="10"/>
  <c r="AJ313" i="17" s="1"/>
  <c r="AG313" i="10"/>
  <c r="AG313" i="17" s="1"/>
  <c r="AD313" i="10"/>
  <c r="AD313" i="17" s="1"/>
  <c r="AA313" i="10"/>
  <c r="AA313" i="17" s="1"/>
  <c r="X313" i="10"/>
  <c r="X313" i="17" s="1"/>
  <c r="U313" i="10"/>
  <c r="U313" i="17" s="1"/>
  <c r="R313" i="10"/>
  <c r="R313" i="17" s="1"/>
  <c r="O313" i="10"/>
  <c r="O313" i="17" s="1"/>
  <c r="L313" i="10"/>
  <c r="L313" i="17" s="1"/>
  <c r="I313" i="10"/>
  <c r="I313" i="17" s="1"/>
  <c r="F313" i="10"/>
  <c r="F313" i="17" s="1"/>
  <c r="C313" i="10"/>
  <c r="C313" i="17" s="1"/>
  <c r="B313" i="10"/>
  <c r="B313" i="17" s="1"/>
  <c r="AP312" i="10"/>
  <c r="AP312" i="17" s="1"/>
  <c r="AM312" i="10"/>
  <c r="AM312" i="17" s="1"/>
  <c r="AJ312" i="10"/>
  <c r="AJ312" i="17" s="1"/>
  <c r="AG312" i="10"/>
  <c r="AG312" i="17" s="1"/>
  <c r="AD312" i="10"/>
  <c r="AD312" i="17" s="1"/>
  <c r="AA312" i="10"/>
  <c r="AA312" i="17" s="1"/>
  <c r="X312" i="10"/>
  <c r="X312" i="17" s="1"/>
  <c r="U312" i="10"/>
  <c r="U312" i="17" s="1"/>
  <c r="R312" i="10"/>
  <c r="R312" i="17" s="1"/>
  <c r="O312" i="10"/>
  <c r="O312" i="17" s="1"/>
  <c r="L312" i="10"/>
  <c r="L312" i="17" s="1"/>
  <c r="I312" i="10"/>
  <c r="I312" i="17" s="1"/>
  <c r="F312" i="10"/>
  <c r="F312" i="17" s="1"/>
  <c r="C312" i="10"/>
  <c r="C312" i="17" s="1"/>
  <c r="B312" i="10"/>
  <c r="B312" i="17" s="1"/>
  <c r="AP311" i="10"/>
  <c r="AP311" i="17" s="1"/>
  <c r="AM311" i="10"/>
  <c r="AM311" i="17" s="1"/>
  <c r="AJ311" i="10"/>
  <c r="AJ311" i="17" s="1"/>
  <c r="AG311" i="10"/>
  <c r="AG311" i="17" s="1"/>
  <c r="AD311" i="10"/>
  <c r="AD311" i="17" s="1"/>
  <c r="AA311" i="10"/>
  <c r="AA311" i="17" s="1"/>
  <c r="X311" i="10"/>
  <c r="X311" i="17" s="1"/>
  <c r="U311" i="10"/>
  <c r="U311" i="17" s="1"/>
  <c r="R311" i="10"/>
  <c r="R311" i="17" s="1"/>
  <c r="O311" i="10"/>
  <c r="O311" i="17" s="1"/>
  <c r="L311" i="10"/>
  <c r="L311" i="17" s="1"/>
  <c r="I311" i="10"/>
  <c r="I311" i="17" s="1"/>
  <c r="F311" i="10"/>
  <c r="F311" i="17" s="1"/>
  <c r="C311" i="10"/>
  <c r="C311" i="17" s="1"/>
  <c r="B311" i="10"/>
  <c r="B311" i="17" s="1"/>
  <c r="AP310" i="10"/>
  <c r="AP310" i="17" s="1"/>
  <c r="AM310" i="10"/>
  <c r="AM310" i="17" s="1"/>
  <c r="AJ310" i="10"/>
  <c r="AJ310" i="17" s="1"/>
  <c r="AG310" i="10"/>
  <c r="AG310" i="17" s="1"/>
  <c r="AD310" i="10"/>
  <c r="AD310" i="17" s="1"/>
  <c r="AA310" i="10"/>
  <c r="AA310" i="17" s="1"/>
  <c r="X310" i="10"/>
  <c r="X310" i="17" s="1"/>
  <c r="U310" i="10"/>
  <c r="U310" i="17" s="1"/>
  <c r="R310" i="10"/>
  <c r="R310" i="17" s="1"/>
  <c r="O310" i="10"/>
  <c r="O310" i="17" s="1"/>
  <c r="L310" i="10"/>
  <c r="L310" i="17" s="1"/>
  <c r="I310" i="10"/>
  <c r="I310" i="17" s="1"/>
  <c r="F310" i="10"/>
  <c r="F310" i="17" s="1"/>
  <c r="C310" i="10"/>
  <c r="C310" i="17" s="1"/>
  <c r="B310" i="10"/>
  <c r="B310" i="17" s="1"/>
  <c r="AP309" i="10"/>
  <c r="AP309" i="17" s="1"/>
  <c r="AM309" i="10"/>
  <c r="AM309" i="17" s="1"/>
  <c r="AJ309" i="10"/>
  <c r="AJ309" i="17" s="1"/>
  <c r="AG309" i="10"/>
  <c r="AG309" i="17" s="1"/>
  <c r="AD309" i="10"/>
  <c r="AD309" i="17" s="1"/>
  <c r="AA309" i="10"/>
  <c r="AA309" i="17" s="1"/>
  <c r="X309" i="10"/>
  <c r="X309" i="17" s="1"/>
  <c r="U309" i="10"/>
  <c r="U309" i="17" s="1"/>
  <c r="R309" i="10"/>
  <c r="R309" i="17" s="1"/>
  <c r="O309" i="10"/>
  <c r="O309" i="17" s="1"/>
  <c r="L309" i="10"/>
  <c r="L309" i="17" s="1"/>
  <c r="I309" i="10"/>
  <c r="I309" i="17" s="1"/>
  <c r="F309" i="10"/>
  <c r="F309" i="17" s="1"/>
  <c r="C309" i="10"/>
  <c r="C309" i="17" s="1"/>
  <c r="B309" i="10"/>
  <c r="B309" i="17" s="1"/>
  <c r="AP308" i="10"/>
  <c r="AP308" i="17" s="1"/>
  <c r="AM308" i="10"/>
  <c r="AM308" i="17" s="1"/>
  <c r="AJ308" i="10"/>
  <c r="AJ308" i="17" s="1"/>
  <c r="AG308" i="10"/>
  <c r="AG308" i="17" s="1"/>
  <c r="AD308" i="10"/>
  <c r="AD308" i="17" s="1"/>
  <c r="AA308" i="10"/>
  <c r="AA308" i="17" s="1"/>
  <c r="X308" i="10"/>
  <c r="X308" i="17" s="1"/>
  <c r="U308" i="10"/>
  <c r="U308" i="17" s="1"/>
  <c r="R308" i="10"/>
  <c r="R308" i="17" s="1"/>
  <c r="O308" i="10"/>
  <c r="O308" i="17" s="1"/>
  <c r="L308" i="10"/>
  <c r="L308" i="17" s="1"/>
  <c r="I308" i="10"/>
  <c r="I308" i="17" s="1"/>
  <c r="F308" i="10"/>
  <c r="F308" i="17" s="1"/>
  <c r="C308" i="10"/>
  <c r="C308" i="17" s="1"/>
  <c r="B308" i="10"/>
  <c r="B308" i="17" s="1"/>
  <c r="AP307" i="10"/>
  <c r="AP307" i="17" s="1"/>
  <c r="AM307" i="10"/>
  <c r="AM307" i="17" s="1"/>
  <c r="AJ307" i="10"/>
  <c r="AJ307" i="17" s="1"/>
  <c r="AG307" i="10"/>
  <c r="AG307" i="17" s="1"/>
  <c r="AD307" i="10"/>
  <c r="AD307" i="17" s="1"/>
  <c r="AA307" i="10"/>
  <c r="AA307" i="17" s="1"/>
  <c r="X307" i="10"/>
  <c r="X307" i="17" s="1"/>
  <c r="U307" i="10"/>
  <c r="U307" i="17" s="1"/>
  <c r="R307" i="10"/>
  <c r="R307" i="17" s="1"/>
  <c r="O307" i="10"/>
  <c r="O307" i="17" s="1"/>
  <c r="L307" i="10"/>
  <c r="L307" i="17" s="1"/>
  <c r="I307" i="10"/>
  <c r="I307" i="17" s="1"/>
  <c r="F307" i="10"/>
  <c r="F307" i="17" s="1"/>
  <c r="C307" i="10"/>
  <c r="C307" i="17" s="1"/>
  <c r="B307" i="10"/>
  <c r="B307" i="17" s="1"/>
  <c r="AP306" i="10"/>
  <c r="AP306" i="17" s="1"/>
  <c r="AM306" i="10"/>
  <c r="AM306" i="17" s="1"/>
  <c r="AJ306" i="10"/>
  <c r="AJ306" i="17" s="1"/>
  <c r="AG306" i="10"/>
  <c r="AG306" i="17" s="1"/>
  <c r="AD306" i="10"/>
  <c r="AD306" i="17" s="1"/>
  <c r="AA306" i="10"/>
  <c r="AA306" i="17" s="1"/>
  <c r="X306" i="10"/>
  <c r="X306" i="17" s="1"/>
  <c r="U306" i="10"/>
  <c r="U306" i="17" s="1"/>
  <c r="R306" i="10"/>
  <c r="R306" i="17" s="1"/>
  <c r="O306" i="10"/>
  <c r="O306" i="17" s="1"/>
  <c r="L306" i="10"/>
  <c r="L306" i="17" s="1"/>
  <c r="I306" i="10"/>
  <c r="I306" i="17" s="1"/>
  <c r="F306" i="10"/>
  <c r="F306" i="17" s="1"/>
  <c r="C306" i="10"/>
  <c r="C306" i="17" s="1"/>
  <c r="B306" i="10"/>
  <c r="B306" i="17" s="1"/>
  <c r="AP305" i="10"/>
  <c r="AP305" i="17" s="1"/>
  <c r="AM305" i="10"/>
  <c r="AM305" i="17" s="1"/>
  <c r="AJ305" i="10"/>
  <c r="AJ305" i="17" s="1"/>
  <c r="AG305" i="10"/>
  <c r="AG305" i="17" s="1"/>
  <c r="AD305" i="10"/>
  <c r="AD305" i="17" s="1"/>
  <c r="AA305" i="10"/>
  <c r="AA305" i="17" s="1"/>
  <c r="X305" i="10"/>
  <c r="X305" i="17" s="1"/>
  <c r="U305" i="10"/>
  <c r="U305" i="17" s="1"/>
  <c r="R305" i="10"/>
  <c r="R305" i="17" s="1"/>
  <c r="O305" i="10"/>
  <c r="O305" i="17" s="1"/>
  <c r="L305" i="10"/>
  <c r="L305" i="17" s="1"/>
  <c r="I305" i="10"/>
  <c r="I305" i="17" s="1"/>
  <c r="F305" i="10"/>
  <c r="F305" i="17" s="1"/>
  <c r="C305" i="10"/>
  <c r="C305" i="17" s="1"/>
  <c r="B305" i="10"/>
  <c r="B305" i="17" s="1"/>
  <c r="AP304" i="10"/>
  <c r="AP304" i="17" s="1"/>
  <c r="AM304" i="10"/>
  <c r="AM304" i="17" s="1"/>
  <c r="AJ304" i="10"/>
  <c r="AJ304" i="17" s="1"/>
  <c r="AG304" i="10"/>
  <c r="AG304" i="17" s="1"/>
  <c r="AD304" i="10"/>
  <c r="AD304" i="17" s="1"/>
  <c r="AA304" i="10"/>
  <c r="AA304" i="17" s="1"/>
  <c r="X304" i="10"/>
  <c r="X304" i="17" s="1"/>
  <c r="U304" i="10"/>
  <c r="U304" i="17" s="1"/>
  <c r="R304" i="10"/>
  <c r="R304" i="17" s="1"/>
  <c r="O304" i="10"/>
  <c r="O304" i="17" s="1"/>
  <c r="L304" i="10"/>
  <c r="L304" i="17" s="1"/>
  <c r="I304" i="10"/>
  <c r="I304" i="17" s="1"/>
  <c r="F304" i="10"/>
  <c r="F304" i="17" s="1"/>
  <c r="C304" i="10"/>
  <c r="C304" i="17" s="1"/>
  <c r="B304" i="10"/>
  <c r="B304" i="17" s="1"/>
  <c r="AP303" i="10"/>
  <c r="AP303" i="17" s="1"/>
  <c r="AM303" i="10"/>
  <c r="AM303" i="17" s="1"/>
  <c r="AJ303" i="10"/>
  <c r="AJ303" i="17" s="1"/>
  <c r="AG303" i="10"/>
  <c r="AG303" i="17" s="1"/>
  <c r="AD303" i="10"/>
  <c r="AD303" i="17" s="1"/>
  <c r="AA303" i="10"/>
  <c r="AA303" i="17" s="1"/>
  <c r="X303" i="10"/>
  <c r="X303" i="17" s="1"/>
  <c r="U303" i="10"/>
  <c r="U303" i="17" s="1"/>
  <c r="R303" i="10"/>
  <c r="R303" i="17" s="1"/>
  <c r="O303" i="10"/>
  <c r="O303" i="17" s="1"/>
  <c r="L303" i="10"/>
  <c r="L303" i="17" s="1"/>
  <c r="I303" i="10"/>
  <c r="I303" i="17" s="1"/>
  <c r="F303" i="10"/>
  <c r="F303" i="17" s="1"/>
  <c r="C303" i="10"/>
  <c r="C303" i="17" s="1"/>
  <c r="B303" i="10"/>
  <c r="B303" i="17" s="1"/>
  <c r="AP302" i="10"/>
  <c r="AP302" i="17" s="1"/>
  <c r="AM302" i="10"/>
  <c r="AM302" i="17" s="1"/>
  <c r="AJ302" i="10"/>
  <c r="AJ302" i="17" s="1"/>
  <c r="AG302" i="10"/>
  <c r="AG302" i="17" s="1"/>
  <c r="AD302" i="10"/>
  <c r="AD302" i="17" s="1"/>
  <c r="AA302" i="10"/>
  <c r="AA302" i="17" s="1"/>
  <c r="X302" i="10"/>
  <c r="X302" i="17" s="1"/>
  <c r="U302" i="10"/>
  <c r="U302" i="17" s="1"/>
  <c r="R302" i="10"/>
  <c r="R302" i="17" s="1"/>
  <c r="O302" i="10"/>
  <c r="O302" i="17" s="1"/>
  <c r="L302" i="10"/>
  <c r="L302" i="17" s="1"/>
  <c r="I302" i="10"/>
  <c r="I302" i="17" s="1"/>
  <c r="F302" i="10"/>
  <c r="F302" i="17" s="1"/>
  <c r="C302" i="10"/>
  <c r="C302" i="17" s="1"/>
  <c r="B302" i="10"/>
  <c r="B302" i="17" s="1"/>
  <c r="AP301" i="10"/>
  <c r="AP301" i="17" s="1"/>
  <c r="AM301" i="10"/>
  <c r="AM301" i="17" s="1"/>
  <c r="AJ301" i="10"/>
  <c r="AJ301" i="17" s="1"/>
  <c r="AG301" i="10"/>
  <c r="AG301" i="17" s="1"/>
  <c r="AD301" i="10"/>
  <c r="AD301" i="17" s="1"/>
  <c r="AA301" i="10"/>
  <c r="AA301" i="17" s="1"/>
  <c r="X301" i="10"/>
  <c r="X301" i="17" s="1"/>
  <c r="U301" i="10"/>
  <c r="U301" i="17" s="1"/>
  <c r="R301" i="10"/>
  <c r="R301" i="17" s="1"/>
  <c r="O301" i="10"/>
  <c r="O301" i="17" s="1"/>
  <c r="L301" i="10"/>
  <c r="L301" i="17" s="1"/>
  <c r="I301" i="10"/>
  <c r="I301" i="17" s="1"/>
  <c r="F301" i="10"/>
  <c r="F301" i="17" s="1"/>
  <c r="C301" i="10"/>
  <c r="C301" i="17" s="1"/>
  <c r="B301" i="10"/>
  <c r="B301" i="17" s="1"/>
  <c r="AP300" i="10"/>
  <c r="AP300" i="17" s="1"/>
  <c r="AM300" i="10"/>
  <c r="AM300" i="17" s="1"/>
  <c r="AJ300" i="10"/>
  <c r="AJ300" i="17" s="1"/>
  <c r="AG300" i="10"/>
  <c r="AG300" i="17" s="1"/>
  <c r="AD300" i="10"/>
  <c r="AD300" i="17" s="1"/>
  <c r="AA300" i="10"/>
  <c r="AA300" i="17" s="1"/>
  <c r="X300" i="10"/>
  <c r="X300" i="17" s="1"/>
  <c r="U300" i="10"/>
  <c r="U300" i="17" s="1"/>
  <c r="R300" i="10"/>
  <c r="R300" i="17" s="1"/>
  <c r="O300" i="10"/>
  <c r="O300" i="17" s="1"/>
  <c r="L300" i="10"/>
  <c r="L300" i="17" s="1"/>
  <c r="I300" i="10"/>
  <c r="I300" i="17" s="1"/>
  <c r="F300" i="10"/>
  <c r="F300" i="17" s="1"/>
  <c r="C300" i="10"/>
  <c r="C300" i="17" s="1"/>
  <c r="B300" i="10"/>
  <c r="B300" i="17" s="1"/>
  <c r="AP299" i="10"/>
  <c r="AP299" i="17" s="1"/>
  <c r="AM299" i="10"/>
  <c r="AM299" i="17" s="1"/>
  <c r="AJ299" i="10"/>
  <c r="AJ299" i="17" s="1"/>
  <c r="AG299" i="10"/>
  <c r="AG299" i="17" s="1"/>
  <c r="AD299" i="10"/>
  <c r="AD299" i="17" s="1"/>
  <c r="AA299" i="10"/>
  <c r="AA299" i="17" s="1"/>
  <c r="X299" i="10"/>
  <c r="X299" i="17" s="1"/>
  <c r="U299" i="10"/>
  <c r="U299" i="17" s="1"/>
  <c r="R299" i="10"/>
  <c r="R299" i="17" s="1"/>
  <c r="O299" i="10"/>
  <c r="O299" i="17" s="1"/>
  <c r="L299" i="10"/>
  <c r="L299" i="17" s="1"/>
  <c r="I299" i="10"/>
  <c r="I299" i="17" s="1"/>
  <c r="F299" i="10"/>
  <c r="F299" i="17" s="1"/>
  <c r="C299" i="10"/>
  <c r="C299" i="17" s="1"/>
  <c r="B299" i="10"/>
  <c r="B299" i="17" s="1"/>
  <c r="AP298" i="10"/>
  <c r="AP298" i="17" s="1"/>
  <c r="AM298" i="10"/>
  <c r="AM298" i="17" s="1"/>
  <c r="AJ298" i="10"/>
  <c r="AJ298" i="17" s="1"/>
  <c r="AG298" i="10"/>
  <c r="AG298" i="17" s="1"/>
  <c r="AD298" i="10"/>
  <c r="AD298" i="17" s="1"/>
  <c r="AA298" i="10"/>
  <c r="AA298" i="17" s="1"/>
  <c r="X298" i="10"/>
  <c r="X298" i="17" s="1"/>
  <c r="U298" i="10"/>
  <c r="U298" i="17" s="1"/>
  <c r="R298" i="10"/>
  <c r="R298" i="17" s="1"/>
  <c r="O298" i="10"/>
  <c r="O298" i="17" s="1"/>
  <c r="L298" i="10"/>
  <c r="L298" i="17" s="1"/>
  <c r="I298" i="10"/>
  <c r="I298" i="17" s="1"/>
  <c r="F298" i="10"/>
  <c r="F298" i="17" s="1"/>
  <c r="C298" i="10"/>
  <c r="C298" i="17" s="1"/>
  <c r="B298" i="10"/>
  <c r="B298" i="17" s="1"/>
  <c r="AP297" i="10"/>
  <c r="AP297" i="17" s="1"/>
  <c r="AM297" i="10"/>
  <c r="AM297" i="17" s="1"/>
  <c r="AJ297" i="10"/>
  <c r="AJ297" i="17" s="1"/>
  <c r="AG297" i="10"/>
  <c r="AG297" i="17" s="1"/>
  <c r="AD297" i="10"/>
  <c r="AD297" i="17" s="1"/>
  <c r="AA297" i="10"/>
  <c r="AA297" i="17" s="1"/>
  <c r="X297" i="10"/>
  <c r="X297" i="17" s="1"/>
  <c r="U297" i="10"/>
  <c r="U297" i="17" s="1"/>
  <c r="R297" i="10"/>
  <c r="R297" i="17" s="1"/>
  <c r="O297" i="10"/>
  <c r="O297" i="17" s="1"/>
  <c r="L297" i="10"/>
  <c r="L297" i="17" s="1"/>
  <c r="I297" i="10"/>
  <c r="I297" i="17" s="1"/>
  <c r="F297" i="10"/>
  <c r="F297" i="17" s="1"/>
  <c r="C297" i="10"/>
  <c r="C297" i="17" s="1"/>
  <c r="B297" i="10"/>
  <c r="B297" i="17" s="1"/>
  <c r="AP296" i="10"/>
  <c r="AP296" i="17" s="1"/>
  <c r="AM296" i="10"/>
  <c r="AM296" i="17" s="1"/>
  <c r="AJ296" i="10"/>
  <c r="AJ296" i="17" s="1"/>
  <c r="AG296" i="10"/>
  <c r="AG296" i="17" s="1"/>
  <c r="AD296" i="10"/>
  <c r="AD296" i="17" s="1"/>
  <c r="AA296" i="10"/>
  <c r="AA296" i="17" s="1"/>
  <c r="X296" i="10"/>
  <c r="X296" i="17" s="1"/>
  <c r="U296" i="10"/>
  <c r="U296" i="17" s="1"/>
  <c r="R296" i="10"/>
  <c r="R296" i="17" s="1"/>
  <c r="O296" i="10"/>
  <c r="O296" i="17" s="1"/>
  <c r="L296" i="10"/>
  <c r="L296" i="17" s="1"/>
  <c r="I296" i="10"/>
  <c r="I296" i="17" s="1"/>
  <c r="F296" i="10"/>
  <c r="F296" i="17" s="1"/>
  <c r="C296" i="10"/>
  <c r="C296" i="17" s="1"/>
  <c r="B296" i="10"/>
  <c r="B296" i="17" s="1"/>
  <c r="AP295" i="10"/>
  <c r="AP295" i="17" s="1"/>
  <c r="AM295" i="10"/>
  <c r="AM295" i="17" s="1"/>
  <c r="AJ295" i="10"/>
  <c r="AJ295" i="17" s="1"/>
  <c r="AG295" i="10"/>
  <c r="AG295" i="17" s="1"/>
  <c r="AD295" i="10"/>
  <c r="AD295" i="17" s="1"/>
  <c r="AA295" i="10"/>
  <c r="AA295" i="17" s="1"/>
  <c r="X295" i="10"/>
  <c r="X295" i="17" s="1"/>
  <c r="U295" i="10"/>
  <c r="U295" i="17" s="1"/>
  <c r="R295" i="10"/>
  <c r="R295" i="17" s="1"/>
  <c r="O295" i="10"/>
  <c r="O295" i="17" s="1"/>
  <c r="L295" i="10"/>
  <c r="L295" i="17" s="1"/>
  <c r="I295" i="10"/>
  <c r="I295" i="17" s="1"/>
  <c r="F295" i="10"/>
  <c r="F295" i="17" s="1"/>
  <c r="C295" i="10"/>
  <c r="C295" i="17" s="1"/>
  <c r="B295" i="10"/>
  <c r="B295" i="17" s="1"/>
  <c r="AP294" i="10"/>
  <c r="AP294" i="17" s="1"/>
  <c r="AM294" i="10"/>
  <c r="AM294" i="17" s="1"/>
  <c r="AJ294" i="10"/>
  <c r="AJ294" i="17" s="1"/>
  <c r="AG294" i="10"/>
  <c r="AG294" i="17" s="1"/>
  <c r="AD294" i="10"/>
  <c r="AD294" i="17" s="1"/>
  <c r="AA294" i="10"/>
  <c r="AA294" i="17" s="1"/>
  <c r="X294" i="10"/>
  <c r="X294" i="17" s="1"/>
  <c r="U294" i="10"/>
  <c r="U294" i="17" s="1"/>
  <c r="R294" i="10"/>
  <c r="R294" i="17" s="1"/>
  <c r="O294" i="10"/>
  <c r="O294" i="17" s="1"/>
  <c r="L294" i="10"/>
  <c r="L294" i="17" s="1"/>
  <c r="I294" i="10"/>
  <c r="I294" i="17" s="1"/>
  <c r="F294" i="10"/>
  <c r="F294" i="17" s="1"/>
  <c r="C294" i="10"/>
  <c r="C294" i="17" s="1"/>
  <c r="B294" i="10"/>
  <c r="B294" i="17" s="1"/>
  <c r="AP293" i="10"/>
  <c r="AP293" i="17" s="1"/>
  <c r="AM293" i="10"/>
  <c r="AM293" i="17" s="1"/>
  <c r="AJ293" i="10"/>
  <c r="AJ293" i="17" s="1"/>
  <c r="AG293" i="10"/>
  <c r="AG293" i="17" s="1"/>
  <c r="AD293" i="10"/>
  <c r="AD293" i="17" s="1"/>
  <c r="AA293" i="10"/>
  <c r="AA293" i="17" s="1"/>
  <c r="X293" i="10"/>
  <c r="X293" i="17" s="1"/>
  <c r="U293" i="10"/>
  <c r="U293" i="17" s="1"/>
  <c r="R293" i="10"/>
  <c r="R293" i="17" s="1"/>
  <c r="O293" i="10"/>
  <c r="O293" i="17" s="1"/>
  <c r="L293" i="10"/>
  <c r="L293" i="17" s="1"/>
  <c r="I293" i="10"/>
  <c r="I293" i="17" s="1"/>
  <c r="F293" i="10"/>
  <c r="F293" i="17" s="1"/>
  <c r="C293" i="10"/>
  <c r="C293" i="17" s="1"/>
  <c r="B293" i="10"/>
  <c r="B293" i="17" s="1"/>
  <c r="AP292" i="10"/>
  <c r="AP292" i="17" s="1"/>
  <c r="AM292" i="10"/>
  <c r="AM292" i="17" s="1"/>
  <c r="AJ292" i="10"/>
  <c r="AJ292" i="17" s="1"/>
  <c r="AG292" i="10"/>
  <c r="AG292" i="17" s="1"/>
  <c r="AD292" i="10"/>
  <c r="AD292" i="17" s="1"/>
  <c r="AA292" i="10"/>
  <c r="AA292" i="17" s="1"/>
  <c r="X292" i="10"/>
  <c r="X292" i="17" s="1"/>
  <c r="U292" i="10"/>
  <c r="U292" i="17" s="1"/>
  <c r="R292" i="10"/>
  <c r="R292" i="17" s="1"/>
  <c r="O292" i="10"/>
  <c r="O292" i="17" s="1"/>
  <c r="L292" i="10"/>
  <c r="L292" i="17" s="1"/>
  <c r="I292" i="10"/>
  <c r="I292" i="17" s="1"/>
  <c r="F292" i="10"/>
  <c r="F292" i="17" s="1"/>
  <c r="C292" i="10"/>
  <c r="C292" i="17" s="1"/>
  <c r="B292" i="10"/>
  <c r="B292" i="17" s="1"/>
  <c r="AP291" i="10"/>
  <c r="AP291" i="17" s="1"/>
  <c r="AM291" i="10"/>
  <c r="AM291" i="17" s="1"/>
  <c r="AJ291" i="10"/>
  <c r="AJ291" i="17" s="1"/>
  <c r="AG291" i="10"/>
  <c r="AG291" i="17" s="1"/>
  <c r="AD291" i="10"/>
  <c r="AD291" i="17" s="1"/>
  <c r="AA291" i="10"/>
  <c r="AA291" i="17" s="1"/>
  <c r="X291" i="10"/>
  <c r="X291" i="17" s="1"/>
  <c r="U291" i="10"/>
  <c r="U291" i="17" s="1"/>
  <c r="R291" i="10"/>
  <c r="R291" i="17" s="1"/>
  <c r="O291" i="10"/>
  <c r="O291" i="17" s="1"/>
  <c r="L291" i="10"/>
  <c r="L291" i="17" s="1"/>
  <c r="I291" i="10"/>
  <c r="I291" i="17" s="1"/>
  <c r="F291" i="10"/>
  <c r="F291" i="17" s="1"/>
  <c r="C291" i="10"/>
  <c r="C291" i="17" s="1"/>
  <c r="B291" i="10"/>
  <c r="B291" i="17" s="1"/>
  <c r="AP290" i="10"/>
  <c r="AP290" i="17" s="1"/>
  <c r="AM290" i="10"/>
  <c r="AM290" i="17" s="1"/>
  <c r="AJ290" i="10"/>
  <c r="AJ290" i="17" s="1"/>
  <c r="AG290" i="10"/>
  <c r="AG290" i="17" s="1"/>
  <c r="AD290" i="10"/>
  <c r="AD290" i="17" s="1"/>
  <c r="AA290" i="10"/>
  <c r="AA290" i="17" s="1"/>
  <c r="X290" i="10"/>
  <c r="X290" i="17" s="1"/>
  <c r="U290" i="10"/>
  <c r="U290" i="17" s="1"/>
  <c r="R290" i="10"/>
  <c r="R290" i="17" s="1"/>
  <c r="O290" i="10"/>
  <c r="O290" i="17" s="1"/>
  <c r="L290" i="10"/>
  <c r="L290" i="17" s="1"/>
  <c r="I290" i="10"/>
  <c r="I290" i="17" s="1"/>
  <c r="F290" i="10"/>
  <c r="F290" i="17" s="1"/>
  <c r="C290" i="10"/>
  <c r="C290" i="17" s="1"/>
  <c r="B290" i="10"/>
  <c r="B290" i="17" s="1"/>
  <c r="AP289" i="10"/>
  <c r="AP289" i="17" s="1"/>
  <c r="AM289" i="10"/>
  <c r="AM289" i="17" s="1"/>
  <c r="AJ289" i="10"/>
  <c r="AJ289" i="17" s="1"/>
  <c r="AG289" i="10"/>
  <c r="AG289" i="17" s="1"/>
  <c r="AD289" i="10"/>
  <c r="AD289" i="17" s="1"/>
  <c r="AA289" i="10"/>
  <c r="AA289" i="17" s="1"/>
  <c r="X289" i="10"/>
  <c r="X289" i="17" s="1"/>
  <c r="U289" i="10"/>
  <c r="U289" i="17" s="1"/>
  <c r="R289" i="10"/>
  <c r="R289" i="17" s="1"/>
  <c r="O289" i="10"/>
  <c r="O289" i="17" s="1"/>
  <c r="L289" i="10"/>
  <c r="L289" i="17" s="1"/>
  <c r="I289" i="10"/>
  <c r="I289" i="17" s="1"/>
  <c r="F289" i="10"/>
  <c r="F289" i="17" s="1"/>
  <c r="C289" i="10"/>
  <c r="C289" i="17" s="1"/>
  <c r="B289" i="10"/>
  <c r="B289" i="17" s="1"/>
  <c r="AP288" i="10"/>
  <c r="AP288" i="17" s="1"/>
  <c r="AM288" i="10"/>
  <c r="AM288" i="17" s="1"/>
  <c r="AJ288" i="10"/>
  <c r="AJ288" i="17" s="1"/>
  <c r="AG288" i="10"/>
  <c r="AG288" i="17" s="1"/>
  <c r="AD288" i="10"/>
  <c r="AD288" i="17" s="1"/>
  <c r="AA288" i="10"/>
  <c r="AA288" i="17" s="1"/>
  <c r="X288" i="10"/>
  <c r="X288" i="17" s="1"/>
  <c r="U288" i="10"/>
  <c r="U288" i="17" s="1"/>
  <c r="R288" i="10"/>
  <c r="R288" i="17" s="1"/>
  <c r="O288" i="10"/>
  <c r="O288" i="17" s="1"/>
  <c r="L288" i="10"/>
  <c r="L288" i="17" s="1"/>
  <c r="I288" i="10"/>
  <c r="I288" i="17" s="1"/>
  <c r="F288" i="10"/>
  <c r="F288" i="17" s="1"/>
  <c r="C288" i="10"/>
  <c r="C288" i="17" s="1"/>
  <c r="B288" i="10"/>
  <c r="B288" i="17" s="1"/>
  <c r="AP287" i="10"/>
  <c r="AP287" i="17" s="1"/>
  <c r="AM287" i="10"/>
  <c r="AM287" i="17" s="1"/>
  <c r="AJ287" i="10"/>
  <c r="AJ287" i="17" s="1"/>
  <c r="AG287" i="10"/>
  <c r="AG287" i="17" s="1"/>
  <c r="AD287" i="10"/>
  <c r="AD287" i="17" s="1"/>
  <c r="AA287" i="10"/>
  <c r="AA287" i="17" s="1"/>
  <c r="X287" i="10"/>
  <c r="X287" i="17" s="1"/>
  <c r="U287" i="10"/>
  <c r="U287" i="17" s="1"/>
  <c r="R287" i="10"/>
  <c r="R287" i="17" s="1"/>
  <c r="O287" i="10"/>
  <c r="O287" i="17" s="1"/>
  <c r="L287" i="10"/>
  <c r="L287" i="17" s="1"/>
  <c r="I287" i="10"/>
  <c r="I287" i="17" s="1"/>
  <c r="F287" i="10"/>
  <c r="F287" i="17" s="1"/>
  <c r="C287" i="10"/>
  <c r="C287" i="17" s="1"/>
  <c r="B287" i="10"/>
  <c r="B287" i="17" s="1"/>
  <c r="AP286" i="10"/>
  <c r="AP286" i="17" s="1"/>
  <c r="AM286" i="10"/>
  <c r="AM286" i="17" s="1"/>
  <c r="AJ286" i="10"/>
  <c r="AJ286" i="17" s="1"/>
  <c r="AG286" i="10"/>
  <c r="AG286" i="17" s="1"/>
  <c r="AD286" i="10"/>
  <c r="AD286" i="17" s="1"/>
  <c r="AA286" i="10"/>
  <c r="AA286" i="17" s="1"/>
  <c r="X286" i="10"/>
  <c r="X286" i="17" s="1"/>
  <c r="U286" i="10"/>
  <c r="U286" i="17" s="1"/>
  <c r="R286" i="10"/>
  <c r="R286" i="17" s="1"/>
  <c r="O286" i="10"/>
  <c r="O286" i="17" s="1"/>
  <c r="L286" i="10"/>
  <c r="L286" i="17" s="1"/>
  <c r="I286" i="10"/>
  <c r="I286" i="17" s="1"/>
  <c r="F286" i="10"/>
  <c r="F286" i="17" s="1"/>
  <c r="C286" i="10"/>
  <c r="C286" i="17" s="1"/>
  <c r="B286" i="10"/>
  <c r="B286" i="17" s="1"/>
  <c r="AP285" i="10"/>
  <c r="AP285" i="17" s="1"/>
  <c r="AM285" i="10"/>
  <c r="AM285" i="17" s="1"/>
  <c r="AJ285" i="10"/>
  <c r="AJ285" i="17" s="1"/>
  <c r="AG285" i="10"/>
  <c r="AG285" i="17" s="1"/>
  <c r="AD285" i="10"/>
  <c r="AD285" i="17" s="1"/>
  <c r="AA285" i="10"/>
  <c r="AA285" i="17" s="1"/>
  <c r="X285" i="10"/>
  <c r="X285" i="17" s="1"/>
  <c r="U285" i="10"/>
  <c r="U285" i="17" s="1"/>
  <c r="R285" i="10"/>
  <c r="R285" i="17" s="1"/>
  <c r="O285" i="10"/>
  <c r="O285" i="17" s="1"/>
  <c r="L285" i="10"/>
  <c r="L285" i="17" s="1"/>
  <c r="I285" i="10"/>
  <c r="I285" i="17" s="1"/>
  <c r="F285" i="10"/>
  <c r="F285" i="17" s="1"/>
  <c r="C285" i="10"/>
  <c r="C285" i="17" s="1"/>
  <c r="B285" i="10"/>
  <c r="B285" i="17" s="1"/>
  <c r="AP284" i="10"/>
  <c r="AP284" i="17" s="1"/>
  <c r="AM284" i="10"/>
  <c r="AM284" i="17" s="1"/>
  <c r="AJ284" i="10"/>
  <c r="AJ284" i="17" s="1"/>
  <c r="AG284" i="10"/>
  <c r="AG284" i="17" s="1"/>
  <c r="AD284" i="10"/>
  <c r="AD284" i="17" s="1"/>
  <c r="AA284" i="10"/>
  <c r="AA284" i="17" s="1"/>
  <c r="X284" i="10"/>
  <c r="X284" i="17" s="1"/>
  <c r="U284" i="10"/>
  <c r="U284" i="17" s="1"/>
  <c r="R284" i="10"/>
  <c r="R284" i="17" s="1"/>
  <c r="O284" i="10"/>
  <c r="O284" i="17" s="1"/>
  <c r="L284" i="10"/>
  <c r="L284" i="17" s="1"/>
  <c r="I284" i="10"/>
  <c r="I284" i="17" s="1"/>
  <c r="F284" i="10"/>
  <c r="F284" i="17" s="1"/>
  <c r="C284" i="10"/>
  <c r="C284" i="17" s="1"/>
  <c r="B284" i="10"/>
  <c r="B284" i="17" s="1"/>
  <c r="AP283" i="10"/>
  <c r="AP283" i="17" s="1"/>
  <c r="AM283" i="10"/>
  <c r="AM283" i="17" s="1"/>
  <c r="AJ283" i="10"/>
  <c r="AJ283" i="17" s="1"/>
  <c r="AG283" i="10"/>
  <c r="AG283" i="17" s="1"/>
  <c r="AD283" i="10"/>
  <c r="AD283" i="17" s="1"/>
  <c r="AA283" i="10"/>
  <c r="AA283" i="17" s="1"/>
  <c r="X283" i="10"/>
  <c r="X283" i="17" s="1"/>
  <c r="U283" i="10"/>
  <c r="U283" i="17" s="1"/>
  <c r="R283" i="10"/>
  <c r="R283" i="17" s="1"/>
  <c r="O283" i="10"/>
  <c r="O283" i="17" s="1"/>
  <c r="L283" i="10"/>
  <c r="L283" i="17" s="1"/>
  <c r="I283" i="10"/>
  <c r="I283" i="17" s="1"/>
  <c r="F283" i="10"/>
  <c r="F283" i="17" s="1"/>
  <c r="C283" i="10"/>
  <c r="C283" i="17" s="1"/>
  <c r="B283" i="10"/>
  <c r="B283" i="17" s="1"/>
  <c r="AP282" i="10"/>
  <c r="AP282" i="17" s="1"/>
  <c r="AM282" i="10"/>
  <c r="AM282" i="17" s="1"/>
  <c r="AJ282" i="10"/>
  <c r="AJ282" i="17" s="1"/>
  <c r="AG282" i="10"/>
  <c r="AG282" i="17" s="1"/>
  <c r="AD282" i="10"/>
  <c r="AD282" i="17" s="1"/>
  <c r="AA282" i="10"/>
  <c r="AA282" i="17" s="1"/>
  <c r="X282" i="10"/>
  <c r="X282" i="17" s="1"/>
  <c r="U282" i="10"/>
  <c r="U282" i="17" s="1"/>
  <c r="R282" i="10"/>
  <c r="R282" i="17" s="1"/>
  <c r="O282" i="10"/>
  <c r="O282" i="17" s="1"/>
  <c r="L282" i="10"/>
  <c r="L282" i="17" s="1"/>
  <c r="I282" i="10"/>
  <c r="I282" i="17" s="1"/>
  <c r="F282" i="10"/>
  <c r="F282" i="17" s="1"/>
  <c r="C282" i="10"/>
  <c r="C282" i="17" s="1"/>
  <c r="B282" i="10"/>
  <c r="B282" i="17" s="1"/>
  <c r="AP281" i="10"/>
  <c r="AP281" i="17" s="1"/>
  <c r="AM281" i="10"/>
  <c r="AM281" i="17" s="1"/>
  <c r="AJ281" i="10"/>
  <c r="AJ281" i="17" s="1"/>
  <c r="AG281" i="10"/>
  <c r="AG281" i="17" s="1"/>
  <c r="AD281" i="10"/>
  <c r="AD281" i="17" s="1"/>
  <c r="AA281" i="10"/>
  <c r="AA281" i="17" s="1"/>
  <c r="X281" i="10"/>
  <c r="X281" i="17" s="1"/>
  <c r="U281" i="10"/>
  <c r="U281" i="17" s="1"/>
  <c r="R281" i="10"/>
  <c r="R281" i="17" s="1"/>
  <c r="O281" i="10"/>
  <c r="O281" i="17" s="1"/>
  <c r="L281" i="10"/>
  <c r="L281" i="17" s="1"/>
  <c r="I281" i="10"/>
  <c r="I281" i="17" s="1"/>
  <c r="F281" i="10"/>
  <c r="F281" i="17" s="1"/>
  <c r="C281" i="10"/>
  <c r="C281" i="17" s="1"/>
  <c r="B281" i="10"/>
  <c r="B281" i="17" s="1"/>
  <c r="AP280" i="10"/>
  <c r="AP280" i="17" s="1"/>
  <c r="AM280" i="10"/>
  <c r="AM280" i="17" s="1"/>
  <c r="AJ280" i="10"/>
  <c r="AJ280" i="17" s="1"/>
  <c r="AG280" i="10"/>
  <c r="AG280" i="17" s="1"/>
  <c r="AD280" i="10"/>
  <c r="AD280" i="17" s="1"/>
  <c r="AA280" i="10"/>
  <c r="AA280" i="17" s="1"/>
  <c r="X280" i="10"/>
  <c r="X280" i="17" s="1"/>
  <c r="U280" i="10"/>
  <c r="U280" i="17" s="1"/>
  <c r="R280" i="10"/>
  <c r="R280" i="17" s="1"/>
  <c r="O280" i="10"/>
  <c r="O280" i="17" s="1"/>
  <c r="L280" i="10"/>
  <c r="L280" i="17" s="1"/>
  <c r="I280" i="10"/>
  <c r="I280" i="17" s="1"/>
  <c r="F280" i="10"/>
  <c r="F280" i="17" s="1"/>
  <c r="C280" i="10"/>
  <c r="C280" i="17" s="1"/>
  <c r="B280" i="10"/>
  <c r="B280" i="17" s="1"/>
  <c r="AP279" i="10"/>
  <c r="AP279" i="17" s="1"/>
  <c r="AM279" i="10"/>
  <c r="AM279" i="17" s="1"/>
  <c r="AJ279" i="10"/>
  <c r="AJ279" i="17" s="1"/>
  <c r="AG279" i="10"/>
  <c r="AG279" i="17" s="1"/>
  <c r="AD279" i="10"/>
  <c r="AD279" i="17" s="1"/>
  <c r="AA279" i="10"/>
  <c r="AA279" i="17" s="1"/>
  <c r="X279" i="10"/>
  <c r="X279" i="17" s="1"/>
  <c r="U279" i="10"/>
  <c r="U279" i="17" s="1"/>
  <c r="R279" i="10"/>
  <c r="R279" i="17" s="1"/>
  <c r="O279" i="10"/>
  <c r="O279" i="17" s="1"/>
  <c r="L279" i="10"/>
  <c r="L279" i="17" s="1"/>
  <c r="I279" i="10"/>
  <c r="I279" i="17" s="1"/>
  <c r="F279" i="10"/>
  <c r="F279" i="17" s="1"/>
  <c r="C279" i="10"/>
  <c r="C279" i="17" s="1"/>
  <c r="B279" i="10"/>
  <c r="B279" i="17" s="1"/>
  <c r="AP278" i="10"/>
  <c r="AP278" i="17" s="1"/>
  <c r="AM278" i="10"/>
  <c r="AM278" i="17" s="1"/>
  <c r="AJ278" i="10"/>
  <c r="AJ278" i="17" s="1"/>
  <c r="AG278" i="10"/>
  <c r="AG278" i="17" s="1"/>
  <c r="AD278" i="10"/>
  <c r="AD278" i="17" s="1"/>
  <c r="AA278" i="10"/>
  <c r="AA278" i="17" s="1"/>
  <c r="X278" i="10"/>
  <c r="X278" i="17" s="1"/>
  <c r="U278" i="10"/>
  <c r="U278" i="17" s="1"/>
  <c r="R278" i="10"/>
  <c r="R278" i="17" s="1"/>
  <c r="O278" i="10"/>
  <c r="O278" i="17" s="1"/>
  <c r="L278" i="10"/>
  <c r="L278" i="17" s="1"/>
  <c r="I278" i="10"/>
  <c r="I278" i="17" s="1"/>
  <c r="F278" i="10"/>
  <c r="F278" i="17" s="1"/>
  <c r="C278" i="10"/>
  <c r="C278" i="17" s="1"/>
  <c r="B278" i="10"/>
  <c r="B278" i="17" s="1"/>
  <c r="AP277" i="10"/>
  <c r="AP277" i="17" s="1"/>
  <c r="AM277" i="10"/>
  <c r="AM277" i="17" s="1"/>
  <c r="AJ277" i="10"/>
  <c r="AJ277" i="17" s="1"/>
  <c r="AG277" i="10"/>
  <c r="AG277" i="17" s="1"/>
  <c r="AD277" i="10"/>
  <c r="AD277" i="17" s="1"/>
  <c r="AA277" i="10"/>
  <c r="AA277" i="17" s="1"/>
  <c r="X277" i="10"/>
  <c r="X277" i="17" s="1"/>
  <c r="U277" i="10"/>
  <c r="U277" i="17" s="1"/>
  <c r="R277" i="10"/>
  <c r="R277" i="17" s="1"/>
  <c r="O277" i="10"/>
  <c r="O277" i="17" s="1"/>
  <c r="L277" i="10"/>
  <c r="L277" i="17" s="1"/>
  <c r="I277" i="10"/>
  <c r="I277" i="17" s="1"/>
  <c r="F277" i="10"/>
  <c r="F277" i="17" s="1"/>
  <c r="C277" i="10"/>
  <c r="C277" i="17" s="1"/>
  <c r="B277" i="10"/>
  <c r="B277" i="17" s="1"/>
  <c r="AP276" i="10"/>
  <c r="AP276" i="17" s="1"/>
  <c r="AM276" i="10"/>
  <c r="AM276" i="17" s="1"/>
  <c r="AJ276" i="10"/>
  <c r="AJ276" i="17" s="1"/>
  <c r="AG276" i="10"/>
  <c r="AG276" i="17" s="1"/>
  <c r="AD276" i="10"/>
  <c r="AD276" i="17" s="1"/>
  <c r="AA276" i="10"/>
  <c r="AA276" i="17" s="1"/>
  <c r="X276" i="10"/>
  <c r="X276" i="17" s="1"/>
  <c r="U276" i="10"/>
  <c r="U276" i="17" s="1"/>
  <c r="R276" i="10"/>
  <c r="R276" i="17" s="1"/>
  <c r="O276" i="10"/>
  <c r="O276" i="17" s="1"/>
  <c r="L276" i="10"/>
  <c r="L276" i="17" s="1"/>
  <c r="I276" i="10"/>
  <c r="I276" i="17" s="1"/>
  <c r="F276" i="10"/>
  <c r="F276" i="17" s="1"/>
  <c r="C276" i="10"/>
  <c r="C276" i="17" s="1"/>
  <c r="B276" i="10"/>
  <c r="B276" i="17" s="1"/>
  <c r="AP275" i="10"/>
  <c r="AP275" i="17" s="1"/>
  <c r="AM275" i="10"/>
  <c r="AM275" i="17" s="1"/>
  <c r="AJ275" i="10"/>
  <c r="AJ275" i="17" s="1"/>
  <c r="AG275" i="10"/>
  <c r="AG275" i="17" s="1"/>
  <c r="AD275" i="10"/>
  <c r="AD275" i="17" s="1"/>
  <c r="AA275" i="10"/>
  <c r="AA275" i="17" s="1"/>
  <c r="X275" i="10"/>
  <c r="X275" i="17" s="1"/>
  <c r="U275" i="10"/>
  <c r="U275" i="17" s="1"/>
  <c r="R275" i="10"/>
  <c r="R275" i="17" s="1"/>
  <c r="O275" i="10"/>
  <c r="O275" i="17" s="1"/>
  <c r="L275" i="10"/>
  <c r="L275" i="17" s="1"/>
  <c r="I275" i="10"/>
  <c r="I275" i="17" s="1"/>
  <c r="F275" i="10"/>
  <c r="F275" i="17" s="1"/>
  <c r="C275" i="10"/>
  <c r="C275" i="17" s="1"/>
  <c r="B275" i="10"/>
  <c r="B275" i="17" s="1"/>
  <c r="AP274" i="10"/>
  <c r="AP274" i="17" s="1"/>
  <c r="AM274" i="10"/>
  <c r="AM274" i="17" s="1"/>
  <c r="AJ274" i="10"/>
  <c r="AJ274" i="17" s="1"/>
  <c r="AG274" i="10"/>
  <c r="AG274" i="17" s="1"/>
  <c r="AD274" i="10"/>
  <c r="AD274" i="17" s="1"/>
  <c r="AA274" i="10"/>
  <c r="AA274" i="17" s="1"/>
  <c r="X274" i="10"/>
  <c r="X274" i="17" s="1"/>
  <c r="U274" i="10"/>
  <c r="U274" i="17" s="1"/>
  <c r="R274" i="10"/>
  <c r="R274" i="17" s="1"/>
  <c r="O274" i="10"/>
  <c r="O274" i="17" s="1"/>
  <c r="L274" i="10"/>
  <c r="L274" i="17" s="1"/>
  <c r="I274" i="10"/>
  <c r="I274" i="17" s="1"/>
  <c r="F274" i="10"/>
  <c r="F274" i="17" s="1"/>
  <c r="C274" i="10"/>
  <c r="C274" i="17" s="1"/>
  <c r="B274" i="10"/>
  <c r="B274" i="17" s="1"/>
  <c r="AP273" i="10"/>
  <c r="AP273" i="17" s="1"/>
  <c r="AM273" i="10"/>
  <c r="AM273" i="17" s="1"/>
  <c r="AJ273" i="10"/>
  <c r="AJ273" i="17" s="1"/>
  <c r="AG273" i="10"/>
  <c r="AG273" i="17" s="1"/>
  <c r="AD273" i="10"/>
  <c r="AD273" i="17" s="1"/>
  <c r="AA273" i="10"/>
  <c r="AA273" i="17" s="1"/>
  <c r="X273" i="10"/>
  <c r="X273" i="17" s="1"/>
  <c r="U273" i="10"/>
  <c r="U273" i="17" s="1"/>
  <c r="R273" i="10"/>
  <c r="R273" i="17" s="1"/>
  <c r="O273" i="10"/>
  <c r="O273" i="17" s="1"/>
  <c r="L273" i="10"/>
  <c r="L273" i="17" s="1"/>
  <c r="I273" i="10"/>
  <c r="I273" i="17" s="1"/>
  <c r="F273" i="10"/>
  <c r="F273" i="17" s="1"/>
  <c r="C273" i="10"/>
  <c r="C273" i="17" s="1"/>
  <c r="B273" i="10"/>
  <c r="B273" i="17" s="1"/>
  <c r="AP272" i="10"/>
  <c r="AP272" i="17" s="1"/>
  <c r="AM272" i="10"/>
  <c r="AM272" i="17" s="1"/>
  <c r="AJ272" i="10"/>
  <c r="AJ272" i="17" s="1"/>
  <c r="AG272" i="10"/>
  <c r="AG272" i="17" s="1"/>
  <c r="AD272" i="10"/>
  <c r="AD272" i="17" s="1"/>
  <c r="AA272" i="10"/>
  <c r="AA272" i="17" s="1"/>
  <c r="X272" i="10"/>
  <c r="X272" i="17" s="1"/>
  <c r="U272" i="10"/>
  <c r="U272" i="17" s="1"/>
  <c r="R272" i="10"/>
  <c r="R272" i="17" s="1"/>
  <c r="O272" i="10"/>
  <c r="O272" i="17" s="1"/>
  <c r="L272" i="10"/>
  <c r="L272" i="17" s="1"/>
  <c r="I272" i="10"/>
  <c r="I272" i="17" s="1"/>
  <c r="F272" i="10"/>
  <c r="F272" i="17" s="1"/>
  <c r="C272" i="10"/>
  <c r="C272" i="17" s="1"/>
  <c r="B272" i="10"/>
  <c r="B272" i="17" s="1"/>
  <c r="AP271" i="10"/>
  <c r="AP271" i="17" s="1"/>
  <c r="AM271" i="10"/>
  <c r="AM271" i="17" s="1"/>
  <c r="AJ271" i="10"/>
  <c r="AJ271" i="17" s="1"/>
  <c r="AG271" i="10"/>
  <c r="AG271" i="17" s="1"/>
  <c r="AD271" i="10"/>
  <c r="AD271" i="17" s="1"/>
  <c r="AA271" i="10"/>
  <c r="AA271" i="17" s="1"/>
  <c r="X271" i="10"/>
  <c r="X271" i="17" s="1"/>
  <c r="U271" i="10"/>
  <c r="U271" i="17" s="1"/>
  <c r="R271" i="10"/>
  <c r="R271" i="17" s="1"/>
  <c r="O271" i="10"/>
  <c r="O271" i="17" s="1"/>
  <c r="L271" i="10"/>
  <c r="L271" i="17" s="1"/>
  <c r="I271" i="10"/>
  <c r="I271" i="17" s="1"/>
  <c r="F271" i="10"/>
  <c r="F271" i="17" s="1"/>
  <c r="C271" i="10"/>
  <c r="C271" i="17" s="1"/>
  <c r="B271" i="10"/>
  <c r="B271" i="17" s="1"/>
  <c r="AP270" i="10"/>
  <c r="AP270" i="17" s="1"/>
  <c r="AM270" i="10"/>
  <c r="AM270" i="17" s="1"/>
  <c r="AJ270" i="10"/>
  <c r="AJ270" i="17" s="1"/>
  <c r="AG270" i="10"/>
  <c r="AG270" i="17" s="1"/>
  <c r="AD270" i="10"/>
  <c r="AD270" i="17" s="1"/>
  <c r="AA270" i="10"/>
  <c r="AA270" i="17" s="1"/>
  <c r="X270" i="10"/>
  <c r="X270" i="17" s="1"/>
  <c r="U270" i="10"/>
  <c r="U270" i="17" s="1"/>
  <c r="R270" i="10"/>
  <c r="R270" i="17" s="1"/>
  <c r="O270" i="10"/>
  <c r="O270" i="17" s="1"/>
  <c r="L270" i="10"/>
  <c r="L270" i="17" s="1"/>
  <c r="I270" i="10"/>
  <c r="I270" i="17" s="1"/>
  <c r="F270" i="10"/>
  <c r="F270" i="17" s="1"/>
  <c r="C270" i="10"/>
  <c r="C270" i="17" s="1"/>
  <c r="B270" i="10"/>
  <c r="B270" i="17" s="1"/>
  <c r="AP269" i="10"/>
  <c r="AP269" i="17" s="1"/>
  <c r="AM269" i="10"/>
  <c r="AM269" i="17" s="1"/>
  <c r="AJ269" i="10"/>
  <c r="AJ269" i="17" s="1"/>
  <c r="AG269" i="10"/>
  <c r="AG269" i="17" s="1"/>
  <c r="AD269" i="10"/>
  <c r="AD269" i="17" s="1"/>
  <c r="AA269" i="10"/>
  <c r="AA269" i="17" s="1"/>
  <c r="X269" i="10"/>
  <c r="X269" i="17" s="1"/>
  <c r="U269" i="10"/>
  <c r="U269" i="17" s="1"/>
  <c r="R269" i="10"/>
  <c r="R269" i="17" s="1"/>
  <c r="O269" i="10"/>
  <c r="O269" i="17" s="1"/>
  <c r="L269" i="10"/>
  <c r="L269" i="17" s="1"/>
  <c r="I269" i="10"/>
  <c r="I269" i="17" s="1"/>
  <c r="F269" i="10"/>
  <c r="F269" i="17" s="1"/>
  <c r="C269" i="10"/>
  <c r="C269" i="17" s="1"/>
  <c r="B269" i="10"/>
  <c r="B269" i="17" s="1"/>
  <c r="AP268" i="10"/>
  <c r="AP268" i="17" s="1"/>
  <c r="AM268" i="10"/>
  <c r="AM268" i="17" s="1"/>
  <c r="AJ268" i="10"/>
  <c r="AJ268" i="17" s="1"/>
  <c r="AG268" i="10"/>
  <c r="AG268" i="17" s="1"/>
  <c r="AD268" i="10"/>
  <c r="AD268" i="17" s="1"/>
  <c r="AA268" i="10"/>
  <c r="AA268" i="17" s="1"/>
  <c r="X268" i="10"/>
  <c r="X268" i="17" s="1"/>
  <c r="U268" i="10"/>
  <c r="U268" i="17" s="1"/>
  <c r="R268" i="10"/>
  <c r="R268" i="17" s="1"/>
  <c r="O268" i="10"/>
  <c r="O268" i="17" s="1"/>
  <c r="L268" i="10"/>
  <c r="L268" i="17" s="1"/>
  <c r="I268" i="10"/>
  <c r="I268" i="17" s="1"/>
  <c r="F268" i="10"/>
  <c r="F268" i="17" s="1"/>
  <c r="C268" i="10"/>
  <c r="C268" i="17" s="1"/>
  <c r="B268" i="10"/>
  <c r="B268" i="17" s="1"/>
  <c r="AP267" i="10"/>
  <c r="AP267" i="17" s="1"/>
  <c r="AM267" i="10"/>
  <c r="AM267" i="17" s="1"/>
  <c r="AJ267" i="10"/>
  <c r="AJ267" i="17" s="1"/>
  <c r="AG267" i="10"/>
  <c r="AG267" i="17" s="1"/>
  <c r="AD267" i="10"/>
  <c r="AD267" i="17" s="1"/>
  <c r="AA267" i="10"/>
  <c r="AA267" i="17" s="1"/>
  <c r="X267" i="10"/>
  <c r="X267" i="17" s="1"/>
  <c r="U267" i="10"/>
  <c r="U267" i="17" s="1"/>
  <c r="R267" i="10"/>
  <c r="R267" i="17" s="1"/>
  <c r="O267" i="10"/>
  <c r="O267" i="17" s="1"/>
  <c r="L267" i="10"/>
  <c r="L267" i="17" s="1"/>
  <c r="I267" i="10"/>
  <c r="I267" i="17" s="1"/>
  <c r="F267" i="10"/>
  <c r="F267" i="17" s="1"/>
  <c r="C267" i="10"/>
  <c r="C267" i="17" s="1"/>
  <c r="B267" i="10"/>
  <c r="B267" i="17" s="1"/>
  <c r="AP266" i="10"/>
  <c r="AP266" i="17" s="1"/>
  <c r="AM266" i="10"/>
  <c r="AM266" i="17" s="1"/>
  <c r="AJ266" i="10"/>
  <c r="AJ266" i="17" s="1"/>
  <c r="AG266" i="10"/>
  <c r="AG266" i="17" s="1"/>
  <c r="AD266" i="10"/>
  <c r="AD266" i="17" s="1"/>
  <c r="AA266" i="10"/>
  <c r="AA266" i="17" s="1"/>
  <c r="X266" i="10"/>
  <c r="X266" i="17" s="1"/>
  <c r="U266" i="10"/>
  <c r="U266" i="17" s="1"/>
  <c r="R266" i="10"/>
  <c r="R266" i="17" s="1"/>
  <c r="O266" i="10"/>
  <c r="O266" i="17" s="1"/>
  <c r="L266" i="10"/>
  <c r="L266" i="17" s="1"/>
  <c r="I266" i="10"/>
  <c r="I266" i="17" s="1"/>
  <c r="F266" i="10"/>
  <c r="F266" i="17" s="1"/>
  <c r="C266" i="10"/>
  <c r="C266" i="17" s="1"/>
  <c r="B266" i="10"/>
  <c r="B266" i="17" s="1"/>
  <c r="AP265" i="10"/>
  <c r="AP265" i="17" s="1"/>
  <c r="AM265" i="10"/>
  <c r="AM265" i="17" s="1"/>
  <c r="AJ265" i="10"/>
  <c r="AJ265" i="17" s="1"/>
  <c r="AG265" i="10"/>
  <c r="AG265" i="17" s="1"/>
  <c r="AD265" i="10"/>
  <c r="AD265" i="17" s="1"/>
  <c r="AA265" i="10"/>
  <c r="AA265" i="17" s="1"/>
  <c r="X265" i="10"/>
  <c r="X265" i="17" s="1"/>
  <c r="U265" i="10"/>
  <c r="U265" i="17" s="1"/>
  <c r="R265" i="10"/>
  <c r="R265" i="17" s="1"/>
  <c r="O265" i="10"/>
  <c r="O265" i="17" s="1"/>
  <c r="L265" i="10"/>
  <c r="L265" i="17" s="1"/>
  <c r="I265" i="10"/>
  <c r="I265" i="17" s="1"/>
  <c r="F265" i="10"/>
  <c r="F265" i="17" s="1"/>
  <c r="C265" i="10"/>
  <c r="C265" i="17" s="1"/>
  <c r="B265" i="10"/>
  <c r="B265" i="17" s="1"/>
  <c r="AP264" i="10"/>
  <c r="AP264" i="17" s="1"/>
  <c r="AM264" i="10"/>
  <c r="AM264" i="17" s="1"/>
  <c r="AJ264" i="10"/>
  <c r="AJ264" i="17" s="1"/>
  <c r="AG264" i="10"/>
  <c r="AG264" i="17" s="1"/>
  <c r="AD264" i="10"/>
  <c r="AD264" i="17" s="1"/>
  <c r="AA264" i="10"/>
  <c r="AA264" i="17" s="1"/>
  <c r="X264" i="10"/>
  <c r="X264" i="17" s="1"/>
  <c r="U264" i="10"/>
  <c r="U264" i="17" s="1"/>
  <c r="R264" i="10"/>
  <c r="R264" i="17" s="1"/>
  <c r="O264" i="10"/>
  <c r="O264" i="17" s="1"/>
  <c r="L264" i="10"/>
  <c r="L264" i="17" s="1"/>
  <c r="I264" i="10"/>
  <c r="I264" i="17" s="1"/>
  <c r="F264" i="10"/>
  <c r="F264" i="17" s="1"/>
  <c r="C264" i="10"/>
  <c r="C264" i="17" s="1"/>
  <c r="B264" i="10"/>
  <c r="B264" i="17" s="1"/>
  <c r="AP263" i="10"/>
  <c r="AP263" i="17" s="1"/>
  <c r="AM263" i="10"/>
  <c r="AM263" i="17" s="1"/>
  <c r="AJ263" i="10"/>
  <c r="AJ263" i="17" s="1"/>
  <c r="AG263" i="10"/>
  <c r="AG263" i="17" s="1"/>
  <c r="AD263" i="10"/>
  <c r="AD263" i="17" s="1"/>
  <c r="AA263" i="10"/>
  <c r="AA263" i="17" s="1"/>
  <c r="X263" i="10"/>
  <c r="X263" i="17" s="1"/>
  <c r="U263" i="10"/>
  <c r="U263" i="17" s="1"/>
  <c r="R263" i="10"/>
  <c r="R263" i="17" s="1"/>
  <c r="O263" i="10"/>
  <c r="O263" i="17" s="1"/>
  <c r="L263" i="10"/>
  <c r="L263" i="17" s="1"/>
  <c r="I263" i="10"/>
  <c r="I263" i="17" s="1"/>
  <c r="F263" i="10"/>
  <c r="F263" i="17" s="1"/>
  <c r="C263" i="10"/>
  <c r="C263" i="17" s="1"/>
  <c r="B263" i="10"/>
  <c r="B263" i="17" s="1"/>
  <c r="AP262" i="10"/>
  <c r="AP262" i="17" s="1"/>
  <c r="AM262" i="10"/>
  <c r="AM262" i="17" s="1"/>
  <c r="AJ262" i="10"/>
  <c r="AJ262" i="17" s="1"/>
  <c r="AG262" i="10"/>
  <c r="AG262" i="17" s="1"/>
  <c r="AD262" i="10"/>
  <c r="AD262" i="17" s="1"/>
  <c r="AA262" i="10"/>
  <c r="AA262" i="17" s="1"/>
  <c r="X262" i="10"/>
  <c r="X262" i="17" s="1"/>
  <c r="U262" i="10"/>
  <c r="U262" i="17" s="1"/>
  <c r="R262" i="10"/>
  <c r="R262" i="17" s="1"/>
  <c r="O262" i="10"/>
  <c r="O262" i="17" s="1"/>
  <c r="L262" i="10"/>
  <c r="L262" i="17" s="1"/>
  <c r="I262" i="10"/>
  <c r="I262" i="17" s="1"/>
  <c r="F262" i="10"/>
  <c r="F262" i="17" s="1"/>
  <c r="C262" i="10"/>
  <c r="C262" i="17" s="1"/>
  <c r="B262" i="10"/>
  <c r="B262" i="17" s="1"/>
  <c r="AP261" i="10"/>
  <c r="AP261" i="17" s="1"/>
  <c r="AM261" i="10"/>
  <c r="AM261" i="17" s="1"/>
  <c r="AJ261" i="10"/>
  <c r="AJ261" i="17" s="1"/>
  <c r="AG261" i="10"/>
  <c r="AG261" i="17" s="1"/>
  <c r="AD261" i="10"/>
  <c r="AD261" i="17" s="1"/>
  <c r="AA261" i="10"/>
  <c r="AA261" i="17" s="1"/>
  <c r="X261" i="10"/>
  <c r="X261" i="17" s="1"/>
  <c r="U261" i="10"/>
  <c r="U261" i="17" s="1"/>
  <c r="R261" i="10"/>
  <c r="R261" i="17" s="1"/>
  <c r="O261" i="10"/>
  <c r="O261" i="17" s="1"/>
  <c r="L261" i="10"/>
  <c r="L261" i="17" s="1"/>
  <c r="I261" i="10"/>
  <c r="I261" i="17" s="1"/>
  <c r="F261" i="10"/>
  <c r="F261" i="17" s="1"/>
  <c r="C261" i="10"/>
  <c r="C261" i="17" s="1"/>
  <c r="B261" i="10"/>
  <c r="B261" i="17" s="1"/>
  <c r="AP260" i="10"/>
  <c r="AP260" i="17" s="1"/>
  <c r="AM260" i="10"/>
  <c r="AM260" i="17" s="1"/>
  <c r="AJ260" i="10"/>
  <c r="AJ260" i="17" s="1"/>
  <c r="AG260" i="10"/>
  <c r="AG260" i="17" s="1"/>
  <c r="AD260" i="10"/>
  <c r="AD260" i="17" s="1"/>
  <c r="AA260" i="10"/>
  <c r="AA260" i="17" s="1"/>
  <c r="X260" i="10"/>
  <c r="X260" i="17" s="1"/>
  <c r="U260" i="10"/>
  <c r="U260" i="17" s="1"/>
  <c r="R260" i="10"/>
  <c r="R260" i="17" s="1"/>
  <c r="O260" i="10"/>
  <c r="O260" i="17" s="1"/>
  <c r="L260" i="10"/>
  <c r="L260" i="17" s="1"/>
  <c r="I260" i="10"/>
  <c r="I260" i="17" s="1"/>
  <c r="F260" i="10"/>
  <c r="F260" i="17" s="1"/>
  <c r="C260" i="10"/>
  <c r="C260" i="17" s="1"/>
  <c r="B260" i="10"/>
  <c r="B260" i="17" s="1"/>
  <c r="AP259" i="10"/>
  <c r="AP259" i="17" s="1"/>
  <c r="AM259" i="10"/>
  <c r="AM259" i="17" s="1"/>
  <c r="AJ259" i="10"/>
  <c r="AJ259" i="17" s="1"/>
  <c r="AG259" i="10"/>
  <c r="AG259" i="17" s="1"/>
  <c r="AD259" i="10"/>
  <c r="AD259" i="17" s="1"/>
  <c r="AA259" i="10"/>
  <c r="AA259" i="17" s="1"/>
  <c r="X259" i="10"/>
  <c r="X259" i="17" s="1"/>
  <c r="U259" i="10"/>
  <c r="U259" i="17" s="1"/>
  <c r="R259" i="10"/>
  <c r="R259" i="17" s="1"/>
  <c r="O259" i="10"/>
  <c r="O259" i="17" s="1"/>
  <c r="L259" i="10"/>
  <c r="L259" i="17" s="1"/>
  <c r="I259" i="10"/>
  <c r="I259" i="17" s="1"/>
  <c r="F259" i="10"/>
  <c r="F259" i="17" s="1"/>
  <c r="C259" i="10"/>
  <c r="C259" i="17" s="1"/>
  <c r="B259" i="10"/>
  <c r="B259" i="17" s="1"/>
  <c r="AP258" i="10"/>
  <c r="AP258" i="17" s="1"/>
  <c r="AM258" i="10"/>
  <c r="AM258" i="17" s="1"/>
  <c r="AJ258" i="10"/>
  <c r="AJ258" i="17" s="1"/>
  <c r="AG258" i="10"/>
  <c r="AG258" i="17" s="1"/>
  <c r="AD258" i="10"/>
  <c r="AD258" i="17" s="1"/>
  <c r="AA258" i="10"/>
  <c r="AA258" i="17" s="1"/>
  <c r="X258" i="10"/>
  <c r="X258" i="17" s="1"/>
  <c r="U258" i="10"/>
  <c r="U258" i="17" s="1"/>
  <c r="R258" i="10"/>
  <c r="R258" i="17" s="1"/>
  <c r="O258" i="10"/>
  <c r="O258" i="17" s="1"/>
  <c r="L258" i="10"/>
  <c r="L258" i="17" s="1"/>
  <c r="I258" i="10"/>
  <c r="I258" i="17" s="1"/>
  <c r="F258" i="10"/>
  <c r="F258" i="17" s="1"/>
  <c r="C258" i="10"/>
  <c r="C258" i="17" s="1"/>
  <c r="B258" i="10"/>
  <c r="B258" i="17" s="1"/>
  <c r="AP257" i="10"/>
  <c r="AP257" i="17" s="1"/>
  <c r="AM257" i="10"/>
  <c r="AM257" i="17" s="1"/>
  <c r="AJ257" i="10"/>
  <c r="AJ257" i="17" s="1"/>
  <c r="AG257" i="10"/>
  <c r="AG257" i="17" s="1"/>
  <c r="AD257" i="10"/>
  <c r="AD257" i="17" s="1"/>
  <c r="AA257" i="10"/>
  <c r="AA257" i="17" s="1"/>
  <c r="X257" i="10"/>
  <c r="X257" i="17" s="1"/>
  <c r="U257" i="10"/>
  <c r="U257" i="17" s="1"/>
  <c r="R257" i="10"/>
  <c r="R257" i="17" s="1"/>
  <c r="O257" i="10"/>
  <c r="O257" i="17" s="1"/>
  <c r="L257" i="10"/>
  <c r="L257" i="17" s="1"/>
  <c r="I257" i="10"/>
  <c r="I257" i="17" s="1"/>
  <c r="F257" i="10"/>
  <c r="F257" i="17" s="1"/>
  <c r="C257" i="10"/>
  <c r="C257" i="17" s="1"/>
  <c r="B257" i="10"/>
  <c r="B257" i="17" s="1"/>
  <c r="AP256" i="10"/>
  <c r="AP256" i="17" s="1"/>
  <c r="AM256" i="10"/>
  <c r="AM256" i="17" s="1"/>
  <c r="AJ256" i="10"/>
  <c r="AJ256" i="17" s="1"/>
  <c r="AG256" i="10"/>
  <c r="AG256" i="17" s="1"/>
  <c r="AD256" i="10"/>
  <c r="AD256" i="17" s="1"/>
  <c r="AA256" i="10"/>
  <c r="AA256" i="17" s="1"/>
  <c r="X256" i="10"/>
  <c r="X256" i="17" s="1"/>
  <c r="U256" i="10"/>
  <c r="U256" i="17" s="1"/>
  <c r="R256" i="10"/>
  <c r="R256" i="17" s="1"/>
  <c r="O256" i="10"/>
  <c r="O256" i="17" s="1"/>
  <c r="L256" i="10"/>
  <c r="L256" i="17" s="1"/>
  <c r="I256" i="10"/>
  <c r="I256" i="17" s="1"/>
  <c r="F256" i="10"/>
  <c r="F256" i="17" s="1"/>
  <c r="C256" i="10"/>
  <c r="C256" i="17" s="1"/>
  <c r="B256" i="10"/>
  <c r="B256" i="17" s="1"/>
  <c r="AP255" i="10"/>
  <c r="AP255" i="17" s="1"/>
  <c r="AM255" i="10"/>
  <c r="AM255" i="17" s="1"/>
  <c r="AJ255" i="10"/>
  <c r="AJ255" i="17" s="1"/>
  <c r="AG255" i="10"/>
  <c r="AG255" i="17" s="1"/>
  <c r="AD255" i="10"/>
  <c r="AD255" i="17" s="1"/>
  <c r="AA255" i="10"/>
  <c r="AA255" i="17" s="1"/>
  <c r="X255" i="10"/>
  <c r="X255" i="17" s="1"/>
  <c r="U255" i="10"/>
  <c r="U255" i="17" s="1"/>
  <c r="R255" i="10"/>
  <c r="R255" i="17" s="1"/>
  <c r="O255" i="10"/>
  <c r="O255" i="17" s="1"/>
  <c r="L255" i="10"/>
  <c r="L255" i="17" s="1"/>
  <c r="I255" i="10"/>
  <c r="I255" i="17" s="1"/>
  <c r="F255" i="10"/>
  <c r="F255" i="17" s="1"/>
  <c r="C255" i="10"/>
  <c r="C255" i="17" s="1"/>
  <c r="B255" i="10"/>
  <c r="B255" i="17" s="1"/>
  <c r="AP254" i="10"/>
  <c r="AP254" i="17" s="1"/>
  <c r="AM254" i="10"/>
  <c r="AM254" i="17" s="1"/>
  <c r="AJ254" i="10"/>
  <c r="AJ254" i="17" s="1"/>
  <c r="AG254" i="10"/>
  <c r="AG254" i="17" s="1"/>
  <c r="AD254" i="10"/>
  <c r="AD254" i="17" s="1"/>
  <c r="AA254" i="10"/>
  <c r="AA254" i="17" s="1"/>
  <c r="X254" i="10"/>
  <c r="X254" i="17" s="1"/>
  <c r="U254" i="10"/>
  <c r="U254" i="17" s="1"/>
  <c r="R254" i="10"/>
  <c r="R254" i="17" s="1"/>
  <c r="O254" i="10"/>
  <c r="O254" i="17" s="1"/>
  <c r="L254" i="10"/>
  <c r="L254" i="17" s="1"/>
  <c r="I254" i="10"/>
  <c r="I254" i="17" s="1"/>
  <c r="F254" i="10"/>
  <c r="F254" i="17" s="1"/>
  <c r="C254" i="10"/>
  <c r="C254" i="17" s="1"/>
  <c r="B254" i="10"/>
  <c r="B254" i="17" s="1"/>
  <c r="AP253" i="10"/>
  <c r="AP253" i="17" s="1"/>
  <c r="AM253" i="10"/>
  <c r="AM253" i="17" s="1"/>
  <c r="AJ253" i="10"/>
  <c r="AJ253" i="17" s="1"/>
  <c r="AG253" i="10"/>
  <c r="AG253" i="17" s="1"/>
  <c r="AD253" i="10"/>
  <c r="AD253" i="17" s="1"/>
  <c r="AA253" i="10"/>
  <c r="AA253" i="17" s="1"/>
  <c r="X253" i="10"/>
  <c r="X253" i="17" s="1"/>
  <c r="U253" i="10"/>
  <c r="U253" i="17" s="1"/>
  <c r="R253" i="10"/>
  <c r="R253" i="17" s="1"/>
  <c r="O253" i="10"/>
  <c r="O253" i="17" s="1"/>
  <c r="L253" i="10"/>
  <c r="L253" i="17" s="1"/>
  <c r="I253" i="10"/>
  <c r="I253" i="17" s="1"/>
  <c r="F253" i="10"/>
  <c r="F253" i="17" s="1"/>
  <c r="C253" i="10"/>
  <c r="C253" i="17" s="1"/>
  <c r="B253" i="10"/>
  <c r="B253" i="17" s="1"/>
  <c r="AP252" i="10"/>
  <c r="AP252" i="17" s="1"/>
  <c r="AM252" i="10"/>
  <c r="AM252" i="17" s="1"/>
  <c r="AJ252" i="10"/>
  <c r="AJ252" i="17" s="1"/>
  <c r="AG252" i="10"/>
  <c r="AG252" i="17" s="1"/>
  <c r="AD252" i="10"/>
  <c r="AD252" i="17" s="1"/>
  <c r="AA252" i="10"/>
  <c r="AA252" i="17" s="1"/>
  <c r="X252" i="10"/>
  <c r="X252" i="17" s="1"/>
  <c r="U252" i="10"/>
  <c r="U252" i="17" s="1"/>
  <c r="R252" i="10"/>
  <c r="R252" i="17" s="1"/>
  <c r="O252" i="10"/>
  <c r="O252" i="17" s="1"/>
  <c r="L252" i="10"/>
  <c r="L252" i="17" s="1"/>
  <c r="I252" i="10"/>
  <c r="I252" i="17" s="1"/>
  <c r="F252" i="10"/>
  <c r="F252" i="17" s="1"/>
  <c r="C252" i="10"/>
  <c r="C252" i="17" s="1"/>
  <c r="B252" i="10"/>
  <c r="B252" i="17" s="1"/>
  <c r="AP251" i="10"/>
  <c r="AP251" i="17" s="1"/>
  <c r="AM251" i="10"/>
  <c r="AM251" i="17" s="1"/>
  <c r="AJ251" i="10"/>
  <c r="AJ251" i="17" s="1"/>
  <c r="AG251" i="10"/>
  <c r="AG251" i="17" s="1"/>
  <c r="AD251" i="10"/>
  <c r="AD251" i="17" s="1"/>
  <c r="AA251" i="10"/>
  <c r="AA251" i="17" s="1"/>
  <c r="X251" i="10"/>
  <c r="X251" i="17" s="1"/>
  <c r="U251" i="10"/>
  <c r="U251" i="17" s="1"/>
  <c r="R251" i="10"/>
  <c r="R251" i="17" s="1"/>
  <c r="O251" i="10"/>
  <c r="O251" i="17" s="1"/>
  <c r="L251" i="10"/>
  <c r="L251" i="17" s="1"/>
  <c r="I251" i="10"/>
  <c r="I251" i="17" s="1"/>
  <c r="F251" i="10"/>
  <c r="F251" i="17" s="1"/>
  <c r="C251" i="10"/>
  <c r="C251" i="17" s="1"/>
  <c r="B251" i="10"/>
  <c r="B251" i="17" s="1"/>
  <c r="AP250" i="10"/>
  <c r="AP250" i="17" s="1"/>
  <c r="AM250" i="10"/>
  <c r="AM250" i="17" s="1"/>
  <c r="AJ250" i="10"/>
  <c r="AJ250" i="17" s="1"/>
  <c r="AG250" i="10"/>
  <c r="AG250" i="17" s="1"/>
  <c r="AD250" i="10"/>
  <c r="AD250" i="17" s="1"/>
  <c r="AA250" i="10"/>
  <c r="AA250" i="17" s="1"/>
  <c r="X250" i="10"/>
  <c r="X250" i="17" s="1"/>
  <c r="U250" i="10"/>
  <c r="U250" i="17" s="1"/>
  <c r="R250" i="10"/>
  <c r="R250" i="17" s="1"/>
  <c r="O250" i="10"/>
  <c r="O250" i="17" s="1"/>
  <c r="L250" i="10"/>
  <c r="L250" i="17" s="1"/>
  <c r="I250" i="10"/>
  <c r="I250" i="17" s="1"/>
  <c r="F250" i="10"/>
  <c r="F250" i="17" s="1"/>
  <c r="C250" i="10"/>
  <c r="C250" i="17" s="1"/>
  <c r="B250" i="10"/>
  <c r="B250" i="17" s="1"/>
  <c r="AP249" i="10"/>
  <c r="AP249" i="17" s="1"/>
  <c r="AM249" i="10"/>
  <c r="AM249" i="17" s="1"/>
  <c r="AJ249" i="10"/>
  <c r="AJ249" i="17" s="1"/>
  <c r="AG249" i="10"/>
  <c r="AG249" i="17" s="1"/>
  <c r="AD249" i="10"/>
  <c r="AD249" i="17" s="1"/>
  <c r="AA249" i="10"/>
  <c r="AA249" i="17" s="1"/>
  <c r="X249" i="10"/>
  <c r="X249" i="17" s="1"/>
  <c r="U249" i="10"/>
  <c r="U249" i="17" s="1"/>
  <c r="R249" i="10"/>
  <c r="R249" i="17" s="1"/>
  <c r="O249" i="10"/>
  <c r="O249" i="17" s="1"/>
  <c r="L249" i="10"/>
  <c r="L249" i="17" s="1"/>
  <c r="I249" i="10"/>
  <c r="I249" i="17" s="1"/>
  <c r="F249" i="10"/>
  <c r="F249" i="17" s="1"/>
  <c r="C249" i="10"/>
  <c r="C249" i="17" s="1"/>
  <c r="B249" i="10"/>
  <c r="B249" i="17" s="1"/>
  <c r="AP248" i="10"/>
  <c r="AP248" i="17" s="1"/>
  <c r="AM248" i="10"/>
  <c r="AM248" i="17" s="1"/>
  <c r="AJ248" i="10"/>
  <c r="AJ248" i="17" s="1"/>
  <c r="AG248" i="10"/>
  <c r="AG248" i="17" s="1"/>
  <c r="AD248" i="10"/>
  <c r="AD248" i="17" s="1"/>
  <c r="AA248" i="10"/>
  <c r="AA248" i="17" s="1"/>
  <c r="X248" i="10"/>
  <c r="X248" i="17" s="1"/>
  <c r="U248" i="10"/>
  <c r="U248" i="17" s="1"/>
  <c r="R248" i="10"/>
  <c r="R248" i="17" s="1"/>
  <c r="O248" i="10"/>
  <c r="O248" i="17" s="1"/>
  <c r="L248" i="10"/>
  <c r="L248" i="17" s="1"/>
  <c r="I248" i="10"/>
  <c r="I248" i="17" s="1"/>
  <c r="F248" i="10"/>
  <c r="F248" i="17" s="1"/>
  <c r="C248" i="10"/>
  <c r="C248" i="17" s="1"/>
  <c r="B248" i="10"/>
  <c r="B248" i="17" s="1"/>
  <c r="AP247" i="10"/>
  <c r="AP247" i="17" s="1"/>
  <c r="AM247" i="10"/>
  <c r="AM247" i="17" s="1"/>
  <c r="AJ247" i="10"/>
  <c r="AJ247" i="17" s="1"/>
  <c r="AG247" i="10"/>
  <c r="AG247" i="17" s="1"/>
  <c r="AD247" i="10"/>
  <c r="AD247" i="17" s="1"/>
  <c r="AA247" i="10"/>
  <c r="AA247" i="17" s="1"/>
  <c r="X247" i="10"/>
  <c r="X247" i="17" s="1"/>
  <c r="U247" i="10"/>
  <c r="U247" i="17" s="1"/>
  <c r="R247" i="10"/>
  <c r="R247" i="17" s="1"/>
  <c r="O247" i="10"/>
  <c r="O247" i="17" s="1"/>
  <c r="L247" i="10"/>
  <c r="L247" i="17" s="1"/>
  <c r="I247" i="10"/>
  <c r="I247" i="17" s="1"/>
  <c r="F247" i="10"/>
  <c r="F247" i="17" s="1"/>
  <c r="C247" i="10"/>
  <c r="C247" i="17" s="1"/>
  <c r="B247" i="10"/>
  <c r="B247" i="17" s="1"/>
  <c r="AP246" i="10"/>
  <c r="AP246" i="17" s="1"/>
  <c r="AM246" i="10"/>
  <c r="AM246" i="17" s="1"/>
  <c r="AJ246" i="10"/>
  <c r="AJ246" i="17" s="1"/>
  <c r="AG246" i="10"/>
  <c r="AG246" i="17" s="1"/>
  <c r="AD246" i="10"/>
  <c r="AD246" i="17" s="1"/>
  <c r="AA246" i="10"/>
  <c r="AA246" i="17" s="1"/>
  <c r="X246" i="10"/>
  <c r="X246" i="17" s="1"/>
  <c r="U246" i="10"/>
  <c r="U246" i="17" s="1"/>
  <c r="R246" i="10"/>
  <c r="R246" i="17" s="1"/>
  <c r="O246" i="10"/>
  <c r="O246" i="17" s="1"/>
  <c r="L246" i="10"/>
  <c r="L246" i="17" s="1"/>
  <c r="I246" i="10"/>
  <c r="I246" i="17" s="1"/>
  <c r="F246" i="10"/>
  <c r="F246" i="17" s="1"/>
  <c r="C246" i="10"/>
  <c r="C246" i="17" s="1"/>
  <c r="B246" i="10"/>
  <c r="B246" i="17" s="1"/>
  <c r="AP245" i="10"/>
  <c r="AP245" i="17" s="1"/>
  <c r="AM245" i="10"/>
  <c r="AM245" i="17" s="1"/>
  <c r="AJ245" i="10"/>
  <c r="AJ245" i="17" s="1"/>
  <c r="AG245" i="10"/>
  <c r="AG245" i="17" s="1"/>
  <c r="AD245" i="10"/>
  <c r="AD245" i="17" s="1"/>
  <c r="AA245" i="10"/>
  <c r="AA245" i="17" s="1"/>
  <c r="X245" i="10"/>
  <c r="X245" i="17" s="1"/>
  <c r="U245" i="10"/>
  <c r="U245" i="17" s="1"/>
  <c r="R245" i="10"/>
  <c r="R245" i="17" s="1"/>
  <c r="O245" i="10"/>
  <c r="O245" i="17" s="1"/>
  <c r="L245" i="10"/>
  <c r="L245" i="17" s="1"/>
  <c r="I245" i="10"/>
  <c r="I245" i="17" s="1"/>
  <c r="F245" i="10"/>
  <c r="F245" i="17" s="1"/>
  <c r="C245" i="10"/>
  <c r="C245" i="17" s="1"/>
  <c r="B245" i="10"/>
  <c r="B245" i="17" s="1"/>
  <c r="AP244" i="10"/>
  <c r="AP244" i="17" s="1"/>
  <c r="AM244" i="10"/>
  <c r="AM244" i="17" s="1"/>
  <c r="AJ244" i="10"/>
  <c r="AJ244" i="17" s="1"/>
  <c r="AG244" i="10"/>
  <c r="AG244" i="17" s="1"/>
  <c r="AD244" i="10"/>
  <c r="AD244" i="17" s="1"/>
  <c r="AA244" i="10"/>
  <c r="AA244" i="17" s="1"/>
  <c r="X244" i="10"/>
  <c r="X244" i="17" s="1"/>
  <c r="U244" i="10"/>
  <c r="U244" i="17" s="1"/>
  <c r="R244" i="10"/>
  <c r="R244" i="17" s="1"/>
  <c r="O244" i="10"/>
  <c r="O244" i="17" s="1"/>
  <c r="L244" i="10"/>
  <c r="L244" i="17" s="1"/>
  <c r="I244" i="10"/>
  <c r="I244" i="17" s="1"/>
  <c r="F244" i="10"/>
  <c r="F244" i="17" s="1"/>
  <c r="C244" i="10"/>
  <c r="C244" i="17" s="1"/>
  <c r="B244" i="10"/>
  <c r="B244" i="17" s="1"/>
  <c r="AP243" i="10"/>
  <c r="AP243" i="17" s="1"/>
  <c r="AM243" i="10"/>
  <c r="AM243" i="17" s="1"/>
  <c r="AJ243" i="10"/>
  <c r="AJ243" i="17" s="1"/>
  <c r="AG243" i="10"/>
  <c r="AG243" i="17" s="1"/>
  <c r="AD243" i="10"/>
  <c r="AD243" i="17" s="1"/>
  <c r="AA243" i="10"/>
  <c r="AA243" i="17" s="1"/>
  <c r="X243" i="10"/>
  <c r="X243" i="17" s="1"/>
  <c r="U243" i="10"/>
  <c r="U243" i="17" s="1"/>
  <c r="R243" i="10"/>
  <c r="R243" i="17" s="1"/>
  <c r="O243" i="10"/>
  <c r="O243" i="17" s="1"/>
  <c r="L243" i="10"/>
  <c r="L243" i="17" s="1"/>
  <c r="I243" i="10"/>
  <c r="I243" i="17" s="1"/>
  <c r="F243" i="10"/>
  <c r="F243" i="17" s="1"/>
  <c r="C243" i="10"/>
  <c r="C243" i="17" s="1"/>
  <c r="B243" i="10"/>
  <c r="B243" i="17" s="1"/>
  <c r="AP242" i="10"/>
  <c r="AP242" i="17" s="1"/>
  <c r="AM242" i="10"/>
  <c r="AM242" i="17" s="1"/>
  <c r="AJ242" i="10"/>
  <c r="AJ242" i="17" s="1"/>
  <c r="AG242" i="10"/>
  <c r="AG242" i="17" s="1"/>
  <c r="AD242" i="10"/>
  <c r="AD242" i="17" s="1"/>
  <c r="AA242" i="10"/>
  <c r="AA242" i="17" s="1"/>
  <c r="X242" i="10"/>
  <c r="X242" i="17" s="1"/>
  <c r="U242" i="10"/>
  <c r="U242" i="17" s="1"/>
  <c r="R242" i="10"/>
  <c r="R242" i="17" s="1"/>
  <c r="O242" i="10"/>
  <c r="O242" i="17" s="1"/>
  <c r="L242" i="10"/>
  <c r="L242" i="17" s="1"/>
  <c r="I242" i="10"/>
  <c r="I242" i="17" s="1"/>
  <c r="F242" i="10"/>
  <c r="F242" i="17" s="1"/>
  <c r="C242" i="10"/>
  <c r="C242" i="17" s="1"/>
  <c r="B242" i="10"/>
  <c r="B242" i="17" s="1"/>
  <c r="AP241" i="10"/>
  <c r="AP241" i="17" s="1"/>
  <c r="AM241" i="10"/>
  <c r="AM241" i="17" s="1"/>
  <c r="AJ241" i="10"/>
  <c r="AJ241" i="17" s="1"/>
  <c r="AG241" i="10"/>
  <c r="AG241" i="17" s="1"/>
  <c r="AD241" i="10"/>
  <c r="AD241" i="17" s="1"/>
  <c r="AA241" i="10"/>
  <c r="AA241" i="17" s="1"/>
  <c r="X241" i="10"/>
  <c r="X241" i="17" s="1"/>
  <c r="U241" i="10"/>
  <c r="U241" i="17" s="1"/>
  <c r="R241" i="10"/>
  <c r="R241" i="17" s="1"/>
  <c r="O241" i="10"/>
  <c r="O241" i="17" s="1"/>
  <c r="L241" i="10"/>
  <c r="L241" i="17" s="1"/>
  <c r="I241" i="10"/>
  <c r="I241" i="17" s="1"/>
  <c r="F241" i="10"/>
  <c r="F241" i="17" s="1"/>
  <c r="C241" i="10"/>
  <c r="C241" i="17" s="1"/>
  <c r="B241" i="10"/>
  <c r="B241" i="17" s="1"/>
  <c r="AP240" i="10"/>
  <c r="AP240" i="17" s="1"/>
  <c r="AM240" i="10"/>
  <c r="AM240" i="17" s="1"/>
  <c r="AJ240" i="10"/>
  <c r="AJ240" i="17" s="1"/>
  <c r="AG240" i="10"/>
  <c r="AG240" i="17" s="1"/>
  <c r="AD240" i="10"/>
  <c r="AD240" i="17" s="1"/>
  <c r="AA240" i="10"/>
  <c r="AA240" i="17" s="1"/>
  <c r="X240" i="10"/>
  <c r="X240" i="17" s="1"/>
  <c r="U240" i="10"/>
  <c r="U240" i="17" s="1"/>
  <c r="R240" i="10"/>
  <c r="R240" i="17" s="1"/>
  <c r="O240" i="10"/>
  <c r="O240" i="17" s="1"/>
  <c r="L240" i="10"/>
  <c r="L240" i="17" s="1"/>
  <c r="I240" i="10"/>
  <c r="I240" i="17" s="1"/>
  <c r="F240" i="10"/>
  <c r="F240" i="17" s="1"/>
  <c r="C240" i="10"/>
  <c r="C240" i="17" s="1"/>
  <c r="B240" i="10"/>
  <c r="B240" i="17" s="1"/>
  <c r="AP239" i="10"/>
  <c r="AP239" i="17" s="1"/>
  <c r="AM239" i="10"/>
  <c r="AM239" i="17" s="1"/>
  <c r="AJ239" i="10"/>
  <c r="AJ239" i="17" s="1"/>
  <c r="AG239" i="10"/>
  <c r="AG239" i="17" s="1"/>
  <c r="AD239" i="10"/>
  <c r="AD239" i="17" s="1"/>
  <c r="AA239" i="10"/>
  <c r="AA239" i="17" s="1"/>
  <c r="X239" i="10"/>
  <c r="X239" i="17" s="1"/>
  <c r="U239" i="10"/>
  <c r="U239" i="17" s="1"/>
  <c r="R239" i="10"/>
  <c r="R239" i="17" s="1"/>
  <c r="O239" i="10"/>
  <c r="O239" i="17" s="1"/>
  <c r="L239" i="10"/>
  <c r="L239" i="17" s="1"/>
  <c r="I239" i="10"/>
  <c r="I239" i="17" s="1"/>
  <c r="F239" i="10"/>
  <c r="F239" i="17" s="1"/>
  <c r="C239" i="10"/>
  <c r="C239" i="17" s="1"/>
  <c r="B239" i="10"/>
  <c r="B239" i="17" s="1"/>
  <c r="AP238" i="10"/>
  <c r="AP238" i="17" s="1"/>
  <c r="AM238" i="10"/>
  <c r="AM238" i="17" s="1"/>
  <c r="AJ238" i="10"/>
  <c r="AJ238" i="17" s="1"/>
  <c r="AG238" i="10"/>
  <c r="AG238" i="17" s="1"/>
  <c r="AD238" i="10"/>
  <c r="AD238" i="17" s="1"/>
  <c r="AA238" i="10"/>
  <c r="AA238" i="17" s="1"/>
  <c r="X238" i="10"/>
  <c r="X238" i="17" s="1"/>
  <c r="U238" i="10"/>
  <c r="U238" i="17" s="1"/>
  <c r="R238" i="10"/>
  <c r="R238" i="17" s="1"/>
  <c r="O238" i="10"/>
  <c r="O238" i="17" s="1"/>
  <c r="L238" i="10"/>
  <c r="L238" i="17" s="1"/>
  <c r="I238" i="10"/>
  <c r="I238" i="17" s="1"/>
  <c r="F238" i="10"/>
  <c r="F238" i="17" s="1"/>
  <c r="C238" i="10"/>
  <c r="C238" i="17" s="1"/>
  <c r="B238" i="10"/>
  <c r="B238" i="17" s="1"/>
  <c r="AP237" i="10"/>
  <c r="AP237" i="17" s="1"/>
  <c r="AM237" i="10"/>
  <c r="AM237" i="17" s="1"/>
  <c r="AJ237" i="10"/>
  <c r="AJ237" i="17" s="1"/>
  <c r="AG237" i="10"/>
  <c r="AG237" i="17" s="1"/>
  <c r="AD237" i="10"/>
  <c r="AD237" i="17" s="1"/>
  <c r="AA237" i="10"/>
  <c r="AA237" i="17" s="1"/>
  <c r="X237" i="10"/>
  <c r="X237" i="17" s="1"/>
  <c r="U237" i="10"/>
  <c r="U237" i="17" s="1"/>
  <c r="R237" i="10"/>
  <c r="R237" i="17" s="1"/>
  <c r="O237" i="10"/>
  <c r="O237" i="17" s="1"/>
  <c r="L237" i="10"/>
  <c r="L237" i="17" s="1"/>
  <c r="I237" i="10"/>
  <c r="I237" i="17" s="1"/>
  <c r="F237" i="10"/>
  <c r="F237" i="17" s="1"/>
  <c r="C237" i="10"/>
  <c r="C237" i="17" s="1"/>
  <c r="B237" i="10"/>
  <c r="B237" i="17" s="1"/>
  <c r="AP236" i="10"/>
  <c r="AP236" i="17" s="1"/>
  <c r="AM236" i="10"/>
  <c r="AM236" i="17" s="1"/>
  <c r="AJ236" i="10"/>
  <c r="AJ236" i="17" s="1"/>
  <c r="AG236" i="10"/>
  <c r="AG236" i="17" s="1"/>
  <c r="AD236" i="10"/>
  <c r="AD236" i="17" s="1"/>
  <c r="AA236" i="10"/>
  <c r="AA236" i="17" s="1"/>
  <c r="X236" i="10"/>
  <c r="X236" i="17" s="1"/>
  <c r="U236" i="10"/>
  <c r="U236" i="17" s="1"/>
  <c r="R236" i="10"/>
  <c r="R236" i="17" s="1"/>
  <c r="O236" i="10"/>
  <c r="O236" i="17" s="1"/>
  <c r="L236" i="10"/>
  <c r="L236" i="17" s="1"/>
  <c r="I236" i="10"/>
  <c r="I236" i="17" s="1"/>
  <c r="F236" i="10"/>
  <c r="F236" i="17" s="1"/>
  <c r="C236" i="10"/>
  <c r="C236" i="17" s="1"/>
  <c r="B236" i="10"/>
  <c r="B236" i="17" s="1"/>
  <c r="AP235" i="10"/>
  <c r="AP235" i="17" s="1"/>
  <c r="AM235" i="10"/>
  <c r="AM235" i="17" s="1"/>
  <c r="AJ235" i="10"/>
  <c r="AJ235" i="17" s="1"/>
  <c r="AG235" i="10"/>
  <c r="AG235" i="17" s="1"/>
  <c r="AD235" i="10"/>
  <c r="AD235" i="17" s="1"/>
  <c r="AA235" i="10"/>
  <c r="AA235" i="17" s="1"/>
  <c r="X235" i="10"/>
  <c r="X235" i="17" s="1"/>
  <c r="U235" i="10"/>
  <c r="U235" i="17" s="1"/>
  <c r="R235" i="10"/>
  <c r="R235" i="17" s="1"/>
  <c r="O235" i="10"/>
  <c r="O235" i="17" s="1"/>
  <c r="L235" i="10"/>
  <c r="L235" i="17" s="1"/>
  <c r="I235" i="10"/>
  <c r="I235" i="17" s="1"/>
  <c r="F235" i="10"/>
  <c r="F235" i="17" s="1"/>
  <c r="C235" i="10"/>
  <c r="C235" i="17" s="1"/>
  <c r="B235" i="10"/>
  <c r="B235" i="17" s="1"/>
  <c r="AP234" i="10"/>
  <c r="AP234" i="17" s="1"/>
  <c r="AM234" i="10"/>
  <c r="AM234" i="17" s="1"/>
  <c r="AJ234" i="10"/>
  <c r="AJ234" i="17" s="1"/>
  <c r="AG234" i="10"/>
  <c r="AG234" i="17" s="1"/>
  <c r="AD234" i="10"/>
  <c r="AD234" i="17" s="1"/>
  <c r="AA234" i="10"/>
  <c r="AA234" i="17" s="1"/>
  <c r="X234" i="10"/>
  <c r="X234" i="17" s="1"/>
  <c r="U234" i="10"/>
  <c r="U234" i="17" s="1"/>
  <c r="R234" i="10"/>
  <c r="R234" i="17" s="1"/>
  <c r="O234" i="10"/>
  <c r="O234" i="17" s="1"/>
  <c r="L234" i="10"/>
  <c r="L234" i="17" s="1"/>
  <c r="I234" i="10"/>
  <c r="I234" i="17" s="1"/>
  <c r="F234" i="10"/>
  <c r="F234" i="17" s="1"/>
  <c r="C234" i="10"/>
  <c r="C234" i="17" s="1"/>
  <c r="B234" i="10"/>
  <c r="B234" i="17" s="1"/>
  <c r="AP233" i="10"/>
  <c r="AP233" i="17" s="1"/>
  <c r="AM233" i="10"/>
  <c r="AM233" i="17" s="1"/>
  <c r="AJ233" i="10"/>
  <c r="AJ233" i="17" s="1"/>
  <c r="AG233" i="10"/>
  <c r="AG233" i="17" s="1"/>
  <c r="AD233" i="10"/>
  <c r="AD233" i="17" s="1"/>
  <c r="AA233" i="10"/>
  <c r="AA233" i="17" s="1"/>
  <c r="X233" i="10"/>
  <c r="X233" i="17" s="1"/>
  <c r="U233" i="10"/>
  <c r="U233" i="17" s="1"/>
  <c r="R233" i="10"/>
  <c r="R233" i="17" s="1"/>
  <c r="O233" i="10"/>
  <c r="O233" i="17" s="1"/>
  <c r="L233" i="10"/>
  <c r="L233" i="17" s="1"/>
  <c r="I233" i="10"/>
  <c r="I233" i="17" s="1"/>
  <c r="F233" i="10"/>
  <c r="F233" i="17" s="1"/>
  <c r="C233" i="10"/>
  <c r="C233" i="17" s="1"/>
  <c r="B233" i="10"/>
  <c r="B233" i="17" s="1"/>
  <c r="AP232" i="10"/>
  <c r="AP232" i="17" s="1"/>
  <c r="AM232" i="10"/>
  <c r="AM232" i="17" s="1"/>
  <c r="AJ232" i="10"/>
  <c r="AJ232" i="17" s="1"/>
  <c r="AG232" i="10"/>
  <c r="AG232" i="17" s="1"/>
  <c r="AD232" i="10"/>
  <c r="AD232" i="17" s="1"/>
  <c r="AA232" i="10"/>
  <c r="AA232" i="17" s="1"/>
  <c r="X232" i="10"/>
  <c r="X232" i="17" s="1"/>
  <c r="U232" i="10"/>
  <c r="U232" i="17" s="1"/>
  <c r="R232" i="10"/>
  <c r="R232" i="17" s="1"/>
  <c r="O232" i="10"/>
  <c r="O232" i="17" s="1"/>
  <c r="L232" i="10"/>
  <c r="L232" i="17" s="1"/>
  <c r="I232" i="10"/>
  <c r="I232" i="17" s="1"/>
  <c r="F232" i="10"/>
  <c r="F232" i="17" s="1"/>
  <c r="C232" i="10"/>
  <c r="C232" i="17" s="1"/>
  <c r="B232" i="10"/>
  <c r="B232" i="17" s="1"/>
  <c r="AP231" i="10"/>
  <c r="AP231" i="17" s="1"/>
  <c r="AM231" i="10"/>
  <c r="AM231" i="17" s="1"/>
  <c r="AJ231" i="10"/>
  <c r="AJ231" i="17" s="1"/>
  <c r="AG231" i="10"/>
  <c r="AG231" i="17" s="1"/>
  <c r="AD231" i="10"/>
  <c r="AD231" i="17" s="1"/>
  <c r="AA231" i="10"/>
  <c r="AA231" i="17" s="1"/>
  <c r="X231" i="10"/>
  <c r="X231" i="17" s="1"/>
  <c r="U231" i="10"/>
  <c r="U231" i="17" s="1"/>
  <c r="R231" i="10"/>
  <c r="R231" i="17" s="1"/>
  <c r="O231" i="10"/>
  <c r="O231" i="17" s="1"/>
  <c r="L231" i="10"/>
  <c r="L231" i="17" s="1"/>
  <c r="I231" i="10"/>
  <c r="I231" i="17" s="1"/>
  <c r="F231" i="10"/>
  <c r="F231" i="17" s="1"/>
  <c r="C231" i="10"/>
  <c r="C231" i="17" s="1"/>
  <c r="B231" i="10"/>
  <c r="B231" i="17" s="1"/>
  <c r="AP230" i="10"/>
  <c r="AP230" i="17" s="1"/>
  <c r="AM230" i="10"/>
  <c r="AM230" i="17" s="1"/>
  <c r="AJ230" i="10"/>
  <c r="AJ230" i="17" s="1"/>
  <c r="AG230" i="10"/>
  <c r="AG230" i="17" s="1"/>
  <c r="AD230" i="10"/>
  <c r="AD230" i="17" s="1"/>
  <c r="AA230" i="10"/>
  <c r="AA230" i="17" s="1"/>
  <c r="X230" i="10"/>
  <c r="X230" i="17" s="1"/>
  <c r="U230" i="10"/>
  <c r="U230" i="17" s="1"/>
  <c r="R230" i="10"/>
  <c r="R230" i="17" s="1"/>
  <c r="O230" i="10"/>
  <c r="O230" i="17" s="1"/>
  <c r="L230" i="10"/>
  <c r="L230" i="17" s="1"/>
  <c r="I230" i="10"/>
  <c r="I230" i="17" s="1"/>
  <c r="F230" i="10"/>
  <c r="F230" i="17" s="1"/>
  <c r="C230" i="10"/>
  <c r="C230" i="17" s="1"/>
  <c r="B230" i="10"/>
  <c r="B230" i="17" s="1"/>
  <c r="AP229" i="10"/>
  <c r="AP229" i="17" s="1"/>
  <c r="AM229" i="10"/>
  <c r="AM229" i="17" s="1"/>
  <c r="AJ229" i="10"/>
  <c r="AJ229" i="17" s="1"/>
  <c r="AG229" i="10"/>
  <c r="AG229" i="17" s="1"/>
  <c r="AD229" i="10"/>
  <c r="AD229" i="17" s="1"/>
  <c r="AA229" i="10"/>
  <c r="AA229" i="17" s="1"/>
  <c r="X229" i="10"/>
  <c r="X229" i="17" s="1"/>
  <c r="U229" i="10"/>
  <c r="U229" i="17" s="1"/>
  <c r="R229" i="10"/>
  <c r="R229" i="17" s="1"/>
  <c r="O229" i="10"/>
  <c r="O229" i="17" s="1"/>
  <c r="L229" i="10"/>
  <c r="L229" i="17" s="1"/>
  <c r="I229" i="10"/>
  <c r="I229" i="17" s="1"/>
  <c r="F229" i="10"/>
  <c r="F229" i="17" s="1"/>
  <c r="C229" i="10"/>
  <c r="C229" i="17" s="1"/>
  <c r="B229" i="10"/>
  <c r="B229" i="17" s="1"/>
  <c r="AP228" i="10"/>
  <c r="AP228" i="17" s="1"/>
  <c r="AM228" i="10"/>
  <c r="AM228" i="17" s="1"/>
  <c r="AJ228" i="10"/>
  <c r="AJ228" i="17" s="1"/>
  <c r="AG228" i="10"/>
  <c r="AG228" i="17" s="1"/>
  <c r="AD228" i="10"/>
  <c r="AD228" i="17" s="1"/>
  <c r="AA228" i="10"/>
  <c r="AA228" i="17" s="1"/>
  <c r="X228" i="10"/>
  <c r="X228" i="17" s="1"/>
  <c r="U228" i="10"/>
  <c r="U228" i="17" s="1"/>
  <c r="R228" i="10"/>
  <c r="R228" i="17" s="1"/>
  <c r="O228" i="10"/>
  <c r="O228" i="17" s="1"/>
  <c r="L228" i="10"/>
  <c r="L228" i="17" s="1"/>
  <c r="I228" i="10"/>
  <c r="I228" i="17" s="1"/>
  <c r="F228" i="10"/>
  <c r="F228" i="17" s="1"/>
  <c r="C228" i="10"/>
  <c r="C228" i="17" s="1"/>
  <c r="B228" i="10"/>
  <c r="B228" i="17" s="1"/>
  <c r="AP227" i="10"/>
  <c r="AP227" i="17" s="1"/>
  <c r="AM227" i="10"/>
  <c r="AM227" i="17" s="1"/>
  <c r="AJ227" i="10"/>
  <c r="AJ227" i="17" s="1"/>
  <c r="AG227" i="10"/>
  <c r="AG227" i="17" s="1"/>
  <c r="AD227" i="10"/>
  <c r="AD227" i="17" s="1"/>
  <c r="AA227" i="10"/>
  <c r="AA227" i="17" s="1"/>
  <c r="X227" i="10"/>
  <c r="X227" i="17" s="1"/>
  <c r="U227" i="10"/>
  <c r="U227" i="17" s="1"/>
  <c r="R227" i="10"/>
  <c r="R227" i="17" s="1"/>
  <c r="O227" i="10"/>
  <c r="O227" i="17" s="1"/>
  <c r="L227" i="10"/>
  <c r="L227" i="17" s="1"/>
  <c r="I227" i="10"/>
  <c r="I227" i="17" s="1"/>
  <c r="F227" i="10"/>
  <c r="F227" i="17" s="1"/>
  <c r="C227" i="10"/>
  <c r="C227" i="17" s="1"/>
  <c r="B227" i="10"/>
  <c r="B227" i="17" s="1"/>
  <c r="AP226" i="10"/>
  <c r="AP226" i="17" s="1"/>
  <c r="AM226" i="10"/>
  <c r="AM226" i="17" s="1"/>
  <c r="AJ226" i="10"/>
  <c r="AJ226" i="17" s="1"/>
  <c r="AG226" i="10"/>
  <c r="AG226" i="17" s="1"/>
  <c r="AD226" i="10"/>
  <c r="AD226" i="17" s="1"/>
  <c r="AA226" i="10"/>
  <c r="AA226" i="17" s="1"/>
  <c r="X226" i="10"/>
  <c r="X226" i="17" s="1"/>
  <c r="U226" i="10"/>
  <c r="U226" i="17" s="1"/>
  <c r="R226" i="10"/>
  <c r="R226" i="17" s="1"/>
  <c r="O226" i="10"/>
  <c r="O226" i="17" s="1"/>
  <c r="L226" i="10"/>
  <c r="L226" i="17" s="1"/>
  <c r="I226" i="10"/>
  <c r="I226" i="17" s="1"/>
  <c r="F226" i="10"/>
  <c r="F226" i="17" s="1"/>
  <c r="C226" i="10"/>
  <c r="C226" i="17" s="1"/>
  <c r="B226" i="10"/>
  <c r="B226" i="17" s="1"/>
  <c r="AP225" i="10"/>
  <c r="AP225" i="17" s="1"/>
  <c r="AM225" i="10"/>
  <c r="AM225" i="17" s="1"/>
  <c r="AJ225" i="10"/>
  <c r="AJ225" i="17" s="1"/>
  <c r="AG225" i="10"/>
  <c r="AG225" i="17" s="1"/>
  <c r="AD225" i="10"/>
  <c r="AD225" i="17" s="1"/>
  <c r="AA225" i="10"/>
  <c r="AA225" i="17" s="1"/>
  <c r="X225" i="10"/>
  <c r="X225" i="17" s="1"/>
  <c r="U225" i="10"/>
  <c r="U225" i="17" s="1"/>
  <c r="R225" i="10"/>
  <c r="R225" i="17" s="1"/>
  <c r="O225" i="10"/>
  <c r="O225" i="17" s="1"/>
  <c r="L225" i="10"/>
  <c r="L225" i="17" s="1"/>
  <c r="I225" i="10"/>
  <c r="I225" i="17" s="1"/>
  <c r="F225" i="10"/>
  <c r="F225" i="17" s="1"/>
  <c r="C225" i="10"/>
  <c r="C225" i="17" s="1"/>
  <c r="B225" i="10"/>
  <c r="B225" i="17" s="1"/>
  <c r="AP224" i="10"/>
  <c r="AP224" i="17" s="1"/>
  <c r="AM224" i="10"/>
  <c r="AM224" i="17" s="1"/>
  <c r="AJ224" i="10"/>
  <c r="AJ224" i="17" s="1"/>
  <c r="AG224" i="10"/>
  <c r="AG224" i="17" s="1"/>
  <c r="AD224" i="10"/>
  <c r="AD224" i="17" s="1"/>
  <c r="AA224" i="10"/>
  <c r="AA224" i="17" s="1"/>
  <c r="X224" i="10"/>
  <c r="X224" i="17" s="1"/>
  <c r="U224" i="10"/>
  <c r="U224" i="17" s="1"/>
  <c r="R224" i="10"/>
  <c r="R224" i="17" s="1"/>
  <c r="O224" i="10"/>
  <c r="O224" i="17" s="1"/>
  <c r="L224" i="10"/>
  <c r="L224" i="17" s="1"/>
  <c r="I224" i="10"/>
  <c r="I224" i="17" s="1"/>
  <c r="F224" i="10"/>
  <c r="F224" i="17" s="1"/>
  <c r="C224" i="10"/>
  <c r="C224" i="17" s="1"/>
  <c r="B224" i="10"/>
  <c r="B224" i="17" s="1"/>
  <c r="AP223" i="10"/>
  <c r="AP223" i="17" s="1"/>
  <c r="AM223" i="10"/>
  <c r="AM223" i="17" s="1"/>
  <c r="AJ223" i="10"/>
  <c r="AJ223" i="17" s="1"/>
  <c r="AG223" i="10"/>
  <c r="AG223" i="17" s="1"/>
  <c r="AD223" i="10"/>
  <c r="AD223" i="17" s="1"/>
  <c r="AA223" i="10"/>
  <c r="AA223" i="17" s="1"/>
  <c r="X223" i="10"/>
  <c r="X223" i="17" s="1"/>
  <c r="U223" i="10"/>
  <c r="U223" i="17" s="1"/>
  <c r="R223" i="10"/>
  <c r="R223" i="17" s="1"/>
  <c r="O223" i="10"/>
  <c r="O223" i="17" s="1"/>
  <c r="L223" i="10"/>
  <c r="L223" i="17" s="1"/>
  <c r="I223" i="10"/>
  <c r="I223" i="17" s="1"/>
  <c r="F223" i="10"/>
  <c r="F223" i="17" s="1"/>
  <c r="C223" i="10"/>
  <c r="C223" i="17" s="1"/>
  <c r="B223" i="10"/>
  <c r="B223" i="17" s="1"/>
  <c r="AP222" i="10"/>
  <c r="AP222" i="17" s="1"/>
  <c r="AM222" i="10"/>
  <c r="AM222" i="17" s="1"/>
  <c r="AJ222" i="10"/>
  <c r="AJ222" i="17" s="1"/>
  <c r="AG222" i="10"/>
  <c r="AG222" i="17" s="1"/>
  <c r="AD222" i="10"/>
  <c r="AD222" i="17" s="1"/>
  <c r="AA222" i="10"/>
  <c r="AA222" i="17" s="1"/>
  <c r="X222" i="10"/>
  <c r="X222" i="17" s="1"/>
  <c r="U222" i="10"/>
  <c r="U222" i="17" s="1"/>
  <c r="R222" i="10"/>
  <c r="R222" i="17" s="1"/>
  <c r="O222" i="10"/>
  <c r="O222" i="17" s="1"/>
  <c r="L222" i="10"/>
  <c r="L222" i="17" s="1"/>
  <c r="I222" i="10"/>
  <c r="I222" i="17" s="1"/>
  <c r="F222" i="10"/>
  <c r="F222" i="17" s="1"/>
  <c r="C222" i="10"/>
  <c r="C222" i="17" s="1"/>
  <c r="B222" i="10"/>
  <c r="B222" i="17" s="1"/>
  <c r="AP221" i="10"/>
  <c r="AP221" i="17" s="1"/>
  <c r="AM221" i="10"/>
  <c r="AM221" i="17" s="1"/>
  <c r="AJ221" i="10"/>
  <c r="AJ221" i="17" s="1"/>
  <c r="AG221" i="10"/>
  <c r="AG221" i="17" s="1"/>
  <c r="AD221" i="10"/>
  <c r="AD221" i="17" s="1"/>
  <c r="AA221" i="10"/>
  <c r="AA221" i="17" s="1"/>
  <c r="X221" i="10"/>
  <c r="X221" i="17" s="1"/>
  <c r="U221" i="10"/>
  <c r="U221" i="17" s="1"/>
  <c r="R221" i="10"/>
  <c r="R221" i="17" s="1"/>
  <c r="O221" i="10"/>
  <c r="O221" i="17" s="1"/>
  <c r="L221" i="10"/>
  <c r="L221" i="17" s="1"/>
  <c r="I221" i="10"/>
  <c r="I221" i="17" s="1"/>
  <c r="F221" i="10"/>
  <c r="F221" i="17" s="1"/>
  <c r="C221" i="10"/>
  <c r="C221" i="17" s="1"/>
  <c r="B221" i="10"/>
  <c r="B221" i="17" s="1"/>
  <c r="AP220" i="10"/>
  <c r="AP220" i="17" s="1"/>
  <c r="AM220" i="10"/>
  <c r="AM220" i="17" s="1"/>
  <c r="AJ220" i="10"/>
  <c r="AJ220" i="17" s="1"/>
  <c r="AG220" i="10"/>
  <c r="AG220" i="17" s="1"/>
  <c r="AD220" i="10"/>
  <c r="AD220" i="17" s="1"/>
  <c r="AA220" i="10"/>
  <c r="AA220" i="17" s="1"/>
  <c r="X220" i="10"/>
  <c r="X220" i="17" s="1"/>
  <c r="U220" i="10"/>
  <c r="U220" i="17" s="1"/>
  <c r="R220" i="10"/>
  <c r="R220" i="17" s="1"/>
  <c r="O220" i="10"/>
  <c r="O220" i="17" s="1"/>
  <c r="L220" i="10"/>
  <c r="L220" i="17" s="1"/>
  <c r="I220" i="10"/>
  <c r="I220" i="17" s="1"/>
  <c r="F220" i="10"/>
  <c r="F220" i="17" s="1"/>
  <c r="C220" i="10"/>
  <c r="C220" i="17" s="1"/>
  <c r="B220" i="10"/>
  <c r="B220" i="17" s="1"/>
  <c r="AP219" i="10"/>
  <c r="AP219" i="17" s="1"/>
  <c r="AM219" i="10"/>
  <c r="AM219" i="17" s="1"/>
  <c r="AJ219" i="10"/>
  <c r="AJ219" i="17" s="1"/>
  <c r="AG219" i="10"/>
  <c r="AG219" i="17" s="1"/>
  <c r="AD219" i="10"/>
  <c r="AD219" i="17" s="1"/>
  <c r="AA219" i="10"/>
  <c r="AA219" i="17" s="1"/>
  <c r="X219" i="10"/>
  <c r="X219" i="17" s="1"/>
  <c r="U219" i="10"/>
  <c r="U219" i="17" s="1"/>
  <c r="R219" i="10"/>
  <c r="R219" i="17" s="1"/>
  <c r="O219" i="10"/>
  <c r="O219" i="17" s="1"/>
  <c r="L219" i="10"/>
  <c r="L219" i="17" s="1"/>
  <c r="I219" i="10"/>
  <c r="I219" i="17" s="1"/>
  <c r="F219" i="10"/>
  <c r="F219" i="17" s="1"/>
  <c r="C219" i="10"/>
  <c r="C219" i="17" s="1"/>
  <c r="B219" i="10"/>
  <c r="B219" i="17" s="1"/>
  <c r="AP218" i="10"/>
  <c r="AP218" i="17" s="1"/>
  <c r="AM218" i="10"/>
  <c r="AM218" i="17" s="1"/>
  <c r="AJ218" i="10"/>
  <c r="AJ218" i="17" s="1"/>
  <c r="AG218" i="10"/>
  <c r="AG218" i="17" s="1"/>
  <c r="AD218" i="10"/>
  <c r="AD218" i="17" s="1"/>
  <c r="AA218" i="10"/>
  <c r="AA218" i="17" s="1"/>
  <c r="X218" i="10"/>
  <c r="X218" i="17" s="1"/>
  <c r="U218" i="10"/>
  <c r="U218" i="17" s="1"/>
  <c r="R218" i="10"/>
  <c r="R218" i="17" s="1"/>
  <c r="O218" i="10"/>
  <c r="O218" i="17" s="1"/>
  <c r="L218" i="10"/>
  <c r="L218" i="17" s="1"/>
  <c r="I218" i="10"/>
  <c r="I218" i="17" s="1"/>
  <c r="F218" i="10"/>
  <c r="F218" i="17" s="1"/>
  <c r="C218" i="10"/>
  <c r="C218" i="17" s="1"/>
  <c r="B218" i="10"/>
  <c r="B218" i="17" s="1"/>
  <c r="AP217" i="10"/>
  <c r="AP217" i="17" s="1"/>
  <c r="AM217" i="10"/>
  <c r="AM217" i="17" s="1"/>
  <c r="AJ217" i="10"/>
  <c r="AJ217" i="17" s="1"/>
  <c r="AG217" i="10"/>
  <c r="AG217" i="17" s="1"/>
  <c r="AD217" i="10"/>
  <c r="AD217" i="17" s="1"/>
  <c r="AA217" i="10"/>
  <c r="AA217" i="17" s="1"/>
  <c r="X217" i="10"/>
  <c r="X217" i="17" s="1"/>
  <c r="U217" i="10"/>
  <c r="U217" i="17" s="1"/>
  <c r="R217" i="10"/>
  <c r="R217" i="17" s="1"/>
  <c r="O217" i="10"/>
  <c r="O217" i="17" s="1"/>
  <c r="L217" i="10"/>
  <c r="L217" i="17" s="1"/>
  <c r="I217" i="10"/>
  <c r="I217" i="17" s="1"/>
  <c r="F217" i="10"/>
  <c r="F217" i="17" s="1"/>
  <c r="C217" i="10"/>
  <c r="C217" i="17" s="1"/>
  <c r="B217" i="10"/>
  <c r="B217" i="17" s="1"/>
  <c r="AP216" i="10"/>
  <c r="AP216" i="17" s="1"/>
  <c r="AM216" i="10"/>
  <c r="AM216" i="17" s="1"/>
  <c r="AJ216" i="10"/>
  <c r="AJ216" i="17" s="1"/>
  <c r="AG216" i="10"/>
  <c r="AG216" i="17" s="1"/>
  <c r="AD216" i="10"/>
  <c r="AD216" i="17" s="1"/>
  <c r="AA216" i="10"/>
  <c r="AA216" i="17" s="1"/>
  <c r="X216" i="10"/>
  <c r="X216" i="17" s="1"/>
  <c r="U216" i="10"/>
  <c r="U216" i="17" s="1"/>
  <c r="R216" i="10"/>
  <c r="R216" i="17" s="1"/>
  <c r="O216" i="10"/>
  <c r="O216" i="17" s="1"/>
  <c r="L216" i="10"/>
  <c r="L216" i="17" s="1"/>
  <c r="I216" i="10"/>
  <c r="I216" i="17" s="1"/>
  <c r="F216" i="10"/>
  <c r="F216" i="17" s="1"/>
  <c r="C216" i="10"/>
  <c r="C216" i="17" s="1"/>
  <c r="B216" i="10"/>
  <c r="B216" i="17" s="1"/>
  <c r="AP215" i="10"/>
  <c r="AP215" i="17" s="1"/>
  <c r="AM215" i="10"/>
  <c r="AM215" i="17" s="1"/>
  <c r="AJ215" i="10"/>
  <c r="AJ215" i="17" s="1"/>
  <c r="AG215" i="10"/>
  <c r="AG215" i="17" s="1"/>
  <c r="AD215" i="10"/>
  <c r="AD215" i="17" s="1"/>
  <c r="AA215" i="10"/>
  <c r="AA215" i="17" s="1"/>
  <c r="X215" i="10"/>
  <c r="X215" i="17" s="1"/>
  <c r="U215" i="10"/>
  <c r="U215" i="17" s="1"/>
  <c r="R215" i="10"/>
  <c r="R215" i="17" s="1"/>
  <c r="O215" i="10"/>
  <c r="O215" i="17" s="1"/>
  <c r="L215" i="10"/>
  <c r="L215" i="17" s="1"/>
  <c r="I215" i="10"/>
  <c r="I215" i="17" s="1"/>
  <c r="F215" i="10"/>
  <c r="F215" i="17" s="1"/>
  <c r="C215" i="10"/>
  <c r="C215" i="17" s="1"/>
  <c r="B215" i="10"/>
  <c r="B215" i="17" s="1"/>
  <c r="AP214" i="10"/>
  <c r="AP214" i="17" s="1"/>
  <c r="AM214" i="10"/>
  <c r="AM214" i="17" s="1"/>
  <c r="AJ214" i="10"/>
  <c r="AJ214" i="17" s="1"/>
  <c r="AG214" i="10"/>
  <c r="AG214" i="17" s="1"/>
  <c r="AD214" i="10"/>
  <c r="AD214" i="17" s="1"/>
  <c r="AA214" i="10"/>
  <c r="AA214" i="17" s="1"/>
  <c r="X214" i="10"/>
  <c r="X214" i="17" s="1"/>
  <c r="U214" i="10"/>
  <c r="U214" i="17" s="1"/>
  <c r="R214" i="10"/>
  <c r="R214" i="17" s="1"/>
  <c r="O214" i="10"/>
  <c r="O214" i="17" s="1"/>
  <c r="L214" i="10"/>
  <c r="L214" i="17" s="1"/>
  <c r="I214" i="10"/>
  <c r="I214" i="17" s="1"/>
  <c r="F214" i="10"/>
  <c r="F214" i="17" s="1"/>
  <c r="C214" i="10"/>
  <c r="C214" i="17" s="1"/>
  <c r="B214" i="10"/>
  <c r="B214" i="17" s="1"/>
  <c r="AP213" i="10"/>
  <c r="AP213" i="17" s="1"/>
  <c r="AM213" i="10"/>
  <c r="AM213" i="17" s="1"/>
  <c r="AJ213" i="10"/>
  <c r="AJ213" i="17" s="1"/>
  <c r="AG213" i="10"/>
  <c r="AG213" i="17" s="1"/>
  <c r="AD213" i="10"/>
  <c r="AD213" i="17" s="1"/>
  <c r="AA213" i="10"/>
  <c r="AA213" i="17" s="1"/>
  <c r="X213" i="10"/>
  <c r="X213" i="17" s="1"/>
  <c r="U213" i="10"/>
  <c r="U213" i="17" s="1"/>
  <c r="R213" i="10"/>
  <c r="R213" i="17" s="1"/>
  <c r="O213" i="10"/>
  <c r="O213" i="17" s="1"/>
  <c r="L213" i="10"/>
  <c r="L213" i="17" s="1"/>
  <c r="I213" i="10"/>
  <c r="I213" i="17" s="1"/>
  <c r="F213" i="10"/>
  <c r="F213" i="17" s="1"/>
  <c r="C213" i="10"/>
  <c r="C213" i="17" s="1"/>
  <c r="B213" i="10"/>
  <c r="B213" i="17" s="1"/>
  <c r="AP212" i="10"/>
  <c r="AP212" i="17" s="1"/>
  <c r="AM212" i="10"/>
  <c r="AM212" i="17" s="1"/>
  <c r="AJ212" i="10"/>
  <c r="AJ212" i="17" s="1"/>
  <c r="AG212" i="10"/>
  <c r="AG212" i="17" s="1"/>
  <c r="AD212" i="10"/>
  <c r="AD212" i="17" s="1"/>
  <c r="AA212" i="10"/>
  <c r="AA212" i="17" s="1"/>
  <c r="X212" i="10"/>
  <c r="X212" i="17" s="1"/>
  <c r="U212" i="10"/>
  <c r="U212" i="17" s="1"/>
  <c r="R212" i="10"/>
  <c r="R212" i="17" s="1"/>
  <c r="O212" i="10"/>
  <c r="O212" i="17" s="1"/>
  <c r="L212" i="10"/>
  <c r="L212" i="17" s="1"/>
  <c r="I212" i="10"/>
  <c r="I212" i="17" s="1"/>
  <c r="F212" i="10"/>
  <c r="F212" i="17" s="1"/>
  <c r="C212" i="10"/>
  <c r="C212" i="17" s="1"/>
  <c r="B212" i="10"/>
  <c r="B212" i="17" s="1"/>
  <c r="AP211" i="10"/>
  <c r="AP211" i="17" s="1"/>
  <c r="AM211" i="10"/>
  <c r="AM211" i="17" s="1"/>
  <c r="AJ211" i="10"/>
  <c r="AJ211" i="17" s="1"/>
  <c r="AG211" i="10"/>
  <c r="AG211" i="17" s="1"/>
  <c r="AD211" i="10"/>
  <c r="AD211" i="17" s="1"/>
  <c r="AA211" i="10"/>
  <c r="AA211" i="17" s="1"/>
  <c r="X211" i="10"/>
  <c r="X211" i="17" s="1"/>
  <c r="U211" i="10"/>
  <c r="U211" i="17" s="1"/>
  <c r="R211" i="10"/>
  <c r="R211" i="17" s="1"/>
  <c r="O211" i="10"/>
  <c r="O211" i="17" s="1"/>
  <c r="L211" i="10"/>
  <c r="L211" i="17" s="1"/>
  <c r="I211" i="10"/>
  <c r="I211" i="17" s="1"/>
  <c r="F211" i="10"/>
  <c r="F211" i="17" s="1"/>
  <c r="C211" i="10"/>
  <c r="C211" i="17" s="1"/>
  <c r="B211" i="10"/>
  <c r="B211" i="17" s="1"/>
  <c r="AP210" i="10"/>
  <c r="AP210" i="17" s="1"/>
  <c r="AM210" i="10"/>
  <c r="AM210" i="17" s="1"/>
  <c r="AJ210" i="10"/>
  <c r="AJ210" i="17" s="1"/>
  <c r="AG210" i="10"/>
  <c r="AG210" i="17" s="1"/>
  <c r="AD210" i="10"/>
  <c r="AD210" i="17" s="1"/>
  <c r="AA210" i="10"/>
  <c r="AA210" i="17" s="1"/>
  <c r="X210" i="10"/>
  <c r="X210" i="17" s="1"/>
  <c r="U210" i="10"/>
  <c r="U210" i="17" s="1"/>
  <c r="R210" i="10"/>
  <c r="R210" i="17" s="1"/>
  <c r="O210" i="10"/>
  <c r="O210" i="17" s="1"/>
  <c r="L210" i="10"/>
  <c r="L210" i="17" s="1"/>
  <c r="I210" i="10"/>
  <c r="I210" i="17" s="1"/>
  <c r="F210" i="10"/>
  <c r="F210" i="17" s="1"/>
  <c r="C210" i="10"/>
  <c r="C210" i="17" s="1"/>
  <c r="B210" i="10"/>
  <c r="B210" i="17" s="1"/>
  <c r="AP209" i="10"/>
  <c r="AP209" i="17" s="1"/>
  <c r="AM209" i="10"/>
  <c r="AM209" i="17" s="1"/>
  <c r="AJ209" i="10"/>
  <c r="AJ209" i="17" s="1"/>
  <c r="AG209" i="10"/>
  <c r="AG209" i="17" s="1"/>
  <c r="AD209" i="10"/>
  <c r="AD209" i="17" s="1"/>
  <c r="AA209" i="10"/>
  <c r="AA209" i="17" s="1"/>
  <c r="X209" i="10"/>
  <c r="X209" i="17" s="1"/>
  <c r="U209" i="10"/>
  <c r="U209" i="17" s="1"/>
  <c r="R209" i="10"/>
  <c r="R209" i="17" s="1"/>
  <c r="O209" i="10"/>
  <c r="O209" i="17" s="1"/>
  <c r="L209" i="10"/>
  <c r="L209" i="17" s="1"/>
  <c r="I209" i="10"/>
  <c r="I209" i="17" s="1"/>
  <c r="F209" i="10"/>
  <c r="F209" i="17" s="1"/>
  <c r="C209" i="10"/>
  <c r="C209" i="17" s="1"/>
  <c r="B209" i="10"/>
  <c r="B209" i="17" s="1"/>
  <c r="AP208" i="10"/>
  <c r="AP208" i="17" s="1"/>
  <c r="AM208" i="10"/>
  <c r="AM208" i="17" s="1"/>
  <c r="AJ208" i="10"/>
  <c r="AJ208" i="17" s="1"/>
  <c r="AG208" i="10"/>
  <c r="AG208" i="17" s="1"/>
  <c r="AD208" i="10"/>
  <c r="AD208" i="17" s="1"/>
  <c r="AA208" i="10"/>
  <c r="AA208" i="17" s="1"/>
  <c r="X208" i="10"/>
  <c r="X208" i="17" s="1"/>
  <c r="U208" i="10"/>
  <c r="U208" i="17" s="1"/>
  <c r="R208" i="10"/>
  <c r="R208" i="17" s="1"/>
  <c r="O208" i="10"/>
  <c r="O208" i="17" s="1"/>
  <c r="L208" i="10"/>
  <c r="L208" i="17" s="1"/>
  <c r="I208" i="10"/>
  <c r="I208" i="17" s="1"/>
  <c r="F208" i="10"/>
  <c r="F208" i="17" s="1"/>
  <c r="C208" i="10"/>
  <c r="C208" i="17" s="1"/>
  <c r="B208" i="10"/>
  <c r="B208" i="17" s="1"/>
  <c r="AP207" i="10"/>
  <c r="AP207" i="17" s="1"/>
  <c r="AM207" i="10"/>
  <c r="AM207" i="17" s="1"/>
  <c r="AJ207" i="10"/>
  <c r="AJ207" i="17" s="1"/>
  <c r="AG207" i="10"/>
  <c r="AG207" i="17" s="1"/>
  <c r="AD207" i="10"/>
  <c r="AD207" i="17" s="1"/>
  <c r="AA207" i="10"/>
  <c r="AA207" i="17" s="1"/>
  <c r="X207" i="10"/>
  <c r="X207" i="17" s="1"/>
  <c r="U207" i="10"/>
  <c r="U207" i="17" s="1"/>
  <c r="R207" i="10"/>
  <c r="R207" i="17" s="1"/>
  <c r="O207" i="10"/>
  <c r="O207" i="17" s="1"/>
  <c r="L207" i="10"/>
  <c r="L207" i="17" s="1"/>
  <c r="I207" i="10"/>
  <c r="I207" i="17" s="1"/>
  <c r="F207" i="10"/>
  <c r="F207" i="17" s="1"/>
  <c r="C207" i="10"/>
  <c r="C207" i="17" s="1"/>
  <c r="B207" i="10"/>
  <c r="B207" i="17" s="1"/>
  <c r="AP206" i="10"/>
  <c r="AP206" i="17" s="1"/>
  <c r="AM206" i="10"/>
  <c r="AM206" i="17" s="1"/>
  <c r="AJ206" i="10"/>
  <c r="AJ206" i="17" s="1"/>
  <c r="AG206" i="10"/>
  <c r="AG206" i="17" s="1"/>
  <c r="AD206" i="10"/>
  <c r="AD206" i="17" s="1"/>
  <c r="AA206" i="10"/>
  <c r="AA206" i="17" s="1"/>
  <c r="X206" i="10"/>
  <c r="X206" i="17" s="1"/>
  <c r="U206" i="10"/>
  <c r="U206" i="17" s="1"/>
  <c r="R206" i="10"/>
  <c r="R206" i="17" s="1"/>
  <c r="O206" i="10"/>
  <c r="O206" i="17" s="1"/>
  <c r="L206" i="10"/>
  <c r="L206" i="17" s="1"/>
  <c r="I206" i="10"/>
  <c r="I206" i="17" s="1"/>
  <c r="F206" i="10"/>
  <c r="F206" i="17" s="1"/>
  <c r="C206" i="10"/>
  <c r="C206" i="17" s="1"/>
  <c r="B206" i="10"/>
  <c r="B206" i="17" s="1"/>
  <c r="AP205" i="10"/>
  <c r="AP205" i="17" s="1"/>
  <c r="AM205" i="10"/>
  <c r="AM205" i="17" s="1"/>
  <c r="AJ205" i="10"/>
  <c r="AJ205" i="17" s="1"/>
  <c r="AG205" i="10"/>
  <c r="AG205" i="17" s="1"/>
  <c r="AD205" i="10"/>
  <c r="AD205" i="17" s="1"/>
  <c r="AA205" i="10"/>
  <c r="AA205" i="17" s="1"/>
  <c r="X205" i="10"/>
  <c r="X205" i="17" s="1"/>
  <c r="U205" i="10"/>
  <c r="U205" i="17" s="1"/>
  <c r="R205" i="10"/>
  <c r="R205" i="17" s="1"/>
  <c r="O205" i="10"/>
  <c r="O205" i="17" s="1"/>
  <c r="L205" i="10"/>
  <c r="L205" i="17" s="1"/>
  <c r="I205" i="10"/>
  <c r="I205" i="17" s="1"/>
  <c r="F205" i="10"/>
  <c r="F205" i="17" s="1"/>
  <c r="C205" i="10"/>
  <c r="C205" i="17" s="1"/>
  <c r="B205" i="10"/>
  <c r="B205" i="17" s="1"/>
  <c r="AP204" i="10"/>
  <c r="AP204" i="17" s="1"/>
  <c r="AM204" i="10"/>
  <c r="AM204" i="17" s="1"/>
  <c r="AJ204" i="10"/>
  <c r="AJ204" i="17" s="1"/>
  <c r="AG204" i="10"/>
  <c r="AG204" i="17" s="1"/>
  <c r="AD204" i="10"/>
  <c r="AD204" i="17" s="1"/>
  <c r="AA204" i="10"/>
  <c r="AA204" i="17" s="1"/>
  <c r="X204" i="10"/>
  <c r="X204" i="17" s="1"/>
  <c r="U204" i="10"/>
  <c r="U204" i="17" s="1"/>
  <c r="R204" i="10"/>
  <c r="R204" i="17" s="1"/>
  <c r="O204" i="10"/>
  <c r="O204" i="17" s="1"/>
  <c r="L204" i="10"/>
  <c r="L204" i="17" s="1"/>
  <c r="I204" i="10"/>
  <c r="I204" i="17" s="1"/>
  <c r="F204" i="10"/>
  <c r="F204" i="17" s="1"/>
  <c r="C204" i="10"/>
  <c r="C204" i="17" s="1"/>
  <c r="B204" i="10"/>
  <c r="B204" i="17" s="1"/>
  <c r="AP203" i="10"/>
  <c r="AP203" i="17" s="1"/>
  <c r="AM203" i="10"/>
  <c r="AM203" i="17" s="1"/>
  <c r="AJ203" i="10"/>
  <c r="AJ203" i="17" s="1"/>
  <c r="AG203" i="10"/>
  <c r="AG203" i="17" s="1"/>
  <c r="AD203" i="10"/>
  <c r="AD203" i="17" s="1"/>
  <c r="AA203" i="10"/>
  <c r="AA203" i="17" s="1"/>
  <c r="X203" i="10"/>
  <c r="X203" i="17" s="1"/>
  <c r="U203" i="10"/>
  <c r="U203" i="17" s="1"/>
  <c r="R203" i="10"/>
  <c r="R203" i="17" s="1"/>
  <c r="O203" i="10"/>
  <c r="O203" i="17" s="1"/>
  <c r="L203" i="10"/>
  <c r="L203" i="17" s="1"/>
  <c r="I203" i="10"/>
  <c r="I203" i="17" s="1"/>
  <c r="F203" i="10"/>
  <c r="F203" i="17" s="1"/>
  <c r="C203" i="10"/>
  <c r="C203" i="17" s="1"/>
  <c r="B203" i="10"/>
  <c r="B203" i="17" s="1"/>
  <c r="AP202" i="10"/>
  <c r="AP202" i="17" s="1"/>
  <c r="AM202" i="10"/>
  <c r="AM202" i="17" s="1"/>
  <c r="AJ202" i="10"/>
  <c r="AJ202" i="17" s="1"/>
  <c r="AG202" i="10"/>
  <c r="AG202" i="17" s="1"/>
  <c r="AD202" i="10"/>
  <c r="AD202" i="17" s="1"/>
  <c r="AA202" i="10"/>
  <c r="AA202" i="17" s="1"/>
  <c r="X202" i="10"/>
  <c r="X202" i="17" s="1"/>
  <c r="U202" i="10"/>
  <c r="U202" i="17" s="1"/>
  <c r="R202" i="10"/>
  <c r="R202" i="17" s="1"/>
  <c r="O202" i="10"/>
  <c r="O202" i="17" s="1"/>
  <c r="L202" i="10"/>
  <c r="L202" i="17" s="1"/>
  <c r="I202" i="10"/>
  <c r="I202" i="17" s="1"/>
  <c r="F202" i="10"/>
  <c r="F202" i="17" s="1"/>
  <c r="C202" i="10"/>
  <c r="C202" i="17" s="1"/>
  <c r="B202" i="10"/>
  <c r="B202" i="17" s="1"/>
  <c r="AP201" i="10"/>
  <c r="AP201" i="17" s="1"/>
  <c r="AM201" i="10"/>
  <c r="AM201" i="17" s="1"/>
  <c r="AJ201" i="10"/>
  <c r="AJ201" i="17" s="1"/>
  <c r="AG201" i="10"/>
  <c r="AG201" i="17" s="1"/>
  <c r="AD201" i="10"/>
  <c r="AD201" i="17" s="1"/>
  <c r="AA201" i="10"/>
  <c r="AA201" i="17" s="1"/>
  <c r="X201" i="10"/>
  <c r="X201" i="17" s="1"/>
  <c r="U201" i="10"/>
  <c r="U201" i="17" s="1"/>
  <c r="R201" i="10"/>
  <c r="R201" i="17" s="1"/>
  <c r="O201" i="10"/>
  <c r="O201" i="17" s="1"/>
  <c r="L201" i="10"/>
  <c r="L201" i="17" s="1"/>
  <c r="I201" i="10"/>
  <c r="I201" i="17" s="1"/>
  <c r="F201" i="10"/>
  <c r="F201" i="17" s="1"/>
  <c r="C201" i="10"/>
  <c r="C201" i="17" s="1"/>
  <c r="B201" i="10"/>
  <c r="B201" i="17" s="1"/>
  <c r="AP200" i="10"/>
  <c r="AP200" i="17" s="1"/>
  <c r="AM200" i="10"/>
  <c r="AM200" i="17" s="1"/>
  <c r="AJ200" i="10"/>
  <c r="AJ200" i="17" s="1"/>
  <c r="AG200" i="10"/>
  <c r="AG200" i="17" s="1"/>
  <c r="AD200" i="10"/>
  <c r="AD200" i="17" s="1"/>
  <c r="AA200" i="10"/>
  <c r="AA200" i="17" s="1"/>
  <c r="X200" i="10"/>
  <c r="X200" i="17" s="1"/>
  <c r="U200" i="10"/>
  <c r="U200" i="17" s="1"/>
  <c r="R200" i="10"/>
  <c r="R200" i="17" s="1"/>
  <c r="O200" i="10"/>
  <c r="O200" i="17" s="1"/>
  <c r="L200" i="10"/>
  <c r="L200" i="17" s="1"/>
  <c r="I200" i="10"/>
  <c r="I200" i="17" s="1"/>
  <c r="F200" i="10"/>
  <c r="F200" i="17" s="1"/>
  <c r="C200" i="10"/>
  <c r="C200" i="17" s="1"/>
  <c r="B200" i="10"/>
  <c r="B200" i="17" s="1"/>
  <c r="AP199" i="10"/>
  <c r="AP199" i="17" s="1"/>
  <c r="AM199" i="10"/>
  <c r="AM199" i="17" s="1"/>
  <c r="AJ199" i="10"/>
  <c r="AJ199" i="17" s="1"/>
  <c r="AG199" i="10"/>
  <c r="AG199" i="17" s="1"/>
  <c r="AD199" i="10"/>
  <c r="AD199" i="17" s="1"/>
  <c r="AA199" i="10"/>
  <c r="AA199" i="17" s="1"/>
  <c r="X199" i="10"/>
  <c r="X199" i="17" s="1"/>
  <c r="U199" i="10"/>
  <c r="U199" i="17" s="1"/>
  <c r="R199" i="10"/>
  <c r="R199" i="17" s="1"/>
  <c r="O199" i="10"/>
  <c r="O199" i="17" s="1"/>
  <c r="L199" i="10"/>
  <c r="L199" i="17" s="1"/>
  <c r="I199" i="10"/>
  <c r="I199" i="17" s="1"/>
  <c r="F199" i="10"/>
  <c r="F199" i="17" s="1"/>
  <c r="C199" i="10"/>
  <c r="C199" i="17" s="1"/>
  <c r="B199" i="10"/>
  <c r="B199" i="17" s="1"/>
  <c r="AP198" i="10"/>
  <c r="AP198" i="17" s="1"/>
  <c r="AM198" i="10"/>
  <c r="AM198" i="17" s="1"/>
  <c r="AJ198" i="10"/>
  <c r="AJ198" i="17" s="1"/>
  <c r="AG198" i="10"/>
  <c r="AG198" i="17" s="1"/>
  <c r="AD198" i="10"/>
  <c r="AD198" i="17" s="1"/>
  <c r="AA198" i="10"/>
  <c r="AA198" i="17" s="1"/>
  <c r="X198" i="10"/>
  <c r="X198" i="17" s="1"/>
  <c r="U198" i="10"/>
  <c r="U198" i="17" s="1"/>
  <c r="R198" i="10"/>
  <c r="R198" i="17" s="1"/>
  <c r="O198" i="10"/>
  <c r="O198" i="17" s="1"/>
  <c r="L198" i="10"/>
  <c r="L198" i="17" s="1"/>
  <c r="I198" i="10"/>
  <c r="I198" i="17" s="1"/>
  <c r="F198" i="10"/>
  <c r="F198" i="17" s="1"/>
  <c r="C198" i="10"/>
  <c r="C198" i="17" s="1"/>
  <c r="B198" i="10"/>
  <c r="B198" i="17" s="1"/>
  <c r="AP197" i="10"/>
  <c r="AP197" i="17" s="1"/>
  <c r="AM197" i="10"/>
  <c r="AM197" i="17" s="1"/>
  <c r="AJ197" i="10"/>
  <c r="AJ197" i="17" s="1"/>
  <c r="AG197" i="10"/>
  <c r="AG197" i="17" s="1"/>
  <c r="AD197" i="10"/>
  <c r="AD197" i="17" s="1"/>
  <c r="AA197" i="10"/>
  <c r="AA197" i="17" s="1"/>
  <c r="X197" i="10"/>
  <c r="X197" i="17" s="1"/>
  <c r="U197" i="10"/>
  <c r="U197" i="17" s="1"/>
  <c r="R197" i="10"/>
  <c r="R197" i="17" s="1"/>
  <c r="O197" i="10"/>
  <c r="O197" i="17" s="1"/>
  <c r="L197" i="10"/>
  <c r="L197" i="17" s="1"/>
  <c r="I197" i="10"/>
  <c r="I197" i="17" s="1"/>
  <c r="F197" i="10"/>
  <c r="F197" i="17" s="1"/>
  <c r="C197" i="10"/>
  <c r="C197" i="17" s="1"/>
  <c r="B197" i="10"/>
  <c r="B197" i="17" s="1"/>
  <c r="AP196" i="10"/>
  <c r="AP196" i="17" s="1"/>
  <c r="AM196" i="10"/>
  <c r="AM196" i="17" s="1"/>
  <c r="AJ196" i="10"/>
  <c r="AJ196" i="17" s="1"/>
  <c r="AG196" i="10"/>
  <c r="AG196" i="17" s="1"/>
  <c r="AD196" i="10"/>
  <c r="AD196" i="17" s="1"/>
  <c r="AA196" i="10"/>
  <c r="AA196" i="17" s="1"/>
  <c r="X196" i="10"/>
  <c r="X196" i="17" s="1"/>
  <c r="U196" i="10"/>
  <c r="U196" i="17" s="1"/>
  <c r="R196" i="10"/>
  <c r="R196" i="17" s="1"/>
  <c r="O196" i="10"/>
  <c r="O196" i="17" s="1"/>
  <c r="L196" i="10"/>
  <c r="L196" i="17" s="1"/>
  <c r="I196" i="10"/>
  <c r="I196" i="17" s="1"/>
  <c r="F196" i="10"/>
  <c r="F196" i="17" s="1"/>
  <c r="C196" i="10"/>
  <c r="C196" i="17" s="1"/>
  <c r="B196" i="10"/>
  <c r="B196" i="17" s="1"/>
  <c r="AP195" i="10"/>
  <c r="AP195" i="17" s="1"/>
  <c r="AM195" i="10"/>
  <c r="AM195" i="17" s="1"/>
  <c r="AJ195" i="10"/>
  <c r="AJ195" i="17" s="1"/>
  <c r="AG195" i="10"/>
  <c r="AG195" i="17" s="1"/>
  <c r="AD195" i="10"/>
  <c r="AD195" i="17" s="1"/>
  <c r="AA195" i="10"/>
  <c r="AA195" i="17" s="1"/>
  <c r="X195" i="10"/>
  <c r="X195" i="17" s="1"/>
  <c r="U195" i="10"/>
  <c r="U195" i="17" s="1"/>
  <c r="R195" i="10"/>
  <c r="R195" i="17" s="1"/>
  <c r="O195" i="10"/>
  <c r="O195" i="17" s="1"/>
  <c r="L195" i="10"/>
  <c r="L195" i="17" s="1"/>
  <c r="I195" i="10"/>
  <c r="I195" i="17" s="1"/>
  <c r="F195" i="10"/>
  <c r="F195" i="17" s="1"/>
  <c r="C195" i="10"/>
  <c r="C195" i="17" s="1"/>
  <c r="B195" i="10"/>
  <c r="B195" i="17" s="1"/>
  <c r="AP194" i="10"/>
  <c r="AP194" i="17" s="1"/>
  <c r="AM194" i="10"/>
  <c r="AM194" i="17" s="1"/>
  <c r="AJ194" i="10"/>
  <c r="AJ194" i="17" s="1"/>
  <c r="AG194" i="10"/>
  <c r="AG194" i="17" s="1"/>
  <c r="AD194" i="10"/>
  <c r="AD194" i="17" s="1"/>
  <c r="AA194" i="10"/>
  <c r="AA194" i="17" s="1"/>
  <c r="X194" i="10"/>
  <c r="X194" i="17" s="1"/>
  <c r="U194" i="10"/>
  <c r="U194" i="17" s="1"/>
  <c r="R194" i="10"/>
  <c r="R194" i="17" s="1"/>
  <c r="O194" i="10"/>
  <c r="O194" i="17" s="1"/>
  <c r="L194" i="10"/>
  <c r="L194" i="17" s="1"/>
  <c r="I194" i="10"/>
  <c r="I194" i="17" s="1"/>
  <c r="F194" i="10"/>
  <c r="F194" i="17" s="1"/>
  <c r="C194" i="10"/>
  <c r="C194" i="17" s="1"/>
  <c r="B194" i="10"/>
  <c r="B194" i="17" s="1"/>
  <c r="AP193" i="10"/>
  <c r="AP193" i="17" s="1"/>
  <c r="AM193" i="10"/>
  <c r="AM193" i="17" s="1"/>
  <c r="AJ193" i="10"/>
  <c r="AJ193" i="17" s="1"/>
  <c r="AG193" i="10"/>
  <c r="AG193" i="17" s="1"/>
  <c r="AD193" i="10"/>
  <c r="AD193" i="17" s="1"/>
  <c r="AA193" i="10"/>
  <c r="AA193" i="17" s="1"/>
  <c r="X193" i="10"/>
  <c r="X193" i="17" s="1"/>
  <c r="U193" i="10"/>
  <c r="U193" i="17" s="1"/>
  <c r="R193" i="10"/>
  <c r="R193" i="17" s="1"/>
  <c r="O193" i="10"/>
  <c r="O193" i="17" s="1"/>
  <c r="L193" i="10"/>
  <c r="L193" i="17" s="1"/>
  <c r="I193" i="10"/>
  <c r="I193" i="17" s="1"/>
  <c r="F193" i="10"/>
  <c r="F193" i="17" s="1"/>
  <c r="C193" i="10"/>
  <c r="C193" i="17" s="1"/>
  <c r="B193" i="10"/>
  <c r="B193" i="17" s="1"/>
  <c r="AP192" i="10"/>
  <c r="AP192" i="17" s="1"/>
  <c r="AM192" i="10"/>
  <c r="AM192" i="17" s="1"/>
  <c r="AJ192" i="10"/>
  <c r="AJ192" i="17" s="1"/>
  <c r="AG192" i="10"/>
  <c r="AG192" i="17" s="1"/>
  <c r="AD192" i="10"/>
  <c r="AD192" i="17" s="1"/>
  <c r="AA192" i="10"/>
  <c r="AA192" i="17" s="1"/>
  <c r="X192" i="10"/>
  <c r="X192" i="17" s="1"/>
  <c r="U192" i="10"/>
  <c r="U192" i="17" s="1"/>
  <c r="R192" i="10"/>
  <c r="R192" i="17" s="1"/>
  <c r="O192" i="10"/>
  <c r="O192" i="17" s="1"/>
  <c r="L192" i="10"/>
  <c r="L192" i="17" s="1"/>
  <c r="I192" i="10"/>
  <c r="I192" i="17" s="1"/>
  <c r="F192" i="10"/>
  <c r="F192" i="17" s="1"/>
  <c r="C192" i="10"/>
  <c r="C192" i="17" s="1"/>
  <c r="B192" i="10"/>
  <c r="B192" i="17" s="1"/>
  <c r="AP191" i="10"/>
  <c r="AP191" i="17" s="1"/>
  <c r="AM191" i="10"/>
  <c r="AM191" i="17" s="1"/>
  <c r="AJ191" i="10"/>
  <c r="AJ191" i="17" s="1"/>
  <c r="AG191" i="10"/>
  <c r="AG191" i="17" s="1"/>
  <c r="AD191" i="10"/>
  <c r="AD191" i="17" s="1"/>
  <c r="AA191" i="10"/>
  <c r="AA191" i="17" s="1"/>
  <c r="X191" i="10"/>
  <c r="X191" i="17" s="1"/>
  <c r="U191" i="10"/>
  <c r="U191" i="17" s="1"/>
  <c r="R191" i="10"/>
  <c r="R191" i="17" s="1"/>
  <c r="O191" i="10"/>
  <c r="O191" i="17" s="1"/>
  <c r="L191" i="10"/>
  <c r="L191" i="17" s="1"/>
  <c r="I191" i="10"/>
  <c r="I191" i="17" s="1"/>
  <c r="F191" i="10"/>
  <c r="F191" i="17" s="1"/>
  <c r="C191" i="10"/>
  <c r="C191" i="17" s="1"/>
  <c r="B191" i="10"/>
  <c r="B191" i="17" s="1"/>
  <c r="AP190" i="10"/>
  <c r="AP190" i="17" s="1"/>
  <c r="AM190" i="10"/>
  <c r="AM190" i="17" s="1"/>
  <c r="AJ190" i="10"/>
  <c r="AJ190" i="17" s="1"/>
  <c r="AG190" i="10"/>
  <c r="AG190" i="17" s="1"/>
  <c r="AD190" i="10"/>
  <c r="AD190" i="17" s="1"/>
  <c r="AA190" i="10"/>
  <c r="AA190" i="17" s="1"/>
  <c r="X190" i="10"/>
  <c r="X190" i="17" s="1"/>
  <c r="U190" i="10"/>
  <c r="U190" i="17" s="1"/>
  <c r="R190" i="10"/>
  <c r="R190" i="17" s="1"/>
  <c r="O190" i="10"/>
  <c r="O190" i="17" s="1"/>
  <c r="L190" i="10"/>
  <c r="L190" i="17" s="1"/>
  <c r="I190" i="10"/>
  <c r="I190" i="17" s="1"/>
  <c r="F190" i="10"/>
  <c r="F190" i="17" s="1"/>
  <c r="C190" i="10"/>
  <c r="C190" i="17" s="1"/>
  <c r="B190" i="10"/>
  <c r="B190" i="17" s="1"/>
  <c r="AP189" i="10"/>
  <c r="AP189" i="17" s="1"/>
  <c r="AM189" i="10"/>
  <c r="AM189" i="17" s="1"/>
  <c r="AJ189" i="10"/>
  <c r="AJ189" i="17" s="1"/>
  <c r="AG189" i="10"/>
  <c r="AG189" i="17" s="1"/>
  <c r="AD189" i="10"/>
  <c r="AD189" i="17" s="1"/>
  <c r="AA189" i="10"/>
  <c r="AA189" i="17" s="1"/>
  <c r="X189" i="10"/>
  <c r="X189" i="17" s="1"/>
  <c r="U189" i="10"/>
  <c r="U189" i="17" s="1"/>
  <c r="R189" i="10"/>
  <c r="R189" i="17" s="1"/>
  <c r="O189" i="10"/>
  <c r="O189" i="17" s="1"/>
  <c r="L189" i="10"/>
  <c r="L189" i="17" s="1"/>
  <c r="I189" i="10"/>
  <c r="I189" i="17" s="1"/>
  <c r="F189" i="10"/>
  <c r="F189" i="17" s="1"/>
  <c r="C189" i="10"/>
  <c r="C189" i="17" s="1"/>
  <c r="B189" i="10"/>
  <c r="B189" i="17" s="1"/>
  <c r="AP188" i="10"/>
  <c r="AP188" i="17" s="1"/>
  <c r="AM188" i="10"/>
  <c r="AM188" i="17" s="1"/>
  <c r="AJ188" i="10"/>
  <c r="AJ188" i="17" s="1"/>
  <c r="AG188" i="10"/>
  <c r="AG188" i="17" s="1"/>
  <c r="AD188" i="10"/>
  <c r="AD188" i="17" s="1"/>
  <c r="AA188" i="10"/>
  <c r="AA188" i="17" s="1"/>
  <c r="X188" i="10"/>
  <c r="X188" i="17" s="1"/>
  <c r="U188" i="10"/>
  <c r="U188" i="17" s="1"/>
  <c r="R188" i="10"/>
  <c r="R188" i="17" s="1"/>
  <c r="O188" i="10"/>
  <c r="O188" i="17" s="1"/>
  <c r="L188" i="10"/>
  <c r="L188" i="17" s="1"/>
  <c r="I188" i="10"/>
  <c r="I188" i="17" s="1"/>
  <c r="F188" i="10"/>
  <c r="F188" i="17" s="1"/>
  <c r="C188" i="10"/>
  <c r="C188" i="17" s="1"/>
  <c r="B188" i="10"/>
  <c r="B188" i="17" s="1"/>
  <c r="AP187" i="10"/>
  <c r="AP187" i="17" s="1"/>
  <c r="AM187" i="10"/>
  <c r="AM187" i="17" s="1"/>
  <c r="AJ187" i="10"/>
  <c r="AJ187" i="17" s="1"/>
  <c r="AG187" i="10"/>
  <c r="AG187" i="17" s="1"/>
  <c r="AD187" i="10"/>
  <c r="AD187" i="17" s="1"/>
  <c r="AA187" i="10"/>
  <c r="AA187" i="17" s="1"/>
  <c r="X187" i="10"/>
  <c r="X187" i="17" s="1"/>
  <c r="U187" i="10"/>
  <c r="U187" i="17" s="1"/>
  <c r="R187" i="10"/>
  <c r="R187" i="17" s="1"/>
  <c r="O187" i="10"/>
  <c r="O187" i="17" s="1"/>
  <c r="L187" i="10"/>
  <c r="L187" i="17" s="1"/>
  <c r="I187" i="10"/>
  <c r="I187" i="17" s="1"/>
  <c r="F187" i="10"/>
  <c r="F187" i="17" s="1"/>
  <c r="C187" i="10"/>
  <c r="C187" i="17" s="1"/>
  <c r="B187" i="10"/>
  <c r="B187" i="17" s="1"/>
  <c r="AP186" i="10"/>
  <c r="AP186" i="17" s="1"/>
  <c r="AM186" i="10"/>
  <c r="AM186" i="17" s="1"/>
  <c r="AJ186" i="10"/>
  <c r="AJ186" i="17" s="1"/>
  <c r="AG186" i="10"/>
  <c r="AG186" i="17" s="1"/>
  <c r="AD186" i="10"/>
  <c r="AD186" i="17" s="1"/>
  <c r="AA186" i="10"/>
  <c r="AA186" i="17" s="1"/>
  <c r="X186" i="10"/>
  <c r="X186" i="17" s="1"/>
  <c r="U186" i="10"/>
  <c r="U186" i="17" s="1"/>
  <c r="R186" i="10"/>
  <c r="R186" i="17" s="1"/>
  <c r="O186" i="10"/>
  <c r="O186" i="17" s="1"/>
  <c r="L186" i="10"/>
  <c r="L186" i="17" s="1"/>
  <c r="I186" i="10"/>
  <c r="I186" i="17" s="1"/>
  <c r="F186" i="10"/>
  <c r="F186" i="17" s="1"/>
  <c r="C186" i="10"/>
  <c r="C186" i="17" s="1"/>
  <c r="B186" i="10"/>
  <c r="B186" i="17" s="1"/>
  <c r="AP185" i="10"/>
  <c r="AP185" i="17" s="1"/>
  <c r="AM185" i="10"/>
  <c r="AM185" i="17" s="1"/>
  <c r="AJ185" i="10"/>
  <c r="AJ185" i="17" s="1"/>
  <c r="AG185" i="10"/>
  <c r="AG185" i="17" s="1"/>
  <c r="AD185" i="10"/>
  <c r="AD185" i="17" s="1"/>
  <c r="AA185" i="10"/>
  <c r="AA185" i="17" s="1"/>
  <c r="X185" i="10"/>
  <c r="X185" i="17" s="1"/>
  <c r="U185" i="10"/>
  <c r="U185" i="17" s="1"/>
  <c r="R185" i="10"/>
  <c r="R185" i="17" s="1"/>
  <c r="O185" i="10"/>
  <c r="O185" i="17" s="1"/>
  <c r="L185" i="10"/>
  <c r="L185" i="17" s="1"/>
  <c r="I185" i="10"/>
  <c r="I185" i="17" s="1"/>
  <c r="F185" i="10"/>
  <c r="F185" i="17" s="1"/>
  <c r="C185" i="10"/>
  <c r="C185" i="17" s="1"/>
  <c r="B185" i="10"/>
  <c r="B185" i="17" s="1"/>
  <c r="AP184" i="10"/>
  <c r="AP184" i="17" s="1"/>
  <c r="AM184" i="10"/>
  <c r="AM184" i="17" s="1"/>
  <c r="AJ184" i="10"/>
  <c r="AJ184" i="17" s="1"/>
  <c r="AG184" i="10"/>
  <c r="AG184" i="17" s="1"/>
  <c r="AD184" i="10"/>
  <c r="AD184" i="17" s="1"/>
  <c r="AA184" i="10"/>
  <c r="AA184" i="17" s="1"/>
  <c r="X184" i="10"/>
  <c r="X184" i="17" s="1"/>
  <c r="U184" i="10"/>
  <c r="U184" i="17" s="1"/>
  <c r="R184" i="10"/>
  <c r="R184" i="17" s="1"/>
  <c r="O184" i="10"/>
  <c r="O184" i="17" s="1"/>
  <c r="L184" i="10"/>
  <c r="L184" i="17" s="1"/>
  <c r="I184" i="10"/>
  <c r="I184" i="17" s="1"/>
  <c r="F184" i="10"/>
  <c r="F184" i="17" s="1"/>
  <c r="C184" i="10"/>
  <c r="C184" i="17" s="1"/>
  <c r="B184" i="10"/>
  <c r="B184" i="17" s="1"/>
  <c r="AP183" i="10"/>
  <c r="AP183" i="17" s="1"/>
  <c r="AM183" i="10"/>
  <c r="AM183" i="17" s="1"/>
  <c r="AJ183" i="10"/>
  <c r="AJ183" i="17" s="1"/>
  <c r="AG183" i="10"/>
  <c r="AG183" i="17" s="1"/>
  <c r="AD183" i="10"/>
  <c r="AD183" i="17" s="1"/>
  <c r="AA183" i="10"/>
  <c r="AA183" i="17" s="1"/>
  <c r="X183" i="10"/>
  <c r="X183" i="17" s="1"/>
  <c r="U183" i="10"/>
  <c r="U183" i="17" s="1"/>
  <c r="R183" i="10"/>
  <c r="R183" i="17" s="1"/>
  <c r="O183" i="10"/>
  <c r="O183" i="17" s="1"/>
  <c r="L183" i="10"/>
  <c r="L183" i="17" s="1"/>
  <c r="I183" i="10"/>
  <c r="I183" i="17" s="1"/>
  <c r="F183" i="10"/>
  <c r="F183" i="17" s="1"/>
  <c r="C183" i="10"/>
  <c r="C183" i="17" s="1"/>
  <c r="B183" i="10"/>
  <c r="B183" i="17" s="1"/>
  <c r="AP182" i="10"/>
  <c r="AP182" i="17" s="1"/>
  <c r="AM182" i="10"/>
  <c r="AM182" i="17" s="1"/>
  <c r="AJ182" i="10"/>
  <c r="AJ182" i="17" s="1"/>
  <c r="AG182" i="10"/>
  <c r="AG182" i="17" s="1"/>
  <c r="AD182" i="10"/>
  <c r="AD182" i="17" s="1"/>
  <c r="AA182" i="10"/>
  <c r="AA182" i="17" s="1"/>
  <c r="X182" i="10"/>
  <c r="X182" i="17" s="1"/>
  <c r="U182" i="10"/>
  <c r="U182" i="17" s="1"/>
  <c r="R182" i="10"/>
  <c r="R182" i="17" s="1"/>
  <c r="O182" i="10"/>
  <c r="O182" i="17" s="1"/>
  <c r="L182" i="10"/>
  <c r="L182" i="17" s="1"/>
  <c r="I182" i="10"/>
  <c r="I182" i="17" s="1"/>
  <c r="F182" i="10"/>
  <c r="F182" i="17" s="1"/>
  <c r="C182" i="10"/>
  <c r="C182" i="17" s="1"/>
  <c r="B182" i="10"/>
  <c r="B182" i="17" s="1"/>
  <c r="AP181" i="10"/>
  <c r="AP181" i="17" s="1"/>
  <c r="AM181" i="10"/>
  <c r="AM181" i="17" s="1"/>
  <c r="AJ181" i="10"/>
  <c r="AJ181" i="17" s="1"/>
  <c r="AG181" i="10"/>
  <c r="AG181" i="17" s="1"/>
  <c r="AD181" i="10"/>
  <c r="AD181" i="17" s="1"/>
  <c r="AA181" i="10"/>
  <c r="AA181" i="17" s="1"/>
  <c r="X181" i="10"/>
  <c r="X181" i="17" s="1"/>
  <c r="U181" i="10"/>
  <c r="U181" i="17" s="1"/>
  <c r="R181" i="10"/>
  <c r="R181" i="17" s="1"/>
  <c r="O181" i="10"/>
  <c r="O181" i="17" s="1"/>
  <c r="L181" i="10"/>
  <c r="L181" i="17" s="1"/>
  <c r="I181" i="10"/>
  <c r="I181" i="17" s="1"/>
  <c r="F181" i="10"/>
  <c r="F181" i="17" s="1"/>
  <c r="C181" i="10"/>
  <c r="C181" i="17" s="1"/>
  <c r="B181" i="10"/>
  <c r="B181" i="17" s="1"/>
  <c r="AP180" i="10"/>
  <c r="AP180" i="17" s="1"/>
  <c r="AM180" i="10"/>
  <c r="AM180" i="17" s="1"/>
  <c r="AJ180" i="10"/>
  <c r="AJ180" i="17" s="1"/>
  <c r="AG180" i="10"/>
  <c r="AG180" i="17" s="1"/>
  <c r="AD180" i="10"/>
  <c r="AD180" i="17" s="1"/>
  <c r="AA180" i="10"/>
  <c r="AA180" i="17" s="1"/>
  <c r="X180" i="10"/>
  <c r="X180" i="17" s="1"/>
  <c r="U180" i="10"/>
  <c r="U180" i="17" s="1"/>
  <c r="R180" i="10"/>
  <c r="R180" i="17" s="1"/>
  <c r="O180" i="10"/>
  <c r="O180" i="17" s="1"/>
  <c r="L180" i="10"/>
  <c r="L180" i="17" s="1"/>
  <c r="I180" i="10"/>
  <c r="I180" i="17" s="1"/>
  <c r="F180" i="10"/>
  <c r="F180" i="17" s="1"/>
  <c r="C180" i="10"/>
  <c r="C180" i="17" s="1"/>
  <c r="B180" i="10"/>
  <c r="B180" i="17" s="1"/>
  <c r="AP179" i="10"/>
  <c r="AP179" i="17" s="1"/>
  <c r="AM179" i="10"/>
  <c r="AM179" i="17" s="1"/>
  <c r="AJ179" i="10"/>
  <c r="AJ179" i="17" s="1"/>
  <c r="AG179" i="10"/>
  <c r="AG179" i="17" s="1"/>
  <c r="AD179" i="10"/>
  <c r="AD179" i="17" s="1"/>
  <c r="AA179" i="10"/>
  <c r="AA179" i="17" s="1"/>
  <c r="X179" i="10"/>
  <c r="X179" i="17" s="1"/>
  <c r="U179" i="10"/>
  <c r="U179" i="17" s="1"/>
  <c r="R179" i="10"/>
  <c r="R179" i="17" s="1"/>
  <c r="O179" i="10"/>
  <c r="O179" i="17" s="1"/>
  <c r="L179" i="10"/>
  <c r="L179" i="17" s="1"/>
  <c r="I179" i="10"/>
  <c r="I179" i="17" s="1"/>
  <c r="F179" i="10"/>
  <c r="F179" i="17" s="1"/>
  <c r="C179" i="10"/>
  <c r="C179" i="17" s="1"/>
  <c r="B179" i="10"/>
  <c r="B179" i="17" s="1"/>
  <c r="AP178" i="10"/>
  <c r="AP178" i="17" s="1"/>
  <c r="AM178" i="10"/>
  <c r="AM178" i="17" s="1"/>
  <c r="AJ178" i="10"/>
  <c r="AJ178" i="17" s="1"/>
  <c r="AG178" i="10"/>
  <c r="AG178" i="17" s="1"/>
  <c r="AD178" i="10"/>
  <c r="AD178" i="17" s="1"/>
  <c r="AA178" i="10"/>
  <c r="AA178" i="17" s="1"/>
  <c r="X178" i="10"/>
  <c r="X178" i="17" s="1"/>
  <c r="U178" i="10"/>
  <c r="U178" i="17" s="1"/>
  <c r="R178" i="10"/>
  <c r="R178" i="17" s="1"/>
  <c r="O178" i="10"/>
  <c r="O178" i="17" s="1"/>
  <c r="L178" i="10"/>
  <c r="L178" i="17" s="1"/>
  <c r="I178" i="10"/>
  <c r="I178" i="17" s="1"/>
  <c r="F178" i="10"/>
  <c r="F178" i="17" s="1"/>
  <c r="C178" i="10"/>
  <c r="C178" i="17" s="1"/>
  <c r="B178" i="10"/>
  <c r="B178" i="17" s="1"/>
  <c r="AP177" i="10"/>
  <c r="AP177" i="17" s="1"/>
  <c r="AM177" i="10"/>
  <c r="AM177" i="17" s="1"/>
  <c r="AJ177" i="10"/>
  <c r="AJ177" i="17" s="1"/>
  <c r="AG177" i="10"/>
  <c r="AG177" i="17" s="1"/>
  <c r="AD177" i="10"/>
  <c r="AD177" i="17" s="1"/>
  <c r="AA177" i="10"/>
  <c r="AA177" i="17" s="1"/>
  <c r="X177" i="10"/>
  <c r="X177" i="17" s="1"/>
  <c r="U177" i="10"/>
  <c r="U177" i="17" s="1"/>
  <c r="R177" i="10"/>
  <c r="R177" i="17" s="1"/>
  <c r="O177" i="10"/>
  <c r="O177" i="17" s="1"/>
  <c r="L177" i="10"/>
  <c r="L177" i="17" s="1"/>
  <c r="I177" i="10"/>
  <c r="I177" i="17" s="1"/>
  <c r="F177" i="10"/>
  <c r="F177" i="17" s="1"/>
  <c r="C177" i="10"/>
  <c r="C177" i="17" s="1"/>
  <c r="B177" i="10"/>
  <c r="B177" i="17" s="1"/>
  <c r="AP176" i="10"/>
  <c r="AP176" i="17" s="1"/>
  <c r="AM176" i="10"/>
  <c r="AM176" i="17" s="1"/>
  <c r="AJ176" i="10"/>
  <c r="AJ176" i="17" s="1"/>
  <c r="AG176" i="10"/>
  <c r="AG176" i="17" s="1"/>
  <c r="AD176" i="10"/>
  <c r="AD176" i="17" s="1"/>
  <c r="AA176" i="10"/>
  <c r="AA176" i="17" s="1"/>
  <c r="X176" i="10"/>
  <c r="X176" i="17" s="1"/>
  <c r="U176" i="10"/>
  <c r="U176" i="17" s="1"/>
  <c r="R176" i="10"/>
  <c r="R176" i="17" s="1"/>
  <c r="O176" i="10"/>
  <c r="O176" i="17" s="1"/>
  <c r="L176" i="10"/>
  <c r="L176" i="17" s="1"/>
  <c r="I176" i="10"/>
  <c r="I176" i="17" s="1"/>
  <c r="F176" i="10"/>
  <c r="F176" i="17" s="1"/>
  <c r="C176" i="10"/>
  <c r="C176" i="17" s="1"/>
  <c r="B176" i="10"/>
  <c r="B176" i="17" s="1"/>
  <c r="AP175" i="10"/>
  <c r="AP175" i="17" s="1"/>
  <c r="AM175" i="10"/>
  <c r="AM175" i="17" s="1"/>
  <c r="AJ175" i="10"/>
  <c r="AJ175" i="17" s="1"/>
  <c r="AG175" i="10"/>
  <c r="AG175" i="17" s="1"/>
  <c r="AD175" i="10"/>
  <c r="AD175" i="17" s="1"/>
  <c r="AA175" i="10"/>
  <c r="AA175" i="17" s="1"/>
  <c r="X175" i="10"/>
  <c r="X175" i="17" s="1"/>
  <c r="U175" i="10"/>
  <c r="U175" i="17" s="1"/>
  <c r="R175" i="10"/>
  <c r="R175" i="17" s="1"/>
  <c r="O175" i="10"/>
  <c r="O175" i="17" s="1"/>
  <c r="L175" i="10"/>
  <c r="L175" i="17" s="1"/>
  <c r="I175" i="10"/>
  <c r="I175" i="17" s="1"/>
  <c r="F175" i="10"/>
  <c r="F175" i="17" s="1"/>
  <c r="C175" i="10"/>
  <c r="C175" i="17" s="1"/>
  <c r="B175" i="10"/>
  <c r="B175" i="17" s="1"/>
  <c r="AP174" i="10"/>
  <c r="AP174" i="17" s="1"/>
  <c r="AM174" i="10"/>
  <c r="AM174" i="17" s="1"/>
  <c r="AJ174" i="10"/>
  <c r="AJ174" i="17" s="1"/>
  <c r="AG174" i="10"/>
  <c r="AG174" i="17" s="1"/>
  <c r="AD174" i="10"/>
  <c r="AD174" i="17" s="1"/>
  <c r="AA174" i="10"/>
  <c r="AA174" i="17" s="1"/>
  <c r="X174" i="10"/>
  <c r="X174" i="17" s="1"/>
  <c r="U174" i="10"/>
  <c r="U174" i="17" s="1"/>
  <c r="R174" i="10"/>
  <c r="R174" i="17" s="1"/>
  <c r="O174" i="10"/>
  <c r="O174" i="17" s="1"/>
  <c r="L174" i="10"/>
  <c r="L174" i="17" s="1"/>
  <c r="I174" i="10"/>
  <c r="I174" i="17" s="1"/>
  <c r="F174" i="10"/>
  <c r="F174" i="17" s="1"/>
  <c r="C174" i="10"/>
  <c r="C174" i="17" s="1"/>
  <c r="B174" i="10"/>
  <c r="B174" i="17" s="1"/>
  <c r="AP173" i="10"/>
  <c r="AP173" i="17" s="1"/>
  <c r="AM173" i="10"/>
  <c r="AM173" i="17" s="1"/>
  <c r="AJ173" i="10"/>
  <c r="AJ173" i="17" s="1"/>
  <c r="AG173" i="10"/>
  <c r="AG173" i="17" s="1"/>
  <c r="AD173" i="10"/>
  <c r="AD173" i="17" s="1"/>
  <c r="AA173" i="10"/>
  <c r="AA173" i="17" s="1"/>
  <c r="X173" i="10"/>
  <c r="X173" i="17" s="1"/>
  <c r="U173" i="10"/>
  <c r="U173" i="17" s="1"/>
  <c r="R173" i="10"/>
  <c r="R173" i="17" s="1"/>
  <c r="O173" i="10"/>
  <c r="O173" i="17" s="1"/>
  <c r="L173" i="10"/>
  <c r="L173" i="17" s="1"/>
  <c r="I173" i="10"/>
  <c r="I173" i="17" s="1"/>
  <c r="F173" i="10"/>
  <c r="F173" i="17" s="1"/>
  <c r="C173" i="10"/>
  <c r="C173" i="17" s="1"/>
  <c r="B173" i="10"/>
  <c r="B173" i="17" s="1"/>
  <c r="AP172" i="10"/>
  <c r="AP172" i="17" s="1"/>
  <c r="AM172" i="10"/>
  <c r="AM172" i="17" s="1"/>
  <c r="AJ172" i="10"/>
  <c r="AJ172" i="17" s="1"/>
  <c r="AG172" i="10"/>
  <c r="AG172" i="17" s="1"/>
  <c r="AD172" i="10"/>
  <c r="AD172" i="17" s="1"/>
  <c r="AA172" i="10"/>
  <c r="AA172" i="17" s="1"/>
  <c r="X172" i="10"/>
  <c r="X172" i="17" s="1"/>
  <c r="U172" i="10"/>
  <c r="U172" i="17" s="1"/>
  <c r="R172" i="10"/>
  <c r="R172" i="17" s="1"/>
  <c r="O172" i="10"/>
  <c r="O172" i="17" s="1"/>
  <c r="L172" i="10"/>
  <c r="L172" i="17" s="1"/>
  <c r="I172" i="10"/>
  <c r="I172" i="17" s="1"/>
  <c r="F172" i="10"/>
  <c r="F172" i="17" s="1"/>
  <c r="C172" i="10"/>
  <c r="C172" i="17" s="1"/>
  <c r="B172" i="10"/>
  <c r="B172" i="17" s="1"/>
  <c r="AP171" i="10"/>
  <c r="AP171" i="17" s="1"/>
  <c r="AM171" i="10"/>
  <c r="AM171" i="17" s="1"/>
  <c r="AJ171" i="10"/>
  <c r="AJ171" i="17" s="1"/>
  <c r="AG171" i="10"/>
  <c r="AG171" i="17" s="1"/>
  <c r="AD171" i="10"/>
  <c r="AD171" i="17" s="1"/>
  <c r="AA171" i="10"/>
  <c r="AA171" i="17" s="1"/>
  <c r="X171" i="10"/>
  <c r="X171" i="17" s="1"/>
  <c r="U171" i="10"/>
  <c r="U171" i="17" s="1"/>
  <c r="R171" i="10"/>
  <c r="R171" i="17" s="1"/>
  <c r="O171" i="10"/>
  <c r="O171" i="17" s="1"/>
  <c r="L171" i="10"/>
  <c r="L171" i="17" s="1"/>
  <c r="I171" i="10"/>
  <c r="I171" i="17" s="1"/>
  <c r="F171" i="10"/>
  <c r="F171" i="17" s="1"/>
  <c r="C171" i="10"/>
  <c r="C171" i="17" s="1"/>
  <c r="B171" i="10"/>
  <c r="B171" i="17" s="1"/>
  <c r="AP170" i="10"/>
  <c r="AP170" i="17" s="1"/>
  <c r="AM170" i="10"/>
  <c r="AM170" i="17" s="1"/>
  <c r="AJ170" i="10"/>
  <c r="AJ170" i="17" s="1"/>
  <c r="AG170" i="10"/>
  <c r="AG170" i="17" s="1"/>
  <c r="AD170" i="10"/>
  <c r="AD170" i="17" s="1"/>
  <c r="AA170" i="10"/>
  <c r="AA170" i="17" s="1"/>
  <c r="X170" i="10"/>
  <c r="X170" i="17" s="1"/>
  <c r="U170" i="10"/>
  <c r="U170" i="17" s="1"/>
  <c r="R170" i="10"/>
  <c r="R170" i="17" s="1"/>
  <c r="O170" i="10"/>
  <c r="O170" i="17" s="1"/>
  <c r="L170" i="10"/>
  <c r="L170" i="17" s="1"/>
  <c r="I170" i="10"/>
  <c r="I170" i="17" s="1"/>
  <c r="F170" i="10"/>
  <c r="F170" i="17" s="1"/>
  <c r="C170" i="10"/>
  <c r="C170" i="17" s="1"/>
  <c r="B170" i="10"/>
  <c r="B170" i="17" s="1"/>
  <c r="AP169" i="10"/>
  <c r="AP169" i="17" s="1"/>
  <c r="AM169" i="10"/>
  <c r="AM169" i="17" s="1"/>
  <c r="AJ169" i="10"/>
  <c r="AJ169" i="17" s="1"/>
  <c r="AG169" i="10"/>
  <c r="AG169" i="17" s="1"/>
  <c r="AD169" i="10"/>
  <c r="AD169" i="17" s="1"/>
  <c r="AA169" i="10"/>
  <c r="AA169" i="17" s="1"/>
  <c r="X169" i="10"/>
  <c r="X169" i="17" s="1"/>
  <c r="U169" i="10"/>
  <c r="U169" i="17" s="1"/>
  <c r="R169" i="10"/>
  <c r="R169" i="17" s="1"/>
  <c r="O169" i="10"/>
  <c r="O169" i="17" s="1"/>
  <c r="L169" i="10"/>
  <c r="L169" i="17" s="1"/>
  <c r="I169" i="10"/>
  <c r="I169" i="17" s="1"/>
  <c r="F169" i="10"/>
  <c r="F169" i="17" s="1"/>
  <c r="C169" i="10"/>
  <c r="C169" i="17" s="1"/>
  <c r="B169" i="10"/>
  <c r="B169" i="17" s="1"/>
  <c r="AP168" i="10"/>
  <c r="AP168" i="17" s="1"/>
  <c r="AM168" i="10"/>
  <c r="AM168" i="17" s="1"/>
  <c r="AJ168" i="10"/>
  <c r="AJ168" i="17" s="1"/>
  <c r="AG168" i="10"/>
  <c r="AG168" i="17" s="1"/>
  <c r="AD168" i="10"/>
  <c r="AD168" i="17" s="1"/>
  <c r="AA168" i="10"/>
  <c r="AA168" i="17" s="1"/>
  <c r="X168" i="10"/>
  <c r="X168" i="17" s="1"/>
  <c r="U168" i="10"/>
  <c r="U168" i="17" s="1"/>
  <c r="R168" i="10"/>
  <c r="R168" i="17" s="1"/>
  <c r="O168" i="10"/>
  <c r="O168" i="17" s="1"/>
  <c r="L168" i="10"/>
  <c r="L168" i="17" s="1"/>
  <c r="I168" i="10"/>
  <c r="I168" i="17" s="1"/>
  <c r="F168" i="10"/>
  <c r="F168" i="17" s="1"/>
  <c r="C168" i="10"/>
  <c r="C168" i="17" s="1"/>
  <c r="B168" i="10"/>
  <c r="B168" i="17" s="1"/>
  <c r="AP167" i="10"/>
  <c r="AP167" i="17" s="1"/>
  <c r="AM167" i="10"/>
  <c r="AM167" i="17" s="1"/>
  <c r="AJ167" i="10"/>
  <c r="AJ167" i="17" s="1"/>
  <c r="AG167" i="10"/>
  <c r="AG167" i="17" s="1"/>
  <c r="AD167" i="10"/>
  <c r="AD167" i="17" s="1"/>
  <c r="AA167" i="10"/>
  <c r="AA167" i="17" s="1"/>
  <c r="X167" i="10"/>
  <c r="X167" i="17" s="1"/>
  <c r="U167" i="10"/>
  <c r="U167" i="17" s="1"/>
  <c r="R167" i="10"/>
  <c r="R167" i="17" s="1"/>
  <c r="O167" i="10"/>
  <c r="O167" i="17" s="1"/>
  <c r="L167" i="10"/>
  <c r="L167" i="17" s="1"/>
  <c r="I167" i="10"/>
  <c r="I167" i="17" s="1"/>
  <c r="F167" i="10"/>
  <c r="F167" i="17" s="1"/>
  <c r="C167" i="10"/>
  <c r="C167" i="17" s="1"/>
  <c r="B167" i="10"/>
  <c r="B167" i="17" s="1"/>
  <c r="AP166" i="10"/>
  <c r="AP166" i="17" s="1"/>
  <c r="AM166" i="10"/>
  <c r="AM166" i="17" s="1"/>
  <c r="AJ166" i="10"/>
  <c r="AJ166" i="17" s="1"/>
  <c r="AG166" i="10"/>
  <c r="AG166" i="17" s="1"/>
  <c r="AD166" i="10"/>
  <c r="AD166" i="17" s="1"/>
  <c r="AA166" i="10"/>
  <c r="AA166" i="17" s="1"/>
  <c r="X166" i="10"/>
  <c r="X166" i="17" s="1"/>
  <c r="U166" i="10"/>
  <c r="U166" i="17" s="1"/>
  <c r="R166" i="10"/>
  <c r="R166" i="17" s="1"/>
  <c r="O166" i="10"/>
  <c r="O166" i="17" s="1"/>
  <c r="L166" i="10"/>
  <c r="L166" i="17" s="1"/>
  <c r="I166" i="10"/>
  <c r="I166" i="17" s="1"/>
  <c r="F166" i="10"/>
  <c r="F166" i="17" s="1"/>
  <c r="C166" i="10"/>
  <c r="C166" i="17" s="1"/>
  <c r="B166" i="10"/>
  <c r="B166" i="17" s="1"/>
  <c r="AP165" i="10"/>
  <c r="AP165" i="17" s="1"/>
  <c r="AM165" i="10"/>
  <c r="AM165" i="17" s="1"/>
  <c r="AJ165" i="10"/>
  <c r="AJ165" i="17" s="1"/>
  <c r="AG165" i="10"/>
  <c r="AG165" i="17" s="1"/>
  <c r="AD165" i="10"/>
  <c r="AD165" i="17" s="1"/>
  <c r="AA165" i="10"/>
  <c r="AA165" i="17" s="1"/>
  <c r="X165" i="10"/>
  <c r="X165" i="17" s="1"/>
  <c r="U165" i="10"/>
  <c r="U165" i="17" s="1"/>
  <c r="R165" i="10"/>
  <c r="R165" i="17" s="1"/>
  <c r="O165" i="10"/>
  <c r="O165" i="17" s="1"/>
  <c r="L165" i="10"/>
  <c r="L165" i="17" s="1"/>
  <c r="I165" i="10"/>
  <c r="I165" i="17" s="1"/>
  <c r="F165" i="10"/>
  <c r="F165" i="17" s="1"/>
  <c r="C165" i="10"/>
  <c r="C165" i="17" s="1"/>
  <c r="B165" i="10"/>
  <c r="B165" i="17" s="1"/>
  <c r="AP164" i="10"/>
  <c r="AP164" i="17" s="1"/>
  <c r="AM164" i="10"/>
  <c r="AM164" i="17" s="1"/>
  <c r="AJ164" i="10"/>
  <c r="AJ164" i="17" s="1"/>
  <c r="AG164" i="10"/>
  <c r="AG164" i="17" s="1"/>
  <c r="AD164" i="10"/>
  <c r="AD164" i="17" s="1"/>
  <c r="AA164" i="10"/>
  <c r="AA164" i="17" s="1"/>
  <c r="X164" i="10"/>
  <c r="X164" i="17" s="1"/>
  <c r="U164" i="10"/>
  <c r="U164" i="17" s="1"/>
  <c r="R164" i="10"/>
  <c r="R164" i="17" s="1"/>
  <c r="O164" i="10"/>
  <c r="O164" i="17" s="1"/>
  <c r="L164" i="10"/>
  <c r="L164" i="17" s="1"/>
  <c r="I164" i="10"/>
  <c r="I164" i="17" s="1"/>
  <c r="F164" i="10"/>
  <c r="F164" i="17" s="1"/>
  <c r="C164" i="10"/>
  <c r="C164" i="17" s="1"/>
  <c r="B164" i="10"/>
  <c r="B164" i="17" s="1"/>
  <c r="AP163" i="10"/>
  <c r="AP163" i="17" s="1"/>
  <c r="AM163" i="10"/>
  <c r="AM163" i="17" s="1"/>
  <c r="AJ163" i="10"/>
  <c r="AJ163" i="17" s="1"/>
  <c r="AG163" i="10"/>
  <c r="AG163" i="17" s="1"/>
  <c r="AD163" i="10"/>
  <c r="AD163" i="17" s="1"/>
  <c r="AA163" i="10"/>
  <c r="AA163" i="17" s="1"/>
  <c r="X163" i="10"/>
  <c r="X163" i="17" s="1"/>
  <c r="U163" i="10"/>
  <c r="U163" i="17" s="1"/>
  <c r="R163" i="10"/>
  <c r="R163" i="17" s="1"/>
  <c r="O163" i="10"/>
  <c r="O163" i="17" s="1"/>
  <c r="L163" i="10"/>
  <c r="L163" i="17" s="1"/>
  <c r="I163" i="10"/>
  <c r="I163" i="17" s="1"/>
  <c r="F163" i="10"/>
  <c r="F163" i="17" s="1"/>
  <c r="C163" i="10"/>
  <c r="C163" i="17" s="1"/>
  <c r="B163" i="10"/>
  <c r="B163" i="17" s="1"/>
  <c r="AP162" i="10"/>
  <c r="AP162" i="17" s="1"/>
  <c r="AM162" i="10"/>
  <c r="AM162" i="17" s="1"/>
  <c r="AJ162" i="10"/>
  <c r="AJ162" i="17" s="1"/>
  <c r="AG162" i="10"/>
  <c r="AG162" i="17" s="1"/>
  <c r="AD162" i="10"/>
  <c r="AD162" i="17" s="1"/>
  <c r="AA162" i="10"/>
  <c r="AA162" i="17" s="1"/>
  <c r="X162" i="10"/>
  <c r="X162" i="17" s="1"/>
  <c r="U162" i="10"/>
  <c r="U162" i="17" s="1"/>
  <c r="R162" i="10"/>
  <c r="R162" i="17" s="1"/>
  <c r="O162" i="10"/>
  <c r="O162" i="17" s="1"/>
  <c r="L162" i="10"/>
  <c r="L162" i="17" s="1"/>
  <c r="I162" i="10"/>
  <c r="I162" i="17" s="1"/>
  <c r="F162" i="10"/>
  <c r="F162" i="17" s="1"/>
  <c r="C162" i="10"/>
  <c r="C162" i="17" s="1"/>
  <c r="B162" i="10"/>
  <c r="B162" i="17" s="1"/>
  <c r="AP161" i="10"/>
  <c r="AP161" i="17" s="1"/>
  <c r="AM161" i="10"/>
  <c r="AM161" i="17" s="1"/>
  <c r="AJ161" i="10"/>
  <c r="AJ161" i="17" s="1"/>
  <c r="AG161" i="10"/>
  <c r="AG161" i="17" s="1"/>
  <c r="AD161" i="10"/>
  <c r="AD161" i="17" s="1"/>
  <c r="AA161" i="10"/>
  <c r="AA161" i="17" s="1"/>
  <c r="X161" i="10"/>
  <c r="X161" i="17" s="1"/>
  <c r="U161" i="10"/>
  <c r="U161" i="17" s="1"/>
  <c r="R161" i="10"/>
  <c r="R161" i="17" s="1"/>
  <c r="O161" i="10"/>
  <c r="O161" i="17" s="1"/>
  <c r="L161" i="10"/>
  <c r="L161" i="17" s="1"/>
  <c r="I161" i="10"/>
  <c r="I161" i="17" s="1"/>
  <c r="F161" i="10"/>
  <c r="F161" i="17" s="1"/>
  <c r="C161" i="10"/>
  <c r="C161" i="17" s="1"/>
  <c r="B161" i="10"/>
  <c r="B161" i="17" s="1"/>
  <c r="AP160" i="10"/>
  <c r="AP160" i="17" s="1"/>
  <c r="AM160" i="10"/>
  <c r="AM160" i="17" s="1"/>
  <c r="AJ160" i="10"/>
  <c r="AJ160" i="17" s="1"/>
  <c r="AG160" i="10"/>
  <c r="AG160" i="17" s="1"/>
  <c r="AD160" i="10"/>
  <c r="AD160" i="17" s="1"/>
  <c r="AA160" i="10"/>
  <c r="AA160" i="17" s="1"/>
  <c r="X160" i="10"/>
  <c r="X160" i="17" s="1"/>
  <c r="U160" i="10"/>
  <c r="U160" i="17" s="1"/>
  <c r="R160" i="10"/>
  <c r="R160" i="17" s="1"/>
  <c r="O160" i="10"/>
  <c r="O160" i="17" s="1"/>
  <c r="L160" i="10"/>
  <c r="L160" i="17" s="1"/>
  <c r="I160" i="10"/>
  <c r="I160" i="17" s="1"/>
  <c r="F160" i="10"/>
  <c r="F160" i="17" s="1"/>
  <c r="C160" i="10"/>
  <c r="C160" i="17" s="1"/>
  <c r="B160" i="10"/>
  <c r="B160" i="17" s="1"/>
  <c r="AP159" i="10"/>
  <c r="AP159" i="17" s="1"/>
  <c r="AM159" i="10"/>
  <c r="AM159" i="17" s="1"/>
  <c r="AJ159" i="10"/>
  <c r="AJ159" i="17" s="1"/>
  <c r="AG159" i="10"/>
  <c r="AG159" i="17" s="1"/>
  <c r="AD159" i="10"/>
  <c r="AD159" i="17" s="1"/>
  <c r="AA159" i="10"/>
  <c r="AA159" i="17" s="1"/>
  <c r="X159" i="10"/>
  <c r="X159" i="17" s="1"/>
  <c r="U159" i="10"/>
  <c r="U159" i="17" s="1"/>
  <c r="R159" i="10"/>
  <c r="R159" i="17" s="1"/>
  <c r="O159" i="10"/>
  <c r="O159" i="17" s="1"/>
  <c r="L159" i="10"/>
  <c r="L159" i="17" s="1"/>
  <c r="I159" i="10"/>
  <c r="I159" i="17" s="1"/>
  <c r="F159" i="10"/>
  <c r="F159" i="17" s="1"/>
  <c r="C159" i="10"/>
  <c r="C159" i="17" s="1"/>
  <c r="B159" i="10"/>
  <c r="B159" i="17" s="1"/>
  <c r="AP158" i="10"/>
  <c r="AP158" i="17" s="1"/>
  <c r="AM158" i="10"/>
  <c r="AM158" i="17" s="1"/>
  <c r="AJ158" i="10"/>
  <c r="AJ158" i="17" s="1"/>
  <c r="AG158" i="10"/>
  <c r="AG158" i="17" s="1"/>
  <c r="AD158" i="10"/>
  <c r="AD158" i="17" s="1"/>
  <c r="AA158" i="10"/>
  <c r="AA158" i="17" s="1"/>
  <c r="X158" i="10"/>
  <c r="X158" i="17" s="1"/>
  <c r="U158" i="10"/>
  <c r="U158" i="17" s="1"/>
  <c r="R158" i="10"/>
  <c r="R158" i="17" s="1"/>
  <c r="O158" i="10"/>
  <c r="O158" i="17" s="1"/>
  <c r="L158" i="10"/>
  <c r="L158" i="17" s="1"/>
  <c r="I158" i="10"/>
  <c r="I158" i="17" s="1"/>
  <c r="F158" i="10"/>
  <c r="F158" i="17" s="1"/>
  <c r="C158" i="10"/>
  <c r="C158" i="17" s="1"/>
  <c r="B158" i="10"/>
  <c r="B158" i="17" s="1"/>
  <c r="AP157" i="10"/>
  <c r="AP157" i="17" s="1"/>
  <c r="AM157" i="10"/>
  <c r="AM157" i="17" s="1"/>
  <c r="AJ157" i="10"/>
  <c r="AJ157" i="17" s="1"/>
  <c r="AG157" i="10"/>
  <c r="AG157" i="17" s="1"/>
  <c r="AD157" i="10"/>
  <c r="AD157" i="17" s="1"/>
  <c r="AA157" i="10"/>
  <c r="AA157" i="17" s="1"/>
  <c r="X157" i="10"/>
  <c r="X157" i="17" s="1"/>
  <c r="U157" i="10"/>
  <c r="U157" i="17" s="1"/>
  <c r="R157" i="10"/>
  <c r="R157" i="17" s="1"/>
  <c r="O157" i="10"/>
  <c r="O157" i="17" s="1"/>
  <c r="L157" i="10"/>
  <c r="L157" i="17" s="1"/>
  <c r="I157" i="10"/>
  <c r="I157" i="17" s="1"/>
  <c r="F157" i="10"/>
  <c r="F157" i="17" s="1"/>
  <c r="C157" i="10"/>
  <c r="C157" i="17" s="1"/>
  <c r="B157" i="10"/>
  <c r="B157" i="17" s="1"/>
  <c r="AP156" i="10"/>
  <c r="AP156" i="17" s="1"/>
  <c r="AM156" i="10"/>
  <c r="AM156" i="17" s="1"/>
  <c r="AJ156" i="10"/>
  <c r="AJ156" i="17" s="1"/>
  <c r="AG156" i="10"/>
  <c r="AG156" i="17" s="1"/>
  <c r="AD156" i="10"/>
  <c r="AD156" i="17" s="1"/>
  <c r="AA156" i="10"/>
  <c r="AA156" i="17" s="1"/>
  <c r="X156" i="10"/>
  <c r="X156" i="17" s="1"/>
  <c r="U156" i="10"/>
  <c r="U156" i="17" s="1"/>
  <c r="R156" i="10"/>
  <c r="R156" i="17" s="1"/>
  <c r="O156" i="10"/>
  <c r="O156" i="17" s="1"/>
  <c r="L156" i="10"/>
  <c r="L156" i="17" s="1"/>
  <c r="I156" i="10"/>
  <c r="I156" i="17" s="1"/>
  <c r="F156" i="10"/>
  <c r="F156" i="17" s="1"/>
  <c r="C156" i="10"/>
  <c r="C156" i="17" s="1"/>
  <c r="B156" i="10"/>
  <c r="B156" i="17" s="1"/>
  <c r="AP155" i="10"/>
  <c r="AP155" i="17" s="1"/>
  <c r="AM155" i="10"/>
  <c r="AM155" i="17" s="1"/>
  <c r="AJ155" i="10"/>
  <c r="AJ155" i="17" s="1"/>
  <c r="AG155" i="10"/>
  <c r="AG155" i="17" s="1"/>
  <c r="AD155" i="10"/>
  <c r="AD155" i="17" s="1"/>
  <c r="AA155" i="10"/>
  <c r="AA155" i="17" s="1"/>
  <c r="X155" i="10"/>
  <c r="X155" i="17" s="1"/>
  <c r="U155" i="10"/>
  <c r="U155" i="17" s="1"/>
  <c r="R155" i="10"/>
  <c r="R155" i="17" s="1"/>
  <c r="O155" i="10"/>
  <c r="O155" i="17" s="1"/>
  <c r="L155" i="10"/>
  <c r="L155" i="17" s="1"/>
  <c r="I155" i="10"/>
  <c r="I155" i="17" s="1"/>
  <c r="F155" i="10"/>
  <c r="F155" i="17" s="1"/>
  <c r="C155" i="10"/>
  <c r="C155" i="17" s="1"/>
  <c r="B155" i="10"/>
  <c r="B155" i="17" s="1"/>
  <c r="AP154" i="10"/>
  <c r="AP154" i="17" s="1"/>
  <c r="AM154" i="10"/>
  <c r="AM154" i="17" s="1"/>
  <c r="AJ154" i="10"/>
  <c r="AJ154" i="17" s="1"/>
  <c r="AG154" i="10"/>
  <c r="AG154" i="17" s="1"/>
  <c r="AD154" i="10"/>
  <c r="AD154" i="17" s="1"/>
  <c r="AA154" i="10"/>
  <c r="AA154" i="17" s="1"/>
  <c r="X154" i="10"/>
  <c r="X154" i="17" s="1"/>
  <c r="U154" i="10"/>
  <c r="U154" i="17" s="1"/>
  <c r="R154" i="10"/>
  <c r="R154" i="17" s="1"/>
  <c r="O154" i="10"/>
  <c r="O154" i="17" s="1"/>
  <c r="L154" i="10"/>
  <c r="L154" i="17" s="1"/>
  <c r="I154" i="10"/>
  <c r="I154" i="17" s="1"/>
  <c r="F154" i="10"/>
  <c r="F154" i="17" s="1"/>
  <c r="C154" i="10"/>
  <c r="C154" i="17" s="1"/>
  <c r="B154" i="10"/>
  <c r="B154" i="17" s="1"/>
  <c r="AP153" i="10"/>
  <c r="AP153" i="17" s="1"/>
  <c r="AM153" i="10"/>
  <c r="AM153" i="17" s="1"/>
  <c r="AJ153" i="10"/>
  <c r="AJ153" i="17" s="1"/>
  <c r="AG153" i="10"/>
  <c r="AG153" i="17" s="1"/>
  <c r="AD153" i="10"/>
  <c r="AD153" i="17" s="1"/>
  <c r="AA153" i="10"/>
  <c r="AA153" i="17" s="1"/>
  <c r="X153" i="10"/>
  <c r="X153" i="17" s="1"/>
  <c r="U153" i="10"/>
  <c r="U153" i="17" s="1"/>
  <c r="R153" i="10"/>
  <c r="R153" i="17" s="1"/>
  <c r="O153" i="10"/>
  <c r="O153" i="17" s="1"/>
  <c r="L153" i="10"/>
  <c r="L153" i="17" s="1"/>
  <c r="I153" i="10"/>
  <c r="I153" i="17" s="1"/>
  <c r="F153" i="10"/>
  <c r="F153" i="17" s="1"/>
  <c r="C153" i="10"/>
  <c r="C153" i="17" s="1"/>
  <c r="B153" i="10"/>
  <c r="B153" i="17" s="1"/>
  <c r="AP152" i="10"/>
  <c r="AP152" i="17" s="1"/>
  <c r="AM152" i="10"/>
  <c r="AM152" i="17" s="1"/>
  <c r="AJ152" i="10"/>
  <c r="AJ152" i="17" s="1"/>
  <c r="AG152" i="10"/>
  <c r="AG152" i="17" s="1"/>
  <c r="AD152" i="10"/>
  <c r="AD152" i="17" s="1"/>
  <c r="AA152" i="10"/>
  <c r="AA152" i="17" s="1"/>
  <c r="X152" i="10"/>
  <c r="X152" i="17" s="1"/>
  <c r="U152" i="10"/>
  <c r="U152" i="17" s="1"/>
  <c r="R152" i="10"/>
  <c r="R152" i="17" s="1"/>
  <c r="O152" i="10"/>
  <c r="O152" i="17" s="1"/>
  <c r="L152" i="10"/>
  <c r="L152" i="17" s="1"/>
  <c r="I152" i="10"/>
  <c r="I152" i="17" s="1"/>
  <c r="F152" i="10"/>
  <c r="F152" i="17" s="1"/>
  <c r="C152" i="10"/>
  <c r="C152" i="17" s="1"/>
  <c r="B152" i="10"/>
  <c r="B152" i="17" s="1"/>
  <c r="AP151" i="10"/>
  <c r="AP151" i="17" s="1"/>
  <c r="AM151" i="10"/>
  <c r="AM151" i="17" s="1"/>
  <c r="AJ151" i="10"/>
  <c r="AJ151" i="17" s="1"/>
  <c r="AG151" i="10"/>
  <c r="AG151" i="17" s="1"/>
  <c r="AD151" i="10"/>
  <c r="AD151" i="17" s="1"/>
  <c r="AA151" i="10"/>
  <c r="AA151" i="17" s="1"/>
  <c r="X151" i="10"/>
  <c r="X151" i="17" s="1"/>
  <c r="U151" i="10"/>
  <c r="U151" i="17" s="1"/>
  <c r="R151" i="10"/>
  <c r="R151" i="17" s="1"/>
  <c r="O151" i="10"/>
  <c r="O151" i="17" s="1"/>
  <c r="L151" i="10"/>
  <c r="L151" i="17" s="1"/>
  <c r="I151" i="10"/>
  <c r="I151" i="17" s="1"/>
  <c r="F151" i="10"/>
  <c r="F151" i="17" s="1"/>
  <c r="C151" i="10"/>
  <c r="C151" i="17" s="1"/>
  <c r="B151" i="10"/>
  <c r="B151" i="17" s="1"/>
  <c r="AP150" i="10"/>
  <c r="AP150" i="17" s="1"/>
  <c r="AM150" i="10"/>
  <c r="AM150" i="17" s="1"/>
  <c r="AJ150" i="10"/>
  <c r="AJ150" i="17" s="1"/>
  <c r="AG150" i="10"/>
  <c r="AG150" i="17" s="1"/>
  <c r="AD150" i="10"/>
  <c r="AD150" i="17" s="1"/>
  <c r="AA150" i="10"/>
  <c r="AA150" i="17" s="1"/>
  <c r="X150" i="10"/>
  <c r="X150" i="17" s="1"/>
  <c r="U150" i="10"/>
  <c r="U150" i="17" s="1"/>
  <c r="R150" i="10"/>
  <c r="R150" i="17" s="1"/>
  <c r="O150" i="10"/>
  <c r="O150" i="17" s="1"/>
  <c r="L150" i="10"/>
  <c r="L150" i="17" s="1"/>
  <c r="I150" i="10"/>
  <c r="I150" i="17" s="1"/>
  <c r="F150" i="10"/>
  <c r="F150" i="17" s="1"/>
  <c r="C150" i="10"/>
  <c r="C150" i="17" s="1"/>
  <c r="B150" i="10"/>
  <c r="B150" i="17" s="1"/>
  <c r="AP149" i="10"/>
  <c r="AP149" i="17" s="1"/>
  <c r="AM149" i="10"/>
  <c r="AM149" i="17" s="1"/>
  <c r="AJ149" i="10"/>
  <c r="AJ149" i="17" s="1"/>
  <c r="AG149" i="10"/>
  <c r="AG149" i="17" s="1"/>
  <c r="AD149" i="10"/>
  <c r="AD149" i="17" s="1"/>
  <c r="AA149" i="10"/>
  <c r="AA149" i="17" s="1"/>
  <c r="X149" i="10"/>
  <c r="X149" i="17" s="1"/>
  <c r="U149" i="10"/>
  <c r="U149" i="17" s="1"/>
  <c r="R149" i="10"/>
  <c r="R149" i="17" s="1"/>
  <c r="O149" i="10"/>
  <c r="O149" i="17" s="1"/>
  <c r="L149" i="10"/>
  <c r="L149" i="17" s="1"/>
  <c r="I149" i="10"/>
  <c r="I149" i="17" s="1"/>
  <c r="F149" i="10"/>
  <c r="F149" i="17" s="1"/>
  <c r="C149" i="10"/>
  <c r="C149" i="17" s="1"/>
  <c r="B149" i="10"/>
  <c r="B149" i="17" s="1"/>
  <c r="AP148" i="10"/>
  <c r="AP148" i="17" s="1"/>
  <c r="AM148" i="10"/>
  <c r="AM148" i="17" s="1"/>
  <c r="AJ148" i="10"/>
  <c r="AJ148" i="17" s="1"/>
  <c r="AG148" i="10"/>
  <c r="AG148" i="17" s="1"/>
  <c r="AD148" i="10"/>
  <c r="AD148" i="17" s="1"/>
  <c r="AA148" i="10"/>
  <c r="AA148" i="17" s="1"/>
  <c r="X148" i="10"/>
  <c r="X148" i="17" s="1"/>
  <c r="U148" i="10"/>
  <c r="U148" i="17" s="1"/>
  <c r="R148" i="10"/>
  <c r="R148" i="17" s="1"/>
  <c r="O148" i="10"/>
  <c r="O148" i="17" s="1"/>
  <c r="L148" i="10"/>
  <c r="L148" i="17" s="1"/>
  <c r="I148" i="10"/>
  <c r="I148" i="17" s="1"/>
  <c r="F148" i="10"/>
  <c r="F148" i="17" s="1"/>
  <c r="C148" i="10"/>
  <c r="C148" i="17" s="1"/>
  <c r="B148" i="10"/>
  <c r="B148" i="17" s="1"/>
  <c r="AP147" i="10"/>
  <c r="AP147" i="17" s="1"/>
  <c r="AM147" i="10"/>
  <c r="AM147" i="17" s="1"/>
  <c r="AJ147" i="10"/>
  <c r="AJ147" i="17" s="1"/>
  <c r="AG147" i="10"/>
  <c r="AG147" i="17" s="1"/>
  <c r="AD147" i="10"/>
  <c r="AD147" i="17" s="1"/>
  <c r="AA147" i="10"/>
  <c r="AA147" i="17" s="1"/>
  <c r="X147" i="10"/>
  <c r="X147" i="17" s="1"/>
  <c r="U147" i="10"/>
  <c r="U147" i="17" s="1"/>
  <c r="R147" i="10"/>
  <c r="R147" i="17" s="1"/>
  <c r="O147" i="10"/>
  <c r="O147" i="17" s="1"/>
  <c r="L147" i="10"/>
  <c r="L147" i="17" s="1"/>
  <c r="I147" i="10"/>
  <c r="I147" i="17" s="1"/>
  <c r="F147" i="10"/>
  <c r="F147" i="17" s="1"/>
  <c r="C147" i="10"/>
  <c r="C147" i="17" s="1"/>
  <c r="B147" i="10"/>
  <c r="B147" i="17" s="1"/>
  <c r="AP146" i="10"/>
  <c r="AP146" i="17" s="1"/>
  <c r="AM146" i="10"/>
  <c r="AM146" i="17" s="1"/>
  <c r="AJ146" i="10"/>
  <c r="AJ146" i="17" s="1"/>
  <c r="AG146" i="10"/>
  <c r="AG146" i="17" s="1"/>
  <c r="AD146" i="10"/>
  <c r="AD146" i="17" s="1"/>
  <c r="AA146" i="10"/>
  <c r="AA146" i="17" s="1"/>
  <c r="X146" i="10"/>
  <c r="X146" i="17" s="1"/>
  <c r="U146" i="10"/>
  <c r="U146" i="17" s="1"/>
  <c r="R146" i="10"/>
  <c r="R146" i="17" s="1"/>
  <c r="O146" i="10"/>
  <c r="O146" i="17" s="1"/>
  <c r="L146" i="10"/>
  <c r="L146" i="17" s="1"/>
  <c r="I146" i="10"/>
  <c r="I146" i="17" s="1"/>
  <c r="F146" i="10"/>
  <c r="F146" i="17" s="1"/>
  <c r="C146" i="10"/>
  <c r="C146" i="17" s="1"/>
  <c r="B146" i="10"/>
  <c r="B146" i="17" s="1"/>
  <c r="AP145" i="10"/>
  <c r="AP145" i="17" s="1"/>
  <c r="AM145" i="10"/>
  <c r="AM145" i="17" s="1"/>
  <c r="AJ145" i="10"/>
  <c r="AJ145" i="17" s="1"/>
  <c r="AG145" i="10"/>
  <c r="AG145" i="17" s="1"/>
  <c r="AD145" i="10"/>
  <c r="AD145" i="17" s="1"/>
  <c r="AA145" i="10"/>
  <c r="AA145" i="17" s="1"/>
  <c r="X145" i="10"/>
  <c r="X145" i="17" s="1"/>
  <c r="U145" i="10"/>
  <c r="U145" i="17" s="1"/>
  <c r="R145" i="10"/>
  <c r="R145" i="17" s="1"/>
  <c r="O145" i="10"/>
  <c r="O145" i="17" s="1"/>
  <c r="L145" i="10"/>
  <c r="L145" i="17" s="1"/>
  <c r="I145" i="10"/>
  <c r="I145" i="17" s="1"/>
  <c r="F145" i="10"/>
  <c r="F145" i="17" s="1"/>
  <c r="C145" i="10"/>
  <c r="C145" i="17" s="1"/>
  <c r="B145" i="10"/>
  <c r="B145" i="17" s="1"/>
  <c r="AP144" i="10"/>
  <c r="AP144" i="17" s="1"/>
  <c r="AM144" i="10"/>
  <c r="AM144" i="17" s="1"/>
  <c r="AJ144" i="10"/>
  <c r="AJ144" i="17" s="1"/>
  <c r="AG144" i="10"/>
  <c r="AG144" i="17" s="1"/>
  <c r="AD144" i="10"/>
  <c r="AD144" i="17" s="1"/>
  <c r="AA144" i="10"/>
  <c r="AA144" i="17" s="1"/>
  <c r="X144" i="10"/>
  <c r="X144" i="17" s="1"/>
  <c r="U144" i="10"/>
  <c r="U144" i="17" s="1"/>
  <c r="R144" i="10"/>
  <c r="R144" i="17" s="1"/>
  <c r="O144" i="10"/>
  <c r="O144" i="17" s="1"/>
  <c r="L144" i="10"/>
  <c r="L144" i="17" s="1"/>
  <c r="I144" i="10"/>
  <c r="I144" i="17" s="1"/>
  <c r="F144" i="10"/>
  <c r="F144" i="17" s="1"/>
  <c r="C144" i="10"/>
  <c r="C144" i="17" s="1"/>
  <c r="B144" i="10"/>
  <c r="B144" i="17" s="1"/>
  <c r="AP143" i="10"/>
  <c r="AP143" i="17" s="1"/>
  <c r="AM143" i="10"/>
  <c r="AM143" i="17" s="1"/>
  <c r="AJ143" i="10"/>
  <c r="AJ143" i="17" s="1"/>
  <c r="AG143" i="10"/>
  <c r="AG143" i="17" s="1"/>
  <c r="AD143" i="10"/>
  <c r="AD143" i="17" s="1"/>
  <c r="AA143" i="10"/>
  <c r="AA143" i="17" s="1"/>
  <c r="X143" i="10"/>
  <c r="X143" i="17" s="1"/>
  <c r="U143" i="10"/>
  <c r="U143" i="17" s="1"/>
  <c r="R143" i="10"/>
  <c r="R143" i="17" s="1"/>
  <c r="O143" i="10"/>
  <c r="O143" i="17" s="1"/>
  <c r="L143" i="10"/>
  <c r="L143" i="17" s="1"/>
  <c r="I143" i="10"/>
  <c r="I143" i="17" s="1"/>
  <c r="F143" i="10"/>
  <c r="F143" i="17" s="1"/>
  <c r="C143" i="10"/>
  <c r="C143" i="17" s="1"/>
  <c r="B143" i="10"/>
  <c r="B143" i="17" s="1"/>
  <c r="AP142" i="10"/>
  <c r="AP142" i="17" s="1"/>
  <c r="AM142" i="10"/>
  <c r="AM142" i="17" s="1"/>
  <c r="AJ142" i="10"/>
  <c r="AJ142" i="17" s="1"/>
  <c r="AG142" i="10"/>
  <c r="AG142" i="17" s="1"/>
  <c r="AD142" i="10"/>
  <c r="AD142" i="17" s="1"/>
  <c r="AA142" i="10"/>
  <c r="AA142" i="17" s="1"/>
  <c r="X142" i="10"/>
  <c r="X142" i="17" s="1"/>
  <c r="U142" i="10"/>
  <c r="U142" i="17" s="1"/>
  <c r="R142" i="10"/>
  <c r="R142" i="17" s="1"/>
  <c r="O142" i="10"/>
  <c r="O142" i="17" s="1"/>
  <c r="L142" i="10"/>
  <c r="L142" i="17" s="1"/>
  <c r="I142" i="10"/>
  <c r="I142" i="17" s="1"/>
  <c r="F142" i="10"/>
  <c r="F142" i="17" s="1"/>
  <c r="C142" i="10"/>
  <c r="C142" i="17" s="1"/>
  <c r="B142" i="10"/>
  <c r="B142" i="17" s="1"/>
  <c r="AP141" i="10"/>
  <c r="AP141" i="17" s="1"/>
  <c r="AM141" i="10"/>
  <c r="AM141" i="17" s="1"/>
  <c r="AJ141" i="10"/>
  <c r="AJ141" i="17" s="1"/>
  <c r="AG141" i="10"/>
  <c r="AG141" i="17" s="1"/>
  <c r="AD141" i="10"/>
  <c r="AD141" i="17" s="1"/>
  <c r="AA141" i="10"/>
  <c r="AA141" i="17" s="1"/>
  <c r="X141" i="10"/>
  <c r="X141" i="17" s="1"/>
  <c r="U141" i="10"/>
  <c r="U141" i="17" s="1"/>
  <c r="R141" i="10"/>
  <c r="R141" i="17" s="1"/>
  <c r="O141" i="10"/>
  <c r="O141" i="17" s="1"/>
  <c r="L141" i="10"/>
  <c r="L141" i="17" s="1"/>
  <c r="I141" i="10"/>
  <c r="I141" i="17" s="1"/>
  <c r="F141" i="10"/>
  <c r="F141" i="17" s="1"/>
  <c r="C141" i="10"/>
  <c r="C141" i="17" s="1"/>
  <c r="B141" i="10"/>
  <c r="B141" i="17" s="1"/>
  <c r="AP140" i="10"/>
  <c r="AP140" i="17" s="1"/>
  <c r="AM140" i="10"/>
  <c r="AM140" i="17" s="1"/>
  <c r="AJ140" i="10"/>
  <c r="AJ140" i="17" s="1"/>
  <c r="AG140" i="10"/>
  <c r="AG140" i="17" s="1"/>
  <c r="AD140" i="10"/>
  <c r="AD140" i="17" s="1"/>
  <c r="AA140" i="10"/>
  <c r="AA140" i="17" s="1"/>
  <c r="X140" i="10"/>
  <c r="X140" i="17" s="1"/>
  <c r="U140" i="10"/>
  <c r="U140" i="17" s="1"/>
  <c r="R140" i="10"/>
  <c r="R140" i="17" s="1"/>
  <c r="O140" i="10"/>
  <c r="O140" i="17" s="1"/>
  <c r="L140" i="10"/>
  <c r="L140" i="17" s="1"/>
  <c r="I140" i="10"/>
  <c r="I140" i="17" s="1"/>
  <c r="F140" i="10"/>
  <c r="F140" i="17" s="1"/>
  <c r="C140" i="10"/>
  <c r="C140" i="17" s="1"/>
  <c r="B140" i="10"/>
  <c r="B140" i="17" s="1"/>
  <c r="AP139" i="10"/>
  <c r="AP139" i="17" s="1"/>
  <c r="AM139" i="10"/>
  <c r="AM139" i="17" s="1"/>
  <c r="AJ139" i="10"/>
  <c r="AJ139" i="17" s="1"/>
  <c r="AG139" i="10"/>
  <c r="AG139" i="17" s="1"/>
  <c r="AD139" i="10"/>
  <c r="AD139" i="17" s="1"/>
  <c r="AA139" i="10"/>
  <c r="AA139" i="17" s="1"/>
  <c r="X139" i="10"/>
  <c r="X139" i="17" s="1"/>
  <c r="U139" i="10"/>
  <c r="U139" i="17" s="1"/>
  <c r="R139" i="10"/>
  <c r="R139" i="17" s="1"/>
  <c r="O139" i="10"/>
  <c r="O139" i="17" s="1"/>
  <c r="L139" i="10"/>
  <c r="L139" i="17" s="1"/>
  <c r="I139" i="10"/>
  <c r="I139" i="17" s="1"/>
  <c r="F139" i="10"/>
  <c r="F139" i="17" s="1"/>
  <c r="C139" i="10"/>
  <c r="C139" i="17" s="1"/>
  <c r="B139" i="10"/>
  <c r="B139" i="17" s="1"/>
  <c r="AP138" i="10"/>
  <c r="AP138" i="17" s="1"/>
  <c r="AM138" i="10"/>
  <c r="AM138" i="17" s="1"/>
  <c r="AJ138" i="10"/>
  <c r="AJ138" i="17" s="1"/>
  <c r="AG138" i="10"/>
  <c r="AG138" i="17" s="1"/>
  <c r="AD138" i="10"/>
  <c r="AD138" i="17" s="1"/>
  <c r="AA138" i="10"/>
  <c r="AA138" i="17" s="1"/>
  <c r="X138" i="10"/>
  <c r="X138" i="17" s="1"/>
  <c r="U138" i="10"/>
  <c r="U138" i="17" s="1"/>
  <c r="R138" i="10"/>
  <c r="R138" i="17" s="1"/>
  <c r="O138" i="10"/>
  <c r="O138" i="17" s="1"/>
  <c r="L138" i="10"/>
  <c r="L138" i="17" s="1"/>
  <c r="I138" i="10"/>
  <c r="I138" i="17" s="1"/>
  <c r="F138" i="10"/>
  <c r="F138" i="17" s="1"/>
  <c r="C138" i="10"/>
  <c r="C138" i="17" s="1"/>
  <c r="B138" i="10"/>
  <c r="B138" i="17" s="1"/>
  <c r="AP137" i="10"/>
  <c r="AP137" i="17" s="1"/>
  <c r="AM137" i="10"/>
  <c r="AM137" i="17" s="1"/>
  <c r="AJ137" i="10"/>
  <c r="AJ137" i="17" s="1"/>
  <c r="AG137" i="10"/>
  <c r="AG137" i="17" s="1"/>
  <c r="AD137" i="10"/>
  <c r="AD137" i="17" s="1"/>
  <c r="AA137" i="10"/>
  <c r="AA137" i="17" s="1"/>
  <c r="X137" i="10"/>
  <c r="X137" i="17" s="1"/>
  <c r="U137" i="10"/>
  <c r="U137" i="17" s="1"/>
  <c r="R137" i="10"/>
  <c r="R137" i="17" s="1"/>
  <c r="O137" i="10"/>
  <c r="O137" i="17" s="1"/>
  <c r="L137" i="10"/>
  <c r="L137" i="17" s="1"/>
  <c r="I137" i="10"/>
  <c r="I137" i="17" s="1"/>
  <c r="F137" i="10"/>
  <c r="F137" i="17" s="1"/>
  <c r="C137" i="10"/>
  <c r="C137" i="17" s="1"/>
  <c r="B137" i="10"/>
  <c r="B137" i="17" s="1"/>
  <c r="AP136" i="10"/>
  <c r="AP136" i="17" s="1"/>
  <c r="AM136" i="10"/>
  <c r="AM136" i="17" s="1"/>
  <c r="AJ136" i="10"/>
  <c r="AJ136" i="17" s="1"/>
  <c r="AG136" i="10"/>
  <c r="AG136" i="17" s="1"/>
  <c r="AD136" i="10"/>
  <c r="AD136" i="17" s="1"/>
  <c r="AA136" i="10"/>
  <c r="AA136" i="17" s="1"/>
  <c r="X136" i="10"/>
  <c r="X136" i="17" s="1"/>
  <c r="U136" i="10"/>
  <c r="U136" i="17" s="1"/>
  <c r="R136" i="10"/>
  <c r="R136" i="17" s="1"/>
  <c r="O136" i="10"/>
  <c r="O136" i="17" s="1"/>
  <c r="L136" i="10"/>
  <c r="L136" i="17" s="1"/>
  <c r="I136" i="10"/>
  <c r="I136" i="17" s="1"/>
  <c r="F136" i="10"/>
  <c r="F136" i="17" s="1"/>
  <c r="C136" i="10"/>
  <c r="C136" i="17" s="1"/>
  <c r="B136" i="10"/>
  <c r="B136" i="17" s="1"/>
  <c r="AP135" i="10"/>
  <c r="AP135" i="17" s="1"/>
  <c r="AM135" i="10"/>
  <c r="AM135" i="17" s="1"/>
  <c r="AJ135" i="10"/>
  <c r="AJ135" i="17" s="1"/>
  <c r="AG135" i="10"/>
  <c r="AG135" i="17" s="1"/>
  <c r="AD135" i="10"/>
  <c r="AD135" i="17" s="1"/>
  <c r="AA135" i="10"/>
  <c r="AA135" i="17" s="1"/>
  <c r="X135" i="10"/>
  <c r="X135" i="17" s="1"/>
  <c r="U135" i="10"/>
  <c r="U135" i="17" s="1"/>
  <c r="R135" i="10"/>
  <c r="R135" i="17" s="1"/>
  <c r="O135" i="10"/>
  <c r="O135" i="17" s="1"/>
  <c r="L135" i="10"/>
  <c r="L135" i="17" s="1"/>
  <c r="I135" i="10"/>
  <c r="I135" i="17" s="1"/>
  <c r="F135" i="10"/>
  <c r="F135" i="17" s="1"/>
  <c r="C135" i="10"/>
  <c r="C135" i="17" s="1"/>
  <c r="B135" i="10"/>
  <c r="B135" i="17" s="1"/>
  <c r="AP134" i="10"/>
  <c r="AP134" i="17" s="1"/>
  <c r="AM134" i="10"/>
  <c r="AM134" i="17" s="1"/>
  <c r="AJ134" i="10"/>
  <c r="AJ134" i="17" s="1"/>
  <c r="AG134" i="10"/>
  <c r="AG134" i="17" s="1"/>
  <c r="AD134" i="10"/>
  <c r="AD134" i="17" s="1"/>
  <c r="AA134" i="10"/>
  <c r="AA134" i="17" s="1"/>
  <c r="X134" i="10"/>
  <c r="X134" i="17" s="1"/>
  <c r="U134" i="10"/>
  <c r="U134" i="17" s="1"/>
  <c r="R134" i="10"/>
  <c r="R134" i="17" s="1"/>
  <c r="O134" i="10"/>
  <c r="O134" i="17" s="1"/>
  <c r="L134" i="10"/>
  <c r="L134" i="17" s="1"/>
  <c r="I134" i="10"/>
  <c r="I134" i="17" s="1"/>
  <c r="F134" i="10"/>
  <c r="F134" i="17" s="1"/>
  <c r="C134" i="10"/>
  <c r="C134" i="17" s="1"/>
  <c r="B134" i="10"/>
  <c r="B134" i="17" s="1"/>
  <c r="AP133" i="10"/>
  <c r="AP133" i="17" s="1"/>
  <c r="AM133" i="10"/>
  <c r="AM133" i="17" s="1"/>
  <c r="AJ133" i="10"/>
  <c r="AJ133" i="17" s="1"/>
  <c r="AG133" i="10"/>
  <c r="AG133" i="17" s="1"/>
  <c r="AD133" i="10"/>
  <c r="AD133" i="17" s="1"/>
  <c r="AA133" i="10"/>
  <c r="AA133" i="17" s="1"/>
  <c r="X133" i="10"/>
  <c r="X133" i="17" s="1"/>
  <c r="U133" i="10"/>
  <c r="U133" i="17" s="1"/>
  <c r="R133" i="10"/>
  <c r="R133" i="17" s="1"/>
  <c r="O133" i="10"/>
  <c r="O133" i="17" s="1"/>
  <c r="L133" i="10"/>
  <c r="L133" i="17" s="1"/>
  <c r="I133" i="10"/>
  <c r="I133" i="17" s="1"/>
  <c r="F133" i="10"/>
  <c r="F133" i="17" s="1"/>
  <c r="C133" i="10"/>
  <c r="C133" i="17" s="1"/>
  <c r="B133" i="10"/>
  <c r="B133" i="17" s="1"/>
  <c r="AP132" i="10"/>
  <c r="AP132" i="17" s="1"/>
  <c r="AM132" i="10"/>
  <c r="AM132" i="17" s="1"/>
  <c r="AJ132" i="10"/>
  <c r="AJ132" i="17" s="1"/>
  <c r="AG132" i="10"/>
  <c r="AG132" i="17" s="1"/>
  <c r="AD132" i="10"/>
  <c r="AD132" i="17" s="1"/>
  <c r="AA132" i="10"/>
  <c r="AA132" i="17" s="1"/>
  <c r="X132" i="10"/>
  <c r="X132" i="17" s="1"/>
  <c r="U132" i="10"/>
  <c r="U132" i="17" s="1"/>
  <c r="R132" i="10"/>
  <c r="R132" i="17" s="1"/>
  <c r="O132" i="10"/>
  <c r="O132" i="17" s="1"/>
  <c r="L132" i="10"/>
  <c r="L132" i="17" s="1"/>
  <c r="I132" i="10"/>
  <c r="I132" i="17" s="1"/>
  <c r="F132" i="10"/>
  <c r="F132" i="17" s="1"/>
  <c r="C132" i="10"/>
  <c r="C132" i="17" s="1"/>
  <c r="B132" i="10"/>
  <c r="B132" i="17" s="1"/>
  <c r="AP131" i="10"/>
  <c r="AP131" i="17" s="1"/>
  <c r="AM131" i="10"/>
  <c r="AM131" i="17" s="1"/>
  <c r="AJ131" i="10"/>
  <c r="AJ131" i="17" s="1"/>
  <c r="AG131" i="10"/>
  <c r="AG131" i="17" s="1"/>
  <c r="AD131" i="10"/>
  <c r="AD131" i="17" s="1"/>
  <c r="AA131" i="10"/>
  <c r="AA131" i="17" s="1"/>
  <c r="X131" i="10"/>
  <c r="X131" i="17" s="1"/>
  <c r="U131" i="10"/>
  <c r="U131" i="17" s="1"/>
  <c r="R131" i="10"/>
  <c r="R131" i="17" s="1"/>
  <c r="O131" i="10"/>
  <c r="O131" i="17" s="1"/>
  <c r="L131" i="10"/>
  <c r="L131" i="17" s="1"/>
  <c r="I131" i="10"/>
  <c r="I131" i="17" s="1"/>
  <c r="F131" i="10"/>
  <c r="F131" i="17" s="1"/>
  <c r="C131" i="10"/>
  <c r="C131" i="17" s="1"/>
  <c r="B131" i="10"/>
  <c r="B131" i="17" s="1"/>
  <c r="AP130" i="10"/>
  <c r="AP130" i="17" s="1"/>
  <c r="AM130" i="10"/>
  <c r="AM130" i="17" s="1"/>
  <c r="AJ130" i="10"/>
  <c r="AJ130" i="17" s="1"/>
  <c r="AG130" i="10"/>
  <c r="AG130" i="17" s="1"/>
  <c r="AD130" i="10"/>
  <c r="AD130" i="17" s="1"/>
  <c r="AA130" i="10"/>
  <c r="AA130" i="17" s="1"/>
  <c r="X130" i="10"/>
  <c r="X130" i="17" s="1"/>
  <c r="U130" i="10"/>
  <c r="U130" i="17" s="1"/>
  <c r="R130" i="10"/>
  <c r="R130" i="17" s="1"/>
  <c r="O130" i="10"/>
  <c r="O130" i="17" s="1"/>
  <c r="L130" i="10"/>
  <c r="L130" i="17" s="1"/>
  <c r="I130" i="10"/>
  <c r="I130" i="17" s="1"/>
  <c r="F130" i="10"/>
  <c r="F130" i="17" s="1"/>
  <c r="C130" i="10"/>
  <c r="C130" i="17" s="1"/>
  <c r="B130" i="10"/>
  <c r="B130" i="17" s="1"/>
  <c r="AP129" i="10"/>
  <c r="AP129" i="17" s="1"/>
  <c r="AM129" i="10"/>
  <c r="AM129" i="17" s="1"/>
  <c r="AJ129" i="10"/>
  <c r="AJ129" i="17" s="1"/>
  <c r="AG129" i="10"/>
  <c r="AG129" i="17" s="1"/>
  <c r="AD129" i="10"/>
  <c r="AD129" i="17" s="1"/>
  <c r="AA129" i="10"/>
  <c r="AA129" i="17" s="1"/>
  <c r="X129" i="10"/>
  <c r="X129" i="17" s="1"/>
  <c r="U129" i="10"/>
  <c r="U129" i="17" s="1"/>
  <c r="R129" i="10"/>
  <c r="R129" i="17" s="1"/>
  <c r="O129" i="10"/>
  <c r="O129" i="17" s="1"/>
  <c r="L129" i="10"/>
  <c r="L129" i="17" s="1"/>
  <c r="I129" i="10"/>
  <c r="I129" i="17" s="1"/>
  <c r="F129" i="10"/>
  <c r="F129" i="17" s="1"/>
  <c r="C129" i="10"/>
  <c r="C129" i="17" s="1"/>
  <c r="B129" i="10"/>
  <c r="B129" i="17" s="1"/>
  <c r="AP128" i="10"/>
  <c r="AP128" i="17" s="1"/>
  <c r="AM128" i="10"/>
  <c r="AM128" i="17" s="1"/>
  <c r="AJ128" i="10"/>
  <c r="AJ128" i="17" s="1"/>
  <c r="AG128" i="10"/>
  <c r="AG128" i="17" s="1"/>
  <c r="AD128" i="10"/>
  <c r="AD128" i="17" s="1"/>
  <c r="AA128" i="10"/>
  <c r="AA128" i="17" s="1"/>
  <c r="X128" i="10"/>
  <c r="X128" i="17" s="1"/>
  <c r="U128" i="10"/>
  <c r="U128" i="17" s="1"/>
  <c r="R128" i="10"/>
  <c r="R128" i="17" s="1"/>
  <c r="O128" i="10"/>
  <c r="O128" i="17" s="1"/>
  <c r="L128" i="10"/>
  <c r="L128" i="17" s="1"/>
  <c r="I128" i="10"/>
  <c r="I128" i="17" s="1"/>
  <c r="F128" i="10"/>
  <c r="F128" i="17" s="1"/>
  <c r="C128" i="10"/>
  <c r="C128" i="17" s="1"/>
  <c r="B128" i="10"/>
  <c r="B128" i="17" s="1"/>
  <c r="AP127" i="10"/>
  <c r="AP127" i="17" s="1"/>
  <c r="AM127" i="10"/>
  <c r="AM127" i="17" s="1"/>
  <c r="AJ127" i="10"/>
  <c r="AJ127" i="17" s="1"/>
  <c r="AG127" i="10"/>
  <c r="AG127" i="17" s="1"/>
  <c r="AD127" i="10"/>
  <c r="AD127" i="17" s="1"/>
  <c r="AA127" i="10"/>
  <c r="AA127" i="17" s="1"/>
  <c r="X127" i="10"/>
  <c r="X127" i="17" s="1"/>
  <c r="U127" i="10"/>
  <c r="U127" i="17" s="1"/>
  <c r="R127" i="10"/>
  <c r="R127" i="17" s="1"/>
  <c r="O127" i="10"/>
  <c r="O127" i="17" s="1"/>
  <c r="L127" i="10"/>
  <c r="L127" i="17" s="1"/>
  <c r="I127" i="10"/>
  <c r="I127" i="17" s="1"/>
  <c r="F127" i="10"/>
  <c r="F127" i="17" s="1"/>
  <c r="C127" i="10"/>
  <c r="C127" i="17" s="1"/>
  <c r="B127" i="10"/>
  <c r="B127" i="17" s="1"/>
  <c r="AP126" i="10"/>
  <c r="AP126" i="17" s="1"/>
  <c r="AM126" i="10"/>
  <c r="AM126" i="17" s="1"/>
  <c r="AJ126" i="10"/>
  <c r="AJ126" i="17" s="1"/>
  <c r="AG126" i="10"/>
  <c r="AG126" i="17" s="1"/>
  <c r="AD126" i="10"/>
  <c r="AD126" i="17" s="1"/>
  <c r="AA126" i="10"/>
  <c r="AA126" i="17" s="1"/>
  <c r="X126" i="10"/>
  <c r="X126" i="17" s="1"/>
  <c r="U126" i="10"/>
  <c r="U126" i="17" s="1"/>
  <c r="R126" i="10"/>
  <c r="R126" i="17" s="1"/>
  <c r="O126" i="10"/>
  <c r="O126" i="17" s="1"/>
  <c r="L126" i="10"/>
  <c r="L126" i="17" s="1"/>
  <c r="I126" i="10"/>
  <c r="I126" i="17" s="1"/>
  <c r="F126" i="10"/>
  <c r="F126" i="17" s="1"/>
  <c r="C126" i="10"/>
  <c r="C126" i="17" s="1"/>
  <c r="B126" i="10"/>
  <c r="B126" i="17" s="1"/>
  <c r="AP125" i="10"/>
  <c r="AP125" i="17" s="1"/>
  <c r="AM125" i="10"/>
  <c r="AM125" i="17" s="1"/>
  <c r="AJ125" i="10"/>
  <c r="AJ125" i="17" s="1"/>
  <c r="AG125" i="10"/>
  <c r="AG125" i="17" s="1"/>
  <c r="AD125" i="10"/>
  <c r="AD125" i="17" s="1"/>
  <c r="AA125" i="10"/>
  <c r="AA125" i="17" s="1"/>
  <c r="X125" i="10"/>
  <c r="X125" i="17" s="1"/>
  <c r="U125" i="10"/>
  <c r="U125" i="17" s="1"/>
  <c r="R125" i="10"/>
  <c r="R125" i="17" s="1"/>
  <c r="O125" i="10"/>
  <c r="O125" i="17" s="1"/>
  <c r="L125" i="10"/>
  <c r="L125" i="17" s="1"/>
  <c r="I125" i="10"/>
  <c r="I125" i="17" s="1"/>
  <c r="F125" i="10"/>
  <c r="F125" i="17" s="1"/>
  <c r="C125" i="10"/>
  <c r="C125" i="17" s="1"/>
  <c r="B125" i="10"/>
  <c r="B125" i="17" s="1"/>
  <c r="AP124" i="10"/>
  <c r="AP124" i="17" s="1"/>
  <c r="AM124" i="10"/>
  <c r="AM124" i="17" s="1"/>
  <c r="AJ124" i="10"/>
  <c r="AJ124" i="17" s="1"/>
  <c r="AG124" i="10"/>
  <c r="AG124" i="17" s="1"/>
  <c r="AD124" i="10"/>
  <c r="AD124" i="17" s="1"/>
  <c r="AA124" i="10"/>
  <c r="AA124" i="17" s="1"/>
  <c r="X124" i="10"/>
  <c r="X124" i="17" s="1"/>
  <c r="U124" i="10"/>
  <c r="U124" i="17" s="1"/>
  <c r="R124" i="10"/>
  <c r="R124" i="17" s="1"/>
  <c r="O124" i="10"/>
  <c r="O124" i="17" s="1"/>
  <c r="L124" i="10"/>
  <c r="L124" i="17" s="1"/>
  <c r="I124" i="10"/>
  <c r="I124" i="17" s="1"/>
  <c r="F124" i="10"/>
  <c r="F124" i="17" s="1"/>
  <c r="C124" i="10"/>
  <c r="C124" i="17" s="1"/>
  <c r="B124" i="10"/>
  <c r="B124" i="17" s="1"/>
  <c r="AP123" i="10"/>
  <c r="AP123" i="17" s="1"/>
  <c r="AM123" i="10"/>
  <c r="AM123" i="17" s="1"/>
  <c r="AJ123" i="10"/>
  <c r="AJ123" i="17" s="1"/>
  <c r="AG123" i="10"/>
  <c r="AG123" i="17" s="1"/>
  <c r="AD123" i="10"/>
  <c r="AD123" i="17" s="1"/>
  <c r="AA123" i="10"/>
  <c r="AA123" i="17" s="1"/>
  <c r="X123" i="10"/>
  <c r="X123" i="17" s="1"/>
  <c r="U123" i="10"/>
  <c r="U123" i="17" s="1"/>
  <c r="R123" i="10"/>
  <c r="R123" i="17" s="1"/>
  <c r="O123" i="10"/>
  <c r="O123" i="17" s="1"/>
  <c r="L123" i="10"/>
  <c r="L123" i="17" s="1"/>
  <c r="I123" i="10"/>
  <c r="I123" i="17" s="1"/>
  <c r="F123" i="10"/>
  <c r="F123" i="17" s="1"/>
  <c r="C123" i="10"/>
  <c r="C123" i="17" s="1"/>
  <c r="B123" i="10"/>
  <c r="B123" i="17" s="1"/>
  <c r="AP122" i="10"/>
  <c r="AP122" i="17" s="1"/>
  <c r="AM122" i="10"/>
  <c r="AM122" i="17" s="1"/>
  <c r="AJ122" i="10"/>
  <c r="AJ122" i="17" s="1"/>
  <c r="AG122" i="10"/>
  <c r="AG122" i="17" s="1"/>
  <c r="AD122" i="10"/>
  <c r="AD122" i="17" s="1"/>
  <c r="AA122" i="10"/>
  <c r="AA122" i="17" s="1"/>
  <c r="X122" i="10"/>
  <c r="X122" i="17" s="1"/>
  <c r="U122" i="10"/>
  <c r="U122" i="17" s="1"/>
  <c r="R122" i="10"/>
  <c r="R122" i="17" s="1"/>
  <c r="O122" i="10"/>
  <c r="O122" i="17" s="1"/>
  <c r="L122" i="10"/>
  <c r="L122" i="17" s="1"/>
  <c r="I122" i="10"/>
  <c r="I122" i="17" s="1"/>
  <c r="F122" i="10"/>
  <c r="F122" i="17" s="1"/>
  <c r="C122" i="10"/>
  <c r="C122" i="17" s="1"/>
  <c r="B122" i="10"/>
  <c r="B122" i="17" s="1"/>
  <c r="AP121" i="10"/>
  <c r="AP121" i="17" s="1"/>
  <c r="AM121" i="10"/>
  <c r="AM121" i="17" s="1"/>
  <c r="AJ121" i="10"/>
  <c r="AJ121" i="17" s="1"/>
  <c r="AG121" i="10"/>
  <c r="AG121" i="17" s="1"/>
  <c r="AD121" i="10"/>
  <c r="AD121" i="17" s="1"/>
  <c r="AA121" i="10"/>
  <c r="AA121" i="17" s="1"/>
  <c r="X121" i="10"/>
  <c r="X121" i="17" s="1"/>
  <c r="U121" i="10"/>
  <c r="U121" i="17" s="1"/>
  <c r="R121" i="10"/>
  <c r="R121" i="17" s="1"/>
  <c r="O121" i="10"/>
  <c r="O121" i="17" s="1"/>
  <c r="L121" i="10"/>
  <c r="L121" i="17" s="1"/>
  <c r="I121" i="10"/>
  <c r="I121" i="17" s="1"/>
  <c r="F121" i="10"/>
  <c r="F121" i="17" s="1"/>
  <c r="C121" i="10"/>
  <c r="C121" i="17" s="1"/>
  <c r="B121" i="10"/>
  <c r="B121" i="17" s="1"/>
  <c r="AP120" i="10"/>
  <c r="AP120" i="17" s="1"/>
  <c r="AM120" i="10"/>
  <c r="AM120" i="17" s="1"/>
  <c r="AJ120" i="10"/>
  <c r="AJ120" i="17" s="1"/>
  <c r="AG120" i="10"/>
  <c r="AG120" i="17" s="1"/>
  <c r="AD120" i="10"/>
  <c r="AD120" i="17" s="1"/>
  <c r="AA120" i="10"/>
  <c r="AA120" i="17" s="1"/>
  <c r="X120" i="10"/>
  <c r="X120" i="17" s="1"/>
  <c r="U120" i="10"/>
  <c r="U120" i="17" s="1"/>
  <c r="R120" i="10"/>
  <c r="R120" i="17" s="1"/>
  <c r="O120" i="10"/>
  <c r="O120" i="17" s="1"/>
  <c r="L120" i="10"/>
  <c r="L120" i="17" s="1"/>
  <c r="I120" i="10"/>
  <c r="I120" i="17" s="1"/>
  <c r="F120" i="10"/>
  <c r="F120" i="17" s="1"/>
  <c r="C120" i="10"/>
  <c r="C120" i="17" s="1"/>
  <c r="B120" i="10"/>
  <c r="B120" i="17" s="1"/>
  <c r="AP119" i="10"/>
  <c r="AP119" i="17" s="1"/>
  <c r="AM119" i="10"/>
  <c r="AM119" i="17" s="1"/>
  <c r="AJ119" i="10"/>
  <c r="AJ119" i="17" s="1"/>
  <c r="AG119" i="10"/>
  <c r="AG119" i="17" s="1"/>
  <c r="AD119" i="10"/>
  <c r="AD119" i="17" s="1"/>
  <c r="AA119" i="10"/>
  <c r="AA119" i="17" s="1"/>
  <c r="X119" i="10"/>
  <c r="X119" i="17" s="1"/>
  <c r="U119" i="10"/>
  <c r="U119" i="17" s="1"/>
  <c r="R119" i="10"/>
  <c r="R119" i="17" s="1"/>
  <c r="O119" i="10"/>
  <c r="O119" i="17" s="1"/>
  <c r="L119" i="10"/>
  <c r="L119" i="17" s="1"/>
  <c r="I119" i="10"/>
  <c r="I119" i="17" s="1"/>
  <c r="F119" i="10"/>
  <c r="F119" i="17" s="1"/>
  <c r="C119" i="10"/>
  <c r="C119" i="17" s="1"/>
  <c r="B119" i="10"/>
  <c r="B119" i="17" s="1"/>
  <c r="AP118" i="10"/>
  <c r="AP118" i="17" s="1"/>
  <c r="AM118" i="10"/>
  <c r="AM118" i="17" s="1"/>
  <c r="AJ118" i="10"/>
  <c r="AJ118" i="17" s="1"/>
  <c r="AG118" i="10"/>
  <c r="AG118" i="17" s="1"/>
  <c r="AD118" i="10"/>
  <c r="AD118" i="17" s="1"/>
  <c r="AA118" i="10"/>
  <c r="AA118" i="17" s="1"/>
  <c r="X118" i="10"/>
  <c r="X118" i="17" s="1"/>
  <c r="U118" i="10"/>
  <c r="U118" i="17" s="1"/>
  <c r="R118" i="10"/>
  <c r="R118" i="17" s="1"/>
  <c r="O118" i="10"/>
  <c r="O118" i="17" s="1"/>
  <c r="L118" i="10"/>
  <c r="L118" i="17" s="1"/>
  <c r="I118" i="10"/>
  <c r="I118" i="17" s="1"/>
  <c r="F118" i="10"/>
  <c r="F118" i="17" s="1"/>
  <c r="C118" i="10"/>
  <c r="C118" i="17" s="1"/>
  <c r="B118" i="10"/>
  <c r="B118" i="17" s="1"/>
  <c r="AP117" i="10"/>
  <c r="AP117" i="17" s="1"/>
  <c r="AM117" i="10"/>
  <c r="AM117" i="17" s="1"/>
  <c r="AJ117" i="10"/>
  <c r="AJ117" i="17" s="1"/>
  <c r="AG117" i="10"/>
  <c r="AG117" i="17" s="1"/>
  <c r="AD117" i="10"/>
  <c r="AD117" i="17" s="1"/>
  <c r="AA117" i="10"/>
  <c r="AA117" i="17" s="1"/>
  <c r="X117" i="10"/>
  <c r="X117" i="17" s="1"/>
  <c r="U117" i="10"/>
  <c r="U117" i="17" s="1"/>
  <c r="R117" i="10"/>
  <c r="R117" i="17" s="1"/>
  <c r="O117" i="10"/>
  <c r="O117" i="17" s="1"/>
  <c r="L117" i="10"/>
  <c r="L117" i="17" s="1"/>
  <c r="I117" i="10"/>
  <c r="I117" i="17" s="1"/>
  <c r="F117" i="10"/>
  <c r="F117" i="17" s="1"/>
  <c r="C117" i="10"/>
  <c r="C117" i="17" s="1"/>
  <c r="B117" i="10"/>
  <c r="B117" i="17" s="1"/>
  <c r="AP116" i="10"/>
  <c r="AP116" i="17" s="1"/>
  <c r="AM116" i="10"/>
  <c r="AM116" i="17" s="1"/>
  <c r="AJ116" i="10"/>
  <c r="AJ116" i="17" s="1"/>
  <c r="AG116" i="10"/>
  <c r="AG116" i="17" s="1"/>
  <c r="AD116" i="10"/>
  <c r="AD116" i="17" s="1"/>
  <c r="AA116" i="10"/>
  <c r="AA116" i="17" s="1"/>
  <c r="X116" i="10"/>
  <c r="X116" i="17" s="1"/>
  <c r="U116" i="10"/>
  <c r="U116" i="17" s="1"/>
  <c r="R116" i="10"/>
  <c r="R116" i="17" s="1"/>
  <c r="O116" i="10"/>
  <c r="O116" i="17" s="1"/>
  <c r="L116" i="10"/>
  <c r="L116" i="17" s="1"/>
  <c r="I116" i="10"/>
  <c r="I116" i="17" s="1"/>
  <c r="F116" i="10"/>
  <c r="F116" i="17" s="1"/>
  <c r="C116" i="10"/>
  <c r="C116" i="17" s="1"/>
  <c r="B116" i="10"/>
  <c r="B116" i="17" s="1"/>
  <c r="AP115" i="10"/>
  <c r="AP115" i="17" s="1"/>
  <c r="AM115" i="10"/>
  <c r="AM115" i="17" s="1"/>
  <c r="AJ115" i="10"/>
  <c r="AJ115" i="17" s="1"/>
  <c r="AG115" i="10"/>
  <c r="AG115" i="17" s="1"/>
  <c r="AD115" i="10"/>
  <c r="AD115" i="17" s="1"/>
  <c r="AA115" i="10"/>
  <c r="AA115" i="17" s="1"/>
  <c r="X115" i="10"/>
  <c r="X115" i="17" s="1"/>
  <c r="U115" i="10"/>
  <c r="U115" i="17" s="1"/>
  <c r="R115" i="10"/>
  <c r="R115" i="17" s="1"/>
  <c r="O115" i="10"/>
  <c r="O115" i="17" s="1"/>
  <c r="L115" i="10"/>
  <c r="L115" i="17" s="1"/>
  <c r="I115" i="10"/>
  <c r="I115" i="17" s="1"/>
  <c r="F115" i="10"/>
  <c r="F115" i="17" s="1"/>
  <c r="C115" i="10"/>
  <c r="C115" i="17" s="1"/>
  <c r="B115" i="10"/>
  <c r="B115" i="17" s="1"/>
  <c r="AP114" i="10"/>
  <c r="AP114" i="17" s="1"/>
  <c r="AM114" i="10"/>
  <c r="AM114" i="17" s="1"/>
  <c r="AJ114" i="10"/>
  <c r="AJ114" i="17" s="1"/>
  <c r="AG114" i="10"/>
  <c r="AG114" i="17" s="1"/>
  <c r="AD114" i="10"/>
  <c r="AD114" i="17" s="1"/>
  <c r="AA114" i="10"/>
  <c r="AA114" i="17" s="1"/>
  <c r="X114" i="10"/>
  <c r="X114" i="17" s="1"/>
  <c r="U114" i="10"/>
  <c r="U114" i="17" s="1"/>
  <c r="R114" i="10"/>
  <c r="R114" i="17" s="1"/>
  <c r="O114" i="10"/>
  <c r="O114" i="17" s="1"/>
  <c r="L114" i="10"/>
  <c r="L114" i="17" s="1"/>
  <c r="I114" i="10"/>
  <c r="I114" i="17" s="1"/>
  <c r="F114" i="10"/>
  <c r="F114" i="17" s="1"/>
  <c r="C114" i="10"/>
  <c r="C114" i="17" s="1"/>
  <c r="B114" i="10"/>
  <c r="B114" i="17" s="1"/>
  <c r="AP113" i="10"/>
  <c r="AP113" i="17" s="1"/>
  <c r="AM113" i="10"/>
  <c r="AM113" i="17" s="1"/>
  <c r="AJ113" i="10"/>
  <c r="AJ113" i="17" s="1"/>
  <c r="AG113" i="10"/>
  <c r="AG113" i="17" s="1"/>
  <c r="AD113" i="10"/>
  <c r="AD113" i="17" s="1"/>
  <c r="AA113" i="10"/>
  <c r="AA113" i="17" s="1"/>
  <c r="X113" i="10"/>
  <c r="X113" i="17" s="1"/>
  <c r="U113" i="10"/>
  <c r="U113" i="17" s="1"/>
  <c r="R113" i="10"/>
  <c r="R113" i="17" s="1"/>
  <c r="O113" i="10"/>
  <c r="O113" i="17" s="1"/>
  <c r="L113" i="10"/>
  <c r="L113" i="17" s="1"/>
  <c r="I113" i="10"/>
  <c r="I113" i="17" s="1"/>
  <c r="F113" i="10"/>
  <c r="F113" i="17" s="1"/>
  <c r="C113" i="10"/>
  <c r="C113" i="17" s="1"/>
  <c r="B113" i="10"/>
  <c r="B113" i="17" s="1"/>
  <c r="AP112" i="10"/>
  <c r="AP112" i="17" s="1"/>
  <c r="AM112" i="10"/>
  <c r="AM112" i="17" s="1"/>
  <c r="AJ112" i="10"/>
  <c r="AJ112" i="17" s="1"/>
  <c r="AG112" i="10"/>
  <c r="AG112" i="17" s="1"/>
  <c r="AD112" i="10"/>
  <c r="AD112" i="17" s="1"/>
  <c r="AA112" i="10"/>
  <c r="AA112" i="17" s="1"/>
  <c r="X112" i="10"/>
  <c r="X112" i="17" s="1"/>
  <c r="U112" i="10"/>
  <c r="U112" i="17" s="1"/>
  <c r="R112" i="10"/>
  <c r="R112" i="17" s="1"/>
  <c r="O112" i="10"/>
  <c r="O112" i="17" s="1"/>
  <c r="L112" i="10"/>
  <c r="L112" i="17" s="1"/>
  <c r="I112" i="10"/>
  <c r="I112" i="17" s="1"/>
  <c r="F112" i="10"/>
  <c r="F112" i="17" s="1"/>
  <c r="C112" i="10"/>
  <c r="C112" i="17" s="1"/>
  <c r="B112" i="10"/>
  <c r="B112" i="17" s="1"/>
  <c r="AP111" i="10"/>
  <c r="AP111" i="17" s="1"/>
  <c r="AM111" i="10"/>
  <c r="AM111" i="17" s="1"/>
  <c r="AJ111" i="10"/>
  <c r="AJ111" i="17" s="1"/>
  <c r="AG111" i="10"/>
  <c r="AG111" i="17" s="1"/>
  <c r="AD111" i="10"/>
  <c r="AD111" i="17" s="1"/>
  <c r="AA111" i="10"/>
  <c r="AA111" i="17" s="1"/>
  <c r="X111" i="10"/>
  <c r="X111" i="17" s="1"/>
  <c r="U111" i="10"/>
  <c r="U111" i="17" s="1"/>
  <c r="R111" i="10"/>
  <c r="R111" i="17" s="1"/>
  <c r="O111" i="10"/>
  <c r="O111" i="17" s="1"/>
  <c r="L111" i="10"/>
  <c r="L111" i="17" s="1"/>
  <c r="I111" i="10"/>
  <c r="I111" i="17" s="1"/>
  <c r="F111" i="10"/>
  <c r="F111" i="17" s="1"/>
  <c r="C111" i="10"/>
  <c r="C111" i="17" s="1"/>
  <c r="B111" i="10"/>
  <c r="B111" i="17" s="1"/>
  <c r="AP110" i="10"/>
  <c r="AP110" i="17" s="1"/>
  <c r="AM110" i="10"/>
  <c r="AM110" i="17" s="1"/>
  <c r="AJ110" i="10"/>
  <c r="AJ110" i="17" s="1"/>
  <c r="AG110" i="10"/>
  <c r="AG110" i="17" s="1"/>
  <c r="AD110" i="10"/>
  <c r="AD110" i="17" s="1"/>
  <c r="AA110" i="10"/>
  <c r="AA110" i="17" s="1"/>
  <c r="X110" i="10"/>
  <c r="X110" i="17" s="1"/>
  <c r="U110" i="10"/>
  <c r="U110" i="17" s="1"/>
  <c r="R110" i="10"/>
  <c r="R110" i="17" s="1"/>
  <c r="O110" i="10"/>
  <c r="O110" i="17" s="1"/>
  <c r="L110" i="10"/>
  <c r="L110" i="17" s="1"/>
  <c r="I110" i="10"/>
  <c r="I110" i="17" s="1"/>
  <c r="F110" i="10"/>
  <c r="F110" i="17" s="1"/>
  <c r="C110" i="10"/>
  <c r="C110" i="17" s="1"/>
  <c r="B110" i="10"/>
  <c r="B110" i="17" s="1"/>
  <c r="AP109" i="10"/>
  <c r="AP109" i="17" s="1"/>
  <c r="AM109" i="10"/>
  <c r="AM109" i="17" s="1"/>
  <c r="AJ109" i="10"/>
  <c r="AJ109" i="17" s="1"/>
  <c r="AG109" i="10"/>
  <c r="AG109" i="17" s="1"/>
  <c r="AD109" i="10"/>
  <c r="AD109" i="17" s="1"/>
  <c r="AA109" i="10"/>
  <c r="AA109" i="17" s="1"/>
  <c r="X109" i="10"/>
  <c r="X109" i="17" s="1"/>
  <c r="U109" i="10"/>
  <c r="U109" i="17" s="1"/>
  <c r="R109" i="10"/>
  <c r="R109" i="17" s="1"/>
  <c r="O109" i="10"/>
  <c r="O109" i="17" s="1"/>
  <c r="L109" i="10"/>
  <c r="L109" i="17" s="1"/>
  <c r="I109" i="10"/>
  <c r="I109" i="17" s="1"/>
  <c r="F109" i="10"/>
  <c r="F109" i="17" s="1"/>
  <c r="C109" i="10"/>
  <c r="C109" i="17" s="1"/>
  <c r="B109" i="10"/>
  <c r="B109" i="17" s="1"/>
  <c r="AP108" i="10"/>
  <c r="AP108" i="17" s="1"/>
  <c r="AM108" i="10"/>
  <c r="AM108" i="17" s="1"/>
  <c r="AJ108" i="10"/>
  <c r="AJ108" i="17" s="1"/>
  <c r="AG108" i="10"/>
  <c r="AG108" i="17" s="1"/>
  <c r="AD108" i="10"/>
  <c r="AD108" i="17" s="1"/>
  <c r="AA108" i="10"/>
  <c r="AA108" i="17" s="1"/>
  <c r="X108" i="10"/>
  <c r="X108" i="17" s="1"/>
  <c r="U108" i="10"/>
  <c r="U108" i="17" s="1"/>
  <c r="R108" i="10"/>
  <c r="R108" i="17" s="1"/>
  <c r="O108" i="10"/>
  <c r="O108" i="17" s="1"/>
  <c r="L108" i="10"/>
  <c r="L108" i="17" s="1"/>
  <c r="I108" i="10"/>
  <c r="I108" i="17" s="1"/>
  <c r="F108" i="10"/>
  <c r="F108" i="17" s="1"/>
  <c r="C108" i="10"/>
  <c r="C108" i="17" s="1"/>
  <c r="B108" i="10"/>
  <c r="B108" i="17" s="1"/>
  <c r="AP107" i="10"/>
  <c r="AP107" i="17" s="1"/>
  <c r="AM107" i="10"/>
  <c r="AM107" i="17" s="1"/>
  <c r="AJ107" i="10"/>
  <c r="AJ107" i="17" s="1"/>
  <c r="AG107" i="10"/>
  <c r="AG107" i="17" s="1"/>
  <c r="AD107" i="10"/>
  <c r="AD107" i="17" s="1"/>
  <c r="AA107" i="10"/>
  <c r="AA107" i="17" s="1"/>
  <c r="X107" i="10"/>
  <c r="X107" i="17" s="1"/>
  <c r="U107" i="10"/>
  <c r="U107" i="17" s="1"/>
  <c r="R107" i="10"/>
  <c r="R107" i="17" s="1"/>
  <c r="O107" i="10"/>
  <c r="O107" i="17" s="1"/>
  <c r="L107" i="10"/>
  <c r="L107" i="17" s="1"/>
  <c r="I107" i="10"/>
  <c r="I107" i="17" s="1"/>
  <c r="F107" i="10"/>
  <c r="F107" i="17" s="1"/>
  <c r="C107" i="10"/>
  <c r="C107" i="17" s="1"/>
  <c r="B107" i="10"/>
  <c r="B107" i="17" s="1"/>
  <c r="AP106" i="10"/>
  <c r="AP106" i="17" s="1"/>
  <c r="AM106" i="10"/>
  <c r="AM106" i="17" s="1"/>
  <c r="AJ106" i="10"/>
  <c r="AJ106" i="17" s="1"/>
  <c r="AG106" i="10"/>
  <c r="AG106" i="17" s="1"/>
  <c r="AD106" i="10"/>
  <c r="AD106" i="17" s="1"/>
  <c r="AA106" i="10"/>
  <c r="AA106" i="17" s="1"/>
  <c r="X106" i="10"/>
  <c r="X106" i="17" s="1"/>
  <c r="U106" i="10"/>
  <c r="U106" i="17" s="1"/>
  <c r="R106" i="10"/>
  <c r="R106" i="17" s="1"/>
  <c r="O106" i="10"/>
  <c r="O106" i="17" s="1"/>
  <c r="L106" i="10"/>
  <c r="L106" i="17" s="1"/>
  <c r="I106" i="10"/>
  <c r="I106" i="17" s="1"/>
  <c r="F106" i="10"/>
  <c r="F106" i="17" s="1"/>
  <c r="C106" i="10"/>
  <c r="C106" i="17" s="1"/>
  <c r="B106" i="10"/>
  <c r="B106" i="17" s="1"/>
  <c r="AP105" i="10"/>
  <c r="AP105" i="17" s="1"/>
  <c r="AM105" i="10"/>
  <c r="AM105" i="17" s="1"/>
  <c r="AJ105" i="10"/>
  <c r="AJ105" i="17" s="1"/>
  <c r="AG105" i="10"/>
  <c r="AG105" i="17" s="1"/>
  <c r="AD105" i="10"/>
  <c r="AD105" i="17" s="1"/>
  <c r="AA105" i="10"/>
  <c r="AA105" i="17" s="1"/>
  <c r="X105" i="10"/>
  <c r="X105" i="17" s="1"/>
  <c r="U105" i="10"/>
  <c r="U105" i="17" s="1"/>
  <c r="R105" i="10"/>
  <c r="R105" i="17" s="1"/>
  <c r="O105" i="10"/>
  <c r="O105" i="17" s="1"/>
  <c r="L105" i="10"/>
  <c r="L105" i="17" s="1"/>
  <c r="I105" i="10"/>
  <c r="I105" i="17" s="1"/>
  <c r="F105" i="10"/>
  <c r="F105" i="17" s="1"/>
  <c r="C105" i="10"/>
  <c r="C105" i="17" s="1"/>
  <c r="B105" i="10"/>
  <c r="B105" i="17" s="1"/>
  <c r="AP104" i="10"/>
  <c r="AP104" i="17" s="1"/>
  <c r="AM104" i="10"/>
  <c r="AM104" i="17" s="1"/>
  <c r="AJ104" i="10"/>
  <c r="AJ104" i="17" s="1"/>
  <c r="AG104" i="10"/>
  <c r="AG104" i="17" s="1"/>
  <c r="AD104" i="10"/>
  <c r="AD104" i="17" s="1"/>
  <c r="AA104" i="10"/>
  <c r="AA104" i="17" s="1"/>
  <c r="X104" i="10"/>
  <c r="X104" i="17" s="1"/>
  <c r="U104" i="10"/>
  <c r="U104" i="17" s="1"/>
  <c r="R104" i="10"/>
  <c r="R104" i="17" s="1"/>
  <c r="O104" i="10"/>
  <c r="O104" i="17" s="1"/>
  <c r="L104" i="10"/>
  <c r="L104" i="17" s="1"/>
  <c r="I104" i="10"/>
  <c r="I104" i="17" s="1"/>
  <c r="F104" i="10"/>
  <c r="F104" i="17" s="1"/>
  <c r="C104" i="10"/>
  <c r="C104" i="17" s="1"/>
  <c r="B104" i="10"/>
  <c r="B104" i="17" s="1"/>
  <c r="AP103" i="10"/>
  <c r="AP103" i="17" s="1"/>
  <c r="AM103" i="10"/>
  <c r="AM103" i="17" s="1"/>
  <c r="AJ103" i="10"/>
  <c r="AJ103" i="17" s="1"/>
  <c r="AG103" i="10"/>
  <c r="AG103" i="17" s="1"/>
  <c r="AD103" i="10"/>
  <c r="AD103" i="17" s="1"/>
  <c r="AA103" i="10"/>
  <c r="AA103" i="17" s="1"/>
  <c r="X103" i="10"/>
  <c r="X103" i="17" s="1"/>
  <c r="U103" i="10"/>
  <c r="U103" i="17" s="1"/>
  <c r="R103" i="10"/>
  <c r="R103" i="17" s="1"/>
  <c r="O103" i="10"/>
  <c r="O103" i="17" s="1"/>
  <c r="L103" i="10"/>
  <c r="L103" i="17" s="1"/>
  <c r="I103" i="10"/>
  <c r="I103" i="17" s="1"/>
  <c r="F103" i="10"/>
  <c r="F103" i="17" s="1"/>
  <c r="C103" i="10"/>
  <c r="C103" i="17" s="1"/>
  <c r="B103" i="10"/>
  <c r="B103" i="17" s="1"/>
  <c r="AP102" i="10"/>
  <c r="AP102" i="17" s="1"/>
  <c r="AM102" i="10"/>
  <c r="AM102" i="17" s="1"/>
  <c r="AJ102" i="10"/>
  <c r="AJ102" i="17" s="1"/>
  <c r="AG102" i="10"/>
  <c r="AG102" i="17" s="1"/>
  <c r="AD102" i="10"/>
  <c r="AD102" i="17" s="1"/>
  <c r="AA102" i="10"/>
  <c r="AA102" i="17" s="1"/>
  <c r="X102" i="10"/>
  <c r="X102" i="17" s="1"/>
  <c r="U102" i="10"/>
  <c r="U102" i="17" s="1"/>
  <c r="R102" i="10"/>
  <c r="R102" i="17" s="1"/>
  <c r="O102" i="10"/>
  <c r="O102" i="17" s="1"/>
  <c r="L102" i="10"/>
  <c r="L102" i="17" s="1"/>
  <c r="I102" i="10"/>
  <c r="I102" i="17" s="1"/>
  <c r="F102" i="10"/>
  <c r="F102" i="17" s="1"/>
  <c r="C102" i="10"/>
  <c r="C102" i="17" s="1"/>
  <c r="B102" i="10"/>
  <c r="B102" i="17" s="1"/>
  <c r="AP101" i="10"/>
  <c r="AP101" i="17" s="1"/>
  <c r="AM101" i="10"/>
  <c r="AM101" i="17" s="1"/>
  <c r="AJ101" i="10"/>
  <c r="AJ101" i="17" s="1"/>
  <c r="AG101" i="10"/>
  <c r="AG101" i="17" s="1"/>
  <c r="AD101" i="10"/>
  <c r="AD101" i="17" s="1"/>
  <c r="AA101" i="10"/>
  <c r="AA101" i="17" s="1"/>
  <c r="X101" i="10"/>
  <c r="X101" i="17" s="1"/>
  <c r="U101" i="10"/>
  <c r="U101" i="17" s="1"/>
  <c r="R101" i="10"/>
  <c r="R101" i="17" s="1"/>
  <c r="O101" i="10"/>
  <c r="O101" i="17" s="1"/>
  <c r="L101" i="10"/>
  <c r="L101" i="17" s="1"/>
  <c r="I101" i="10"/>
  <c r="I101" i="17" s="1"/>
  <c r="F101" i="10"/>
  <c r="F101" i="17" s="1"/>
  <c r="C101" i="10"/>
  <c r="C101" i="17" s="1"/>
  <c r="B101" i="10"/>
  <c r="B101" i="17" s="1"/>
  <c r="AP100" i="10"/>
  <c r="AP100" i="17" s="1"/>
  <c r="AM100" i="10"/>
  <c r="AM100" i="17" s="1"/>
  <c r="AJ100" i="10"/>
  <c r="AJ100" i="17" s="1"/>
  <c r="AG100" i="10"/>
  <c r="AG100" i="17" s="1"/>
  <c r="AD100" i="10"/>
  <c r="AD100" i="17" s="1"/>
  <c r="AA100" i="10"/>
  <c r="AA100" i="17" s="1"/>
  <c r="X100" i="10"/>
  <c r="X100" i="17" s="1"/>
  <c r="U100" i="10"/>
  <c r="U100" i="17" s="1"/>
  <c r="R100" i="10"/>
  <c r="R100" i="17" s="1"/>
  <c r="O100" i="10"/>
  <c r="O100" i="17" s="1"/>
  <c r="L100" i="10"/>
  <c r="L100" i="17" s="1"/>
  <c r="I100" i="10"/>
  <c r="I100" i="17" s="1"/>
  <c r="F100" i="10"/>
  <c r="F100" i="17" s="1"/>
  <c r="C100" i="10"/>
  <c r="C100" i="17" s="1"/>
  <c r="B100" i="10"/>
  <c r="B100" i="17" s="1"/>
  <c r="AP99" i="10"/>
  <c r="AP99" i="17" s="1"/>
  <c r="AM99" i="10"/>
  <c r="AM99" i="17" s="1"/>
  <c r="AJ99" i="10"/>
  <c r="AJ99" i="17" s="1"/>
  <c r="AG99" i="10"/>
  <c r="AG99" i="17" s="1"/>
  <c r="AD99" i="10"/>
  <c r="AD99" i="17" s="1"/>
  <c r="AA99" i="10"/>
  <c r="AA99" i="17" s="1"/>
  <c r="X99" i="10"/>
  <c r="X99" i="17" s="1"/>
  <c r="U99" i="10"/>
  <c r="U99" i="17" s="1"/>
  <c r="R99" i="10"/>
  <c r="R99" i="17" s="1"/>
  <c r="O99" i="10"/>
  <c r="O99" i="17" s="1"/>
  <c r="L99" i="10"/>
  <c r="L99" i="17" s="1"/>
  <c r="I99" i="10"/>
  <c r="I99" i="17" s="1"/>
  <c r="F99" i="10"/>
  <c r="F99" i="17" s="1"/>
  <c r="C99" i="10"/>
  <c r="C99" i="17" s="1"/>
  <c r="B99" i="10"/>
  <c r="B99" i="17" s="1"/>
  <c r="AP98" i="10"/>
  <c r="AP98" i="17" s="1"/>
  <c r="AM98" i="10"/>
  <c r="AM98" i="17" s="1"/>
  <c r="AJ98" i="10"/>
  <c r="AJ98" i="17" s="1"/>
  <c r="AG98" i="10"/>
  <c r="AG98" i="17" s="1"/>
  <c r="AD98" i="10"/>
  <c r="AD98" i="17" s="1"/>
  <c r="AA98" i="10"/>
  <c r="AA98" i="17" s="1"/>
  <c r="X98" i="10"/>
  <c r="X98" i="17" s="1"/>
  <c r="U98" i="10"/>
  <c r="U98" i="17" s="1"/>
  <c r="R98" i="10"/>
  <c r="R98" i="17" s="1"/>
  <c r="O98" i="10"/>
  <c r="O98" i="17" s="1"/>
  <c r="L98" i="10"/>
  <c r="L98" i="17" s="1"/>
  <c r="I98" i="10"/>
  <c r="I98" i="17" s="1"/>
  <c r="F98" i="10"/>
  <c r="F98" i="17" s="1"/>
  <c r="C98" i="10"/>
  <c r="C98" i="17" s="1"/>
  <c r="B98" i="10"/>
  <c r="B98" i="17" s="1"/>
  <c r="AP97" i="10"/>
  <c r="AP97" i="17" s="1"/>
  <c r="AM97" i="10"/>
  <c r="AM97" i="17" s="1"/>
  <c r="AJ97" i="10"/>
  <c r="AJ97" i="17" s="1"/>
  <c r="AG97" i="10"/>
  <c r="AG97" i="17" s="1"/>
  <c r="AD97" i="10"/>
  <c r="AD97" i="17" s="1"/>
  <c r="AA97" i="10"/>
  <c r="AA97" i="17" s="1"/>
  <c r="X97" i="10"/>
  <c r="X97" i="17" s="1"/>
  <c r="U97" i="10"/>
  <c r="U97" i="17" s="1"/>
  <c r="R97" i="10"/>
  <c r="R97" i="17" s="1"/>
  <c r="O97" i="10"/>
  <c r="O97" i="17" s="1"/>
  <c r="L97" i="10"/>
  <c r="L97" i="17" s="1"/>
  <c r="I97" i="10"/>
  <c r="I97" i="17" s="1"/>
  <c r="F97" i="10"/>
  <c r="F97" i="17" s="1"/>
  <c r="C97" i="10"/>
  <c r="C97" i="17" s="1"/>
  <c r="B97" i="10"/>
  <c r="B97" i="17" s="1"/>
  <c r="AP96" i="10"/>
  <c r="AP96" i="17" s="1"/>
  <c r="AM96" i="10"/>
  <c r="AM96" i="17" s="1"/>
  <c r="AJ96" i="10"/>
  <c r="AJ96" i="17" s="1"/>
  <c r="AG96" i="10"/>
  <c r="AG96" i="17" s="1"/>
  <c r="AD96" i="10"/>
  <c r="AD96" i="17" s="1"/>
  <c r="AA96" i="10"/>
  <c r="AA96" i="17" s="1"/>
  <c r="X96" i="10"/>
  <c r="X96" i="17" s="1"/>
  <c r="U96" i="10"/>
  <c r="U96" i="17" s="1"/>
  <c r="R96" i="10"/>
  <c r="R96" i="17" s="1"/>
  <c r="O96" i="10"/>
  <c r="O96" i="17" s="1"/>
  <c r="L96" i="10"/>
  <c r="L96" i="17" s="1"/>
  <c r="I96" i="10"/>
  <c r="I96" i="17" s="1"/>
  <c r="F96" i="10"/>
  <c r="F96" i="17" s="1"/>
  <c r="C96" i="10"/>
  <c r="C96" i="17" s="1"/>
  <c r="B96" i="10"/>
  <c r="B96" i="17" s="1"/>
  <c r="AP95" i="10"/>
  <c r="AP95" i="17" s="1"/>
  <c r="AM95" i="10"/>
  <c r="AM95" i="17" s="1"/>
  <c r="AJ95" i="10"/>
  <c r="AJ95" i="17" s="1"/>
  <c r="AG95" i="10"/>
  <c r="AG95" i="17" s="1"/>
  <c r="AD95" i="10"/>
  <c r="AD95" i="17" s="1"/>
  <c r="AA95" i="10"/>
  <c r="AA95" i="17" s="1"/>
  <c r="X95" i="10"/>
  <c r="X95" i="17" s="1"/>
  <c r="U95" i="10"/>
  <c r="U95" i="17" s="1"/>
  <c r="R95" i="10"/>
  <c r="R95" i="17" s="1"/>
  <c r="O95" i="10"/>
  <c r="O95" i="17" s="1"/>
  <c r="L95" i="10"/>
  <c r="L95" i="17" s="1"/>
  <c r="I95" i="10"/>
  <c r="I95" i="17" s="1"/>
  <c r="F95" i="10"/>
  <c r="F95" i="17" s="1"/>
  <c r="C95" i="10"/>
  <c r="C95" i="17" s="1"/>
  <c r="B95" i="10"/>
  <c r="B95" i="17" s="1"/>
  <c r="AP94" i="10"/>
  <c r="AP94" i="17" s="1"/>
  <c r="AM94" i="10"/>
  <c r="AM94" i="17" s="1"/>
  <c r="AJ94" i="10"/>
  <c r="AJ94" i="17" s="1"/>
  <c r="AG94" i="10"/>
  <c r="AG94" i="17" s="1"/>
  <c r="AD94" i="10"/>
  <c r="AD94" i="17" s="1"/>
  <c r="AA94" i="10"/>
  <c r="AA94" i="17" s="1"/>
  <c r="X94" i="10"/>
  <c r="X94" i="17" s="1"/>
  <c r="U94" i="10"/>
  <c r="U94" i="17" s="1"/>
  <c r="R94" i="10"/>
  <c r="R94" i="17" s="1"/>
  <c r="O94" i="10"/>
  <c r="O94" i="17" s="1"/>
  <c r="L94" i="10"/>
  <c r="L94" i="17" s="1"/>
  <c r="I94" i="10"/>
  <c r="I94" i="17" s="1"/>
  <c r="F94" i="10"/>
  <c r="F94" i="17" s="1"/>
  <c r="C94" i="10"/>
  <c r="C94" i="17" s="1"/>
  <c r="B94" i="10"/>
  <c r="B94" i="17" s="1"/>
  <c r="AP93" i="10"/>
  <c r="AP93" i="17" s="1"/>
  <c r="AM93" i="10"/>
  <c r="AM93" i="17" s="1"/>
  <c r="AJ93" i="10"/>
  <c r="AJ93" i="17" s="1"/>
  <c r="AG93" i="10"/>
  <c r="AG93" i="17" s="1"/>
  <c r="AD93" i="10"/>
  <c r="AD93" i="17" s="1"/>
  <c r="AA93" i="10"/>
  <c r="AA93" i="17" s="1"/>
  <c r="X93" i="10"/>
  <c r="X93" i="17" s="1"/>
  <c r="U93" i="10"/>
  <c r="U93" i="17" s="1"/>
  <c r="R93" i="10"/>
  <c r="R93" i="17" s="1"/>
  <c r="O93" i="10"/>
  <c r="O93" i="17" s="1"/>
  <c r="L93" i="10"/>
  <c r="L93" i="17" s="1"/>
  <c r="I93" i="10"/>
  <c r="I93" i="17" s="1"/>
  <c r="F93" i="10"/>
  <c r="F93" i="17" s="1"/>
  <c r="C93" i="10"/>
  <c r="C93" i="17" s="1"/>
  <c r="B93" i="10"/>
  <c r="B93" i="17" s="1"/>
  <c r="AP92" i="10"/>
  <c r="AP92" i="17" s="1"/>
  <c r="AM92" i="10"/>
  <c r="AM92" i="17" s="1"/>
  <c r="AJ92" i="10"/>
  <c r="AJ92" i="17" s="1"/>
  <c r="AG92" i="10"/>
  <c r="AG92" i="17" s="1"/>
  <c r="AD92" i="10"/>
  <c r="AD92" i="17" s="1"/>
  <c r="AA92" i="10"/>
  <c r="AA92" i="17" s="1"/>
  <c r="X92" i="10"/>
  <c r="X92" i="17" s="1"/>
  <c r="U92" i="10"/>
  <c r="U92" i="17" s="1"/>
  <c r="R92" i="10"/>
  <c r="R92" i="17" s="1"/>
  <c r="O92" i="10"/>
  <c r="O92" i="17" s="1"/>
  <c r="L92" i="10"/>
  <c r="L92" i="17" s="1"/>
  <c r="I92" i="10"/>
  <c r="I92" i="17" s="1"/>
  <c r="F92" i="10"/>
  <c r="F92" i="17" s="1"/>
  <c r="C92" i="10"/>
  <c r="C92" i="17" s="1"/>
  <c r="B92" i="10"/>
  <c r="B92" i="17" s="1"/>
  <c r="AP91" i="10"/>
  <c r="AP91" i="17" s="1"/>
  <c r="AM91" i="10"/>
  <c r="AM91" i="17" s="1"/>
  <c r="AJ91" i="10"/>
  <c r="AJ91" i="17" s="1"/>
  <c r="AG91" i="10"/>
  <c r="AG91" i="17" s="1"/>
  <c r="AD91" i="10"/>
  <c r="AD91" i="17" s="1"/>
  <c r="AA91" i="10"/>
  <c r="AA91" i="17" s="1"/>
  <c r="X91" i="10"/>
  <c r="X91" i="17" s="1"/>
  <c r="U91" i="10"/>
  <c r="U91" i="17" s="1"/>
  <c r="R91" i="10"/>
  <c r="R91" i="17" s="1"/>
  <c r="O91" i="10"/>
  <c r="O91" i="17" s="1"/>
  <c r="L91" i="10"/>
  <c r="L91" i="17" s="1"/>
  <c r="I91" i="10"/>
  <c r="I91" i="17" s="1"/>
  <c r="F91" i="10"/>
  <c r="F91" i="17" s="1"/>
  <c r="C91" i="10"/>
  <c r="C91" i="17" s="1"/>
  <c r="B91" i="10"/>
  <c r="B91" i="17" s="1"/>
  <c r="AP90" i="10"/>
  <c r="AP90" i="17" s="1"/>
  <c r="AM90" i="10"/>
  <c r="AM90" i="17" s="1"/>
  <c r="AJ90" i="10"/>
  <c r="AJ90" i="17" s="1"/>
  <c r="AG90" i="10"/>
  <c r="AG90" i="17" s="1"/>
  <c r="AD90" i="10"/>
  <c r="AD90" i="17" s="1"/>
  <c r="AA90" i="10"/>
  <c r="AA90" i="17" s="1"/>
  <c r="X90" i="10"/>
  <c r="X90" i="17" s="1"/>
  <c r="U90" i="10"/>
  <c r="U90" i="17" s="1"/>
  <c r="R90" i="10"/>
  <c r="R90" i="17" s="1"/>
  <c r="O90" i="10"/>
  <c r="O90" i="17" s="1"/>
  <c r="L90" i="10"/>
  <c r="L90" i="17" s="1"/>
  <c r="I90" i="10"/>
  <c r="I90" i="17" s="1"/>
  <c r="F90" i="10"/>
  <c r="F90" i="17" s="1"/>
  <c r="C90" i="10"/>
  <c r="C90" i="17" s="1"/>
  <c r="B90" i="10"/>
  <c r="B90" i="17" s="1"/>
  <c r="AP89" i="10"/>
  <c r="AP89" i="17" s="1"/>
  <c r="AM89" i="10"/>
  <c r="AM89" i="17" s="1"/>
  <c r="AJ89" i="10"/>
  <c r="AJ89" i="17" s="1"/>
  <c r="AG89" i="10"/>
  <c r="AG89" i="17" s="1"/>
  <c r="AD89" i="10"/>
  <c r="AD89" i="17" s="1"/>
  <c r="AA89" i="10"/>
  <c r="AA89" i="17" s="1"/>
  <c r="X89" i="10"/>
  <c r="X89" i="17" s="1"/>
  <c r="U89" i="10"/>
  <c r="U89" i="17" s="1"/>
  <c r="R89" i="10"/>
  <c r="R89" i="17" s="1"/>
  <c r="O89" i="10"/>
  <c r="O89" i="17" s="1"/>
  <c r="L89" i="10"/>
  <c r="L89" i="17" s="1"/>
  <c r="I89" i="10"/>
  <c r="I89" i="17" s="1"/>
  <c r="F89" i="10"/>
  <c r="F89" i="17" s="1"/>
  <c r="C89" i="10"/>
  <c r="C89" i="17" s="1"/>
  <c r="B89" i="10"/>
  <c r="B89" i="17" s="1"/>
  <c r="AP88" i="10"/>
  <c r="AP88" i="17" s="1"/>
  <c r="AM88" i="10"/>
  <c r="AM88" i="17" s="1"/>
  <c r="AJ88" i="10"/>
  <c r="AJ88" i="17" s="1"/>
  <c r="AG88" i="10"/>
  <c r="AG88" i="17" s="1"/>
  <c r="AD88" i="10"/>
  <c r="AD88" i="17" s="1"/>
  <c r="AA88" i="10"/>
  <c r="AA88" i="17" s="1"/>
  <c r="X88" i="10"/>
  <c r="X88" i="17" s="1"/>
  <c r="U88" i="10"/>
  <c r="U88" i="17" s="1"/>
  <c r="R88" i="10"/>
  <c r="R88" i="17" s="1"/>
  <c r="O88" i="10"/>
  <c r="O88" i="17" s="1"/>
  <c r="L88" i="10"/>
  <c r="L88" i="17" s="1"/>
  <c r="I88" i="10"/>
  <c r="I88" i="17" s="1"/>
  <c r="F88" i="10"/>
  <c r="F88" i="17" s="1"/>
  <c r="C88" i="10"/>
  <c r="C88" i="17" s="1"/>
  <c r="B88" i="10"/>
  <c r="B88" i="17" s="1"/>
  <c r="AP87" i="10"/>
  <c r="AP87" i="17" s="1"/>
  <c r="AM87" i="10"/>
  <c r="AM87" i="17" s="1"/>
  <c r="AJ87" i="10"/>
  <c r="AJ87" i="17" s="1"/>
  <c r="AG87" i="10"/>
  <c r="AG87" i="17" s="1"/>
  <c r="AD87" i="10"/>
  <c r="AD87" i="17" s="1"/>
  <c r="AA87" i="10"/>
  <c r="AA87" i="17" s="1"/>
  <c r="X87" i="10"/>
  <c r="X87" i="17" s="1"/>
  <c r="U87" i="10"/>
  <c r="U87" i="17" s="1"/>
  <c r="R87" i="10"/>
  <c r="R87" i="17" s="1"/>
  <c r="O87" i="10"/>
  <c r="O87" i="17" s="1"/>
  <c r="L87" i="10"/>
  <c r="L87" i="17" s="1"/>
  <c r="I87" i="10"/>
  <c r="I87" i="17" s="1"/>
  <c r="F87" i="10"/>
  <c r="F87" i="17" s="1"/>
  <c r="C87" i="10"/>
  <c r="C87" i="17" s="1"/>
  <c r="B87" i="10"/>
  <c r="B87" i="17" s="1"/>
  <c r="AP86" i="10"/>
  <c r="AP86" i="17" s="1"/>
  <c r="AM86" i="10"/>
  <c r="AM86" i="17" s="1"/>
  <c r="AJ86" i="10"/>
  <c r="AJ86" i="17" s="1"/>
  <c r="AG86" i="10"/>
  <c r="AG86" i="17" s="1"/>
  <c r="AD86" i="10"/>
  <c r="AD86" i="17" s="1"/>
  <c r="AA86" i="10"/>
  <c r="AA86" i="17" s="1"/>
  <c r="X86" i="10"/>
  <c r="X86" i="17" s="1"/>
  <c r="U86" i="10"/>
  <c r="U86" i="17" s="1"/>
  <c r="R86" i="10"/>
  <c r="R86" i="17" s="1"/>
  <c r="O86" i="10"/>
  <c r="O86" i="17" s="1"/>
  <c r="L86" i="10"/>
  <c r="L86" i="17" s="1"/>
  <c r="I86" i="10"/>
  <c r="I86" i="17" s="1"/>
  <c r="F86" i="10"/>
  <c r="F86" i="17" s="1"/>
  <c r="C86" i="10"/>
  <c r="C86" i="17" s="1"/>
  <c r="B86" i="10"/>
  <c r="B86" i="17" s="1"/>
  <c r="AP85" i="10"/>
  <c r="AP85" i="17" s="1"/>
  <c r="AM85" i="10"/>
  <c r="AM85" i="17" s="1"/>
  <c r="AJ85" i="10"/>
  <c r="AJ85" i="17" s="1"/>
  <c r="AG85" i="10"/>
  <c r="AG85" i="17" s="1"/>
  <c r="AD85" i="10"/>
  <c r="AD85" i="17" s="1"/>
  <c r="AA85" i="10"/>
  <c r="AA85" i="17" s="1"/>
  <c r="X85" i="10"/>
  <c r="X85" i="17" s="1"/>
  <c r="U85" i="10"/>
  <c r="U85" i="17" s="1"/>
  <c r="R85" i="10"/>
  <c r="R85" i="17" s="1"/>
  <c r="O85" i="10"/>
  <c r="O85" i="17" s="1"/>
  <c r="L85" i="10"/>
  <c r="L85" i="17" s="1"/>
  <c r="I85" i="10"/>
  <c r="I85" i="17" s="1"/>
  <c r="F85" i="10"/>
  <c r="F85" i="17" s="1"/>
  <c r="C85" i="10"/>
  <c r="C85" i="17" s="1"/>
  <c r="B85" i="10"/>
  <c r="B85" i="17" s="1"/>
  <c r="AP84" i="10"/>
  <c r="AP84" i="17" s="1"/>
  <c r="AM84" i="10"/>
  <c r="AM84" i="17" s="1"/>
  <c r="AJ84" i="10"/>
  <c r="AJ84" i="17" s="1"/>
  <c r="AG84" i="10"/>
  <c r="AG84" i="17" s="1"/>
  <c r="AD84" i="10"/>
  <c r="AD84" i="17" s="1"/>
  <c r="AA84" i="10"/>
  <c r="AA84" i="17" s="1"/>
  <c r="X84" i="10"/>
  <c r="X84" i="17" s="1"/>
  <c r="U84" i="10"/>
  <c r="U84" i="17" s="1"/>
  <c r="R84" i="10"/>
  <c r="R84" i="17" s="1"/>
  <c r="O84" i="10"/>
  <c r="O84" i="17" s="1"/>
  <c r="L84" i="10"/>
  <c r="L84" i="17" s="1"/>
  <c r="I84" i="10"/>
  <c r="I84" i="17" s="1"/>
  <c r="F84" i="10"/>
  <c r="F84" i="17" s="1"/>
  <c r="C84" i="10"/>
  <c r="C84" i="17" s="1"/>
  <c r="B84" i="10"/>
  <c r="B84" i="17" s="1"/>
  <c r="AP83" i="10"/>
  <c r="AP83" i="17" s="1"/>
  <c r="AM83" i="10"/>
  <c r="AM83" i="17" s="1"/>
  <c r="AJ83" i="10"/>
  <c r="AJ83" i="17" s="1"/>
  <c r="AG83" i="10"/>
  <c r="AG83" i="17" s="1"/>
  <c r="AD83" i="10"/>
  <c r="AD83" i="17" s="1"/>
  <c r="AA83" i="10"/>
  <c r="AA83" i="17" s="1"/>
  <c r="X83" i="10"/>
  <c r="X83" i="17" s="1"/>
  <c r="U83" i="10"/>
  <c r="U83" i="17" s="1"/>
  <c r="R83" i="10"/>
  <c r="R83" i="17" s="1"/>
  <c r="O83" i="10"/>
  <c r="O83" i="17" s="1"/>
  <c r="L83" i="10"/>
  <c r="L83" i="17" s="1"/>
  <c r="I83" i="10"/>
  <c r="I83" i="17" s="1"/>
  <c r="F83" i="10"/>
  <c r="F83" i="17" s="1"/>
  <c r="C83" i="10"/>
  <c r="C83" i="17" s="1"/>
  <c r="B83" i="10"/>
  <c r="B83" i="17" s="1"/>
  <c r="AP82" i="10"/>
  <c r="AP82" i="17" s="1"/>
  <c r="AM82" i="10"/>
  <c r="AM82" i="17" s="1"/>
  <c r="AJ82" i="10"/>
  <c r="AJ82" i="17" s="1"/>
  <c r="AG82" i="10"/>
  <c r="AG82" i="17" s="1"/>
  <c r="AD82" i="10"/>
  <c r="AD82" i="17" s="1"/>
  <c r="AA82" i="10"/>
  <c r="AA82" i="17" s="1"/>
  <c r="X82" i="10"/>
  <c r="X82" i="17" s="1"/>
  <c r="U82" i="10"/>
  <c r="U82" i="17" s="1"/>
  <c r="R82" i="10"/>
  <c r="R82" i="17" s="1"/>
  <c r="O82" i="10"/>
  <c r="O82" i="17" s="1"/>
  <c r="L82" i="10"/>
  <c r="L82" i="17" s="1"/>
  <c r="I82" i="10"/>
  <c r="I82" i="17" s="1"/>
  <c r="F82" i="10"/>
  <c r="F82" i="17" s="1"/>
  <c r="C82" i="10"/>
  <c r="C82" i="17" s="1"/>
  <c r="B82" i="10"/>
  <c r="B82" i="17" s="1"/>
  <c r="AP81" i="10"/>
  <c r="AP81" i="17" s="1"/>
  <c r="AM81" i="10"/>
  <c r="AM81" i="17" s="1"/>
  <c r="AJ81" i="10"/>
  <c r="AJ81" i="17" s="1"/>
  <c r="AG81" i="10"/>
  <c r="AG81" i="17" s="1"/>
  <c r="AD81" i="10"/>
  <c r="AD81" i="17" s="1"/>
  <c r="AA81" i="10"/>
  <c r="AA81" i="17" s="1"/>
  <c r="X81" i="10"/>
  <c r="X81" i="17" s="1"/>
  <c r="U81" i="10"/>
  <c r="U81" i="17" s="1"/>
  <c r="R81" i="10"/>
  <c r="R81" i="17" s="1"/>
  <c r="O81" i="10"/>
  <c r="O81" i="17" s="1"/>
  <c r="L81" i="10"/>
  <c r="L81" i="17" s="1"/>
  <c r="I81" i="10"/>
  <c r="I81" i="17" s="1"/>
  <c r="F81" i="10"/>
  <c r="F81" i="17" s="1"/>
  <c r="C81" i="10"/>
  <c r="C81" i="17" s="1"/>
  <c r="B81" i="10"/>
  <c r="B81" i="17" s="1"/>
  <c r="AP80" i="10"/>
  <c r="AP80" i="17" s="1"/>
  <c r="AM80" i="10"/>
  <c r="AM80" i="17" s="1"/>
  <c r="AJ80" i="10"/>
  <c r="AJ80" i="17" s="1"/>
  <c r="AG80" i="10"/>
  <c r="AG80" i="17" s="1"/>
  <c r="AD80" i="10"/>
  <c r="AD80" i="17" s="1"/>
  <c r="AA80" i="10"/>
  <c r="AA80" i="17" s="1"/>
  <c r="X80" i="10"/>
  <c r="X80" i="17" s="1"/>
  <c r="U80" i="10"/>
  <c r="U80" i="17" s="1"/>
  <c r="R80" i="10"/>
  <c r="R80" i="17" s="1"/>
  <c r="O80" i="10"/>
  <c r="O80" i="17" s="1"/>
  <c r="L80" i="10"/>
  <c r="L80" i="17" s="1"/>
  <c r="I80" i="10"/>
  <c r="I80" i="17" s="1"/>
  <c r="F80" i="10"/>
  <c r="F80" i="17" s="1"/>
  <c r="C80" i="10"/>
  <c r="C80" i="17" s="1"/>
  <c r="B80" i="10"/>
  <c r="B80" i="17" s="1"/>
  <c r="AP79" i="10"/>
  <c r="AP79" i="17" s="1"/>
  <c r="AM79" i="10"/>
  <c r="AM79" i="17" s="1"/>
  <c r="AJ79" i="10"/>
  <c r="AJ79" i="17" s="1"/>
  <c r="AG79" i="10"/>
  <c r="AG79" i="17" s="1"/>
  <c r="AD79" i="10"/>
  <c r="AD79" i="17" s="1"/>
  <c r="AA79" i="10"/>
  <c r="AA79" i="17" s="1"/>
  <c r="X79" i="10"/>
  <c r="X79" i="17" s="1"/>
  <c r="U79" i="10"/>
  <c r="U79" i="17" s="1"/>
  <c r="R79" i="10"/>
  <c r="R79" i="17" s="1"/>
  <c r="O79" i="10"/>
  <c r="O79" i="17" s="1"/>
  <c r="L79" i="10"/>
  <c r="L79" i="17" s="1"/>
  <c r="I79" i="10"/>
  <c r="I79" i="17" s="1"/>
  <c r="F79" i="10"/>
  <c r="F79" i="17" s="1"/>
  <c r="C79" i="10"/>
  <c r="C79" i="17" s="1"/>
  <c r="B79" i="10"/>
  <c r="B79" i="17" s="1"/>
  <c r="AP78" i="10"/>
  <c r="AP78" i="17" s="1"/>
  <c r="AM78" i="10"/>
  <c r="AM78" i="17" s="1"/>
  <c r="AJ78" i="10"/>
  <c r="AJ78" i="17" s="1"/>
  <c r="AG78" i="10"/>
  <c r="AG78" i="17" s="1"/>
  <c r="AD78" i="10"/>
  <c r="AD78" i="17" s="1"/>
  <c r="AA78" i="10"/>
  <c r="AA78" i="17" s="1"/>
  <c r="X78" i="10"/>
  <c r="X78" i="17" s="1"/>
  <c r="U78" i="10"/>
  <c r="U78" i="17" s="1"/>
  <c r="R78" i="10"/>
  <c r="R78" i="17" s="1"/>
  <c r="O78" i="10"/>
  <c r="O78" i="17" s="1"/>
  <c r="L78" i="10"/>
  <c r="L78" i="17" s="1"/>
  <c r="I78" i="10"/>
  <c r="I78" i="17" s="1"/>
  <c r="F78" i="10"/>
  <c r="F78" i="17" s="1"/>
  <c r="C78" i="10"/>
  <c r="C78" i="17" s="1"/>
  <c r="B78" i="10"/>
  <c r="B78" i="17" s="1"/>
  <c r="AP77" i="10"/>
  <c r="AP77" i="17" s="1"/>
  <c r="AM77" i="10"/>
  <c r="AM77" i="17" s="1"/>
  <c r="AJ77" i="10"/>
  <c r="AJ77" i="17" s="1"/>
  <c r="AG77" i="10"/>
  <c r="AG77" i="17" s="1"/>
  <c r="AD77" i="10"/>
  <c r="AD77" i="17" s="1"/>
  <c r="AA77" i="10"/>
  <c r="AA77" i="17" s="1"/>
  <c r="X77" i="10"/>
  <c r="X77" i="17" s="1"/>
  <c r="U77" i="10"/>
  <c r="U77" i="17" s="1"/>
  <c r="R77" i="10"/>
  <c r="R77" i="17" s="1"/>
  <c r="O77" i="10"/>
  <c r="O77" i="17" s="1"/>
  <c r="L77" i="10"/>
  <c r="L77" i="17" s="1"/>
  <c r="I77" i="10"/>
  <c r="I77" i="17" s="1"/>
  <c r="F77" i="10"/>
  <c r="F77" i="17" s="1"/>
  <c r="C77" i="10"/>
  <c r="C77" i="17" s="1"/>
  <c r="B77" i="10"/>
  <c r="B77" i="17" s="1"/>
  <c r="AP76" i="10"/>
  <c r="AP76" i="17" s="1"/>
  <c r="AM76" i="10"/>
  <c r="AM76" i="17" s="1"/>
  <c r="AJ76" i="10"/>
  <c r="AJ76" i="17" s="1"/>
  <c r="AG76" i="10"/>
  <c r="AG76" i="17" s="1"/>
  <c r="AD76" i="10"/>
  <c r="AD76" i="17" s="1"/>
  <c r="AA76" i="10"/>
  <c r="AA76" i="17" s="1"/>
  <c r="W76" i="10"/>
  <c r="W76" i="17" s="1"/>
  <c r="T76" i="10"/>
  <c r="R76" i="10"/>
  <c r="R76" i="17" s="1"/>
  <c r="O76" i="10"/>
  <c r="O76" i="17" s="1"/>
  <c r="L76" i="10"/>
  <c r="L76" i="17" s="1"/>
  <c r="I76" i="10"/>
  <c r="I76" i="17" s="1"/>
  <c r="E76" i="10"/>
  <c r="E76" i="17" s="1"/>
  <c r="C76" i="10"/>
  <c r="C76" i="17" s="1"/>
  <c r="B76" i="10"/>
  <c r="B76" i="17" s="1"/>
  <c r="AP75" i="10"/>
  <c r="AP75" i="17" s="1"/>
  <c r="AM75" i="10"/>
  <c r="AM75" i="17" s="1"/>
  <c r="AJ75" i="10"/>
  <c r="AJ75" i="17" s="1"/>
  <c r="AG75" i="10"/>
  <c r="AG75" i="17" s="1"/>
  <c r="AD75" i="10"/>
  <c r="AD75" i="17" s="1"/>
  <c r="AA75" i="10"/>
  <c r="AA75" i="17" s="1"/>
  <c r="X75" i="10"/>
  <c r="X75" i="17" s="1"/>
  <c r="U75" i="10"/>
  <c r="U75" i="17" s="1"/>
  <c r="R75" i="10"/>
  <c r="R75" i="17" s="1"/>
  <c r="O75" i="10"/>
  <c r="O75" i="17" s="1"/>
  <c r="L75" i="10"/>
  <c r="L75" i="17" s="1"/>
  <c r="I75" i="10"/>
  <c r="I75" i="17" s="1"/>
  <c r="F75" i="10"/>
  <c r="F75" i="17" s="1"/>
  <c r="C75" i="10"/>
  <c r="C75" i="17" s="1"/>
  <c r="B75" i="10"/>
  <c r="B75" i="17" s="1"/>
  <c r="AP74" i="10"/>
  <c r="AP74" i="17" s="1"/>
  <c r="AM74" i="10"/>
  <c r="AM74" i="17" s="1"/>
  <c r="AJ74" i="10"/>
  <c r="AJ74" i="17" s="1"/>
  <c r="AG74" i="10"/>
  <c r="AG74" i="17" s="1"/>
  <c r="AD74" i="10"/>
  <c r="AD74" i="17" s="1"/>
  <c r="AA74" i="10"/>
  <c r="AA74" i="17" s="1"/>
  <c r="X74" i="10"/>
  <c r="X74" i="17" s="1"/>
  <c r="U74" i="10"/>
  <c r="U74" i="17" s="1"/>
  <c r="R74" i="10"/>
  <c r="R74" i="17" s="1"/>
  <c r="O74" i="10"/>
  <c r="O74" i="17" s="1"/>
  <c r="L74" i="10"/>
  <c r="L74" i="17" s="1"/>
  <c r="I74" i="10"/>
  <c r="I74" i="17" s="1"/>
  <c r="F74" i="10"/>
  <c r="F74" i="17" s="1"/>
  <c r="C74" i="10"/>
  <c r="C74" i="17" s="1"/>
  <c r="B74" i="10"/>
  <c r="B74" i="17" s="1"/>
  <c r="AP73" i="10"/>
  <c r="AP73" i="17" s="1"/>
  <c r="AM73" i="10"/>
  <c r="AM73" i="17" s="1"/>
  <c r="AJ73" i="10"/>
  <c r="AJ73" i="17" s="1"/>
  <c r="AG73" i="10"/>
  <c r="AG73" i="17" s="1"/>
  <c r="AD73" i="10"/>
  <c r="AD73" i="17" s="1"/>
  <c r="AA73" i="10"/>
  <c r="AA73" i="17" s="1"/>
  <c r="W73" i="10"/>
  <c r="X73" i="10" s="1"/>
  <c r="X73" i="17" s="1"/>
  <c r="T73" i="10"/>
  <c r="T73" i="17" s="1"/>
  <c r="R73" i="10"/>
  <c r="R73" i="17" s="1"/>
  <c r="O73" i="10"/>
  <c r="O73" i="17" s="1"/>
  <c r="L73" i="10"/>
  <c r="L73" i="17" s="1"/>
  <c r="I73" i="10"/>
  <c r="I73" i="17" s="1"/>
  <c r="E73" i="10"/>
  <c r="F73" i="10" s="1"/>
  <c r="F73" i="17" s="1"/>
  <c r="C73" i="10"/>
  <c r="C73" i="17" s="1"/>
  <c r="B73" i="10"/>
  <c r="B73" i="17" s="1"/>
  <c r="AP72" i="10"/>
  <c r="AP72" i="17" s="1"/>
  <c r="AM72" i="10"/>
  <c r="AM72" i="17" s="1"/>
  <c r="AJ72" i="10"/>
  <c r="AJ72" i="17" s="1"/>
  <c r="AG72" i="10"/>
  <c r="AG72" i="17" s="1"/>
  <c r="AD72" i="10"/>
  <c r="AD72" i="17" s="1"/>
  <c r="AA72" i="10"/>
  <c r="AA72" i="17" s="1"/>
  <c r="X72" i="10"/>
  <c r="X72" i="17" s="1"/>
  <c r="U72" i="10"/>
  <c r="U72" i="17" s="1"/>
  <c r="R72" i="10"/>
  <c r="R72" i="17" s="1"/>
  <c r="O72" i="10"/>
  <c r="O72" i="17" s="1"/>
  <c r="L72" i="10"/>
  <c r="L72" i="17" s="1"/>
  <c r="I72" i="10"/>
  <c r="I72" i="17" s="1"/>
  <c r="F72" i="10"/>
  <c r="F72" i="17" s="1"/>
  <c r="C72" i="10"/>
  <c r="C72" i="17" s="1"/>
  <c r="B72" i="10"/>
  <c r="B72" i="17" s="1"/>
  <c r="AP71" i="10"/>
  <c r="AP71" i="17" s="1"/>
  <c r="AM71" i="10"/>
  <c r="AM71" i="17" s="1"/>
  <c r="AJ71" i="10"/>
  <c r="AJ71" i="17" s="1"/>
  <c r="AG71" i="10"/>
  <c r="AG71" i="17" s="1"/>
  <c r="AD71" i="10"/>
  <c r="AD71" i="17" s="1"/>
  <c r="AA71" i="10"/>
  <c r="AA71" i="17" s="1"/>
  <c r="X71" i="10"/>
  <c r="X71" i="17" s="1"/>
  <c r="U71" i="10"/>
  <c r="U71" i="17" s="1"/>
  <c r="R71" i="10"/>
  <c r="R71" i="17" s="1"/>
  <c r="O71" i="10"/>
  <c r="O71" i="17" s="1"/>
  <c r="L71" i="10"/>
  <c r="L71" i="17" s="1"/>
  <c r="I71" i="10"/>
  <c r="I71" i="17" s="1"/>
  <c r="F71" i="10"/>
  <c r="F71" i="17" s="1"/>
  <c r="C71" i="10"/>
  <c r="C71" i="17" s="1"/>
  <c r="B71" i="10"/>
  <c r="B71" i="17" s="1"/>
  <c r="AP70" i="10"/>
  <c r="AP70" i="17" s="1"/>
  <c r="AM70" i="10"/>
  <c r="AM70" i="17" s="1"/>
  <c r="AJ70" i="10"/>
  <c r="AJ70" i="17" s="1"/>
  <c r="AG70" i="10"/>
  <c r="AG70" i="17" s="1"/>
  <c r="AD70" i="10"/>
  <c r="AD70" i="17" s="1"/>
  <c r="AA70" i="10"/>
  <c r="AA70" i="17" s="1"/>
  <c r="X70" i="10"/>
  <c r="X70" i="17" s="1"/>
  <c r="U70" i="10"/>
  <c r="U70" i="17" s="1"/>
  <c r="R70" i="10"/>
  <c r="R70" i="17" s="1"/>
  <c r="O70" i="10"/>
  <c r="O70" i="17" s="1"/>
  <c r="L70" i="10"/>
  <c r="L70" i="17" s="1"/>
  <c r="I70" i="10"/>
  <c r="I70" i="17" s="1"/>
  <c r="F70" i="10"/>
  <c r="F70" i="17" s="1"/>
  <c r="C70" i="10"/>
  <c r="C70" i="17" s="1"/>
  <c r="B70" i="10"/>
  <c r="B70" i="17" s="1"/>
  <c r="AP69" i="10"/>
  <c r="AP69" i="17" s="1"/>
  <c r="AM69" i="10"/>
  <c r="AM69" i="17" s="1"/>
  <c r="AJ69" i="10"/>
  <c r="AJ69" i="17" s="1"/>
  <c r="AG69" i="10"/>
  <c r="AG69" i="17" s="1"/>
  <c r="AD69" i="10"/>
  <c r="AD69" i="17" s="1"/>
  <c r="AA69" i="10"/>
  <c r="AA69" i="17" s="1"/>
  <c r="X69" i="10"/>
  <c r="X69" i="17" s="1"/>
  <c r="U69" i="10"/>
  <c r="U69" i="17" s="1"/>
  <c r="R69" i="10"/>
  <c r="R69" i="17" s="1"/>
  <c r="O69" i="10"/>
  <c r="O69" i="17" s="1"/>
  <c r="L69" i="10"/>
  <c r="L69" i="17" s="1"/>
  <c r="I69" i="10"/>
  <c r="I69" i="17" s="1"/>
  <c r="F69" i="10"/>
  <c r="F69" i="17" s="1"/>
  <c r="C69" i="10"/>
  <c r="C69" i="17" s="1"/>
  <c r="B69" i="10"/>
  <c r="B69" i="17" s="1"/>
  <c r="AP68" i="10"/>
  <c r="AP68" i="17" s="1"/>
  <c r="AM68" i="10"/>
  <c r="AM68" i="17" s="1"/>
  <c r="AJ68" i="10"/>
  <c r="AJ68" i="17" s="1"/>
  <c r="AG68" i="10"/>
  <c r="AG68" i="17" s="1"/>
  <c r="AD68" i="10"/>
  <c r="AD68" i="17" s="1"/>
  <c r="AA68" i="10"/>
  <c r="AA68" i="17" s="1"/>
  <c r="X68" i="10"/>
  <c r="X68" i="17" s="1"/>
  <c r="U68" i="10"/>
  <c r="U68" i="17" s="1"/>
  <c r="R68" i="10"/>
  <c r="R68" i="17" s="1"/>
  <c r="O68" i="10"/>
  <c r="O68" i="17" s="1"/>
  <c r="L68" i="10"/>
  <c r="L68" i="17" s="1"/>
  <c r="I68" i="10"/>
  <c r="I68" i="17" s="1"/>
  <c r="F68" i="10"/>
  <c r="F68" i="17" s="1"/>
  <c r="C68" i="10"/>
  <c r="C68" i="17" s="1"/>
  <c r="B68" i="10"/>
  <c r="B68" i="17" s="1"/>
  <c r="AP67" i="10"/>
  <c r="AP67" i="17" s="1"/>
  <c r="AM67" i="10"/>
  <c r="AM67" i="17" s="1"/>
  <c r="AJ67" i="10"/>
  <c r="AJ67" i="17" s="1"/>
  <c r="AG67" i="10"/>
  <c r="AG67" i="17" s="1"/>
  <c r="AD67" i="10"/>
  <c r="AD67" i="17" s="1"/>
  <c r="AA67" i="10"/>
  <c r="AA67" i="17" s="1"/>
  <c r="X67" i="10"/>
  <c r="X67" i="17" s="1"/>
  <c r="U67" i="10"/>
  <c r="U67" i="17" s="1"/>
  <c r="R67" i="10"/>
  <c r="R67" i="17" s="1"/>
  <c r="O67" i="10"/>
  <c r="O67" i="17" s="1"/>
  <c r="L67" i="10"/>
  <c r="L67" i="17" s="1"/>
  <c r="I67" i="10"/>
  <c r="I67" i="17" s="1"/>
  <c r="F67" i="10"/>
  <c r="F67" i="17" s="1"/>
  <c r="C67" i="10"/>
  <c r="C67" i="17" s="1"/>
  <c r="B67" i="10"/>
  <c r="B67" i="17" s="1"/>
  <c r="AP66" i="10"/>
  <c r="AP66" i="17" s="1"/>
  <c r="AM66" i="10"/>
  <c r="AM66" i="17" s="1"/>
  <c r="AJ66" i="10"/>
  <c r="AJ66" i="17" s="1"/>
  <c r="AG66" i="10"/>
  <c r="AG66" i="17" s="1"/>
  <c r="AD66" i="10"/>
  <c r="AD66" i="17" s="1"/>
  <c r="AA66" i="10"/>
  <c r="AA66" i="17" s="1"/>
  <c r="X66" i="10"/>
  <c r="X66" i="17" s="1"/>
  <c r="U66" i="10"/>
  <c r="U66" i="17" s="1"/>
  <c r="R66" i="10"/>
  <c r="R66" i="17" s="1"/>
  <c r="O66" i="10"/>
  <c r="O66" i="17" s="1"/>
  <c r="L66" i="10"/>
  <c r="L66" i="17" s="1"/>
  <c r="F66" i="10"/>
  <c r="F66" i="17" s="1"/>
  <c r="C66" i="10"/>
  <c r="C66" i="17" s="1"/>
  <c r="B66" i="10"/>
  <c r="B66" i="17" s="1"/>
  <c r="AP65" i="10"/>
  <c r="AP65" i="17" s="1"/>
  <c r="AM65" i="10"/>
  <c r="AM65" i="17" s="1"/>
  <c r="AJ65" i="10"/>
  <c r="AJ65" i="17" s="1"/>
  <c r="AG65" i="10"/>
  <c r="AG65" i="17" s="1"/>
  <c r="AD65" i="10"/>
  <c r="AD65" i="17" s="1"/>
  <c r="AA65" i="10"/>
  <c r="AA65" i="17" s="1"/>
  <c r="X65" i="10"/>
  <c r="X65" i="17" s="1"/>
  <c r="U65" i="10"/>
  <c r="U65" i="17" s="1"/>
  <c r="R65" i="10"/>
  <c r="R65" i="17" s="1"/>
  <c r="O65" i="10"/>
  <c r="O65" i="17" s="1"/>
  <c r="L65" i="10"/>
  <c r="L65" i="17" s="1"/>
  <c r="I65" i="10"/>
  <c r="I65" i="17" s="1"/>
  <c r="F65" i="10"/>
  <c r="F65" i="17" s="1"/>
  <c r="C65" i="10"/>
  <c r="C65" i="17" s="1"/>
  <c r="B65" i="10"/>
  <c r="B65" i="17" s="1"/>
  <c r="AP64" i="10"/>
  <c r="AP64" i="17" s="1"/>
  <c r="AM64" i="10"/>
  <c r="AM64" i="17" s="1"/>
  <c r="AJ64" i="10"/>
  <c r="AJ64" i="17" s="1"/>
  <c r="AG64" i="10"/>
  <c r="AG64" i="17" s="1"/>
  <c r="AD64" i="10"/>
  <c r="AD64" i="17" s="1"/>
  <c r="AA64" i="10"/>
  <c r="AA64" i="17" s="1"/>
  <c r="X64" i="10"/>
  <c r="X64" i="17" s="1"/>
  <c r="U64" i="10"/>
  <c r="U64" i="17" s="1"/>
  <c r="R64" i="10"/>
  <c r="R64" i="17" s="1"/>
  <c r="O64" i="10"/>
  <c r="O64" i="17" s="1"/>
  <c r="L64" i="10"/>
  <c r="L64" i="17" s="1"/>
  <c r="I64" i="10"/>
  <c r="I64" i="17" s="1"/>
  <c r="F64" i="10"/>
  <c r="F64" i="17" s="1"/>
  <c r="C64" i="10"/>
  <c r="C64" i="17" s="1"/>
  <c r="B64" i="10"/>
  <c r="B64" i="17" s="1"/>
  <c r="AP63" i="10"/>
  <c r="AP63" i="17" s="1"/>
  <c r="AM63" i="10"/>
  <c r="AM63" i="17" s="1"/>
  <c r="AJ63" i="10"/>
  <c r="AJ63" i="17" s="1"/>
  <c r="AF63" i="10"/>
  <c r="AD63" i="10"/>
  <c r="AD63" i="17" s="1"/>
  <c r="AA63" i="10"/>
  <c r="AA63" i="17" s="1"/>
  <c r="X63" i="10"/>
  <c r="X63" i="17" s="1"/>
  <c r="U63" i="10"/>
  <c r="U63" i="17" s="1"/>
  <c r="R63" i="10"/>
  <c r="R63" i="17" s="1"/>
  <c r="O63" i="10"/>
  <c r="O63" i="17" s="1"/>
  <c r="L63" i="10"/>
  <c r="L63" i="17" s="1"/>
  <c r="I63" i="10"/>
  <c r="I63" i="17" s="1"/>
  <c r="F63" i="10"/>
  <c r="F63" i="17" s="1"/>
  <c r="C63" i="10"/>
  <c r="C63" i="17" s="1"/>
  <c r="B63" i="10"/>
  <c r="B63" i="17" s="1"/>
  <c r="AP62" i="10"/>
  <c r="AP62" i="17" s="1"/>
  <c r="AM62" i="10"/>
  <c r="AM62" i="17" s="1"/>
  <c r="AJ62" i="10"/>
  <c r="AJ62" i="17" s="1"/>
  <c r="AG62" i="10"/>
  <c r="AG62" i="17" s="1"/>
  <c r="AD62" i="10"/>
  <c r="AD62" i="17" s="1"/>
  <c r="AA62" i="10"/>
  <c r="AA62" i="17" s="1"/>
  <c r="X62" i="10"/>
  <c r="X62" i="17" s="1"/>
  <c r="U62" i="10"/>
  <c r="U62" i="17" s="1"/>
  <c r="R62" i="10"/>
  <c r="R62" i="17" s="1"/>
  <c r="O62" i="10"/>
  <c r="O62" i="17" s="1"/>
  <c r="L62" i="10"/>
  <c r="L62" i="17" s="1"/>
  <c r="I62" i="10"/>
  <c r="I62" i="17" s="1"/>
  <c r="F62" i="10"/>
  <c r="F62" i="17" s="1"/>
  <c r="C62" i="10"/>
  <c r="C62" i="17" s="1"/>
  <c r="B62" i="10"/>
  <c r="B62" i="17" s="1"/>
  <c r="AP61" i="10"/>
  <c r="AP61" i="17" s="1"/>
  <c r="AM61" i="10"/>
  <c r="AM61" i="17" s="1"/>
  <c r="AJ61" i="10"/>
  <c r="AJ61" i="17" s="1"/>
  <c r="AG61" i="10"/>
  <c r="AG61" i="17" s="1"/>
  <c r="AD61" i="10"/>
  <c r="AD61" i="17" s="1"/>
  <c r="AA61" i="10"/>
  <c r="AA61" i="17" s="1"/>
  <c r="X61" i="10"/>
  <c r="X61" i="17" s="1"/>
  <c r="U61" i="10"/>
  <c r="U61" i="17" s="1"/>
  <c r="R61" i="10"/>
  <c r="R61" i="17" s="1"/>
  <c r="O61" i="10"/>
  <c r="O61" i="17" s="1"/>
  <c r="L61" i="10"/>
  <c r="L61" i="17" s="1"/>
  <c r="I61" i="10"/>
  <c r="I61" i="17" s="1"/>
  <c r="F61" i="10"/>
  <c r="F61" i="17" s="1"/>
  <c r="C61" i="10"/>
  <c r="C61" i="17" s="1"/>
  <c r="B61" i="10"/>
  <c r="B61" i="17" s="1"/>
  <c r="AP60" i="10"/>
  <c r="AP60" i="17" s="1"/>
  <c r="AM60" i="10"/>
  <c r="AM60" i="17" s="1"/>
  <c r="AJ60" i="10"/>
  <c r="AJ60" i="17" s="1"/>
  <c r="AG60" i="10"/>
  <c r="AG60" i="17" s="1"/>
  <c r="AD60" i="10"/>
  <c r="AD60" i="17" s="1"/>
  <c r="AA60" i="10"/>
  <c r="AA60" i="17" s="1"/>
  <c r="X60" i="10"/>
  <c r="X60" i="17" s="1"/>
  <c r="U60" i="10"/>
  <c r="U60" i="17" s="1"/>
  <c r="R60" i="10"/>
  <c r="R60" i="17" s="1"/>
  <c r="O60" i="10"/>
  <c r="O60" i="17" s="1"/>
  <c r="L60" i="10"/>
  <c r="L60" i="17" s="1"/>
  <c r="I60" i="10"/>
  <c r="I60" i="17" s="1"/>
  <c r="F60" i="10"/>
  <c r="F60" i="17" s="1"/>
  <c r="C60" i="10"/>
  <c r="C60" i="17" s="1"/>
  <c r="B60" i="10"/>
  <c r="B60" i="17" s="1"/>
  <c r="AP59" i="10"/>
  <c r="AP59" i="17" s="1"/>
  <c r="AM59" i="10"/>
  <c r="AM59" i="17" s="1"/>
  <c r="AJ59" i="10"/>
  <c r="AJ59" i="17" s="1"/>
  <c r="AG59" i="10"/>
  <c r="AG59" i="17" s="1"/>
  <c r="AD59" i="10"/>
  <c r="AD59" i="17" s="1"/>
  <c r="AA59" i="10"/>
  <c r="AA59" i="17" s="1"/>
  <c r="X59" i="10"/>
  <c r="X59" i="17" s="1"/>
  <c r="U59" i="10"/>
  <c r="U59" i="17" s="1"/>
  <c r="R59" i="10"/>
  <c r="R59" i="17" s="1"/>
  <c r="O59" i="10"/>
  <c r="O59" i="17" s="1"/>
  <c r="L59" i="10"/>
  <c r="L59" i="17" s="1"/>
  <c r="I59" i="10"/>
  <c r="I59" i="17" s="1"/>
  <c r="F59" i="10"/>
  <c r="F59" i="17" s="1"/>
  <c r="C59" i="10"/>
  <c r="C59" i="17" s="1"/>
  <c r="B59" i="10"/>
  <c r="B59" i="17" s="1"/>
  <c r="AP58" i="10"/>
  <c r="AP58" i="17" s="1"/>
  <c r="AM58" i="10"/>
  <c r="AM58" i="17" s="1"/>
  <c r="AJ58" i="10"/>
  <c r="AJ58" i="17" s="1"/>
  <c r="AG58" i="10"/>
  <c r="AG58" i="17" s="1"/>
  <c r="AD58" i="10"/>
  <c r="AD58" i="17" s="1"/>
  <c r="AA58" i="10"/>
  <c r="AA58" i="17" s="1"/>
  <c r="X58" i="10"/>
  <c r="X58" i="17" s="1"/>
  <c r="U58" i="10"/>
  <c r="U58" i="17" s="1"/>
  <c r="R58" i="10"/>
  <c r="R58" i="17" s="1"/>
  <c r="O58" i="10"/>
  <c r="O58" i="17" s="1"/>
  <c r="L58" i="10"/>
  <c r="L58" i="17" s="1"/>
  <c r="I58" i="10"/>
  <c r="I58" i="17" s="1"/>
  <c r="F58" i="10"/>
  <c r="F58" i="17" s="1"/>
  <c r="C58" i="10"/>
  <c r="C58" i="17" s="1"/>
  <c r="B58" i="10"/>
  <c r="B58" i="17" s="1"/>
  <c r="AP57" i="10"/>
  <c r="AP57" i="17" s="1"/>
  <c r="AM57" i="10"/>
  <c r="AM57" i="17" s="1"/>
  <c r="AJ57" i="10"/>
  <c r="AJ57" i="17" s="1"/>
  <c r="AG57" i="10"/>
  <c r="AG57" i="17" s="1"/>
  <c r="AD57" i="10"/>
  <c r="AD57" i="17" s="1"/>
  <c r="AA57" i="10"/>
  <c r="AA57" i="17" s="1"/>
  <c r="X57" i="10"/>
  <c r="X57" i="17" s="1"/>
  <c r="U57" i="10"/>
  <c r="U57" i="17" s="1"/>
  <c r="R57" i="10"/>
  <c r="R57" i="17" s="1"/>
  <c r="O57" i="10"/>
  <c r="O57" i="17" s="1"/>
  <c r="L57" i="10"/>
  <c r="L57" i="17" s="1"/>
  <c r="I57" i="10"/>
  <c r="I57" i="17" s="1"/>
  <c r="F57" i="10"/>
  <c r="F57" i="17" s="1"/>
  <c r="C57" i="10"/>
  <c r="C57" i="17" s="1"/>
  <c r="B57" i="10"/>
  <c r="B57" i="17" s="1"/>
  <c r="AP56" i="10"/>
  <c r="AP56" i="17" s="1"/>
  <c r="AM56" i="10"/>
  <c r="AM56" i="17" s="1"/>
  <c r="AJ56" i="10"/>
  <c r="AJ56" i="17" s="1"/>
  <c r="AG56" i="10"/>
  <c r="AG56" i="17" s="1"/>
  <c r="AD56" i="10"/>
  <c r="AD56" i="17" s="1"/>
  <c r="AA56" i="10"/>
  <c r="AA56" i="17" s="1"/>
  <c r="X56" i="10"/>
  <c r="X56" i="17" s="1"/>
  <c r="U56" i="10"/>
  <c r="U56" i="17" s="1"/>
  <c r="R56" i="10"/>
  <c r="R56" i="17" s="1"/>
  <c r="O56" i="10"/>
  <c r="O56" i="17" s="1"/>
  <c r="L56" i="10"/>
  <c r="L56" i="17" s="1"/>
  <c r="I56" i="10"/>
  <c r="I56" i="17" s="1"/>
  <c r="F56" i="10"/>
  <c r="F56" i="17" s="1"/>
  <c r="C56" i="10"/>
  <c r="C56" i="17" s="1"/>
  <c r="B56" i="10"/>
  <c r="B56" i="17" s="1"/>
  <c r="AP55" i="10"/>
  <c r="AP55" i="17" s="1"/>
  <c r="AM55" i="10"/>
  <c r="AM55" i="17" s="1"/>
  <c r="AJ55" i="10"/>
  <c r="AJ55" i="17" s="1"/>
  <c r="AG55" i="10"/>
  <c r="AG55" i="17" s="1"/>
  <c r="AD55" i="10"/>
  <c r="AD55" i="17" s="1"/>
  <c r="AA55" i="10"/>
  <c r="AA55" i="17" s="1"/>
  <c r="X55" i="10"/>
  <c r="X55" i="17" s="1"/>
  <c r="U55" i="10"/>
  <c r="U55" i="17" s="1"/>
  <c r="R55" i="10"/>
  <c r="R55" i="17" s="1"/>
  <c r="O55" i="10"/>
  <c r="O55" i="17" s="1"/>
  <c r="L55" i="10"/>
  <c r="L55" i="17" s="1"/>
  <c r="I55" i="10"/>
  <c r="I55" i="17" s="1"/>
  <c r="F55" i="10"/>
  <c r="F55" i="17" s="1"/>
  <c r="C55" i="10"/>
  <c r="C55" i="17" s="1"/>
  <c r="B55" i="10"/>
  <c r="B55" i="17" s="1"/>
  <c r="AP54" i="10"/>
  <c r="AP54" i="17" s="1"/>
  <c r="AM54" i="10"/>
  <c r="AM54" i="17" s="1"/>
  <c r="AJ54" i="10"/>
  <c r="AJ54" i="17" s="1"/>
  <c r="AG54" i="10"/>
  <c r="AG54" i="17" s="1"/>
  <c r="AD54" i="10"/>
  <c r="AD54" i="17" s="1"/>
  <c r="AA54" i="10"/>
  <c r="AA54" i="17" s="1"/>
  <c r="X54" i="10"/>
  <c r="X54" i="17" s="1"/>
  <c r="U54" i="10"/>
  <c r="U54" i="17" s="1"/>
  <c r="R54" i="10"/>
  <c r="R54" i="17" s="1"/>
  <c r="O54" i="10"/>
  <c r="O54" i="17" s="1"/>
  <c r="L54" i="10"/>
  <c r="L54" i="17" s="1"/>
  <c r="I54" i="10"/>
  <c r="I54" i="17" s="1"/>
  <c r="F54" i="10"/>
  <c r="F54" i="17" s="1"/>
  <c r="C54" i="10"/>
  <c r="C54" i="17" s="1"/>
  <c r="B54" i="10"/>
  <c r="B54" i="17" s="1"/>
  <c r="AP53" i="10"/>
  <c r="AP53" i="17" s="1"/>
  <c r="AM53" i="10"/>
  <c r="AM53" i="17" s="1"/>
  <c r="AJ53" i="10"/>
  <c r="AJ53" i="17" s="1"/>
  <c r="AG53" i="10"/>
  <c r="AG53" i="17" s="1"/>
  <c r="AD53" i="10"/>
  <c r="AD53" i="17" s="1"/>
  <c r="AA53" i="10"/>
  <c r="AA53" i="17" s="1"/>
  <c r="X53" i="10"/>
  <c r="X53" i="17" s="1"/>
  <c r="U53" i="10"/>
  <c r="U53" i="17" s="1"/>
  <c r="R53" i="10"/>
  <c r="R53" i="17" s="1"/>
  <c r="O53" i="10"/>
  <c r="O53" i="17" s="1"/>
  <c r="L53" i="10"/>
  <c r="L53" i="17" s="1"/>
  <c r="I53" i="10"/>
  <c r="I53" i="17" s="1"/>
  <c r="F53" i="10"/>
  <c r="F53" i="17" s="1"/>
  <c r="C53" i="10"/>
  <c r="C53" i="17" s="1"/>
  <c r="B53" i="10"/>
  <c r="B53" i="17" s="1"/>
  <c r="AP52" i="10"/>
  <c r="AP52" i="17" s="1"/>
  <c r="AM52" i="10"/>
  <c r="AM52" i="17" s="1"/>
  <c r="AJ52" i="10"/>
  <c r="AJ52" i="17" s="1"/>
  <c r="AG52" i="10"/>
  <c r="AG52" i="17" s="1"/>
  <c r="AD52" i="10"/>
  <c r="AD52" i="17" s="1"/>
  <c r="AA52" i="10"/>
  <c r="AA52" i="17" s="1"/>
  <c r="X52" i="10"/>
  <c r="X52" i="17" s="1"/>
  <c r="U52" i="10"/>
  <c r="U52" i="17" s="1"/>
  <c r="R52" i="10"/>
  <c r="R52" i="17" s="1"/>
  <c r="O52" i="10"/>
  <c r="O52" i="17" s="1"/>
  <c r="L52" i="10"/>
  <c r="L52" i="17" s="1"/>
  <c r="I52" i="10"/>
  <c r="I52" i="17" s="1"/>
  <c r="F52" i="10"/>
  <c r="F52" i="17" s="1"/>
  <c r="C52" i="10"/>
  <c r="C52" i="17" s="1"/>
  <c r="B52" i="10"/>
  <c r="B52" i="17" s="1"/>
  <c r="AP51" i="10"/>
  <c r="AP51" i="17" s="1"/>
  <c r="AM51" i="10"/>
  <c r="AM51" i="17" s="1"/>
  <c r="AJ51" i="10"/>
  <c r="AJ51" i="17" s="1"/>
  <c r="AG51" i="10"/>
  <c r="AG51" i="17" s="1"/>
  <c r="AD51" i="10"/>
  <c r="AD51" i="17" s="1"/>
  <c r="AA51" i="10"/>
  <c r="AA51" i="17" s="1"/>
  <c r="X51" i="10"/>
  <c r="X51" i="17" s="1"/>
  <c r="U51" i="10"/>
  <c r="U51" i="17" s="1"/>
  <c r="R51" i="10"/>
  <c r="R51" i="17" s="1"/>
  <c r="O51" i="10"/>
  <c r="O51" i="17" s="1"/>
  <c r="L51" i="10"/>
  <c r="L51" i="17" s="1"/>
  <c r="I51" i="10"/>
  <c r="I51" i="17" s="1"/>
  <c r="F51" i="10"/>
  <c r="F51" i="17" s="1"/>
  <c r="C51" i="10"/>
  <c r="C51" i="17" s="1"/>
  <c r="B51" i="10"/>
  <c r="B51" i="17" s="1"/>
  <c r="AP50" i="10"/>
  <c r="AP50" i="17" s="1"/>
  <c r="AM50" i="10"/>
  <c r="AM50" i="17" s="1"/>
  <c r="AJ50" i="10"/>
  <c r="AJ50" i="17" s="1"/>
  <c r="AG50" i="10"/>
  <c r="AG50" i="17" s="1"/>
  <c r="AD50" i="10"/>
  <c r="AD50" i="17" s="1"/>
  <c r="AA50" i="10"/>
  <c r="AA50" i="17" s="1"/>
  <c r="X50" i="10"/>
  <c r="X50" i="17" s="1"/>
  <c r="U50" i="10"/>
  <c r="U50" i="17" s="1"/>
  <c r="R50" i="10"/>
  <c r="R50" i="17" s="1"/>
  <c r="O50" i="10"/>
  <c r="O50" i="17" s="1"/>
  <c r="L50" i="10"/>
  <c r="L50" i="17" s="1"/>
  <c r="I50" i="10"/>
  <c r="I50" i="17" s="1"/>
  <c r="F50" i="10"/>
  <c r="F50" i="17" s="1"/>
  <c r="C50" i="10"/>
  <c r="C50" i="17" s="1"/>
  <c r="B50" i="10"/>
  <c r="B50" i="17" s="1"/>
  <c r="AP49" i="10"/>
  <c r="AP49" i="17" s="1"/>
  <c r="AM49" i="10"/>
  <c r="AM49" i="17" s="1"/>
  <c r="AJ49" i="10"/>
  <c r="AJ49" i="17" s="1"/>
  <c r="AG49" i="10"/>
  <c r="AG49" i="17" s="1"/>
  <c r="AD49" i="10"/>
  <c r="AD49" i="17" s="1"/>
  <c r="AA49" i="10"/>
  <c r="AA49" i="17" s="1"/>
  <c r="X49" i="10"/>
  <c r="X49" i="17" s="1"/>
  <c r="U49" i="10"/>
  <c r="U49" i="17" s="1"/>
  <c r="R49" i="10"/>
  <c r="R49" i="17" s="1"/>
  <c r="O49" i="10"/>
  <c r="O49" i="17" s="1"/>
  <c r="L49" i="10"/>
  <c r="L49" i="17" s="1"/>
  <c r="I49" i="10"/>
  <c r="I49" i="17" s="1"/>
  <c r="F49" i="10"/>
  <c r="F49" i="17" s="1"/>
  <c r="C49" i="10"/>
  <c r="C49" i="17" s="1"/>
  <c r="B49" i="10"/>
  <c r="B49" i="17" s="1"/>
  <c r="AP48" i="10"/>
  <c r="AP48" i="17" s="1"/>
  <c r="AM48" i="10"/>
  <c r="AM48" i="17" s="1"/>
  <c r="AJ48" i="10"/>
  <c r="AJ48" i="17" s="1"/>
  <c r="AG48" i="10"/>
  <c r="AG48" i="17" s="1"/>
  <c r="AD48" i="10"/>
  <c r="AD48" i="17" s="1"/>
  <c r="AA48" i="10"/>
  <c r="AA48" i="17" s="1"/>
  <c r="X48" i="10"/>
  <c r="X48" i="17" s="1"/>
  <c r="U48" i="10"/>
  <c r="U48" i="17" s="1"/>
  <c r="R48" i="10"/>
  <c r="R48" i="17" s="1"/>
  <c r="O48" i="10"/>
  <c r="O48" i="17" s="1"/>
  <c r="L48" i="10"/>
  <c r="L48" i="17" s="1"/>
  <c r="I48" i="10"/>
  <c r="I48" i="17" s="1"/>
  <c r="F48" i="10"/>
  <c r="F48" i="17" s="1"/>
  <c r="C48" i="10"/>
  <c r="C48" i="17" s="1"/>
  <c r="B48" i="10"/>
  <c r="B48" i="17" s="1"/>
  <c r="AP47" i="10"/>
  <c r="AP47" i="17" s="1"/>
  <c r="AM47" i="10"/>
  <c r="AM47" i="17" s="1"/>
  <c r="AJ47" i="10"/>
  <c r="AJ47" i="17" s="1"/>
  <c r="AG47" i="10"/>
  <c r="AG47" i="17" s="1"/>
  <c r="AD47" i="10"/>
  <c r="AD47" i="17" s="1"/>
  <c r="AA47" i="10"/>
  <c r="AA47" i="17" s="1"/>
  <c r="X47" i="10"/>
  <c r="X47" i="17" s="1"/>
  <c r="U47" i="10"/>
  <c r="U47" i="17" s="1"/>
  <c r="R47" i="10"/>
  <c r="R47" i="17" s="1"/>
  <c r="O47" i="10"/>
  <c r="O47" i="17" s="1"/>
  <c r="L47" i="10"/>
  <c r="L47" i="17" s="1"/>
  <c r="I47" i="10"/>
  <c r="I47" i="17" s="1"/>
  <c r="F47" i="10"/>
  <c r="F47" i="17" s="1"/>
  <c r="C47" i="10"/>
  <c r="C47" i="17" s="1"/>
  <c r="B47" i="10"/>
  <c r="B47" i="17" s="1"/>
  <c r="AP46" i="10"/>
  <c r="AP46" i="17" s="1"/>
  <c r="AM46" i="10"/>
  <c r="AM46" i="17" s="1"/>
  <c r="AJ46" i="10"/>
  <c r="AJ46" i="17" s="1"/>
  <c r="AG46" i="10"/>
  <c r="AG46" i="17" s="1"/>
  <c r="AD46" i="10"/>
  <c r="AD46" i="17" s="1"/>
  <c r="AA46" i="10"/>
  <c r="AA46" i="17" s="1"/>
  <c r="X46" i="10"/>
  <c r="X46" i="17" s="1"/>
  <c r="U46" i="10"/>
  <c r="U46" i="17" s="1"/>
  <c r="R46" i="10"/>
  <c r="R46" i="17" s="1"/>
  <c r="O46" i="10"/>
  <c r="O46" i="17" s="1"/>
  <c r="L46" i="10"/>
  <c r="L46" i="17" s="1"/>
  <c r="I46" i="10"/>
  <c r="I46" i="17" s="1"/>
  <c r="F46" i="10"/>
  <c r="F46" i="17" s="1"/>
  <c r="C46" i="10"/>
  <c r="C46" i="17" s="1"/>
  <c r="B46" i="10"/>
  <c r="B46" i="17" s="1"/>
  <c r="AP45" i="10"/>
  <c r="AP45" i="17" s="1"/>
  <c r="AM45" i="10"/>
  <c r="AM45" i="17" s="1"/>
  <c r="AJ45" i="10"/>
  <c r="AJ45" i="17" s="1"/>
  <c r="AG45" i="10"/>
  <c r="AG45" i="17" s="1"/>
  <c r="AD45" i="10"/>
  <c r="AD45" i="17" s="1"/>
  <c r="AA45" i="10"/>
  <c r="AA45" i="17" s="1"/>
  <c r="X45" i="10"/>
  <c r="X45" i="17" s="1"/>
  <c r="U45" i="10"/>
  <c r="U45" i="17" s="1"/>
  <c r="R45" i="10"/>
  <c r="R45" i="17" s="1"/>
  <c r="O45" i="10"/>
  <c r="O45" i="17" s="1"/>
  <c r="L45" i="10"/>
  <c r="L45" i="17" s="1"/>
  <c r="I45" i="10"/>
  <c r="I45" i="17" s="1"/>
  <c r="F45" i="10"/>
  <c r="F45" i="17" s="1"/>
  <c r="C45" i="10"/>
  <c r="C45" i="17" s="1"/>
  <c r="B45" i="10"/>
  <c r="B45" i="17" s="1"/>
  <c r="AP44" i="10"/>
  <c r="AP44" i="17" s="1"/>
  <c r="AM44" i="10"/>
  <c r="AM44" i="17" s="1"/>
  <c r="AJ44" i="10"/>
  <c r="AJ44" i="17" s="1"/>
  <c r="AG44" i="10"/>
  <c r="AG44" i="17" s="1"/>
  <c r="AD44" i="10"/>
  <c r="AD44" i="17" s="1"/>
  <c r="AA44" i="10"/>
  <c r="AA44" i="17" s="1"/>
  <c r="X44" i="10"/>
  <c r="X44" i="17" s="1"/>
  <c r="U44" i="10"/>
  <c r="U44" i="17" s="1"/>
  <c r="R44" i="10"/>
  <c r="R44" i="17" s="1"/>
  <c r="O44" i="10"/>
  <c r="O44" i="17" s="1"/>
  <c r="L44" i="10"/>
  <c r="L44" i="17" s="1"/>
  <c r="I44" i="10"/>
  <c r="I44" i="17" s="1"/>
  <c r="F44" i="10"/>
  <c r="F44" i="17" s="1"/>
  <c r="C44" i="10"/>
  <c r="C44" i="17" s="1"/>
  <c r="B44" i="10"/>
  <c r="B44" i="17" s="1"/>
  <c r="AP43" i="10"/>
  <c r="AP43" i="17" s="1"/>
  <c r="AM43" i="10"/>
  <c r="AM43" i="17" s="1"/>
  <c r="AJ43" i="10"/>
  <c r="AJ43" i="17" s="1"/>
  <c r="AG43" i="10"/>
  <c r="AG43" i="17" s="1"/>
  <c r="AD43" i="10"/>
  <c r="AD43" i="17" s="1"/>
  <c r="AA43" i="10"/>
  <c r="AA43" i="17" s="1"/>
  <c r="X43" i="10"/>
  <c r="X43" i="17" s="1"/>
  <c r="U43" i="10"/>
  <c r="U43" i="17" s="1"/>
  <c r="R43" i="10"/>
  <c r="R43" i="17" s="1"/>
  <c r="O43" i="10"/>
  <c r="O43" i="17" s="1"/>
  <c r="L43" i="10"/>
  <c r="L43" i="17" s="1"/>
  <c r="I43" i="10"/>
  <c r="I43" i="17" s="1"/>
  <c r="F43" i="10"/>
  <c r="F43" i="17" s="1"/>
  <c r="C43" i="10"/>
  <c r="C43" i="17" s="1"/>
  <c r="B43" i="10"/>
  <c r="B43" i="17" s="1"/>
  <c r="AP42" i="10"/>
  <c r="AP42" i="17" s="1"/>
  <c r="AM42" i="10"/>
  <c r="AM42" i="17" s="1"/>
  <c r="AJ42" i="10"/>
  <c r="AJ42" i="17" s="1"/>
  <c r="AG42" i="10"/>
  <c r="AG42" i="17" s="1"/>
  <c r="AD42" i="10"/>
  <c r="AD42" i="17" s="1"/>
  <c r="AA42" i="10"/>
  <c r="AA42" i="17" s="1"/>
  <c r="X42" i="10"/>
  <c r="X42" i="17" s="1"/>
  <c r="U42" i="10"/>
  <c r="U42" i="17" s="1"/>
  <c r="R42" i="10"/>
  <c r="R42" i="17" s="1"/>
  <c r="O42" i="10"/>
  <c r="O42" i="17" s="1"/>
  <c r="L42" i="10"/>
  <c r="L42" i="17" s="1"/>
  <c r="I42" i="10"/>
  <c r="I42" i="17" s="1"/>
  <c r="F42" i="10"/>
  <c r="F42" i="17" s="1"/>
  <c r="C42" i="10"/>
  <c r="C42" i="17" s="1"/>
  <c r="B42" i="10"/>
  <c r="B42" i="17" s="1"/>
  <c r="AP41" i="10"/>
  <c r="AP41" i="17" s="1"/>
  <c r="AM41" i="10"/>
  <c r="AM41" i="17" s="1"/>
  <c r="AJ41" i="10"/>
  <c r="AJ41" i="17" s="1"/>
  <c r="AG41" i="10"/>
  <c r="AG41" i="17" s="1"/>
  <c r="AD41" i="10"/>
  <c r="AD41" i="17" s="1"/>
  <c r="AA41" i="10"/>
  <c r="AA41" i="17" s="1"/>
  <c r="X41" i="10"/>
  <c r="X41" i="17" s="1"/>
  <c r="U41" i="10"/>
  <c r="U41" i="17" s="1"/>
  <c r="R41" i="10"/>
  <c r="R41" i="17" s="1"/>
  <c r="O41" i="10"/>
  <c r="O41" i="17" s="1"/>
  <c r="L41" i="10"/>
  <c r="L41" i="17" s="1"/>
  <c r="I41" i="10"/>
  <c r="I41" i="17" s="1"/>
  <c r="F41" i="10"/>
  <c r="F41" i="17" s="1"/>
  <c r="C41" i="10"/>
  <c r="C41" i="17" s="1"/>
  <c r="B41" i="10"/>
  <c r="B41" i="17" s="1"/>
  <c r="AP40" i="10"/>
  <c r="AP40" i="17" s="1"/>
  <c r="AM40" i="10"/>
  <c r="AM40" i="17" s="1"/>
  <c r="AJ40" i="10"/>
  <c r="AJ40" i="17" s="1"/>
  <c r="AG40" i="10"/>
  <c r="AG40" i="17" s="1"/>
  <c r="AD40" i="10"/>
  <c r="AD40" i="17" s="1"/>
  <c r="AA40" i="10"/>
  <c r="AA40" i="17" s="1"/>
  <c r="X40" i="10"/>
  <c r="X40" i="17" s="1"/>
  <c r="U40" i="10"/>
  <c r="U40" i="17" s="1"/>
  <c r="R40" i="10"/>
  <c r="R40" i="17" s="1"/>
  <c r="O40" i="10"/>
  <c r="O40" i="17" s="1"/>
  <c r="L40" i="10"/>
  <c r="L40" i="17" s="1"/>
  <c r="I40" i="10"/>
  <c r="I40" i="17" s="1"/>
  <c r="F40" i="10"/>
  <c r="F40" i="17" s="1"/>
  <c r="C40" i="10"/>
  <c r="C40" i="17" s="1"/>
  <c r="B40" i="10"/>
  <c r="B40" i="17" s="1"/>
  <c r="AP39" i="10"/>
  <c r="AP39" i="17" s="1"/>
  <c r="AM39" i="10"/>
  <c r="AM39" i="17" s="1"/>
  <c r="AJ39" i="10"/>
  <c r="AJ39" i="17" s="1"/>
  <c r="AG39" i="10"/>
  <c r="AG39" i="17" s="1"/>
  <c r="AD39" i="10"/>
  <c r="AD39" i="17" s="1"/>
  <c r="AA39" i="10"/>
  <c r="AA39" i="17" s="1"/>
  <c r="X39" i="10"/>
  <c r="X39" i="17" s="1"/>
  <c r="U39" i="10"/>
  <c r="U39" i="17" s="1"/>
  <c r="R39" i="10"/>
  <c r="R39" i="17" s="1"/>
  <c r="O39" i="10"/>
  <c r="O39" i="17" s="1"/>
  <c r="L39" i="10"/>
  <c r="L39" i="17" s="1"/>
  <c r="I39" i="10"/>
  <c r="I39" i="17" s="1"/>
  <c r="F39" i="10"/>
  <c r="F39" i="17" s="1"/>
  <c r="C39" i="10"/>
  <c r="C39" i="17" s="1"/>
  <c r="B39" i="10"/>
  <c r="B39" i="17" s="1"/>
  <c r="AP38" i="10"/>
  <c r="AP38" i="17" s="1"/>
  <c r="AM38" i="10"/>
  <c r="AM38" i="17" s="1"/>
  <c r="AJ38" i="10"/>
  <c r="AJ38" i="17" s="1"/>
  <c r="AG38" i="10"/>
  <c r="AG38" i="17" s="1"/>
  <c r="AD38" i="10"/>
  <c r="AD38" i="17" s="1"/>
  <c r="AA38" i="10"/>
  <c r="AA38" i="17" s="1"/>
  <c r="X38" i="10"/>
  <c r="X38" i="17" s="1"/>
  <c r="U38" i="10"/>
  <c r="U38" i="17" s="1"/>
  <c r="R38" i="10"/>
  <c r="R38" i="17" s="1"/>
  <c r="O38" i="10"/>
  <c r="O38" i="17" s="1"/>
  <c r="L38" i="10"/>
  <c r="L38" i="17" s="1"/>
  <c r="I38" i="10"/>
  <c r="I38" i="17" s="1"/>
  <c r="F38" i="10"/>
  <c r="F38" i="17" s="1"/>
  <c r="C38" i="10"/>
  <c r="C38" i="17" s="1"/>
  <c r="B38" i="10"/>
  <c r="B38" i="17" s="1"/>
  <c r="AP37" i="10"/>
  <c r="AP37" i="17" s="1"/>
  <c r="AM37" i="10"/>
  <c r="AM37" i="17" s="1"/>
  <c r="AJ37" i="10"/>
  <c r="AJ37" i="17" s="1"/>
  <c r="AG37" i="10"/>
  <c r="AG37" i="17" s="1"/>
  <c r="AD37" i="10"/>
  <c r="AD37" i="17" s="1"/>
  <c r="AA37" i="10"/>
  <c r="AA37" i="17" s="1"/>
  <c r="X37" i="10"/>
  <c r="X37" i="17" s="1"/>
  <c r="U37" i="10"/>
  <c r="U37" i="17" s="1"/>
  <c r="R37" i="10"/>
  <c r="R37" i="17" s="1"/>
  <c r="O37" i="10"/>
  <c r="O37" i="17" s="1"/>
  <c r="L37" i="10"/>
  <c r="L37" i="17" s="1"/>
  <c r="I37" i="10"/>
  <c r="I37" i="17" s="1"/>
  <c r="F37" i="10"/>
  <c r="F37" i="17" s="1"/>
  <c r="C37" i="10"/>
  <c r="C37" i="17" s="1"/>
  <c r="B37" i="10"/>
  <c r="B37" i="17" s="1"/>
  <c r="AP36" i="10"/>
  <c r="AP36" i="17" s="1"/>
  <c r="AM36" i="10"/>
  <c r="AM36" i="17" s="1"/>
  <c r="AJ36" i="10"/>
  <c r="AJ36" i="17" s="1"/>
  <c r="AG36" i="10"/>
  <c r="AG36" i="17" s="1"/>
  <c r="AD36" i="10"/>
  <c r="AD36" i="17" s="1"/>
  <c r="AA36" i="10"/>
  <c r="AA36" i="17" s="1"/>
  <c r="X36" i="10"/>
  <c r="X36" i="17" s="1"/>
  <c r="U36" i="10"/>
  <c r="U36" i="17" s="1"/>
  <c r="R36" i="10"/>
  <c r="R36" i="17" s="1"/>
  <c r="O36" i="10"/>
  <c r="O36" i="17" s="1"/>
  <c r="L36" i="10"/>
  <c r="L36" i="17" s="1"/>
  <c r="I36" i="10"/>
  <c r="I36" i="17" s="1"/>
  <c r="F36" i="10"/>
  <c r="F36" i="17" s="1"/>
  <c r="C36" i="10"/>
  <c r="C36" i="17" s="1"/>
  <c r="B36" i="10"/>
  <c r="B36" i="17" s="1"/>
  <c r="AP35" i="10"/>
  <c r="AP35" i="17" s="1"/>
  <c r="AM35" i="10"/>
  <c r="AM35" i="17" s="1"/>
  <c r="AJ35" i="10"/>
  <c r="AJ35" i="17" s="1"/>
  <c r="AG35" i="10"/>
  <c r="AG35" i="17" s="1"/>
  <c r="AD35" i="10"/>
  <c r="AD35" i="17" s="1"/>
  <c r="AA35" i="10"/>
  <c r="AA35" i="17" s="1"/>
  <c r="X35" i="10"/>
  <c r="X35" i="17" s="1"/>
  <c r="U35" i="10"/>
  <c r="U35" i="17" s="1"/>
  <c r="R35" i="10"/>
  <c r="R35" i="17" s="1"/>
  <c r="O35" i="10"/>
  <c r="O35" i="17" s="1"/>
  <c r="L35" i="10"/>
  <c r="L35" i="17" s="1"/>
  <c r="I35" i="10"/>
  <c r="I35" i="17" s="1"/>
  <c r="F35" i="10"/>
  <c r="F35" i="17" s="1"/>
  <c r="C35" i="10"/>
  <c r="C35" i="17" s="1"/>
  <c r="B35" i="10"/>
  <c r="B35" i="17" s="1"/>
  <c r="AP34" i="10"/>
  <c r="AP34" i="17" s="1"/>
  <c r="AM34" i="10"/>
  <c r="AM34" i="17" s="1"/>
  <c r="AJ34" i="10"/>
  <c r="AJ34" i="17" s="1"/>
  <c r="AG34" i="10"/>
  <c r="AG34" i="17" s="1"/>
  <c r="AD34" i="10"/>
  <c r="AD34" i="17" s="1"/>
  <c r="AA34" i="10"/>
  <c r="AA34" i="17" s="1"/>
  <c r="X34" i="10"/>
  <c r="X34" i="17" s="1"/>
  <c r="U34" i="10"/>
  <c r="U34" i="17" s="1"/>
  <c r="R34" i="10"/>
  <c r="R34" i="17" s="1"/>
  <c r="O34" i="10"/>
  <c r="O34" i="17" s="1"/>
  <c r="L34" i="10"/>
  <c r="L34" i="17" s="1"/>
  <c r="I34" i="10"/>
  <c r="I34" i="17" s="1"/>
  <c r="F34" i="10"/>
  <c r="F34" i="17" s="1"/>
  <c r="C34" i="10"/>
  <c r="C34" i="17" s="1"/>
  <c r="B34" i="10"/>
  <c r="B34" i="17" s="1"/>
  <c r="AP33" i="10"/>
  <c r="AP33" i="17" s="1"/>
  <c r="AM33" i="10"/>
  <c r="AM33" i="17" s="1"/>
  <c r="AJ33" i="10"/>
  <c r="AJ33" i="17" s="1"/>
  <c r="AG33" i="10"/>
  <c r="AG33" i="17" s="1"/>
  <c r="AD33" i="10"/>
  <c r="AD33" i="17" s="1"/>
  <c r="AA33" i="10"/>
  <c r="AA33" i="17" s="1"/>
  <c r="X33" i="10"/>
  <c r="X33" i="17" s="1"/>
  <c r="U33" i="10"/>
  <c r="U33" i="17" s="1"/>
  <c r="R33" i="10"/>
  <c r="R33" i="17" s="1"/>
  <c r="O33" i="10"/>
  <c r="O33" i="17" s="1"/>
  <c r="L33" i="10"/>
  <c r="L33" i="17" s="1"/>
  <c r="I33" i="10"/>
  <c r="I33" i="17" s="1"/>
  <c r="F33" i="10"/>
  <c r="F33" i="17" s="1"/>
  <c r="C33" i="10"/>
  <c r="C33" i="17" s="1"/>
  <c r="B33" i="10"/>
  <c r="B33" i="17" s="1"/>
  <c r="AP32" i="10"/>
  <c r="AP32" i="17" s="1"/>
  <c r="AM32" i="10"/>
  <c r="AM32" i="17" s="1"/>
  <c r="AJ32" i="10"/>
  <c r="AJ32" i="17" s="1"/>
  <c r="AG32" i="10"/>
  <c r="AG32" i="17" s="1"/>
  <c r="AD32" i="10"/>
  <c r="AD32" i="17" s="1"/>
  <c r="AA32" i="10"/>
  <c r="AA32" i="17" s="1"/>
  <c r="X32" i="10"/>
  <c r="X32" i="17" s="1"/>
  <c r="U32" i="10"/>
  <c r="U32" i="17" s="1"/>
  <c r="R32" i="10"/>
  <c r="R32" i="17" s="1"/>
  <c r="O32" i="10"/>
  <c r="O32" i="17" s="1"/>
  <c r="L32" i="10"/>
  <c r="L32" i="17" s="1"/>
  <c r="I32" i="10"/>
  <c r="I32" i="17" s="1"/>
  <c r="F32" i="10"/>
  <c r="F32" i="17" s="1"/>
  <c r="C32" i="10"/>
  <c r="C32" i="17" s="1"/>
  <c r="B32" i="10"/>
  <c r="B32" i="17" s="1"/>
  <c r="AP31" i="10"/>
  <c r="AP31" i="17" s="1"/>
  <c r="AM31" i="10"/>
  <c r="AM31" i="17" s="1"/>
  <c r="AJ31" i="10"/>
  <c r="AJ31" i="17" s="1"/>
  <c r="AG31" i="10"/>
  <c r="AG31" i="17" s="1"/>
  <c r="AD31" i="10"/>
  <c r="AD31" i="17" s="1"/>
  <c r="AA31" i="10"/>
  <c r="AA31" i="17" s="1"/>
  <c r="X31" i="10"/>
  <c r="X31" i="17" s="1"/>
  <c r="U31" i="10"/>
  <c r="U31" i="17" s="1"/>
  <c r="R31" i="10"/>
  <c r="R31" i="17" s="1"/>
  <c r="O31" i="10"/>
  <c r="O31" i="17" s="1"/>
  <c r="L31" i="10"/>
  <c r="L31" i="17" s="1"/>
  <c r="I31" i="10"/>
  <c r="I31" i="17" s="1"/>
  <c r="F31" i="10"/>
  <c r="F31" i="17" s="1"/>
  <c r="C31" i="10"/>
  <c r="C31" i="17" s="1"/>
  <c r="B31" i="10"/>
  <c r="B31" i="17" s="1"/>
  <c r="AP30" i="10"/>
  <c r="AP30" i="17" s="1"/>
  <c r="AM30" i="10"/>
  <c r="AM30" i="17" s="1"/>
  <c r="AJ30" i="10"/>
  <c r="AJ30" i="17" s="1"/>
  <c r="AG30" i="10"/>
  <c r="AG30" i="17" s="1"/>
  <c r="AD30" i="10"/>
  <c r="AD30" i="17" s="1"/>
  <c r="AA30" i="10"/>
  <c r="AA30" i="17" s="1"/>
  <c r="X30" i="10"/>
  <c r="X30" i="17" s="1"/>
  <c r="U30" i="10"/>
  <c r="U30" i="17" s="1"/>
  <c r="R30" i="10"/>
  <c r="R30" i="17" s="1"/>
  <c r="O30" i="10"/>
  <c r="O30" i="17" s="1"/>
  <c r="L30" i="10"/>
  <c r="L30" i="17" s="1"/>
  <c r="I30" i="10"/>
  <c r="I30" i="17" s="1"/>
  <c r="F30" i="10"/>
  <c r="F30" i="17" s="1"/>
  <c r="C30" i="10"/>
  <c r="C30" i="17" s="1"/>
  <c r="B30" i="10"/>
  <c r="B30" i="17" s="1"/>
  <c r="AP29" i="10"/>
  <c r="AP29" i="17" s="1"/>
  <c r="AM29" i="10"/>
  <c r="AM29" i="17" s="1"/>
  <c r="AJ29" i="10"/>
  <c r="AJ29" i="17" s="1"/>
  <c r="AG29" i="10"/>
  <c r="AG29" i="17" s="1"/>
  <c r="AD29" i="10"/>
  <c r="AD29" i="17" s="1"/>
  <c r="AA29" i="10"/>
  <c r="AA29" i="17" s="1"/>
  <c r="X29" i="10"/>
  <c r="X29" i="17" s="1"/>
  <c r="U29" i="10"/>
  <c r="U29" i="17" s="1"/>
  <c r="R29" i="10"/>
  <c r="R29" i="17" s="1"/>
  <c r="O29" i="10"/>
  <c r="O29" i="17" s="1"/>
  <c r="L29" i="10"/>
  <c r="L29" i="17" s="1"/>
  <c r="I29" i="10"/>
  <c r="I29" i="17" s="1"/>
  <c r="F29" i="10"/>
  <c r="F29" i="17" s="1"/>
  <c r="C29" i="10"/>
  <c r="C29" i="17" s="1"/>
  <c r="B29" i="10"/>
  <c r="B29" i="17" s="1"/>
  <c r="AP28" i="10"/>
  <c r="AP28" i="17" s="1"/>
  <c r="AM28" i="10"/>
  <c r="AM28" i="17" s="1"/>
  <c r="AJ28" i="10"/>
  <c r="AJ28" i="17" s="1"/>
  <c r="AG28" i="10"/>
  <c r="AG28" i="17" s="1"/>
  <c r="AD28" i="10"/>
  <c r="AD28" i="17" s="1"/>
  <c r="AA28" i="10"/>
  <c r="AA28" i="17" s="1"/>
  <c r="X28" i="10"/>
  <c r="X28" i="17" s="1"/>
  <c r="U28" i="10"/>
  <c r="U28" i="17" s="1"/>
  <c r="R28" i="10"/>
  <c r="R28" i="17" s="1"/>
  <c r="O28" i="10"/>
  <c r="O28" i="17" s="1"/>
  <c r="L28" i="10"/>
  <c r="L28" i="17" s="1"/>
  <c r="I28" i="10"/>
  <c r="I28" i="17" s="1"/>
  <c r="F28" i="10"/>
  <c r="F28" i="17" s="1"/>
  <c r="C28" i="10"/>
  <c r="C28" i="17" s="1"/>
  <c r="B28" i="10"/>
  <c r="B28" i="17" s="1"/>
  <c r="AP27" i="10"/>
  <c r="AP27" i="17" s="1"/>
  <c r="AM27" i="10"/>
  <c r="AM27" i="17" s="1"/>
  <c r="AJ27" i="10"/>
  <c r="AJ27" i="17" s="1"/>
  <c r="AG27" i="10"/>
  <c r="AG27" i="17" s="1"/>
  <c r="AD27" i="10"/>
  <c r="AD27" i="17" s="1"/>
  <c r="AA27" i="10"/>
  <c r="AA27" i="17" s="1"/>
  <c r="X27" i="10"/>
  <c r="X27" i="17" s="1"/>
  <c r="U27" i="10"/>
  <c r="U27" i="17" s="1"/>
  <c r="R27" i="10"/>
  <c r="R27" i="17" s="1"/>
  <c r="O27" i="10"/>
  <c r="O27" i="17" s="1"/>
  <c r="L27" i="10"/>
  <c r="L27" i="17" s="1"/>
  <c r="I27" i="10"/>
  <c r="I27" i="17" s="1"/>
  <c r="F27" i="10"/>
  <c r="F27" i="17" s="1"/>
  <c r="C27" i="10"/>
  <c r="C27" i="17" s="1"/>
  <c r="B27" i="10"/>
  <c r="B27" i="17" s="1"/>
  <c r="AP26" i="10"/>
  <c r="AP26" i="17" s="1"/>
  <c r="AM26" i="10"/>
  <c r="AM26" i="17" s="1"/>
  <c r="AJ26" i="10"/>
  <c r="AJ26" i="17" s="1"/>
  <c r="AG26" i="10"/>
  <c r="AG26" i="17" s="1"/>
  <c r="AD26" i="10"/>
  <c r="AD26" i="17" s="1"/>
  <c r="AA26" i="10"/>
  <c r="AA26" i="17" s="1"/>
  <c r="X26" i="10"/>
  <c r="X26" i="17" s="1"/>
  <c r="U26" i="10"/>
  <c r="U26" i="17" s="1"/>
  <c r="R26" i="10"/>
  <c r="R26" i="17" s="1"/>
  <c r="O26" i="10"/>
  <c r="O26" i="17" s="1"/>
  <c r="L26" i="10"/>
  <c r="L26" i="17" s="1"/>
  <c r="I26" i="10"/>
  <c r="I26" i="17" s="1"/>
  <c r="F26" i="10"/>
  <c r="F26" i="17" s="1"/>
  <c r="C26" i="10"/>
  <c r="C26" i="17" s="1"/>
  <c r="B26" i="10"/>
  <c r="B26" i="17" s="1"/>
  <c r="AP25" i="10"/>
  <c r="AP25" i="17" s="1"/>
  <c r="AM25" i="10"/>
  <c r="AM25" i="17" s="1"/>
  <c r="AJ25" i="10"/>
  <c r="AJ25" i="17" s="1"/>
  <c r="AG25" i="10"/>
  <c r="AG25" i="17" s="1"/>
  <c r="AD25" i="10"/>
  <c r="AD25" i="17" s="1"/>
  <c r="AA25" i="10"/>
  <c r="AA25" i="17" s="1"/>
  <c r="X25" i="10"/>
  <c r="X25" i="17" s="1"/>
  <c r="U25" i="10"/>
  <c r="U25" i="17" s="1"/>
  <c r="R25" i="10"/>
  <c r="R25" i="17" s="1"/>
  <c r="O25" i="10"/>
  <c r="O25" i="17" s="1"/>
  <c r="L25" i="10"/>
  <c r="L25" i="17" s="1"/>
  <c r="I25" i="10"/>
  <c r="I25" i="17" s="1"/>
  <c r="F25" i="10"/>
  <c r="F25" i="17" s="1"/>
  <c r="C25" i="10"/>
  <c r="C25" i="17" s="1"/>
  <c r="B25" i="10"/>
  <c r="B25" i="17" s="1"/>
  <c r="AP24" i="10"/>
  <c r="AP24" i="17" s="1"/>
  <c r="AM24" i="10"/>
  <c r="AM24" i="17" s="1"/>
  <c r="AJ24" i="10"/>
  <c r="AJ24" i="17" s="1"/>
  <c r="AG24" i="10"/>
  <c r="AG24" i="17" s="1"/>
  <c r="AD24" i="10"/>
  <c r="AD24" i="17" s="1"/>
  <c r="AA24" i="10"/>
  <c r="AA24" i="17" s="1"/>
  <c r="X24" i="10"/>
  <c r="X24" i="17" s="1"/>
  <c r="U24" i="10"/>
  <c r="U24" i="17" s="1"/>
  <c r="R24" i="10"/>
  <c r="R24" i="17" s="1"/>
  <c r="O24" i="10"/>
  <c r="O24" i="17" s="1"/>
  <c r="L24" i="10"/>
  <c r="L24" i="17" s="1"/>
  <c r="I24" i="10"/>
  <c r="I24" i="17" s="1"/>
  <c r="F24" i="10"/>
  <c r="F24" i="17" s="1"/>
  <c r="C24" i="10"/>
  <c r="C24" i="17" s="1"/>
  <c r="B24" i="10"/>
  <c r="B24" i="17" s="1"/>
  <c r="AP23" i="10"/>
  <c r="AP23" i="17" s="1"/>
  <c r="AM23" i="10"/>
  <c r="AM23" i="17" s="1"/>
  <c r="AJ23" i="10"/>
  <c r="AJ23" i="17" s="1"/>
  <c r="AG23" i="10"/>
  <c r="AG23" i="17" s="1"/>
  <c r="AD23" i="10"/>
  <c r="AD23" i="17" s="1"/>
  <c r="AA23" i="10"/>
  <c r="AA23" i="17" s="1"/>
  <c r="X23" i="10"/>
  <c r="X23" i="17" s="1"/>
  <c r="U23" i="10"/>
  <c r="U23" i="17" s="1"/>
  <c r="R23" i="10"/>
  <c r="R23" i="17" s="1"/>
  <c r="O23" i="10"/>
  <c r="O23" i="17" s="1"/>
  <c r="L23" i="10"/>
  <c r="L23" i="17" s="1"/>
  <c r="I23" i="10"/>
  <c r="I23" i="17" s="1"/>
  <c r="F23" i="10"/>
  <c r="F23" i="17" s="1"/>
  <c r="C23" i="10"/>
  <c r="C23" i="17" s="1"/>
  <c r="B23" i="10"/>
  <c r="B23" i="17" s="1"/>
  <c r="AP22" i="10"/>
  <c r="AP22" i="17" s="1"/>
  <c r="AM22" i="10"/>
  <c r="AM22" i="17" s="1"/>
  <c r="AJ22" i="10"/>
  <c r="AJ22" i="17" s="1"/>
  <c r="AG22" i="10"/>
  <c r="AG22" i="17" s="1"/>
  <c r="AD22" i="10"/>
  <c r="AD22" i="17" s="1"/>
  <c r="AA22" i="10"/>
  <c r="AA22" i="17" s="1"/>
  <c r="X22" i="10"/>
  <c r="X22" i="17" s="1"/>
  <c r="U22" i="10"/>
  <c r="U22" i="17" s="1"/>
  <c r="R22" i="10"/>
  <c r="R22" i="17" s="1"/>
  <c r="O22" i="10"/>
  <c r="O22" i="17" s="1"/>
  <c r="L22" i="10"/>
  <c r="L22" i="17" s="1"/>
  <c r="I22" i="10"/>
  <c r="I22" i="17" s="1"/>
  <c r="F22" i="10"/>
  <c r="F22" i="17" s="1"/>
  <c r="C22" i="10"/>
  <c r="C22" i="17" s="1"/>
  <c r="B22" i="10"/>
  <c r="B22" i="17" s="1"/>
  <c r="AP21" i="10"/>
  <c r="AP21" i="17" s="1"/>
  <c r="AM21" i="10"/>
  <c r="AM21" i="17" s="1"/>
  <c r="AJ21" i="10"/>
  <c r="AJ21" i="17" s="1"/>
  <c r="AG21" i="10"/>
  <c r="AG21" i="17" s="1"/>
  <c r="AD21" i="10"/>
  <c r="AD21" i="17" s="1"/>
  <c r="AA21" i="10"/>
  <c r="AA21" i="17" s="1"/>
  <c r="X21" i="10"/>
  <c r="X21" i="17" s="1"/>
  <c r="U21" i="10"/>
  <c r="U21" i="17" s="1"/>
  <c r="R21" i="10"/>
  <c r="R21" i="17" s="1"/>
  <c r="O21" i="10"/>
  <c r="O21" i="17" s="1"/>
  <c r="L21" i="10"/>
  <c r="L21" i="17" s="1"/>
  <c r="I21" i="10"/>
  <c r="I21" i="17" s="1"/>
  <c r="F21" i="10"/>
  <c r="F21" i="17" s="1"/>
  <c r="C21" i="10"/>
  <c r="C21" i="17" s="1"/>
  <c r="B21" i="10"/>
  <c r="B21" i="17" s="1"/>
  <c r="AP20" i="10"/>
  <c r="AP20" i="17" s="1"/>
  <c r="AM20" i="10"/>
  <c r="AM20" i="17" s="1"/>
  <c r="AJ20" i="10"/>
  <c r="AJ20" i="17" s="1"/>
  <c r="AG20" i="10"/>
  <c r="AG20" i="17" s="1"/>
  <c r="AD20" i="10"/>
  <c r="AD20" i="17" s="1"/>
  <c r="AA20" i="10"/>
  <c r="AA20" i="17" s="1"/>
  <c r="X20" i="10"/>
  <c r="X20" i="17" s="1"/>
  <c r="U20" i="10"/>
  <c r="U20" i="17" s="1"/>
  <c r="R20" i="10"/>
  <c r="R20" i="17" s="1"/>
  <c r="O20" i="10"/>
  <c r="O20" i="17" s="1"/>
  <c r="L20" i="10"/>
  <c r="L20" i="17" s="1"/>
  <c r="I20" i="10"/>
  <c r="I20" i="17" s="1"/>
  <c r="F20" i="10"/>
  <c r="F20" i="17" s="1"/>
  <c r="C20" i="10"/>
  <c r="C20" i="17" s="1"/>
  <c r="B20" i="10"/>
  <c r="B20" i="17" s="1"/>
  <c r="AP19" i="10"/>
  <c r="AP19" i="17" s="1"/>
  <c r="AM19" i="10"/>
  <c r="AM19" i="17" s="1"/>
  <c r="AJ19" i="10"/>
  <c r="AJ19" i="17" s="1"/>
  <c r="AG19" i="10"/>
  <c r="AG19" i="17" s="1"/>
  <c r="AD19" i="10"/>
  <c r="AD19" i="17" s="1"/>
  <c r="AA19" i="10"/>
  <c r="AA19" i="17" s="1"/>
  <c r="X19" i="10"/>
  <c r="X19" i="17" s="1"/>
  <c r="U19" i="10"/>
  <c r="U19" i="17" s="1"/>
  <c r="R19" i="10"/>
  <c r="R19" i="17" s="1"/>
  <c r="O19" i="10"/>
  <c r="O19" i="17" s="1"/>
  <c r="L19" i="10"/>
  <c r="L19" i="17" s="1"/>
  <c r="I19" i="10"/>
  <c r="I19" i="17" s="1"/>
  <c r="F19" i="10"/>
  <c r="F19" i="17" s="1"/>
  <c r="C19" i="10"/>
  <c r="C19" i="17" s="1"/>
  <c r="B19" i="10"/>
  <c r="B19" i="17" s="1"/>
  <c r="AP18" i="10"/>
  <c r="AP18" i="17" s="1"/>
  <c r="AM18" i="10"/>
  <c r="AM18" i="17" s="1"/>
  <c r="AJ18" i="10"/>
  <c r="AJ18" i="17" s="1"/>
  <c r="AG18" i="10"/>
  <c r="AG18" i="17" s="1"/>
  <c r="AD18" i="10"/>
  <c r="AD18" i="17" s="1"/>
  <c r="AA18" i="10"/>
  <c r="AA18" i="17" s="1"/>
  <c r="X18" i="10"/>
  <c r="X18" i="17" s="1"/>
  <c r="U18" i="10"/>
  <c r="U18" i="17" s="1"/>
  <c r="R18" i="10"/>
  <c r="R18" i="17" s="1"/>
  <c r="O18" i="10"/>
  <c r="O18" i="17" s="1"/>
  <c r="L18" i="10"/>
  <c r="L18" i="17" s="1"/>
  <c r="I18" i="10"/>
  <c r="I18" i="17" s="1"/>
  <c r="F18" i="10"/>
  <c r="F18" i="17" s="1"/>
  <c r="C18" i="10"/>
  <c r="C18" i="17" s="1"/>
  <c r="B18" i="10"/>
  <c r="B18" i="17" s="1"/>
  <c r="AP17" i="10"/>
  <c r="AP17" i="17" s="1"/>
  <c r="AM17" i="10"/>
  <c r="AM17" i="17" s="1"/>
  <c r="AJ17" i="10"/>
  <c r="AJ17" i="17" s="1"/>
  <c r="AG17" i="10"/>
  <c r="AG17" i="17" s="1"/>
  <c r="AD17" i="10"/>
  <c r="AD17" i="17" s="1"/>
  <c r="AA17" i="10"/>
  <c r="AA17" i="17" s="1"/>
  <c r="X17" i="10"/>
  <c r="X17" i="17" s="1"/>
  <c r="U17" i="10"/>
  <c r="U17" i="17" s="1"/>
  <c r="R17" i="10"/>
  <c r="R17" i="17" s="1"/>
  <c r="O17" i="10"/>
  <c r="O17" i="17" s="1"/>
  <c r="L17" i="10"/>
  <c r="L17" i="17" s="1"/>
  <c r="I17" i="10"/>
  <c r="I17" i="17" s="1"/>
  <c r="F17" i="10"/>
  <c r="F17" i="17" s="1"/>
  <c r="C17" i="10"/>
  <c r="C17" i="17" s="1"/>
  <c r="B17" i="10"/>
  <c r="B17" i="17" s="1"/>
  <c r="AP16" i="10"/>
  <c r="AP16" i="17" s="1"/>
  <c r="AM16" i="10"/>
  <c r="AM16" i="17" s="1"/>
  <c r="AJ16" i="10"/>
  <c r="AJ16" i="17" s="1"/>
  <c r="AG16" i="10"/>
  <c r="AG16" i="17" s="1"/>
  <c r="AD16" i="10"/>
  <c r="AD16" i="17" s="1"/>
  <c r="AA16" i="10"/>
  <c r="AA16" i="17" s="1"/>
  <c r="X16" i="10"/>
  <c r="X16" i="17" s="1"/>
  <c r="U16" i="10"/>
  <c r="U16" i="17" s="1"/>
  <c r="R16" i="10"/>
  <c r="R16" i="17" s="1"/>
  <c r="O16" i="10"/>
  <c r="O16" i="17" s="1"/>
  <c r="L16" i="10"/>
  <c r="L16" i="17" s="1"/>
  <c r="I16" i="10"/>
  <c r="I16" i="17" s="1"/>
  <c r="F16" i="10"/>
  <c r="F16" i="17" s="1"/>
  <c r="C16" i="10"/>
  <c r="C16" i="17" s="1"/>
  <c r="B16" i="10"/>
  <c r="B16" i="17" s="1"/>
  <c r="AP15" i="10"/>
  <c r="AP15" i="17" s="1"/>
  <c r="AM15" i="10"/>
  <c r="AM15" i="17" s="1"/>
  <c r="AJ15" i="10"/>
  <c r="AJ15" i="17" s="1"/>
  <c r="AG15" i="10"/>
  <c r="AG15" i="17" s="1"/>
  <c r="AD15" i="10"/>
  <c r="AD15" i="17" s="1"/>
  <c r="AA15" i="10"/>
  <c r="AA15" i="17" s="1"/>
  <c r="X15" i="10"/>
  <c r="X15" i="17" s="1"/>
  <c r="U15" i="10"/>
  <c r="U15" i="17" s="1"/>
  <c r="R15" i="10"/>
  <c r="R15" i="17" s="1"/>
  <c r="O15" i="10"/>
  <c r="O15" i="17" s="1"/>
  <c r="L15" i="10"/>
  <c r="L15" i="17" s="1"/>
  <c r="I15" i="10"/>
  <c r="I15" i="17" s="1"/>
  <c r="F15" i="10"/>
  <c r="F15" i="17" s="1"/>
  <c r="C15" i="10"/>
  <c r="C15" i="17" s="1"/>
  <c r="B15" i="10"/>
  <c r="B15" i="17" s="1"/>
  <c r="AP14" i="10"/>
  <c r="AP14" i="17" s="1"/>
  <c r="AM14" i="10"/>
  <c r="AM14" i="17" s="1"/>
  <c r="AJ14" i="10"/>
  <c r="AJ14" i="17" s="1"/>
  <c r="AG14" i="10"/>
  <c r="AG14" i="17" s="1"/>
  <c r="AD14" i="10"/>
  <c r="AD14" i="17" s="1"/>
  <c r="AA14" i="10"/>
  <c r="AA14" i="17" s="1"/>
  <c r="X14" i="10"/>
  <c r="X14" i="17" s="1"/>
  <c r="U14" i="10"/>
  <c r="U14" i="17" s="1"/>
  <c r="R14" i="10"/>
  <c r="R14" i="17" s="1"/>
  <c r="O14" i="10"/>
  <c r="O14" i="17" s="1"/>
  <c r="L14" i="10"/>
  <c r="L14" i="17" s="1"/>
  <c r="I14" i="10"/>
  <c r="I14" i="17" s="1"/>
  <c r="F14" i="10"/>
  <c r="F14" i="17" s="1"/>
  <c r="C14" i="10"/>
  <c r="C14" i="17" s="1"/>
  <c r="B14" i="10"/>
  <c r="B14" i="17" s="1"/>
  <c r="AP13" i="10"/>
  <c r="AP13" i="17" s="1"/>
  <c r="AM13" i="10"/>
  <c r="AM13" i="17" s="1"/>
  <c r="AJ13" i="10"/>
  <c r="AJ13" i="17" s="1"/>
  <c r="AG13" i="10"/>
  <c r="AG13" i="17" s="1"/>
  <c r="AD13" i="10"/>
  <c r="AD13" i="17" s="1"/>
  <c r="AA13" i="10"/>
  <c r="AA13" i="17" s="1"/>
  <c r="X13" i="10"/>
  <c r="X13" i="17" s="1"/>
  <c r="U13" i="10"/>
  <c r="U13" i="17" s="1"/>
  <c r="R13" i="10"/>
  <c r="R13" i="17" s="1"/>
  <c r="O13" i="10"/>
  <c r="O13" i="17" s="1"/>
  <c r="L13" i="10"/>
  <c r="L13" i="17" s="1"/>
  <c r="I13" i="10"/>
  <c r="I13" i="17" s="1"/>
  <c r="F13" i="10"/>
  <c r="F13" i="17" s="1"/>
  <c r="C13" i="10"/>
  <c r="C13" i="17" s="1"/>
  <c r="B13" i="10"/>
  <c r="B13" i="17" s="1"/>
  <c r="AP12" i="10"/>
  <c r="AP12" i="17" s="1"/>
  <c r="AM12" i="10"/>
  <c r="AM12" i="17" s="1"/>
  <c r="AJ12" i="10"/>
  <c r="AJ12" i="17" s="1"/>
  <c r="AG12" i="10"/>
  <c r="AG12" i="17" s="1"/>
  <c r="AD12" i="10"/>
  <c r="AD12" i="17" s="1"/>
  <c r="AA12" i="10"/>
  <c r="AA12" i="17" s="1"/>
  <c r="X12" i="10"/>
  <c r="X12" i="17" s="1"/>
  <c r="U12" i="10"/>
  <c r="U12" i="17" s="1"/>
  <c r="R12" i="10"/>
  <c r="R12" i="17" s="1"/>
  <c r="O12" i="10"/>
  <c r="O12" i="17" s="1"/>
  <c r="L12" i="10"/>
  <c r="L12" i="17" s="1"/>
  <c r="I12" i="10"/>
  <c r="I12" i="17" s="1"/>
  <c r="F12" i="10"/>
  <c r="F12" i="17" s="1"/>
  <c r="C12" i="10"/>
  <c r="C12" i="17" s="1"/>
  <c r="B12" i="10"/>
  <c r="B12" i="17" s="1"/>
  <c r="AP11" i="10"/>
  <c r="AP11" i="17" s="1"/>
  <c r="AM11" i="10"/>
  <c r="AM11" i="17" s="1"/>
  <c r="AJ11" i="10"/>
  <c r="AJ11" i="17" s="1"/>
  <c r="AG11" i="10"/>
  <c r="AG11" i="17" s="1"/>
  <c r="AD11" i="10"/>
  <c r="AD11" i="17" s="1"/>
  <c r="AA11" i="10"/>
  <c r="AA11" i="17" s="1"/>
  <c r="X11" i="10"/>
  <c r="X11" i="17" s="1"/>
  <c r="U11" i="10"/>
  <c r="U11" i="17" s="1"/>
  <c r="R11" i="10"/>
  <c r="R11" i="17" s="1"/>
  <c r="O11" i="10"/>
  <c r="O11" i="17" s="1"/>
  <c r="L11" i="10"/>
  <c r="L11" i="17" s="1"/>
  <c r="I11" i="10"/>
  <c r="I11" i="17" s="1"/>
  <c r="F11" i="10"/>
  <c r="F11" i="17" s="1"/>
  <c r="C11" i="10"/>
  <c r="C11" i="17" s="1"/>
  <c r="B11" i="10"/>
  <c r="B11" i="17" s="1"/>
  <c r="AP10" i="10"/>
  <c r="AP10" i="17" s="1"/>
  <c r="AM10" i="10"/>
  <c r="AM10" i="17" s="1"/>
  <c r="AJ10" i="10"/>
  <c r="AJ10" i="17" s="1"/>
  <c r="AG10" i="10"/>
  <c r="AG10" i="17" s="1"/>
  <c r="AD10" i="10"/>
  <c r="AD10" i="17" s="1"/>
  <c r="AA10" i="10"/>
  <c r="AA10" i="17" s="1"/>
  <c r="X10" i="10"/>
  <c r="X10" i="17" s="1"/>
  <c r="U10" i="10"/>
  <c r="U10" i="17" s="1"/>
  <c r="R10" i="10"/>
  <c r="R10" i="17" s="1"/>
  <c r="O10" i="10"/>
  <c r="O10" i="17" s="1"/>
  <c r="L10" i="10"/>
  <c r="L10" i="17" s="1"/>
  <c r="I10" i="10"/>
  <c r="I10" i="17" s="1"/>
  <c r="F10" i="10"/>
  <c r="F10" i="17" s="1"/>
  <c r="C10" i="10"/>
  <c r="C10" i="17" s="1"/>
  <c r="B10" i="10"/>
  <c r="B10" i="17" s="1"/>
  <c r="AP9" i="10"/>
  <c r="AP9" i="17" s="1"/>
  <c r="AM9" i="10"/>
  <c r="AM9" i="17" s="1"/>
  <c r="AJ9" i="10"/>
  <c r="AJ9" i="17" s="1"/>
  <c r="AG9" i="10"/>
  <c r="AG9" i="17" s="1"/>
  <c r="AD9" i="10"/>
  <c r="AD9" i="17" s="1"/>
  <c r="AA9" i="10"/>
  <c r="AA9" i="17" s="1"/>
  <c r="X9" i="10"/>
  <c r="X9" i="17" s="1"/>
  <c r="U9" i="10"/>
  <c r="U9" i="17" s="1"/>
  <c r="R9" i="10"/>
  <c r="R9" i="17" s="1"/>
  <c r="O9" i="10"/>
  <c r="O9" i="17" s="1"/>
  <c r="L9" i="10"/>
  <c r="L9" i="17" s="1"/>
  <c r="I9" i="10"/>
  <c r="I9" i="17" s="1"/>
  <c r="F9" i="10"/>
  <c r="F9" i="17" s="1"/>
  <c r="C9" i="10"/>
  <c r="C9" i="17" s="1"/>
  <c r="B9" i="10"/>
  <c r="B9" i="17" s="1"/>
  <c r="AP8" i="10"/>
  <c r="AP8" i="17" s="1"/>
  <c r="AM8" i="10"/>
  <c r="AM8" i="17" s="1"/>
  <c r="AJ8" i="10"/>
  <c r="AJ8" i="17" s="1"/>
  <c r="AG8" i="10"/>
  <c r="AG8" i="17" s="1"/>
  <c r="AD8" i="10"/>
  <c r="AD8" i="17" s="1"/>
  <c r="AA8" i="10"/>
  <c r="AA8" i="17" s="1"/>
  <c r="X8" i="10"/>
  <c r="X8" i="17" s="1"/>
  <c r="U8" i="10"/>
  <c r="U8" i="17" s="1"/>
  <c r="R8" i="10"/>
  <c r="R8" i="17" s="1"/>
  <c r="O8" i="10"/>
  <c r="O8" i="17" s="1"/>
  <c r="L8" i="10"/>
  <c r="L8" i="17" s="1"/>
  <c r="I8" i="10"/>
  <c r="I8" i="17" s="1"/>
  <c r="F8" i="10"/>
  <c r="F8" i="17" s="1"/>
  <c r="C8" i="10"/>
  <c r="C8" i="17" s="1"/>
  <c r="B8" i="10"/>
  <c r="B8" i="17" s="1"/>
  <c r="AP7" i="10"/>
  <c r="AP7" i="17" s="1"/>
  <c r="AM7" i="10"/>
  <c r="AM7" i="17" s="1"/>
  <c r="AJ7" i="10"/>
  <c r="AJ7" i="17" s="1"/>
  <c r="AG7" i="10"/>
  <c r="AG7" i="17" s="1"/>
  <c r="AD7" i="10"/>
  <c r="AD7" i="17" s="1"/>
  <c r="AA7" i="10"/>
  <c r="AA7" i="17" s="1"/>
  <c r="X7" i="10"/>
  <c r="X7" i="17" s="1"/>
  <c r="U7" i="10"/>
  <c r="U7" i="17" s="1"/>
  <c r="R7" i="10"/>
  <c r="R7" i="17" s="1"/>
  <c r="O7" i="10"/>
  <c r="O7" i="17" s="1"/>
  <c r="L7" i="10"/>
  <c r="L7" i="17" s="1"/>
  <c r="I7" i="10"/>
  <c r="I7" i="17" s="1"/>
  <c r="F7" i="10"/>
  <c r="F7" i="17" s="1"/>
  <c r="C7" i="10"/>
  <c r="C7" i="17" s="1"/>
  <c r="B7" i="10"/>
  <c r="B7" i="17" s="1"/>
  <c r="AP6" i="10"/>
  <c r="AP6" i="17" s="1"/>
  <c r="AM6" i="10"/>
  <c r="AM6" i="17" s="1"/>
  <c r="AJ6" i="10"/>
  <c r="AJ6" i="17" s="1"/>
  <c r="AG6" i="10"/>
  <c r="AG6" i="17" s="1"/>
  <c r="AD6" i="10"/>
  <c r="AD6" i="17" s="1"/>
  <c r="AA6" i="10"/>
  <c r="AA6" i="17" s="1"/>
  <c r="X6" i="10"/>
  <c r="X6" i="17" s="1"/>
  <c r="U6" i="10"/>
  <c r="U6" i="17" s="1"/>
  <c r="R6" i="10"/>
  <c r="R6" i="17" s="1"/>
  <c r="O6" i="10"/>
  <c r="O6" i="17" s="1"/>
  <c r="L6" i="10"/>
  <c r="L6" i="17" s="1"/>
  <c r="I6" i="10"/>
  <c r="I6" i="17" s="1"/>
  <c r="F6" i="10"/>
  <c r="F6" i="17" s="1"/>
  <c r="C6" i="10"/>
  <c r="C6" i="17" s="1"/>
  <c r="B6" i="10"/>
  <c r="B6" i="17" s="1"/>
  <c r="AP5" i="10"/>
  <c r="AP5" i="17" s="1"/>
  <c r="AM5" i="10"/>
  <c r="AM5" i="17" s="1"/>
  <c r="AJ5" i="10"/>
  <c r="AJ5" i="17" s="1"/>
  <c r="AG5" i="10"/>
  <c r="AG5" i="17" s="1"/>
  <c r="AD5" i="10"/>
  <c r="AD5" i="17" s="1"/>
  <c r="AA5" i="10"/>
  <c r="AA5" i="17" s="1"/>
  <c r="X5" i="10"/>
  <c r="X5" i="17" s="1"/>
  <c r="U5" i="10"/>
  <c r="U5" i="17" s="1"/>
  <c r="R5" i="10"/>
  <c r="R5" i="17" s="1"/>
  <c r="O5" i="10"/>
  <c r="O5" i="17" s="1"/>
  <c r="L5" i="10"/>
  <c r="L5" i="17" s="1"/>
  <c r="I5" i="10"/>
  <c r="I5" i="17" s="1"/>
  <c r="F5" i="10"/>
  <c r="F5" i="17" s="1"/>
  <c r="C5" i="10"/>
  <c r="C5" i="17" s="1"/>
  <c r="B5" i="10"/>
  <c r="B5" i="17" s="1"/>
  <c r="AP4" i="10"/>
  <c r="AP4" i="17" s="1"/>
  <c r="AM4" i="10"/>
  <c r="AM4" i="17" s="1"/>
  <c r="AJ4" i="10"/>
  <c r="AJ4" i="17" s="1"/>
  <c r="AG4" i="10"/>
  <c r="AG4" i="17" s="1"/>
  <c r="AD4" i="10"/>
  <c r="AD4" i="17" s="1"/>
  <c r="AA4" i="10"/>
  <c r="AA4" i="17" s="1"/>
  <c r="X4" i="10"/>
  <c r="X4" i="17" s="1"/>
  <c r="U4" i="10"/>
  <c r="U4" i="17" s="1"/>
  <c r="R4" i="10"/>
  <c r="R4" i="17" s="1"/>
  <c r="O4" i="10"/>
  <c r="O4" i="17" s="1"/>
  <c r="L4" i="10"/>
  <c r="L4" i="17" s="1"/>
  <c r="I4" i="10"/>
  <c r="I4" i="17" s="1"/>
  <c r="F4" i="10"/>
  <c r="F4" i="17" s="1"/>
  <c r="C4" i="10"/>
  <c r="C4" i="17" s="1"/>
  <c r="B4" i="10"/>
  <c r="B4" i="17" s="1"/>
  <c r="AP3" i="10"/>
  <c r="AP3" i="17" s="1"/>
  <c r="AM3" i="10"/>
  <c r="AM3" i="17" s="1"/>
  <c r="AJ3" i="10"/>
  <c r="AJ3" i="17" s="1"/>
  <c r="AG3" i="10"/>
  <c r="AG3" i="17" s="1"/>
  <c r="AD3" i="10"/>
  <c r="AD3" i="17" s="1"/>
  <c r="AA3" i="10"/>
  <c r="AA3" i="17" s="1"/>
  <c r="X3" i="10"/>
  <c r="X3" i="17" s="1"/>
  <c r="U3" i="10"/>
  <c r="U3" i="17" s="1"/>
  <c r="R3" i="10"/>
  <c r="R3" i="17" s="1"/>
  <c r="O3" i="10"/>
  <c r="O3" i="17" s="1"/>
  <c r="L3" i="10"/>
  <c r="L3" i="17" s="1"/>
  <c r="I3" i="10"/>
  <c r="I3" i="17" s="1"/>
  <c r="F3" i="10"/>
  <c r="F3" i="17" s="1"/>
  <c r="C3" i="10"/>
  <c r="C3" i="17" s="1"/>
  <c r="B3" i="10"/>
  <c r="AP2" i="10"/>
  <c r="AP2" i="17" s="1"/>
  <c r="AM2" i="10"/>
  <c r="AM2" i="17" s="1"/>
  <c r="AJ2" i="10"/>
  <c r="AJ2" i="17" s="1"/>
  <c r="AG2" i="10"/>
  <c r="AG2" i="17" s="1"/>
  <c r="AD2" i="10"/>
  <c r="AD2" i="17" s="1"/>
  <c r="AA2" i="10"/>
  <c r="AA2" i="17" s="1"/>
  <c r="X2" i="10"/>
  <c r="X2" i="17" s="1"/>
  <c r="U2" i="10"/>
  <c r="U2" i="17" s="1"/>
  <c r="R2" i="10"/>
  <c r="R2" i="17" s="1"/>
  <c r="O2" i="10"/>
  <c r="O2" i="17" s="1"/>
  <c r="L2" i="10"/>
  <c r="L2" i="17" s="1"/>
  <c r="F2" i="10"/>
  <c r="F2" i="17" s="1"/>
  <c r="C2" i="10"/>
  <c r="C2" i="17" s="1"/>
  <c r="B2" i="10"/>
  <c r="B2" i="17" s="1"/>
  <c r="C14" i="9"/>
  <c r="C5" i="2" s="1"/>
  <c r="B14" i="9"/>
  <c r="B5" i="2" s="1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A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8" i="2"/>
  <c r="N5" i="2"/>
  <c r="J5" i="2"/>
  <c r="H5" i="2"/>
  <c r="D5" i="2"/>
  <c r="A5" i="2"/>
  <c r="C4" i="2"/>
  <c r="B4" i="2"/>
  <c r="N3" i="2"/>
  <c r="J3" i="2"/>
  <c r="H3" i="2"/>
  <c r="D3" i="2"/>
  <c r="A3" i="2"/>
  <c r="O5" i="2" l="1"/>
  <c r="G4" i="2"/>
  <c r="X76" i="10"/>
  <c r="X76" i="17" s="1"/>
  <c r="D428" i="10"/>
  <c r="D430" i="10"/>
  <c r="L13" i="12"/>
  <c r="U76" i="10"/>
  <c r="U76" i="17" s="1"/>
  <c r="T76" i="17"/>
  <c r="B440" i="10"/>
  <c r="AF379" i="10"/>
  <c r="AF383" i="10"/>
  <c r="D431" i="10"/>
  <c r="D433" i="10"/>
  <c r="D435" i="10"/>
  <c r="D437" i="10"/>
  <c r="AL376" i="10"/>
  <c r="M3" i="12"/>
  <c r="M5" i="12"/>
  <c r="AD429" i="10"/>
  <c r="AE429" i="10" s="1"/>
  <c r="AF63" i="17"/>
  <c r="AG63" i="10"/>
  <c r="AG63" i="17" s="1"/>
  <c r="C429" i="10"/>
  <c r="D429" i="10" s="1"/>
  <c r="E73" i="17"/>
  <c r="F76" i="10"/>
  <c r="F76" i="17" s="1"/>
  <c r="D432" i="10"/>
  <c r="D434" i="10"/>
  <c r="D436" i="10"/>
  <c r="D438" i="10"/>
  <c r="U429" i="10"/>
  <c r="V429" i="10" s="1"/>
  <c r="W73" i="17"/>
  <c r="C420" i="10"/>
  <c r="B3" i="17"/>
  <c r="M2" i="12"/>
  <c r="M4" i="12"/>
  <c r="L4" i="2" s="1"/>
  <c r="M6" i="12"/>
  <c r="K3" i="2"/>
  <c r="F4" i="2"/>
  <c r="S428" i="10"/>
  <c r="G437" i="10"/>
  <c r="G428" i="10"/>
  <c r="AE428" i="10"/>
  <c r="AK428" i="10"/>
  <c r="AN429" i="10"/>
  <c r="M430" i="10"/>
  <c r="S430" i="10"/>
  <c r="AK430" i="10"/>
  <c r="G432" i="10"/>
  <c r="T440" i="10"/>
  <c r="AL440" i="10"/>
  <c r="G431" i="10"/>
  <c r="M431" i="10"/>
  <c r="AE431" i="10"/>
  <c r="V432" i="10"/>
  <c r="AB432" i="10"/>
  <c r="AH432" i="10"/>
  <c r="AN432" i="10"/>
  <c r="G433" i="10"/>
  <c r="S433" i="10"/>
  <c r="AE433" i="10"/>
  <c r="AB434" i="10"/>
  <c r="AH434" i="10"/>
  <c r="AB438" i="10"/>
  <c r="AB437" i="10"/>
  <c r="G438" i="10"/>
  <c r="S438" i="10"/>
  <c r="Y432" i="10"/>
  <c r="AK432" i="10"/>
  <c r="Y434" i="10"/>
  <c r="AE434" i="10"/>
  <c r="P435" i="10"/>
  <c r="AN435" i="10"/>
  <c r="G436" i="10"/>
  <c r="S436" i="10"/>
  <c r="Y436" i="10"/>
  <c r="AE436" i="10"/>
  <c r="Y438" i="10"/>
  <c r="AK438" i="10"/>
  <c r="O4" i="2"/>
  <c r="F440" i="10"/>
  <c r="S427" i="10"/>
  <c r="X440" i="10"/>
  <c r="AK427" i="10"/>
  <c r="AK429" i="10"/>
  <c r="Z440" i="10"/>
  <c r="J434" i="10"/>
  <c r="P434" i="10"/>
  <c r="V434" i="10"/>
  <c r="AN434" i="10"/>
  <c r="M435" i="10"/>
  <c r="Y435" i="10"/>
  <c r="AK435" i="10"/>
  <c r="P436" i="10"/>
  <c r="V436" i="10"/>
  <c r="AB436" i="10"/>
  <c r="AH436" i="10"/>
  <c r="AN436" i="10"/>
  <c r="Y437" i="10"/>
  <c r="AK437" i="10"/>
  <c r="J438" i="10"/>
  <c r="P438" i="10"/>
  <c r="AH438" i="10"/>
  <c r="AN438" i="10"/>
  <c r="K440" i="10"/>
  <c r="P429" i="10"/>
  <c r="Y429" i="10"/>
  <c r="Y430" i="10"/>
  <c r="AE430" i="10"/>
  <c r="Y433" i="10"/>
  <c r="AK433" i="10"/>
  <c r="S435" i="10"/>
  <c r="J437" i="10"/>
  <c r="P437" i="10"/>
  <c r="V437" i="10"/>
  <c r="AH437" i="10"/>
  <c r="AN437" i="10"/>
  <c r="M438" i="10"/>
  <c r="AE437" i="10"/>
  <c r="H440" i="10"/>
  <c r="N440" i="10"/>
  <c r="J428" i="10"/>
  <c r="P428" i="10"/>
  <c r="M429" i="10"/>
  <c r="AB429" i="10"/>
  <c r="P431" i="10"/>
  <c r="V431" i="10"/>
  <c r="AB431" i="10"/>
  <c r="AH431" i="10"/>
  <c r="AN431" i="10"/>
  <c r="M437" i="10"/>
  <c r="E4" i="2"/>
  <c r="AB427" i="10"/>
  <c r="AB428" i="10"/>
  <c r="AN428" i="10"/>
  <c r="J430" i="10"/>
  <c r="P430" i="10"/>
  <c r="AN430" i="10"/>
  <c r="S431" i="10"/>
  <c r="Y431" i="10"/>
  <c r="AK431" i="10"/>
  <c r="S432" i="10"/>
  <c r="AE432" i="10"/>
  <c r="V433" i="10"/>
  <c r="AB433" i="10"/>
  <c r="AH433" i="10"/>
  <c r="AN433" i="10"/>
  <c r="G434" i="10"/>
  <c r="S434" i="10"/>
  <c r="J435" i="10"/>
  <c r="V435" i="10"/>
  <c r="AB435" i="10"/>
  <c r="AH435" i="10"/>
  <c r="M436" i="10"/>
  <c r="AK436" i="10"/>
  <c r="AE438" i="10"/>
  <c r="L3" i="2"/>
  <c r="G5" i="2"/>
  <c r="G427" i="10"/>
  <c r="J432" i="10"/>
  <c r="P432" i="10"/>
  <c r="M428" i="10"/>
  <c r="M432" i="10"/>
  <c r="J433" i="10"/>
  <c r="P433" i="10"/>
  <c r="AK434" i="10"/>
  <c r="G429" i="10"/>
  <c r="M433" i="10"/>
  <c r="G430" i="10"/>
  <c r="AB430" i="10"/>
  <c r="AH430" i="10"/>
  <c r="J431" i="10"/>
  <c r="M434" i="10"/>
  <c r="G435" i="10"/>
  <c r="AE435" i="10"/>
  <c r="J436" i="10"/>
  <c r="S437" i="10"/>
  <c r="V438" i="10"/>
  <c r="L373" i="10"/>
  <c r="T373" i="10"/>
  <c r="AJ373" i="10"/>
  <c r="AL374" i="10"/>
  <c r="H374" i="10"/>
  <c r="X374" i="10"/>
  <c r="AF374" i="10"/>
  <c r="F375" i="10"/>
  <c r="N375" i="10"/>
  <c r="AD375" i="10"/>
  <c r="AL375" i="10"/>
  <c r="E376" i="10"/>
  <c r="U376" i="10"/>
  <c r="AC376" i="10"/>
  <c r="L377" i="10"/>
  <c r="T377" i="10"/>
  <c r="AJ377" i="10"/>
  <c r="H378" i="10"/>
  <c r="Z378" i="10"/>
  <c r="F379" i="10"/>
  <c r="Q379" i="10"/>
  <c r="AL379" i="10"/>
  <c r="H380" i="10"/>
  <c r="AC380" i="10"/>
  <c r="R381" i="10"/>
  <c r="AM381" i="10"/>
  <c r="E382" i="10"/>
  <c r="O382" i="10"/>
  <c r="Z382" i="10"/>
  <c r="F383" i="10"/>
  <c r="Q383" i="10"/>
  <c r="AL383" i="10"/>
  <c r="H384" i="10"/>
  <c r="B385" i="10"/>
  <c r="W385" i="10"/>
  <c r="Q388" i="10"/>
  <c r="AM388" i="10"/>
  <c r="L389" i="10"/>
  <c r="I390" i="10"/>
  <c r="Q391" i="10"/>
  <c r="X392" i="10"/>
  <c r="C393" i="10"/>
  <c r="K394" i="10"/>
  <c r="AM394" i="10"/>
  <c r="T395" i="10"/>
  <c r="AA396" i="10"/>
  <c r="F397" i="10"/>
  <c r="AI397" i="10"/>
  <c r="B399" i="10"/>
  <c r="AD399" i="10"/>
  <c r="I400" i="10"/>
  <c r="Z402" i="10"/>
  <c r="F403" i="10"/>
  <c r="T405" i="10"/>
  <c r="U407" i="10"/>
  <c r="AJ412" i="10"/>
  <c r="AG414" i="10"/>
  <c r="AI416" i="10"/>
  <c r="M3" i="2"/>
  <c r="AI423" i="10"/>
  <c r="AC423" i="10"/>
  <c r="U423" i="10"/>
  <c r="N423" i="10"/>
  <c r="AL420" i="10"/>
  <c r="AF420" i="10"/>
  <c r="AA420" i="10"/>
  <c r="K420" i="10"/>
  <c r="F420" i="10"/>
  <c r="AL416" i="10"/>
  <c r="AF416" i="10"/>
  <c r="AA416" i="10"/>
  <c r="K416" i="10"/>
  <c r="F416" i="10"/>
  <c r="AG424" i="10"/>
  <c r="N424" i="10"/>
  <c r="E424" i="10"/>
  <c r="AM423" i="10"/>
  <c r="AD423" i="10"/>
  <c r="B423" i="10"/>
  <c r="AI420" i="10"/>
  <c r="T420" i="10"/>
  <c r="N420" i="10"/>
  <c r="AM416" i="10"/>
  <c r="X416" i="10"/>
  <c r="R416" i="10"/>
  <c r="C416" i="10"/>
  <c r="AI412" i="10"/>
  <c r="AD412" i="10"/>
  <c r="X412" i="10"/>
  <c r="N412" i="10"/>
  <c r="H412" i="10"/>
  <c r="C412" i="10"/>
  <c r="AL424" i="10"/>
  <c r="T424" i="10"/>
  <c r="O423" i="10"/>
  <c r="P423" i="10" s="1"/>
  <c r="E423" i="10"/>
  <c r="AG425" i="10"/>
  <c r="U424" i="10"/>
  <c r="V424" i="10" s="1"/>
  <c r="Q421" i="10"/>
  <c r="E421" i="10"/>
  <c r="AM420" i="10"/>
  <c r="AD420" i="10"/>
  <c r="B420" i="10"/>
  <c r="AM419" i="10"/>
  <c r="I419" i="10"/>
  <c r="AD416" i="10"/>
  <c r="T416" i="10"/>
  <c r="L416" i="10"/>
  <c r="M416" i="10" s="1"/>
  <c r="B416" i="10"/>
  <c r="AC414" i="10"/>
  <c r="U414" i="10"/>
  <c r="E414" i="10"/>
  <c r="AM412" i="10"/>
  <c r="AF412" i="10"/>
  <c r="Z412" i="10"/>
  <c r="R412" i="10"/>
  <c r="K412" i="10"/>
  <c r="H425" i="10"/>
  <c r="AJ424" i="10"/>
  <c r="Q424" i="10"/>
  <c r="Z423" i="10"/>
  <c r="I423" i="10"/>
  <c r="AA421" i="10"/>
  <c r="N421" i="10"/>
  <c r="C421" i="10"/>
  <c r="AJ420" i="10"/>
  <c r="Z420" i="10"/>
  <c r="R420" i="10"/>
  <c r="H420" i="10"/>
  <c r="AI419" i="10"/>
  <c r="Q419" i="10"/>
  <c r="AJ416" i="10"/>
  <c r="H416" i="10"/>
  <c r="R414" i="10"/>
  <c r="AL412" i="10"/>
  <c r="W412" i="10"/>
  <c r="B412" i="10"/>
  <c r="AJ408" i="10"/>
  <c r="AF408" i="10"/>
  <c r="F424" i="10"/>
  <c r="G424" i="10" s="1"/>
  <c r="W425" i="10"/>
  <c r="AF424" i="10"/>
  <c r="R423" i="10"/>
  <c r="X422" i="10"/>
  <c r="AL421" i="10"/>
  <c r="O420" i="10"/>
  <c r="P420" i="10" s="1"/>
  <c r="L419" i="10"/>
  <c r="Z416" i="10"/>
  <c r="H414" i="10"/>
  <c r="T412" i="10"/>
  <c r="F412" i="10"/>
  <c r="AL408" i="10"/>
  <c r="AD408" i="10"/>
  <c r="X408" i="10"/>
  <c r="N408" i="10"/>
  <c r="H408" i="10"/>
  <c r="C408" i="10"/>
  <c r="L424" i="10"/>
  <c r="W423" i="10"/>
  <c r="L422" i="10"/>
  <c r="L420" i="10"/>
  <c r="T419" i="10"/>
  <c r="Q418" i="10"/>
  <c r="AC415" i="10"/>
  <c r="C415" i="10"/>
  <c r="Z414" i="10"/>
  <c r="B414" i="10"/>
  <c r="L412" i="10"/>
  <c r="AI408" i="10"/>
  <c r="AA408" i="10"/>
  <c r="T408" i="10"/>
  <c r="L408" i="10"/>
  <c r="F408" i="10"/>
  <c r="AM405" i="10"/>
  <c r="W405" i="10"/>
  <c r="R405" i="10"/>
  <c r="L405" i="10"/>
  <c r="B405" i="10"/>
  <c r="AM401" i="10"/>
  <c r="W401" i="10"/>
  <c r="R401" i="10"/>
  <c r="L401" i="10"/>
  <c r="B401" i="10"/>
  <c r="AM397" i="10"/>
  <c r="W397" i="10"/>
  <c r="R397" i="10"/>
  <c r="L397" i="10"/>
  <c r="B397" i="10"/>
  <c r="AM393" i="10"/>
  <c r="W393" i="10"/>
  <c r="R393" i="10"/>
  <c r="L393" i="10"/>
  <c r="B393" i="10"/>
  <c r="E425" i="10"/>
  <c r="AD422" i="10"/>
  <c r="U421" i="10"/>
  <c r="X420" i="10"/>
  <c r="H418" i="10"/>
  <c r="W416" i="10"/>
  <c r="I415" i="10"/>
  <c r="AA412" i="10"/>
  <c r="W408" i="10"/>
  <c r="O408" i="10"/>
  <c r="P408" i="10" s="1"/>
  <c r="AF405" i="10"/>
  <c r="Z405" i="10"/>
  <c r="K405" i="10"/>
  <c r="AF404" i="10"/>
  <c r="K404" i="10"/>
  <c r="AJ401" i="10"/>
  <c r="AD401" i="10"/>
  <c r="O401" i="10"/>
  <c r="H401" i="10"/>
  <c r="AJ400" i="10"/>
  <c r="AC400" i="10"/>
  <c r="U400" i="10"/>
  <c r="O400" i="10"/>
  <c r="H400" i="10"/>
  <c r="AF397" i="10"/>
  <c r="Z397" i="10"/>
  <c r="K397" i="10"/>
  <c r="AF396" i="10"/>
  <c r="K396" i="10"/>
  <c r="AJ393" i="10"/>
  <c r="AD393" i="10"/>
  <c r="O393" i="10"/>
  <c r="H393" i="10"/>
  <c r="AJ392" i="10"/>
  <c r="AC392" i="10"/>
  <c r="U392" i="10"/>
  <c r="O392" i="10"/>
  <c r="H392" i="10"/>
  <c r="AL389" i="10"/>
  <c r="AF389" i="10"/>
  <c r="AA389" i="10"/>
  <c r="K389" i="10"/>
  <c r="F389" i="10"/>
  <c r="AL385" i="10"/>
  <c r="AF385" i="10"/>
  <c r="AA385" i="10"/>
  <c r="K385" i="10"/>
  <c r="F385" i="10"/>
  <c r="AL381" i="10"/>
  <c r="AF381" i="10"/>
  <c r="AA381" i="10"/>
  <c r="K381" i="10"/>
  <c r="F381" i="10"/>
  <c r="H422" i="10"/>
  <c r="F421" i="10"/>
  <c r="G421" i="10" s="1"/>
  <c r="W420" i="10"/>
  <c r="AC418" i="10"/>
  <c r="O416" i="10"/>
  <c r="N414" i="10"/>
  <c r="K408" i="10"/>
  <c r="B408" i="10"/>
  <c r="AJ407" i="10"/>
  <c r="AL405" i="10"/>
  <c r="X405" i="10"/>
  <c r="C405" i="10"/>
  <c r="D405" i="10" s="1"/>
  <c r="X404" i="10"/>
  <c r="I404" i="10"/>
  <c r="C404" i="10"/>
  <c r="AI401" i="10"/>
  <c r="AA401" i="10"/>
  <c r="T401" i="10"/>
  <c r="N401" i="10"/>
  <c r="F401" i="10"/>
  <c r="AI400" i="10"/>
  <c r="AA400" i="10"/>
  <c r="T400" i="10"/>
  <c r="E400" i="10"/>
  <c r="T399" i="10"/>
  <c r="F399" i="10"/>
  <c r="AL397" i="10"/>
  <c r="X397" i="10"/>
  <c r="C397" i="10"/>
  <c r="X396" i="10"/>
  <c r="I396" i="10"/>
  <c r="C396" i="10"/>
  <c r="AI393" i="10"/>
  <c r="AA393" i="10"/>
  <c r="T393" i="10"/>
  <c r="N393" i="10"/>
  <c r="F393" i="10"/>
  <c r="AI392" i="10"/>
  <c r="AA392" i="10"/>
  <c r="T392" i="10"/>
  <c r="E392" i="10"/>
  <c r="T391" i="10"/>
  <c r="F391" i="10"/>
  <c r="AJ389" i="10"/>
  <c r="Z389" i="10"/>
  <c r="T389" i="10"/>
  <c r="O389" i="10"/>
  <c r="AJ385" i="10"/>
  <c r="Z385" i="10"/>
  <c r="T385" i="10"/>
  <c r="O385" i="10"/>
  <c r="AJ381" i="10"/>
  <c r="Z381" i="10"/>
  <c r="T381" i="10"/>
  <c r="O381" i="10"/>
  <c r="AJ375" i="10"/>
  <c r="AF375" i="10"/>
  <c r="X375" i="10"/>
  <c r="T375" i="10"/>
  <c r="L375" i="10"/>
  <c r="H375" i="10"/>
  <c r="Z424" i="10"/>
  <c r="C423" i="10"/>
  <c r="AG419" i="10"/>
  <c r="C419" i="10"/>
  <c r="Z418" i="10"/>
  <c r="N416" i="10"/>
  <c r="W415" i="10"/>
  <c r="I414" i="10"/>
  <c r="O412" i="10"/>
  <c r="L411" i="10"/>
  <c r="R408" i="10"/>
  <c r="AF407" i="10"/>
  <c r="W407" i="10"/>
  <c r="O407" i="10"/>
  <c r="AJ405" i="10"/>
  <c r="AD405" i="10"/>
  <c r="O405" i="10"/>
  <c r="H405" i="10"/>
  <c r="AJ404" i="10"/>
  <c r="AC404" i="10"/>
  <c r="U404" i="10"/>
  <c r="O404" i="10"/>
  <c r="H404" i="10"/>
  <c r="AA402" i="10"/>
  <c r="U402" i="10"/>
  <c r="F402" i="10"/>
  <c r="AF401" i="10"/>
  <c r="Z401" i="10"/>
  <c r="K401" i="10"/>
  <c r="AF400" i="10"/>
  <c r="K400" i="10"/>
  <c r="AG399" i="10"/>
  <c r="R399" i="10"/>
  <c r="L399" i="10"/>
  <c r="AJ397" i="10"/>
  <c r="AD397" i="10"/>
  <c r="O397" i="10"/>
  <c r="H397" i="10"/>
  <c r="AJ396" i="10"/>
  <c r="AC396" i="10"/>
  <c r="U396" i="10"/>
  <c r="O396" i="10"/>
  <c r="H396" i="10"/>
  <c r="AA394" i="10"/>
  <c r="U394" i="10"/>
  <c r="F394" i="10"/>
  <c r="AF393" i="10"/>
  <c r="Z393" i="10"/>
  <c r="K393" i="10"/>
  <c r="AF392" i="10"/>
  <c r="K392" i="10"/>
  <c r="AG391" i="10"/>
  <c r="R391" i="10"/>
  <c r="L391" i="10"/>
  <c r="AL390" i="10"/>
  <c r="W390" i="10"/>
  <c r="Q390" i="10"/>
  <c r="E390" i="10"/>
  <c r="AI389" i="10"/>
  <c r="AD389" i="10"/>
  <c r="X389" i="10"/>
  <c r="N389" i="10"/>
  <c r="H389" i="10"/>
  <c r="C389" i="10"/>
  <c r="Z386" i="10"/>
  <c r="U386" i="10"/>
  <c r="O386" i="10"/>
  <c r="E386" i="10"/>
  <c r="AI385" i="10"/>
  <c r="AD385" i="10"/>
  <c r="X385" i="10"/>
  <c r="Y385" i="10" s="1"/>
  <c r="N385" i="10"/>
  <c r="H385" i="10"/>
  <c r="C385" i="10"/>
  <c r="R429" i="10"/>
  <c r="S429" i="10" s="1"/>
  <c r="U73" i="10"/>
  <c r="U73" i="17" s="1"/>
  <c r="E373" i="10"/>
  <c r="U373" i="10"/>
  <c r="AC373" i="10"/>
  <c r="C374" i="10"/>
  <c r="K374" i="10"/>
  <c r="AA374" i="10"/>
  <c r="AI374" i="10"/>
  <c r="AG375" i="10"/>
  <c r="AH375" i="10" s="1"/>
  <c r="O375" i="10"/>
  <c r="W375" i="10"/>
  <c r="AM375" i="10"/>
  <c r="AN375" i="10" s="1"/>
  <c r="F376" i="10"/>
  <c r="N376" i="10"/>
  <c r="AD376" i="10"/>
  <c r="E377" i="10"/>
  <c r="U377" i="10"/>
  <c r="AC377" i="10"/>
  <c r="C378" i="10"/>
  <c r="K378" i="10"/>
  <c r="AD378" i="10"/>
  <c r="U379" i="10"/>
  <c r="AL380" i="10"/>
  <c r="AD380" i="10"/>
  <c r="Z380" i="10"/>
  <c r="R380" i="10"/>
  <c r="N380" i="10"/>
  <c r="F380" i="10"/>
  <c r="B380" i="10"/>
  <c r="AF380" i="10"/>
  <c r="AA380" i="10"/>
  <c r="U380" i="10"/>
  <c r="K380" i="10"/>
  <c r="E380" i="10"/>
  <c r="AJ380" i="10"/>
  <c r="T380" i="10"/>
  <c r="O380" i="10"/>
  <c r="I380" i="10"/>
  <c r="L380" i="10"/>
  <c r="W380" i="10"/>
  <c r="AG380" i="10"/>
  <c r="H381" i="10"/>
  <c r="AD381" i="10"/>
  <c r="I382" i="10"/>
  <c r="AD382" i="10"/>
  <c r="U383" i="10"/>
  <c r="AL384" i="10"/>
  <c r="AD384" i="10"/>
  <c r="Z384" i="10"/>
  <c r="R384" i="10"/>
  <c r="N384" i="10"/>
  <c r="F384" i="10"/>
  <c r="B384" i="10"/>
  <c r="AF384" i="10"/>
  <c r="AA384" i="10"/>
  <c r="U384" i="10"/>
  <c r="K384" i="10"/>
  <c r="E384" i="10"/>
  <c r="AJ384" i="10"/>
  <c r="T384" i="10"/>
  <c r="O384" i="10"/>
  <c r="I384" i="10"/>
  <c r="J384" i="10" s="1"/>
  <c r="AI384" i="10"/>
  <c r="AC384" i="10"/>
  <c r="X384" i="10"/>
  <c r="L384" i="10"/>
  <c r="AG384" i="10"/>
  <c r="C386" i="10"/>
  <c r="U387" i="10"/>
  <c r="AL388" i="10"/>
  <c r="AD388" i="10"/>
  <c r="Z388" i="10"/>
  <c r="R388" i="10"/>
  <c r="N388" i="10"/>
  <c r="F388" i="10"/>
  <c r="B388" i="10"/>
  <c r="AF388" i="10"/>
  <c r="AA388" i="10"/>
  <c r="U388" i="10"/>
  <c r="K388" i="10"/>
  <c r="E388" i="10"/>
  <c r="AJ388" i="10"/>
  <c r="T388" i="10"/>
  <c r="O388" i="10"/>
  <c r="I388" i="10"/>
  <c r="AI388" i="10"/>
  <c r="AC388" i="10"/>
  <c r="X388" i="10"/>
  <c r="H388" i="10"/>
  <c r="C388" i="10"/>
  <c r="W388" i="10"/>
  <c r="R389" i="10"/>
  <c r="AM389" i="10"/>
  <c r="O390" i="10"/>
  <c r="X391" i="10"/>
  <c r="C392" i="10"/>
  <c r="AL393" i="10"/>
  <c r="R394" i="10"/>
  <c r="E396" i="10"/>
  <c r="AI396" i="10"/>
  <c r="N397" i="10"/>
  <c r="AJ398" i="10"/>
  <c r="AF398" i="10"/>
  <c r="X398" i="10"/>
  <c r="T398" i="10"/>
  <c r="L398" i="10"/>
  <c r="H398" i="10"/>
  <c r="AI398" i="10"/>
  <c r="AD398" i="10"/>
  <c r="N398" i="10"/>
  <c r="I398" i="10"/>
  <c r="C398" i="10"/>
  <c r="AA398" i="10"/>
  <c r="U398" i="10"/>
  <c r="F398" i="10"/>
  <c r="AM398" i="10"/>
  <c r="AG398" i="10"/>
  <c r="Z398" i="10"/>
  <c r="R398" i="10"/>
  <c r="K398" i="10"/>
  <c r="E398" i="10"/>
  <c r="AL398" i="10"/>
  <c r="W398" i="10"/>
  <c r="Q398" i="10"/>
  <c r="B398" i="10"/>
  <c r="AC398" i="10"/>
  <c r="I399" i="10"/>
  <c r="AL399" i="10"/>
  <c r="X401" i="10"/>
  <c r="E402" i="10"/>
  <c r="AG402" i="10"/>
  <c r="T404" i="10"/>
  <c r="AA405" i="10"/>
  <c r="O406" i="10"/>
  <c r="AA411" i="10"/>
  <c r="E5" i="2"/>
  <c r="H373" i="10"/>
  <c r="X373" i="10"/>
  <c r="AF373" i="10"/>
  <c r="L374" i="10"/>
  <c r="T374" i="10"/>
  <c r="AJ374" i="10"/>
  <c r="B375" i="10"/>
  <c r="R375" i="10"/>
  <c r="Z375" i="10"/>
  <c r="AJ376" i="10"/>
  <c r="AF376" i="10"/>
  <c r="X376" i="10"/>
  <c r="T376" i="10"/>
  <c r="L376" i="10"/>
  <c r="H376" i="10"/>
  <c r="AM376" i="10"/>
  <c r="AI376" i="10"/>
  <c r="AA376" i="10"/>
  <c r="W376" i="10"/>
  <c r="O376" i="10"/>
  <c r="K376" i="10"/>
  <c r="C376" i="10"/>
  <c r="I376" i="10"/>
  <c r="J376" i="10" s="1"/>
  <c r="Q376" i="10"/>
  <c r="AG376" i="10"/>
  <c r="H377" i="10"/>
  <c r="X377" i="10"/>
  <c r="AF377" i="10"/>
  <c r="L378" i="10"/>
  <c r="U378" i="10"/>
  <c r="AM379" i="10"/>
  <c r="AI379" i="10"/>
  <c r="AA379" i="10"/>
  <c r="W379" i="10"/>
  <c r="O379" i="10"/>
  <c r="K379" i="10"/>
  <c r="C379" i="10"/>
  <c r="AJ379" i="10"/>
  <c r="AD379" i="10"/>
  <c r="T379" i="10"/>
  <c r="N379" i="10"/>
  <c r="I379" i="10"/>
  <c r="AC379" i="10"/>
  <c r="X379" i="10"/>
  <c r="R379" i="10"/>
  <c r="H379" i="10"/>
  <c r="B379" i="10"/>
  <c r="L379" i="10"/>
  <c r="M379" i="10" s="1"/>
  <c r="AG379" i="10"/>
  <c r="C380" i="10"/>
  <c r="X380" i="10"/>
  <c r="AI380" i="10"/>
  <c r="B381" i="10"/>
  <c r="L381" i="10"/>
  <c r="W381" i="10"/>
  <c r="U382" i="10"/>
  <c r="AM383" i="10"/>
  <c r="AI383" i="10"/>
  <c r="AA383" i="10"/>
  <c r="W383" i="10"/>
  <c r="O383" i="10"/>
  <c r="K383" i="10"/>
  <c r="C383" i="10"/>
  <c r="AJ383" i="10"/>
  <c r="AD383" i="10"/>
  <c r="T383" i="10"/>
  <c r="N383" i="10"/>
  <c r="I383" i="10"/>
  <c r="AC383" i="10"/>
  <c r="X383" i="10"/>
  <c r="R383" i="10"/>
  <c r="S383" i="10" s="1"/>
  <c r="H383" i="10"/>
  <c r="B383" i="10"/>
  <c r="L383" i="10"/>
  <c r="M383" i="10" s="1"/>
  <c r="AG383" i="10"/>
  <c r="AH383" i="10" s="1"/>
  <c r="C384" i="10"/>
  <c r="Q384" i="10"/>
  <c r="AM384" i="10"/>
  <c r="L385" i="10"/>
  <c r="I386" i="10"/>
  <c r="AD386" i="10"/>
  <c r="E387" i="10"/>
  <c r="Z387" i="10"/>
  <c r="B389" i="10"/>
  <c r="W389" i="10"/>
  <c r="B391" i="10"/>
  <c r="AD391" i="10"/>
  <c r="I392" i="10"/>
  <c r="Z394" i="10"/>
  <c r="F395" i="10"/>
  <c r="T397" i="10"/>
  <c r="Q399" i="10"/>
  <c r="X400" i="10"/>
  <c r="C401" i="10"/>
  <c r="K402" i="10"/>
  <c r="AM402" i="10"/>
  <c r="T403" i="10"/>
  <c r="AA404" i="10"/>
  <c r="F405" i="10"/>
  <c r="AI405" i="10"/>
  <c r="B407" i="10"/>
  <c r="AM407" i="10"/>
  <c r="Z408" i="10"/>
  <c r="Z410" i="10"/>
  <c r="Q413" i="10"/>
  <c r="AD417" i="10"/>
  <c r="X419" i="10"/>
  <c r="F5" i="2"/>
  <c r="AM373" i="10"/>
  <c r="AI373" i="10"/>
  <c r="AA373" i="10"/>
  <c r="W373" i="10"/>
  <c r="O373" i="10"/>
  <c r="K373" i="10"/>
  <c r="C373" i="10"/>
  <c r="AL373" i="10"/>
  <c r="AD373" i="10"/>
  <c r="Z373" i="10"/>
  <c r="R373" i="10"/>
  <c r="N373" i="10"/>
  <c r="F373" i="10"/>
  <c r="B373" i="10"/>
  <c r="I373" i="10"/>
  <c r="Q373" i="10"/>
  <c r="AG373" i="10"/>
  <c r="O374" i="10"/>
  <c r="W374" i="10"/>
  <c r="AM374" i="10"/>
  <c r="C375" i="10"/>
  <c r="K375" i="10"/>
  <c r="AA375" i="10"/>
  <c r="AI375" i="10"/>
  <c r="B376" i="10"/>
  <c r="R376" i="10"/>
  <c r="Z376" i="10"/>
  <c r="AM377" i="10"/>
  <c r="AI377" i="10"/>
  <c r="AA377" i="10"/>
  <c r="W377" i="10"/>
  <c r="O377" i="10"/>
  <c r="K377" i="10"/>
  <c r="C377" i="10"/>
  <c r="AL377" i="10"/>
  <c r="AD377" i="10"/>
  <c r="Z377" i="10"/>
  <c r="R377" i="10"/>
  <c r="N377" i="10"/>
  <c r="F377" i="10"/>
  <c r="B377" i="10"/>
  <c r="I377" i="10"/>
  <c r="J377" i="10" s="1"/>
  <c r="Q377" i="10"/>
  <c r="AG377" i="10"/>
  <c r="O378" i="10"/>
  <c r="AI378" i="10"/>
  <c r="E379" i="10"/>
  <c r="Z379" i="10"/>
  <c r="Q380" i="10"/>
  <c r="AM380" i="10"/>
  <c r="C381" i="10"/>
  <c r="N381" i="10"/>
  <c r="X381" i="10"/>
  <c r="AI381" i="10"/>
  <c r="C382" i="10"/>
  <c r="N382" i="10"/>
  <c r="AI382" i="10"/>
  <c r="E383" i="10"/>
  <c r="Z383" i="10"/>
  <c r="W384" i="10"/>
  <c r="R385" i="10"/>
  <c r="AM385" i="10"/>
  <c r="N386" i="10"/>
  <c r="AI386" i="10"/>
  <c r="AF387" i="10"/>
  <c r="L388" i="10"/>
  <c r="AG388" i="10"/>
  <c r="C390" i="10"/>
  <c r="AC390" i="10"/>
  <c r="I391" i="10"/>
  <c r="AL391" i="10"/>
  <c r="X393" i="10"/>
  <c r="E394" i="10"/>
  <c r="AG394" i="10"/>
  <c r="T396" i="10"/>
  <c r="AA397" i="10"/>
  <c r="O398" i="10"/>
  <c r="X399" i="10"/>
  <c r="C400" i="10"/>
  <c r="AL401" i="10"/>
  <c r="R402" i="10"/>
  <c r="E404" i="10"/>
  <c r="AI404" i="10"/>
  <c r="N405" i="10"/>
  <c r="AJ406" i="10"/>
  <c r="AF406" i="10"/>
  <c r="X406" i="10"/>
  <c r="T406" i="10"/>
  <c r="L406" i="10"/>
  <c r="H406" i="10"/>
  <c r="AI406" i="10"/>
  <c r="AD406" i="10"/>
  <c r="N406" i="10"/>
  <c r="I406" i="10"/>
  <c r="C406" i="10"/>
  <c r="AA406" i="10"/>
  <c r="U406" i="10"/>
  <c r="F406" i="10"/>
  <c r="AM406" i="10"/>
  <c r="AG406" i="10"/>
  <c r="Z406" i="10"/>
  <c r="R406" i="10"/>
  <c r="K406" i="10"/>
  <c r="E406" i="10"/>
  <c r="AL406" i="10"/>
  <c r="W406" i="10"/>
  <c r="Q406" i="10"/>
  <c r="B406" i="10"/>
  <c r="AC406" i="10"/>
  <c r="K407" i="10"/>
  <c r="AM408" i="10"/>
  <c r="AI421" i="10"/>
  <c r="AM387" i="10"/>
  <c r="AI387" i="10"/>
  <c r="AA387" i="10"/>
  <c r="AB387" i="10" s="1"/>
  <c r="W387" i="10"/>
  <c r="O387" i="10"/>
  <c r="K387" i="10"/>
  <c r="C387" i="10"/>
  <c r="F387" i="10"/>
  <c r="L387" i="10"/>
  <c r="Q387" i="10"/>
  <c r="AG387" i="10"/>
  <c r="AL387" i="10"/>
  <c r="AM395" i="10"/>
  <c r="AI395" i="10"/>
  <c r="AA395" i="10"/>
  <c r="W395" i="10"/>
  <c r="O395" i="10"/>
  <c r="K395" i="10"/>
  <c r="C395" i="10"/>
  <c r="AF395" i="10"/>
  <c r="Z395" i="10"/>
  <c r="U395" i="10"/>
  <c r="V395" i="10" s="1"/>
  <c r="E395" i="10"/>
  <c r="H395" i="10"/>
  <c r="N395" i="10"/>
  <c r="AC395" i="10"/>
  <c r="AJ395" i="10"/>
  <c r="AG397" i="10"/>
  <c r="AM403" i="10"/>
  <c r="AI403" i="10"/>
  <c r="AA403" i="10"/>
  <c r="W403" i="10"/>
  <c r="O403" i="10"/>
  <c r="K403" i="10"/>
  <c r="C403" i="10"/>
  <c r="AF403" i="10"/>
  <c r="Z403" i="10"/>
  <c r="U403" i="10"/>
  <c r="E403" i="10"/>
  <c r="H403" i="10"/>
  <c r="N403" i="10"/>
  <c r="AC403" i="10"/>
  <c r="AJ403" i="10"/>
  <c r="AG405" i="10"/>
  <c r="AG408" i="10"/>
  <c r="AH408" i="10" s="1"/>
  <c r="AJ409" i="10"/>
  <c r="AF409" i="10"/>
  <c r="X409" i="10"/>
  <c r="T409" i="10"/>
  <c r="L409" i="10"/>
  <c r="H409" i="10"/>
  <c r="AM409" i="10"/>
  <c r="AI409" i="10"/>
  <c r="AA409" i="10"/>
  <c r="W409" i="10"/>
  <c r="O409" i="10"/>
  <c r="K409" i="10"/>
  <c r="C409" i="10"/>
  <c r="AC409" i="10"/>
  <c r="U409" i="10"/>
  <c r="E409" i="10"/>
  <c r="AL409" i="10"/>
  <c r="Z409" i="10"/>
  <c r="Q409" i="10"/>
  <c r="F409" i="10"/>
  <c r="G409" i="10" s="1"/>
  <c r="N409" i="10"/>
  <c r="AD409" i="10"/>
  <c r="AE409" i="10" s="1"/>
  <c r="AM410" i="10"/>
  <c r="AI410" i="10"/>
  <c r="AA410" i="10"/>
  <c r="W410" i="10"/>
  <c r="AC410" i="10"/>
  <c r="X410" i="10"/>
  <c r="O410" i="10"/>
  <c r="K410" i="10"/>
  <c r="C410" i="10"/>
  <c r="AL410" i="10"/>
  <c r="AG410" i="10"/>
  <c r="R410" i="10"/>
  <c r="N410" i="10"/>
  <c r="F410" i="10"/>
  <c r="B410" i="10"/>
  <c r="AD410" i="10"/>
  <c r="T410" i="10"/>
  <c r="L410" i="10"/>
  <c r="AF410" i="10"/>
  <c r="Q410" i="10"/>
  <c r="H410" i="10"/>
  <c r="AJ410" i="10"/>
  <c r="AK410" i="10" s="1"/>
  <c r="AJ413" i="10"/>
  <c r="AF413" i="10"/>
  <c r="X413" i="10"/>
  <c r="T413" i="10"/>
  <c r="L413" i="10"/>
  <c r="H413" i="10"/>
  <c r="Z413" i="10"/>
  <c r="U413" i="10"/>
  <c r="V413" i="10" s="1"/>
  <c r="O413" i="10"/>
  <c r="E413" i="10"/>
  <c r="AA413" i="10"/>
  <c r="AB413" i="10" s="1"/>
  <c r="F413" i="10"/>
  <c r="AM413" i="10"/>
  <c r="AG413" i="10"/>
  <c r="AH413" i="10" s="1"/>
  <c r="R413" i="10"/>
  <c r="K413" i="10"/>
  <c r="C413" i="10"/>
  <c r="AI413" i="10"/>
  <c r="AC413" i="10"/>
  <c r="I413" i="10"/>
  <c r="W413" i="10"/>
  <c r="AJ417" i="10"/>
  <c r="AF417" i="10"/>
  <c r="X417" i="10"/>
  <c r="T417" i="10"/>
  <c r="L417" i="10"/>
  <c r="H417" i="10"/>
  <c r="AM417" i="10"/>
  <c r="AC417" i="10"/>
  <c r="W417" i="10"/>
  <c r="R417" i="10"/>
  <c r="B417" i="10"/>
  <c r="AG417" i="10"/>
  <c r="Z417" i="10"/>
  <c r="K417" i="10"/>
  <c r="E417" i="10"/>
  <c r="AA417" i="10"/>
  <c r="Q417" i="10"/>
  <c r="I417" i="10"/>
  <c r="J417" i="10" s="1"/>
  <c r="AI417" i="10"/>
  <c r="O417" i="10"/>
  <c r="F417" i="10"/>
  <c r="C417" i="10"/>
  <c r="AL417" i="10"/>
  <c r="N417" i="10"/>
  <c r="AG421" i="10"/>
  <c r="E374" i="10"/>
  <c r="I374" i="10"/>
  <c r="Q374" i="10"/>
  <c r="U374" i="10"/>
  <c r="AC374" i="10"/>
  <c r="AG374" i="10"/>
  <c r="AH374" i="10" s="1"/>
  <c r="AJ378" i="10"/>
  <c r="AK378" i="10" s="1"/>
  <c r="AF378" i="10"/>
  <c r="X378" i="10"/>
  <c r="T378" i="10"/>
  <c r="E378" i="10"/>
  <c r="I378" i="10"/>
  <c r="Q378" i="10"/>
  <c r="AA378" i="10"/>
  <c r="AB378" i="10" s="1"/>
  <c r="AG378" i="10"/>
  <c r="AL378" i="10"/>
  <c r="AJ382" i="10"/>
  <c r="AF382" i="10"/>
  <c r="X382" i="10"/>
  <c r="T382" i="10"/>
  <c r="L382" i="10"/>
  <c r="H382" i="10"/>
  <c r="F382" i="10"/>
  <c r="G382" i="10" s="1"/>
  <c r="K382" i="10"/>
  <c r="Q382" i="10"/>
  <c r="AA382" i="10"/>
  <c r="AG382" i="10"/>
  <c r="AL382" i="10"/>
  <c r="AJ386" i="10"/>
  <c r="AK386" i="10" s="1"/>
  <c r="AF386" i="10"/>
  <c r="X386" i="10"/>
  <c r="T386" i="10"/>
  <c r="L386" i="10"/>
  <c r="H386" i="10"/>
  <c r="F386" i="10"/>
  <c r="K386" i="10"/>
  <c r="Q386" i="10"/>
  <c r="AA386" i="10"/>
  <c r="AG386" i="10"/>
  <c r="AL386" i="10"/>
  <c r="B387" i="10"/>
  <c r="H387" i="10"/>
  <c r="R387" i="10"/>
  <c r="S387" i="10" s="1"/>
  <c r="X387" i="10"/>
  <c r="AC387" i="10"/>
  <c r="AJ390" i="10"/>
  <c r="AF390" i="10"/>
  <c r="X390" i="10"/>
  <c r="T390" i="10"/>
  <c r="L390" i="10"/>
  <c r="H390" i="10"/>
  <c r="AI390" i="10"/>
  <c r="AD390" i="10"/>
  <c r="N390" i="10"/>
  <c r="F390" i="10"/>
  <c r="K390" i="10"/>
  <c r="R390" i="10"/>
  <c r="Z390" i="10"/>
  <c r="AG390" i="10"/>
  <c r="AH390" i="10" s="1"/>
  <c r="AM390" i="10"/>
  <c r="AJ394" i="10"/>
  <c r="AF394" i="10"/>
  <c r="X394" i="10"/>
  <c r="T394" i="10"/>
  <c r="L394" i="10"/>
  <c r="M394" i="10" s="1"/>
  <c r="H394" i="10"/>
  <c r="AI394" i="10"/>
  <c r="AD394" i="10"/>
  <c r="N394" i="10"/>
  <c r="I394" i="10"/>
  <c r="J394" i="10" s="1"/>
  <c r="C394" i="10"/>
  <c r="O394" i="10"/>
  <c r="AC394" i="10"/>
  <c r="B395" i="10"/>
  <c r="I395" i="10"/>
  <c r="Q395" i="10"/>
  <c r="X395" i="10"/>
  <c r="Y395" i="10" s="1"/>
  <c r="AD395" i="10"/>
  <c r="AL395" i="10"/>
  <c r="AJ402" i="10"/>
  <c r="AF402" i="10"/>
  <c r="X402" i="10"/>
  <c r="T402" i="10"/>
  <c r="L402" i="10"/>
  <c r="M402" i="10" s="1"/>
  <c r="H402" i="10"/>
  <c r="AI402" i="10"/>
  <c r="AD402" i="10"/>
  <c r="N402" i="10"/>
  <c r="I402" i="10"/>
  <c r="J402" i="10" s="1"/>
  <c r="C402" i="10"/>
  <c r="O402" i="10"/>
  <c r="AC402" i="10"/>
  <c r="B403" i="10"/>
  <c r="I403" i="10"/>
  <c r="Q403" i="10"/>
  <c r="X403" i="10"/>
  <c r="AD403" i="10"/>
  <c r="AL403" i="10"/>
  <c r="B409" i="10"/>
  <c r="R409" i="10"/>
  <c r="AG409" i="10"/>
  <c r="E410" i="10"/>
  <c r="U410" i="10"/>
  <c r="B413" i="10"/>
  <c r="AD413" i="10"/>
  <c r="AE413" i="10" s="1"/>
  <c r="B374" i="10"/>
  <c r="F374" i="10"/>
  <c r="N374" i="10"/>
  <c r="R374" i="10"/>
  <c r="Z374" i="10"/>
  <c r="AD374" i="10"/>
  <c r="E375" i="10"/>
  <c r="I375" i="10"/>
  <c r="Q375" i="10"/>
  <c r="U375" i="10"/>
  <c r="AC375" i="10"/>
  <c r="B378" i="10"/>
  <c r="F378" i="10"/>
  <c r="N378" i="10"/>
  <c r="R378" i="10"/>
  <c r="W378" i="10"/>
  <c r="AC378" i="10"/>
  <c r="AM378" i="10"/>
  <c r="AG381" i="10"/>
  <c r="B382" i="10"/>
  <c r="R382" i="10"/>
  <c r="W382" i="10"/>
  <c r="AC382" i="10"/>
  <c r="AM382" i="10"/>
  <c r="AG385" i="10"/>
  <c r="B386" i="10"/>
  <c r="R386" i="10"/>
  <c r="W386" i="10"/>
  <c r="AC386" i="10"/>
  <c r="AM386" i="10"/>
  <c r="I387" i="10"/>
  <c r="N387" i="10"/>
  <c r="T387" i="10"/>
  <c r="AD387" i="10"/>
  <c r="AJ387" i="10"/>
  <c r="AG389" i="10"/>
  <c r="B390" i="10"/>
  <c r="U390" i="10"/>
  <c r="AA390" i="10"/>
  <c r="AM391" i="10"/>
  <c r="AI391" i="10"/>
  <c r="AA391" i="10"/>
  <c r="W391" i="10"/>
  <c r="O391" i="10"/>
  <c r="K391" i="10"/>
  <c r="C391" i="10"/>
  <c r="D391" i="10" s="1"/>
  <c r="AF391" i="10"/>
  <c r="Z391" i="10"/>
  <c r="U391" i="10"/>
  <c r="E391" i="10"/>
  <c r="H391" i="10"/>
  <c r="N391" i="10"/>
  <c r="AC391" i="10"/>
  <c r="AJ391" i="10"/>
  <c r="AG393" i="10"/>
  <c r="B394" i="10"/>
  <c r="Q394" i="10"/>
  <c r="W394" i="10"/>
  <c r="AL394" i="10"/>
  <c r="L395" i="10"/>
  <c r="R395" i="10"/>
  <c r="AG395" i="10"/>
  <c r="AM399" i="10"/>
  <c r="AI399" i="10"/>
  <c r="AA399" i="10"/>
  <c r="W399" i="10"/>
  <c r="O399" i="10"/>
  <c r="K399" i="10"/>
  <c r="C399" i="10"/>
  <c r="AF399" i="10"/>
  <c r="Z399" i="10"/>
  <c r="U399" i="10"/>
  <c r="E399" i="10"/>
  <c r="H399" i="10"/>
  <c r="N399" i="10"/>
  <c r="AC399" i="10"/>
  <c r="AJ399" i="10"/>
  <c r="AG401" i="10"/>
  <c r="B402" i="10"/>
  <c r="Q402" i="10"/>
  <c r="W402" i="10"/>
  <c r="AL402" i="10"/>
  <c r="L403" i="10"/>
  <c r="R403" i="10"/>
  <c r="AG403" i="10"/>
  <c r="AL407" i="10"/>
  <c r="AD407" i="10"/>
  <c r="Z407" i="10"/>
  <c r="R407" i="10"/>
  <c r="N407" i="10"/>
  <c r="F407" i="10"/>
  <c r="AI407" i="10"/>
  <c r="AC407" i="10"/>
  <c r="X407" i="10"/>
  <c r="Y407" i="10" s="1"/>
  <c r="H407" i="10"/>
  <c r="C407" i="10"/>
  <c r="AG407" i="10"/>
  <c r="AH407" i="10" s="1"/>
  <c r="AA407" i="10"/>
  <c r="T407" i="10"/>
  <c r="L407" i="10"/>
  <c r="E407" i="10"/>
  <c r="I407" i="10"/>
  <c r="Q407" i="10"/>
  <c r="I409" i="10"/>
  <c r="I410" i="10"/>
  <c r="AL411" i="10"/>
  <c r="AD411" i="10"/>
  <c r="Z411" i="10"/>
  <c r="R411" i="10"/>
  <c r="N411" i="10"/>
  <c r="F411" i="10"/>
  <c r="B411" i="10"/>
  <c r="AI411" i="10"/>
  <c r="AC411" i="10"/>
  <c r="AM411" i="10"/>
  <c r="AF411" i="10"/>
  <c r="T411" i="10"/>
  <c r="O411" i="10"/>
  <c r="P411" i="10" s="1"/>
  <c r="I411" i="10"/>
  <c r="X411" i="10"/>
  <c r="H411" i="10"/>
  <c r="C411" i="10"/>
  <c r="AG411" i="10"/>
  <c r="U411" i="10"/>
  <c r="K411" i="10"/>
  <c r="AJ411" i="10"/>
  <c r="Q411" i="10"/>
  <c r="E411" i="10"/>
  <c r="W411" i="10"/>
  <c r="AG412" i="10"/>
  <c r="N413" i="10"/>
  <c r="AL413" i="10"/>
  <c r="U417" i="10"/>
  <c r="AL392" i="10"/>
  <c r="AD392" i="10"/>
  <c r="Z392" i="10"/>
  <c r="R392" i="10"/>
  <c r="N392" i="10"/>
  <c r="F392" i="10"/>
  <c r="B392" i="10"/>
  <c r="L392" i="10"/>
  <c r="Q392" i="10"/>
  <c r="W392" i="10"/>
  <c r="AG392" i="10"/>
  <c r="AM392" i="10"/>
  <c r="AL396" i="10"/>
  <c r="AD396" i="10"/>
  <c r="Z396" i="10"/>
  <c r="R396" i="10"/>
  <c r="N396" i="10"/>
  <c r="F396" i="10"/>
  <c r="G396" i="10" s="1"/>
  <c r="B396" i="10"/>
  <c r="L396" i="10"/>
  <c r="Q396" i="10"/>
  <c r="W396" i="10"/>
  <c r="AG396" i="10"/>
  <c r="AM396" i="10"/>
  <c r="AL400" i="10"/>
  <c r="AD400" i="10"/>
  <c r="Z400" i="10"/>
  <c r="R400" i="10"/>
  <c r="N400" i="10"/>
  <c r="F400" i="10"/>
  <c r="B400" i="10"/>
  <c r="L400" i="10"/>
  <c r="Q400" i="10"/>
  <c r="W400" i="10"/>
  <c r="AG400" i="10"/>
  <c r="AM400" i="10"/>
  <c r="AL404" i="10"/>
  <c r="AD404" i="10"/>
  <c r="Z404" i="10"/>
  <c r="R404" i="10"/>
  <c r="N404" i="10"/>
  <c r="F404" i="10"/>
  <c r="B404" i="10"/>
  <c r="L404" i="10"/>
  <c r="Q404" i="10"/>
  <c r="W404" i="10"/>
  <c r="AG404" i="10"/>
  <c r="AM404" i="10"/>
  <c r="E381" i="10"/>
  <c r="I381" i="10"/>
  <c r="Q381" i="10"/>
  <c r="U381" i="10"/>
  <c r="AC381" i="10"/>
  <c r="E385" i="10"/>
  <c r="I385" i="10"/>
  <c r="J385" i="10" s="1"/>
  <c r="Q385" i="10"/>
  <c r="U385" i="10"/>
  <c r="V385" i="10" s="1"/>
  <c r="AC385" i="10"/>
  <c r="E389" i="10"/>
  <c r="I389" i="10"/>
  <c r="Q389" i="10"/>
  <c r="U389" i="10"/>
  <c r="AC389" i="10"/>
  <c r="E393" i="10"/>
  <c r="I393" i="10"/>
  <c r="Q393" i="10"/>
  <c r="U393" i="10"/>
  <c r="AC393" i="10"/>
  <c r="E397" i="10"/>
  <c r="I397" i="10"/>
  <c r="J397" i="10" s="1"/>
  <c r="Q397" i="10"/>
  <c r="U397" i="10"/>
  <c r="AC397" i="10"/>
  <c r="E401" i="10"/>
  <c r="I401" i="10"/>
  <c r="J401" i="10" s="1"/>
  <c r="Q401" i="10"/>
  <c r="U401" i="10"/>
  <c r="V401" i="10" s="1"/>
  <c r="AC401" i="10"/>
  <c r="E405" i="10"/>
  <c r="I405" i="10"/>
  <c r="Q405" i="10"/>
  <c r="U405" i="10"/>
  <c r="AC405" i="10"/>
  <c r="AL415" i="10"/>
  <c r="AD415" i="10"/>
  <c r="AE415" i="10" s="1"/>
  <c r="Z415" i="10"/>
  <c r="R415" i="10"/>
  <c r="N415" i="10"/>
  <c r="F415" i="10"/>
  <c r="B415" i="10"/>
  <c r="AF415" i="10"/>
  <c r="AA415" i="10"/>
  <c r="U415" i="10"/>
  <c r="K415" i="10"/>
  <c r="E415" i="10"/>
  <c r="AG415" i="10"/>
  <c r="L415" i="10"/>
  <c r="AJ415" i="10"/>
  <c r="Q415" i="10"/>
  <c r="H415" i="10"/>
  <c r="AI415" i="10"/>
  <c r="X415" i="10"/>
  <c r="O415" i="10"/>
  <c r="T415" i="10"/>
  <c r="AM415" i="10"/>
  <c r="AM418" i="10"/>
  <c r="AI418" i="10"/>
  <c r="AA418" i="10"/>
  <c r="W418" i="10"/>
  <c r="O418" i="10"/>
  <c r="K418" i="10"/>
  <c r="C418" i="10"/>
  <c r="AJ418" i="10"/>
  <c r="AD418" i="10"/>
  <c r="T418" i="10"/>
  <c r="N418" i="10"/>
  <c r="I418" i="10"/>
  <c r="U418" i="10"/>
  <c r="F418" i="10"/>
  <c r="AG418" i="10"/>
  <c r="X418" i="10"/>
  <c r="Y418" i="10" s="1"/>
  <c r="E418" i="10"/>
  <c r="AF418" i="10"/>
  <c r="L418" i="10"/>
  <c r="B418" i="10"/>
  <c r="R418" i="10"/>
  <c r="AL418" i="10"/>
  <c r="AI425" i="10"/>
  <c r="AG422" i="10"/>
  <c r="AC422" i="10"/>
  <c r="U422" i="10"/>
  <c r="Q422" i="10"/>
  <c r="AJ422" i="10"/>
  <c r="Z422" i="10"/>
  <c r="T422" i="10"/>
  <c r="O422" i="10"/>
  <c r="K422" i="10"/>
  <c r="C422" i="10"/>
  <c r="AI422" i="10"/>
  <c r="N422" i="10"/>
  <c r="I422" i="10"/>
  <c r="AL422" i="10"/>
  <c r="AA422" i="10"/>
  <c r="R422" i="10"/>
  <c r="S422" i="10" s="1"/>
  <c r="B422" i="10"/>
  <c r="AF422" i="10"/>
  <c r="W422" i="10"/>
  <c r="F422" i="10"/>
  <c r="E408" i="10"/>
  <c r="I408" i="10"/>
  <c r="Q408" i="10"/>
  <c r="U408" i="10"/>
  <c r="V408" i="10" s="1"/>
  <c r="AC408" i="10"/>
  <c r="E422" i="10"/>
  <c r="AM422" i="10"/>
  <c r="O440" i="10"/>
  <c r="P427" i="10"/>
  <c r="L440" i="10"/>
  <c r="M427" i="10"/>
  <c r="K421" i="10"/>
  <c r="Z421" i="10"/>
  <c r="AA425" i="10"/>
  <c r="C440" i="10"/>
  <c r="D440" i="10" s="1"/>
  <c r="D427" i="10"/>
  <c r="AM414" i="10"/>
  <c r="AI414" i="10"/>
  <c r="AA414" i="10"/>
  <c r="AB414" i="10" s="1"/>
  <c r="W414" i="10"/>
  <c r="O414" i="10"/>
  <c r="P414" i="10" s="1"/>
  <c r="K414" i="10"/>
  <c r="C414" i="10"/>
  <c r="AJ414" i="10"/>
  <c r="AD414" i="10"/>
  <c r="T414" i="10"/>
  <c r="F414" i="10"/>
  <c r="G414" i="10" s="1"/>
  <c r="L414" i="10"/>
  <c r="Q414" i="10"/>
  <c r="X414" i="10"/>
  <c r="AF414" i="10"/>
  <c r="AL414" i="10"/>
  <c r="AL419" i="10"/>
  <c r="AD419" i="10"/>
  <c r="Z419" i="10"/>
  <c r="R419" i="10"/>
  <c r="S419" i="10" s="1"/>
  <c r="N419" i="10"/>
  <c r="F419" i="10"/>
  <c r="B419" i="10"/>
  <c r="AF419" i="10"/>
  <c r="AA419" i="10"/>
  <c r="U419" i="10"/>
  <c r="K419" i="10"/>
  <c r="E419" i="10"/>
  <c r="H419" i="10"/>
  <c r="O419" i="10"/>
  <c r="W419" i="10"/>
  <c r="AC419" i="10"/>
  <c r="AJ419" i="10"/>
  <c r="AJ421" i="10"/>
  <c r="AF421" i="10"/>
  <c r="X421" i="10"/>
  <c r="T421" i="10"/>
  <c r="L421" i="10"/>
  <c r="H421" i="10"/>
  <c r="AM421" i="10"/>
  <c r="AC421" i="10"/>
  <c r="W421" i="10"/>
  <c r="R421" i="10"/>
  <c r="B421" i="10"/>
  <c r="I421" i="10"/>
  <c r="O421" i="10"/>
  <c r="AD421" i="10"/>
  <c r="AL425" i="10"/>
  <c r="AD425" i="10"/>
  <c r="Z425" i="10"/>
  <c r="R425" i="10"/>
  <c r="N425" i="10"/>
  <c r="F425" i="10"/>
  <c r="B425" i="10"/>
  <c r="AJ425" i="10"/>
  <c r="T425" i="10"/>
  <c r="O425" i="10"/>
  <c r="I425" i="10"/>
  <c r="AM425" i="10"/>
  <c r="AF425" i="10"/>
  <c r="X425" i="10"/>
  <c r="Q425" i="10"/>
  <c r="K425" i="10"/>
  <c r="C425" i="10"/>
  <c r="L425" i="10"/>
  <c r="U425" i="10"/>
  <c r="AC425" i="10"/>
  <c r="AG416" i="10"/>
  <c r="AG420" i="10"/>
  <c r="AM424" i="10"/>
  <c r="AN424" i="10" s="1"/>
  <c r="AI424" i="10"/>
  <c r="AA424" i="10"/>
  <c r="W424" i="10"/>
  <c r="O424" i="10"/>
  <c r="K424" i="10"/>
  <c r="C424" i="10"/>
  <c r="AC424" i="10"/>
  <c r="X424" i="10"/>
  <c r="R424" i="10"/>
  <c r="S424" i="10" s="1"/>
  <c r="H424" i="10"/>
  <c r="B424" i="10"/>
  <c r="I424" i="10"/>
  <c r="AD424" i="10"/>
  <c r="AF440" i="10"/>
  <c r="Y428" i="10"/>
  <c r="AH427" i="10"/>
  <c r="AG440" i="10"/>
  <c r="J429" i="10"/>
  <c r="AH429" i="10"/>
  <c r="Y427" i="10"/>
  <c r="AC440" i="10"/>
  <c r="AE427" i="10"/>
  <c r="Q440" i="10"/>
  <c r="V427" i="10"/>
  <c r="U440" i="10"/>
  <c r="V440" i="10" s="1"/>
  <c r="AD440" i="10"/>
  <c r="AI440" i="10"/>
  <c r="AM440" i="10"/>
  <c r="AH428" i="10"/>
  <c r="E412" i="10"/>
  <c r="I412" i="10"/>
  <c r="Q412" i="10"/>
  <c r="U412" i="10"/>
  <c r="AC412" i="10"/>
  <c r="E416" i="10"/>
  <c r="I416" i="10"/>
  <c r="J416" i="10" s="1"/>
  <c r="Q416" i="10"/>
  <c r="U416" i="10"/>
  <c r="V416" i="10" s="1"/>
  <c r="AC416" i="10"/>
  <c r="E420" i="10"/>
  <c r="I420" i="10"/>
  <c r="Q420" i="10"/>
  <c r="U420" i="10"/>
  <c r="AC420" i="10"/>
  <c r="AJ423" i="10"/>
  <c r="AK423" i="10" s="1"/>
  <c r="AF423" i="10"/>
  <c r="X423" i="10"/>
  <c r="T423" i="10"/>
  <c r="L423" i="10"/>
  <c r="H423" i="10"/>
  <c r="F423" i="10"/>
  <c r="G423" i="10" s="1"/>
  <c r="K423" i="10"/>
  <c r="Q423" i="10"/>
  <c r="AA423" i="10"/>
  <c r="AG423" i="10"/>
  <c r="AL423" i="10"/>
  <c r="E440" i="10"/>
  <c r="G440" i="10" s="1"/>
  <c r="J427" i="10"/>
  <c r="I440" i="10"/>
  <c r="W440" i="10"/>
  <c r="AA440" i="10"/>
  <c r="AB440" i="10" s="1"/>
  <c r="AJ440" i="10"/>
  <c r="AN427" i="10"/>
  <c r="V428" i="10"/>
  <c r="V430" i="10"/>
  <c r="M7" i="12"/>
  <c r="M8" i="12"/>
  <c r="M9" i="12"/>
  <c r="M10" i="12"/>
  <c r="M11" i="12"/>
  <c r="M12" i="12"/>
  <c r="M13" i="12"/>
  <c r="N2" i="12"/>
  <c r="N3" i="12"/>
  <c r="N4" i="12"/>
  <c r="M4" i="2" s="1"/>
  <c r="N5" i="12"/>
  <c r="N6" i="12"/>
  <c r="N7" i="12"/>
  <c r="N8" i="12"/>
  <c r="N9" i="12"/>
  <c r="N10" i="12"/>
  <c r="N11" i="12"/>
  <c r="N12" i="12"/>
  <c r="N13" i="12"/>
  <c r="L2" i="12"/>
  <c r="L3" i="12"/>
  <c r="L4" i="12"/>
  <c r="K4" i="2" s="1"/>
  <c r="L5" i="12"/>
  <c r="L6" i="12"/>
  <c r="L7" i="12"/>
  <c r="L8" i="12"/>
  <c r="L9" i="12"/>
  <c r="L10" i="12"/>
  <c r="L11" i="12"/>
  <c r="L12" i="12"/>
  <c r="AH412" i="10" l="1"/>
  <c r="J418" i="10"/>
  <c r="J393" i="10"/>
  <c r="P375" i="10"/>
  <c r="AN421" i="10"/>
  <c r="D399" i="10"/>
  <c r="AB382" i="10"/>
  <c r="J374" i="10"/>
  <c r="S390" i="10"/>
  <c r="AH405" i="10"/>
  <c r="D420" i="10"/>
  <c r="AE377" i="10"/>
  <c r="AH379" i="10"/>
  <c r="S379" i="10"/>
  <c r="D424" i="10"/>
  <c r="AB424" i="10"/>
  <c r="AB418" i="10"/>
  <c r="V381" i="10"/>
  <c r="M404" i="10"/>
  <c r="J410" i="10"/>
  <c r="AH403" i="10"/>
  <c r="V391" i="10"/>
  <c r="AB386" i="10"/>
  <c r="P398" i="10"/>
  <c r="G373" i="10"/>
  <c r="AN383" i="10"/>
  <c r="Y401" i="10"/>
  <c r="AB398" i="10"/>
  <c r="AE398" i="10"/>
  <c r="AN389" i="10"/>
  <c r="S388" i="10"/>
  <c r="AH380" i="10"/>
  <c r="V377" i="10"/>
  <c r="G376" i="10"/>
  <c r="AB402" i="10"/>
  <c r="D397" i="10"/>
  <c r="M397" i="10"/>
  <c r="Y424" i="10"/>
  <c r="P421" i="10"/>
  <c r="J408" i="10"/>
  <c r="D422" i="10"/>
  <c r="AE418" i="10"/>
  <c r="Y415" i="10"/>
  <c r="AK415" i="10"/>
  <c r="V405" i="10"/>
  <c r="V389" i="10"/>
  <c r="J381" i="10"/>
  <c r="G404" i="10"/>
  <c r="G400" i="10"/>
  <c r="AE400" i="10"/>
  <c r="AE392" i="10"/>
  <c r="AN411" i="10"/>
  <c r="AE411" i="10"/>
  <c r="M403" i="10"/>
  <c r="AN399" i="10"/>
  <c r="AH393" i="10"/>
  <c r="AK387" i="10"/>
  <c r="AN390" i="10"/>
  <c r="J378" i="10"/>
  <c r="AK403" i="10"/>
  <c r="AK395" i="10"/>
  <c r="AN408" i="10"/>
  <c r="Y406" i="10"/>
  <c r="D373" i="10"/>
  <c r="AB373" i="10"/>
  <c r="M385" i="10"/>
  <c r="AN379" i="10"/>
  <c r="AH384" i="10"/>
  <c r="AE376" i="10"/>
  <c r="V373" i="10"/>
  <c r="D385" i="10"/>
  <c r="G402" i="10"/>
  <c r="AN420" i="10"/>
  <c r="Y412" i="10"/>
  <c r="AN374" i="10"/>
  <c r="G408" i="10"/>
  <c r="AE408" i="10"/>
  <c r="J380" i="10"/>
  <c r="AK421" i="10"/>
  <c r="P424" i="10"/>
  <c r="S418" i="10"/>
  <c r="V418" i="10"/>
  <c r="G411" i="10"/>
  <c r="S386" i="10"/>
  <c r="AH381" i="10"/>
  <c r="S409" i="10"/>
  <c r="AE394" i="10"/>
  <c r="Y387" i="10"/>
  <c r="AH421" i="10"/>
  <c r="D387" i="10"/>
  <c r="AH388" i="10"/>
  <c r="D381" i="10"/>
  <c r="S373" i="10"/>
  <c r="D383" i="10"/>
  <c r="AH402" i="10"/>
  <c r="G398" i="10"/>
  <c r="G388" i="10"/>
  <c r="M380" i="10"/>
  <c r="AB380" i="10"/>
  <c r="D378" i="10"/>
  <c r="M399" i="10"/>
  <c r="D423" i="10"/>
  <c r="P381" i="10"/>
  <c r="P385" i="10"/>
  <c r="AB392" i="10"/>
  <c r="D404" i="10"/>
  <c r="Y405" i="10"/>
  <c r="AK400" i="10"/>
  <c r="AB412" i="10"/>
  <c r="M420" i="10"/>
  <c r="AN412" i="10"/>
  <c r="AK422" i="10"/>
  <c r="AK418" i="10"/>
  <c r="G415" i="10"/>
  <c r="D411" i="10"/>
  <c r="AB407" i="10"/>
  <c r="AH395" i="10"/>
  <c r="AB391" i="10"/>
  <c r="V390" i="10"/>
  <c r="AE387" i="10"/>
  <c r="AE374" i="10"/>
  <c r="G374" i="10"/>
  <c r="V410" i="10"/>
  <c r="J395" i="10"/>
  <c r="D394" i="10"/>
  <c r="Y386" i="10"/>
  <c r="AH417" i="10"/>
  <c r="P410" i="10"/>
  <c r="G406" i="10"/>
  <c r="AN418" i="10"/>
  <c r="AE404" i="10"/>
  <c r="AE396" i="10"/>
  <c r="G392" i="10"/>
  <c r="AH411" i="10"/>
  <c r="S378" i="10"/>
  <c r="Y403" i="10"/>
  <c r="P394" i="10"/>
  <c r="Y390" i="10"/>
  <c r="V374" i="10"/>
  <c r="M417" i="10"/>
  <c r="AE410" i="10"/>
  <c r="D403" i="10"/>
  <c r="AH387" i="10"/>
  <c r="D406" i="10"/>
  <c r="D400" i="10"/>
  <c r="D382" i="10"/>
  <c r="AB375" i="10"/>
  <c r="J373" i="10"/>
  <c r="G405" i="10"/>
  <c r="P379" i="10"/>
  <c r="AB411" i="10"/>
  <c r="AB384" i="10"/>
  <c r="AN376" i="10"/>
  <c r="J424" i="10"/>
  <c r="G407" i="10"/>
  <c r="AK402" i="10"/>
  <c r="G417" i="10"/>
  <c r="D395" i="10"/>
  <c r="AN406" i="10"/>
  <c r="P418" i="10"/>
  <c r="J411" i="10"/>
  <c r="AE407" i="10"/>
  <c r="AB390" i="10"/>
  <c r="J387" i="10"/>
  <c r="AK417" i="10"/>
  <c r="AB403" i="10"/>
  <c r="AB395" i="10"/>
  <c r="AE391" i="10"/>
  <c r="J398" i="10"/>
  <c r="AB374" i="10"/>
  <c r="M391" i="10"/>
  <c r="G394" i="10"/>
  <c r="M411" i="10"/>
  <c r="AN393" i="10"/>
  <c r="Y423" i="10"/>
  <c r="J412" i="10"/>
  <c r="S391" i="10"/>
  <c r="S401" i="10"/>
  <c r="AH423" i="10"/>
  <c r="V420" i="10"/>
  <c r="Y425" i="10"/>
  <c r="J422" i="10"/>
  <c r="AN415" i="10"/>
  <c r="V415" i="10"/>
  <c r="AK411" i="10"/>
  <c r="AK391" i="10"/>
  <c r="V375" i="10"/>
  <c r="G390" i="10"/>
  <c r="AH386" i="10"/>
  <c r="G386" i="10"/>
  <c r="AH382" i="10"/>
  <c r="AN413" i="10"/>
  <c r="M413" i="10"/>
  <c r="M409" i="10"/>
  <c r="AK409" i="10"/>
  <c r="V403" i="10"/>
  <c r="AH394" i="10"/>
  <c r="AN385" i="10"/>
  <c r="AN380" i="10"/>
  <c r="D377" i="10"/>
  <c r="AB377" i="10"/>
  <c r="D401" i="10"/>
  <c r="AK416" i="10"/>
  <c r="D425" i="10"/>
  <c r="Y421" i="10"/>
  <c r="M414" i="10"/>
  <c r="AK414" i="10"/>
  <c r="J420" i="10"/>
  <c r="AE424" i="10"/>
  <c r="AK425" i="10"/>
  <c r="S425" i="10"/>
  <c r="AE421" i="10"/>
  <c r="S421" i="10"/>
  <c r="D414" i="10"/>
  <c r="P415" i="10"/>
  <c r="AH404" i="10"/>
  <c r="V411" i="10"/>
  <c r="Y411" i="10"/>
  <c r="D407" i="10"/>
  <c r="V399" i="10"/>
  <c r="J375" i="10"/>
  <c r="AE390" i="10"/>
  <c r="AK382" i="10"/>
  <c r="D417" i="10"/>
  <c r="S413" i="10"/>
  <c r="AN410" i="10"/>
  <c r="V409" i="10"/>
  <c r="G387" i="10"/>
  <c r="AB406" i="10"/>
  <c r="AE406" i="10"/>
  <c r="AB397" i="10"/>
  <c r="AN402" i="10"/>
  <c r="J392" i="10"/>
  <c r="J386" i="10"/>
  <c r="D384" i="10"/>
  <c r="AK383" i="10"/>
  <c r="Y379" i="10"/>
  <c r="P376" i="10"/>
  <c r="Y376" i="10"/>
  <c r="S375" i="10"/>
  <c r="M374" i="10"/>
  <c r="AN398" i="10"/>
  <c r="D398" i="10"/>
  <c r="Y398" i="10"/>
  <c r="D392" i="10"/>
  <c r="S389" i="10"/>
  <c r="Y388" i="10"/>
  <c r="P388" i="10"/>
  <c r="D386" i="10"/>
  <c r="G384" i="10"/>
  <c r="J382" i="10"/>
  <c r="G380" i="10"/>
  <c r="AE380" i="10"/>
  <c r="AK397" i="10"/>
  <c r="S408" i="10"/>
  <c r="M375" i="10"/>
  <c r="AK375" i="10"/>
  <c r="AK381" i="10"/>
  <c r="AK385" i="10"/>
  <c r="D396" i="10"/>
  <c r="Y397" i="10"/>
  <c r="AB389" i="10"/>
  <c r="S397" i="10"/>
  <c r="M401" i="10"/>
  <c r="AN405" i="10"/>
  <c r="AB408" i="10"/>
  <c r="AK408" i="10"/>
  <c r="S414" i="10"/>
  <c r="AK420" i="10"/>
  <c r="J423" i="10"/>
  <c r="D416" i="10"/>
  <c r="AE423" i="10"/>
  <c r="AB420" i="10"/>
  <c r="M440" i="10"/>
  <c r="J440" i="10"/>
  <c r="M14" i="12"/>
  <c r="L5" i="2" s="1"/>
  <c r="P440" i="10"/>
  <c r="AO438" i="10"/>
  <c r="AO435" i="10"/>
  <c r="AN440" i="10"/>
  <c r="AO428" i="10"/>
  <c r="Y440" i="10"/>
  <c r="AO437" i="10"/>
  <c r="AO436" i="10"/>
  <c r="AO431" i="10"/>
  <c r="AO430" i="10"/>
  <c r="AO429" i="10"/>
  <c r="I4" i="2" s="1"/>
  <c r="AO432" i="10"/>
  <c r="AO434" i="10"/>
  <c r="AO433" i="10"/>
  <c r="AH440" i="10"/>
  <c r="R440" i="10"/>
  <c r="S440" i="10" s="1"/>
  <c r="AE440" i="10"/>
  <c r="P399" i="10"/>
  <c r="J383" i="10"/>
  <c r="V382" i="10"/>
  <c r="P386" i="10"/>
  <c r="AK396" i="10"/>
  <c r="AH422" i="10"/>
  <c r="J407" i="10"/>
  <c r="AH401" i="10"/>
  <c r="AN386" i="10"/>
  <c r="AN378" i="10"/>
  <c r="AE402" i="10"/>
  <c r="Y394" i="10"/>
  <c r="AH378" i="10"/>
  <c r="AE379" i="10"/>
  <c r="AK384" i="10"/>
  <c r="AE381" i="10"/>
  <c r="AK380" i="10"/>
  <c r="V386" i="10"/>
  <c r="P396" i="10"/>
  <c r="P389" i="10"/>
  <c r="J396" i="10"/>
  <c r="G385" i="10"/>
  <c r="L14" i="12"/>
  <c r="K5" i="2" s="1"/>
  <c r="N14" i="12"/>
  <c r="M5" i="2" s="1"/>
  <c r="M423" i="10"/>
  <c r="V412" i="10"/>
  <c r="AH416" i="10"/>
  <c r="M425" i="10"/>
  <c r="P425" i="10"/>
  <c r="G425" i="10"/>
  <c r="AE425" i="10"/>
  <c r="J421" i="10"/>
  <c r="AK419" i="10"/>
  <c r="AB419" i="10"/>
  <c r="AE414" i="10"/>
  <c r="AN414" i="10"/>
  <c r="AB422" i="10"/>
  <c r="V422" i="10"/>
  <c r="G418" i="10"/>
  <c r="S415" i="10"/>
  <c r="V393" i="10"/>
  <c r="AH400" i="10"/>
  <c r="AH396" i="10"/>
  <c r="AH392" i="10"/>
  <c r="J409" i="10"/>
  <c r="M407" i="10"/>
  <c r="S403" i="10"/>
  <c r="M395" i="10"/>
  <c r="P391" i="10"/>
  <c r="AN391" i="10"/>
  <c r="AH389" i="10"/>
  <c r="AN382" i="10"/>
  <c r="S374" i="10"/>
  <c r="AH409" i="10"/>
  <c r="AE403" i="10"/>
  <c r="AK394" i="10"/>
  <c r="M386" i="10"/>
  <c r="M382" i="10"/>
  <c r="Y378" i="10"/>
  <c r="S417" i="10"/>
  <c r="Y413" i="10"/>
  <c r="D410" i="10"/>
  <c r="P409" i="10"/>
  <c r="AN409" i="10"/>
  <c r="Y409" i="10"/>
  <c r="AH397" i="10"/>
  <c r="AH406" i="10"/>
  <c r="Y393" i="10"/>
  <c r="D390" i="10"/>
  <c r="AH377" i="10"/>
  <c r="G377" i="10"/>
  <c r="P377" i="10"/>
  <c r="AN377" i="10"/>
  <c r="Y400" i="10"/>
  <c r="AE386" i="10"/>
  <c r="AE383" i="10"/>
  <c r="P383" i="10"/>
  <c r="D379" i="10"/>
  <c r="AB379" i="10"/>
  <c r="M378" i="10"/>
  <c r="AH376" i="10"/>
  <c r="AB405" i="10"/>
  <c r="AH398" i="10"/>
  <c r="J388" i="10"/>
  <c r="V387" i="10"/>
  <c r="Y384" i="10"/>
  <c r="P384" i="10"/>
  <c r="AE382" i="10"/>
  <c r="P380" i="10"/>
  <c r="AE378" i="10"/>
  <c r="D374" i="10"/>
  <c r="D389" i="10"/>
  <c r="AE389" i="10"/>
  <c r="AH391" i="10"/>
  <c r="AB394" i="10"/>
  <c r="AE397" i="10"/>
  <c r="AH399" i="10"/>
  <c r="AE405" i="10"/>
  <c r="J414" i="10"/>
  <c r="D419" i="10"/>
  <c r="G393" i="10"/>
  <c r="AB401" i="10"/>
  <c r="Y404" i="10"/>
  <c r="AK407" i="10"/>
  <c r="P416" i="10"/>
  <c r="AB385" i="10"/>
  <c r="AK392" i="10"/>
  <c r="AK393" i="10"/>
  <c r="V400" i="10"/>
  <c r="P401" i="10"/>
  <c r="AE422" i="10"/>
  <c r="S393" i="10"/>
  <c r="AN401" i="10"/>
  <c r="G412" i="10"/>
  <c r="M419" i="10"/>
  <c r="S423" i="10"/>
  <c r="AB421" i="10"/>
  <c r="AK424" i="10"/>
  <c r="V414" i="10"/>
  <c r="AN416" i="10"/>
  <c r="AB416" i="10"/>
  <c r="V407" i="10"/>
  <c r="J400" i="10"/>
  <c r="G397" i="10"/>
  <c r="J390" i="10"/>
  <c r="M377" i="10"/>
  <c r="AK373" i="10"/>
  <c r="AO427" i="10"/>
  <c r="G401" i="10"/>
  <c r="G381" i="10"/>
  <c r="P392" i="10"/>
  <c r="AE401" i="10"/>
  <c r="M424" i="10"/>
  <c r="Y408" i="10"/>
  <c r="AE416" i="10"/>
  <c r="AE420" i="10"/>
  <c r="AH424" i="10"/>
  <c r="V423" i="10"/>
  <c r="AE399" i="10"/>
  <c r="AB396" i="10"/>
  <c r="D393" i="10"/>
  <c r="M389" i="10"/>
  <c r="G383" i="10"/>
  <c r="AN381" i="10"/>
  <c r="AE375" i="10"/>
  <c r="Y374" i="10"/>
  <c r="S410" i="10"/>
  <c r="M415" i="10"/>
  <c r="P417" i="10"/>
  <c r="AB410" i="10"/>
  <c r="S406" i="10"/>
  <c r="J391" i="10"/>
  <c r="S377" i="10"/>
  <c r="Y419" i="10"/>
  <c r="AH414" i="10"/>
  <c r="G403" i="10"/>
  <c r="Y392" i="10"/>
  <c r="AN388" i="10"/>
  <c r="S381" i="10"/>
  <c r="AK377" i="10"/>
  <c r="V376" i="10"/>
  <c r="M373" i="10"/>
  <c r="V384" i="10"/>
  <c r="AE384" i="10"/>
  <c r="V380" i="10"/>
  <c r="AK404" i="10"/>
  <c r="AK405" i="10"/>
  <c r="AH419" i="10"/>
  <c r="AK389" i="10"/>
  <c r="AK440" i="10"/>
  <c r="AN425" i="10"/>
  <c r="AN422" i="10"/>
  <c r="P402" i="10"/>
  <c r="Y382" i="10"/>
  <c r="AB417" i="10"/>
  <c r="D413" i="10"/>
  <c r="P413" i="10"/>
  <c r="AK413" i="10"/>
  <c r="AH410" i="10"/>
  <c r="D409" i="10"/>
  <c r="AB409" i="10"/>
  <c r="J406" i="10"/>
  <c r="Y399" i="10"/>
  <c r="M388" i="10"/>
  <c r="S376" i="10"/>
  <c r="P374" i="10"/>
  <c r="AB383" i="10"/>
  <c r="Y380" i="10"/>
  <c r="Y377" i="10"/>
  <c r="J399" i="10"/>
  <c r="S398" i="10"/>
  <c r="Y391" i="10"/>
  <c r="V388" i="10"/>
  <c r="AE388" i="10"/>
  <c r="AE385" i="10"/>
  <c r="P404" i="10"/>
  <c r="P407" i="10"/>
  <c r="G391" i="10"/>
  <c r="V392" i="10"/>
  <c r="P393" i="10"/>
  <c r="AK401" i="10"/>
  <c r="Y420" i="10"/>
  <c r="M405" i="10"/>
  <c r="D415" i="10"/>
  <c r="D408" i="10"/>
  <c r="D421" i="10"/>
  <c r="J419" i="10"/>
  <c r="AH425" i="10"/>
  <c r="S416" i="10"/>
  <c r="AN423" i="10"/>
  <c r="G416" i="10"/>
  <c r="AB423" i="10"/>
  <c r="AH420" i="10"/>
  <c r="V425" i="10"/>
  <c r="J425" i="10"/>
  <c r="M421" i="10"/>
  <c r="P419" i="10"/>
  <c r="V419" i="10"/>
  <c r="G419" i="10"/>
  <c r="AE419" i="10"/>
  <c r="Y414" i="10"/>
  <c r="AB425" i="10"/>
  <c r="G422" i="10"/>
  <c r="P422" i="10"/>
  <c r="M418" i="10"/>
  <c r="AH418" i="10"/>
  <c r="D418" i="10"/>
  <c r="AH415" i="10"/>
  <c r="AB415" i="10"/>
  <c r="J405" i="10"/>
  <c r="V397" i="10"/>
  <c r="J389" i="10"/>
  <c r="AN404" i="10"/>
  <c r="S404" i="10"/>
  <c r="AN400" i="10"/>
  <c r="M400" i="10"/>
  <c r="S400" i="10"/>
  <c r="AN396" i="10"/>
  <c r="M396" i="10"/>
  <c r="S396" i="10"/>
  <c r="AN392" i="10"/>
  <c r="M392" i="10"/>
  <c r="S392" i="10"/>
  <c r="V417" i="10"/>
  <c r="S411" i="10"/>
  <c r="S407" i="10"/>
  <c r="AK399" i="10"/>
  <c r="AB399" i="10"/>
  <c r="S395" i="10"/>
  <c r="AH385" i="10"/>
  <c r="S382" i="10"/>
  <c r="G378" i="10"/>
  <c r="J403" i="10"/>
  <c r="D402" i="10"/>
  <c r="Y402" i="10"/>
  <c r="AE395" i="10"/>
  <c r="M390" i="10"/>
  <c r="AK390" i="10"/>
  <c r="AN417" i="10"/>
  <c r="Y417" i="10"/>
  <c r="J413" i="10"/>
  <c r="G413" i="10"/>
  <c r="M410" i="10"/>
  <c r="G410" i="10"/>
  <c r="Y410" i="10"/>
  <c r="P403" i="10"/>
  <c r="AN403" i="10"/>
  <c r="P395" i="10"/>
  <c r="AN395" i="10"/>
  <c r="M387" i="10"/>
  <c r="P387" i="10"/>
  <c r="AN387" i="10"/>
  <c r="V406" i="10"/>
  <c r="M406" i="10"/>
  <c r="AK406" i="10"/>
  <c r="S402" i="10"/>
  <c r="S385" i="10"/>
  <c r="Y381" i="10"/>
  <c r="P378" i="10"/>
  <c r="D375" i="10"/>
  <c r="AH373" i="10"/>
  <c r="AE373" i="10"/>
  <c r="P373" i="10"/>
  <c r="AN373" i="10"/>
  <c r="AE417" i="10"/>
  <c r="AN407" i="10"/>
  <c r="AB404" i="10"/>
  <c r="G395" i="10"/>
  <c r="AN384" i="10"/>
  <c r="Y383" i="10"/>
  <c r="M381" i="10"/>
  <c r="D380" i="10"/>
  <c r="J379" i="10"/>
  <c r="AK379" i="10"/>
  <c r="V378" i="10"/>
  <c r="D376" i="10"/>
  <c r="AB376" i="10"/>
  <c r="M376" i="10"/>
  <c r="AK376" i="10"/>
  <c r="AK374" i="10"/>
  <c r="Y373" i="10"/>
  <c r="P406" i="10"/>
  <c r="V398" i="10"/>
  <c r="M398" i="10"/>
  <c r="AK398" i="10"/>
  <c r="S394" i="10"/>
  <c r="P390" i="10"/>
  <c r="D388" i="10"/>
  <c r="AK388" i="10"/>
  <c r="AB388" i="10"/>
  <c r="M384" i="10"/>
  <c r="S384" i="10"/>
  <c r="V383" i="10"/>
  <c r="S380" i="10"/>
  <c r="V379" i="10"/>
  <c r="Y389" i="10"/>
  <c r="V394" i="10"/>
  <c r="V396" i="10"/>
  <c r="P397" i="10"/>
  <c r="S399" i="10"/>
  <c r="V402" i="10"/>
  <c r="V404" i="10"/>
  <c r="P405" i="10"/>
  <c r="P412" i="10"/>
  <c r="Y375" i="10"/>
  <c r="AB393" i="10"/>
  <c r="Y396" i="10"/>
  <c r="G399" i="10"/>
  <c r="AB400" i="10"/>
  <c r="J404" i="10"/>
  <c r="AB381" i="10"/>
  <c r="G389" i="10"/>
  <c r="AE393" i="10"/>
  <c r="P400" i="10"/>
  <c r="J415" i="10"/>
  <c r="V421" i="10"/>
  <c r="M393" i="10"/>
  <c r="AN397" i="10"/>
  <c r="S405" i="10"/>
  <c r="M408" i="10"/>
  <c r="M412" i="10"/>
  <c r="M422" i="10"/>
  <c r="Y422" i="10"/>
  <c r="S420" i="10"/>
  <c r="S412" i="10"/>
  <c r="AN419" i="10"/>
  <c r="D412" i="10"/>
  <c r="AE412" i="10"/>
  <c r="Y416" i="10"/>
  <c r="G420" i="10"/>
  <c r="AK412" i="10"/>
  <c r="AN394" i="10"/>
  <c r="P382" i="10"/>
  <c r="G379" i="10"/>
  <c r="G375" i="10"/>
  <c r="AO401" i="10" l="1"/>
  <c r="AO377" i="10"/>
  <c r="AO388" i="10"/>
  <c r="AO407" i="10"/>
  <c r="AO384" i="10"/>
  <c r="I3" i="2" s="1"/>
  <c r="AO378" i="10"/>
  <c r="AO424" i="10"/>
  <c r="AO386" i="10"/>
  <c r="AO404" i="10"/>
  <c r="AO394" i="10"/>
  <c r="AO396" i="10"/>
  <c r="AO418" i="10"/>
  <c r="AO422" i="10"/>
  <c r="AO416" i="10"/>
  <c r="AO403" i="10"/>
  <c r="AO397" i="10"/>
  <c r="AO417" i="10"/>
  <c r="AO420" i="10"/>
  <c r="AO387" i="10"/>
  <c r="AO392" i="10"/>
  <c r="AO405" i="10"/>
  <c r="AO423" i="10"/>
  <c r="AO391" i="10"/>
  <c r="AO383" i="10"/>
  <c r="AO400" i="10"/>
  <c r="AO414" i="10"/>
  <c r="AO399" i="10"/>
  <c r="AO398" i="10"/>
  <c r="AO380" i="10"/>
  <c r="AO395" i="10"/>
  <c r="AO411" i="10"/>
  <c r="AO406" i="10"/>
  <c r="AO373" i="10"/>
  <c r="AO381" i="10"/>
  <c r="AO382" i="10"/>
  <c r="AO425" i="10"/>
  <c r="AO385" i="10"/>
  <c r="AO440" i="10"/>
  <c r="I5" i="2" s="1"/>
  <c r="AO402" i="10"/>
  <c r="AO393" i="10"/>
  <c r="AO374" i="10"/>
  <c r="AO376" i="10"/>
  <c r="AO421" i="10"/>
  <c r="AO409" i="10"/>
  <c r="AO413" i="10"/>
  <c r="AO379" i="10"/>
  <c r="AO410" i="10"/>
  <c r="AO412" i="10"/>
  <c r="AO375" i="10"/>
  <c r="AO408" i="10"/>
  <c r="AO390" i="10"/>
  <c r="AO415" i="10"/>
  <c r="AO419" i="10"/>
  <c r="AO38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Happy</author>
  </authors>
  <commentList>
    <comment ref="P5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((Поставки вовремя + 2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поставки раньше срока)/ все поставки)*100%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яна шкупатова</author>
  </authors>
  <commentList>
    <comment ref="I36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смещение сроков в связи с ожиданием подтверждения в задаче</t>
        </r>
      </text>
    </comment>
  </commentList>
</comments>
</file>

<file path=xl/sharedStrings.xml><?xml version="1.0" encoding="utf-8"?>
<sst xmlns="http://schemas.openxmlformats.org/spreadsheetml/2006/main" count="2836" uniqueCount="362">
  <si>
    <t>Нир и Тр</t>
  </si>
  <si>
    <t>Карантин</t>
  </si>
  <si>
    <t>Реестр План/Факт</t>
  </si>
  <si>
    <t>Сортность</t>
  </si>
  <si>
    <t>ТМЦ</t>
  </si>
  <si>
    <t>Период</t>
  </si>
  <si>
    <t>Нир</t>
  </si>
  <si>
    <t>Тр</t>
  </si>
  <si>
    <t>Nзадачи</t>
  </si>
  <si>
    <t>Тср (ч)</t>
  </si>
  <si>
    <t>Т48+</t>
  </si>
  <si>
    <t>Среднее общее</t>
  </si>
  <si>
    <t>Сырье,%</t>
  </si>
  <si>
    <t>Промежуточный контроль,%</t>
  </si>
  <si>
    <t>Готовая ткань,%</t>
  </si>
  <si>
    <t>Отклонение (дни) среднее</t>
  </si>
  <si>
    <t xml:space="preserve">% </t>
  </si>
  <si>
    <t>Март</t>
  </si>
  <si>
    <t>Чистота</t>
  </si>
  <si>
    <t>ОТК</t>
  </si>
  <si>
    <t>Б2</t>
  </si>
  <si>
    <t>Б3</t>
  </si>
  <si>
    <t>Б4</t>
  </si>
  <si>
    <t>Крашение</t>
  </si>
  <si>
    <t>СШМ</t>
  </si>
  <si>
    <t>Лабдип</t>
  </si>
  <si>
    <t>Мембрана</t>
  </si>
  <si>
    <t>Ворсование</t>
  </si>
  <si>
    <t>Тумблирование</t>
  </si>
  <si>
    <t>Вязание</t>
  </si>
  <si>
    <t>Ленты</t>
  </si>
  <si>
    <t>Склад ГП</t>
  </si>
  <si>
    <t>Склад сырья</t>
  </si>
  <si>
    <t>Лаборатория</t>
  </si>
  <si>
    <t>Печать(ЦП+ВП)</t>
  </si>
  <si>
    <t>Техническое обслуживание чистоты</t>
  </si>
  <si>
    <t>Февраль</t>
  </si>
  <si>
    <t>source_sheet</t>
  </si>
  <si>
    <t>НИР</t>
  </si>
  <si>
    <t>ТР</t>
  </si>
  <si>
    <t>month_date</t>
  </si>
  <si>
    <t>plan_k_rub</t>
  </si>
  <si>
    <t>fact_k_rub</t>
  </si>
  <si>
    <t>source_row</t>
  </si>
  <si>
    <t>Деньги_Отгрузки</t>
  </si>
  <si>
    <t>shipment_volume_m</t>
  </si>
  <si>
    <t>shipment_value_k_rub</t>
  </si>
  <si>
    <t>Январь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</si>
  <si>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</si>
  <si>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</si>
  <si>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</si>
  <si>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</si>
  <si>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</si>
  <si>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</si>
  <si>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</si>
  <si>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</si>
  <si>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</si>
  <si>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Объем и стоимость отгружаемых товаров</t>
  </si>
  <si>
    <t>Отгружено, тыс. руб.</t>
  </si>
  <si>
    <t>Объем факт, метры погонные</t>
  </si>
  <si>
    <t>Стоимость факт,  тыс. руб.</t>
  </si>
  <si>
    <t>Поступление денежных средств</t>
  </si>
  <si>
    <t>Выручка тыс. руб.</t>
  </si>
  <si>
    <t>План, тыс. руб.</t>
  </si>
  <si>
    <t>Факт,  тыс. руб.</t>
  </si>
  <si>
    <t>Статус"закрыто"</t>
  </si>
  <si>
    <t>Дата</t>
  </si>
  <si>
    <t>Неделя</t>
  </si>
  <si>
    <t>Месяц</t>
  </si>
  <si>
    <t>План Б2.Б3,Б4, м.пог.</t>
  </si>
  <si>
    <t>Факт Б2.Б3,Б4, м.пог.</t>
  </si>
  <si>
    <t>% выполнения</t>
  </si>
  <si>
    <t>План цветная печать, м.пог.</t>
  </si>
  <si>
    <t>Факт цветная печать, м.пог.</t>
  </si>
  <si>
    <t xml:space="preserve">% выполнения    </t>
  </si>
  <si>
    <t>План валовая печать,м.пог.</t>
  </si>
  <si>
    <t>Факт валовая печать,м.пог.</t>
  </si>
  <si>
    <t>План Джиггер1,2 ;Джет, циклы</t>
  </si>
  <si>
    <t>Факт Джиггер 1,2;Джет,циклы</t>
  </si>
  <si>
    <t>План Жгут циклы</t>
  </si>
  <si>
    <t>Факт Жгут циклы</t>
  </si>
  <si>
    <t>План СШМ, м.пог.</t>
  </si>
  <si>
    <t>Факт СШМ, м.пог.</t>
  </si>
  <si>
    <t>План СШМ,кг(флис)</t>
  </si>
  <si>
    <t>Факт СШМ,кг(флис)</t>
  </si>
  <si>
    <t>План мембрана, м.пог.</t>
  </si>
  <si>
    <t>Факт мембрана, м.пог.</t>
  </si>
  <si>
    <t>План ленты(1-й слой), м.пог.</t>
  </si>
  <si>
    <t>Факт ленты(1-й слой), м.пог.</t>
  </si>
  <si>
    <t>Ленты(резка), м.пог.</t>
  </si>
  <si>
    <t>План флис(вязание) ,кг</t>
  </si>
  <si>
    <t>Факт Флис(вязание),кг</t>
  </si>
  <si>
    <t>План флис(ворсование),кг.</t>
  </si>
  <si>
    <t>Факт флис(ворсование),кг.</t>
  </si>
  <si>
    <t>План флис(тумблировние),кг</t>
  </si>
  <si>
    <t>Факт флис(тумблировние),кг</t>
  </si>
  <si>
    <t>не было эл/энергии</t>
  </si>
  <si>
    <t xml:space="preserve">% выполнения         </t>
  </si>
  <si>
    <t xml:space="preserve">% выполнения        </t>
  </si>
  <si>
    <t>Средний общ. %</t>
  </si>
  <si>
    <t>План Джиггер1,2 ;Джет, циклы2</t>
  </si>
  <si>
    <t>Факт Джиггер 1,2;Джет,циклы3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</si>
  <si>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</si>
  <si>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</si>
  <si>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</si>
  <si>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</si>
  <si>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</si>
  <si>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</si>
  <si>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</si>
  <si>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</si>
  <si>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</si>
  <si>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</si>
  <si>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</si>
  <si>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</si>
  <si>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Год</t>
  </si>
  <si>
    <t>Факт  Жгут циклы</t>
  </si>
  <si>
    <t xml:space="preserve">% выполнения                </t>
  </si>
  <si>
    <t>Дата и время создания</t>
  </si>
  <si>
    <t>№ задачи Bitrix24</t>
  </si>
  <si>
    <t>Причина(кратко)</t>
  </si>
  <si>
    <t>Дата и время решения</t>
  </si>
  <si>
    <t>МесяцГод</t>
  </si>
  <si>
    <t>Горячие клавиши</t>
  </si>
  <si>
    <t>расслаивается</t>
  </si>
  <si>
    <t xml:space="preserve">Дата </t>
  </si>
  <si>
    <t>Ctrl + ;</t>
  </si>
  <si>
    <t>помарки, синие подтёки</t>
  </si>
  <si>
    <t>Время</t>
  </si>
  <si>
    <t>Ctrl + Shift + ;</t>
  </si>
  <si>
    <t>неравномерная отделка</t>
  </si>
  <si>
    <t>Обязательно для заполнения</t>
  </si>
  <si>
    <t>Адгезия</t>
  </si>
  <si>
    <t>Не соот НД( разр нагр о)</t>
  </si>
  <si>
    <t>не соотв НД</t>
  </si>
  <si>
    <t>расслаивается, скрутка тип С</t>
  </si>
  <si>
    <t>Не соот НД( м/о)</t>
  </si>
  <si>
    <t>не соот НД ( В/О)</t>
  </si>
  <si>
    <t>Недели</t>
  </si>
  <si>
    <t>*</t>
  </si>
  <si>
    <t>График проведения технического обслуживания оборудования и вспомогательных средст механизации на Январь 2026г.</t>
  </si>
  <si>
    <t>График проведения технического обслуживания оборудования и вспомогательных средст механизации на Февраль 2026г.</t>
  </si>
  <si>
    <t>График проведения технического обслуживания оборудования и вспомогательных средст механизации на Март 2026г.</t>
  </si>
  <si>
    <t>Наименование оборудования</t>
  </si>
  <si>
    <t>1 неделя</t>
  </si>
  <si>
    <t>2 неделя</t>
  </si>
  <si>
    <t>3 неделя</t>
  </si>
  <si>
    <t>4 неделя</t>
  </si>
  <si>
    <t>пн</t>
  </si>
  <si>
    <t>вт</t>
  </si>
  <si>
    <t>ср</t>
  </si>
  <si>
    <t>чт</t>
  </si>
  <si>
    <t>пт</t>
  </si>
  <si>
    <t>Бондинг 2</t>
  </si>
  <si>
    <t>Факт</t>
  </si>
  <si>
    <t>Бондинг 3</t>
  </si>
  <si>
    <t>Бондинг 4</t>
  </si>
  <si>
    <t>Визуальный осмотр подвижных частей и механизмов. Смазка подвижных частей и подшипников. Осмотр пневмолинии, пневмооборудования и гидрооборудования.</t>
  </si>
  <si>
    <t>Упаковочная машина</t>
  </si>
  <si>
    <t>Машина ОТК 1</t>
  </si>
  <si>
    <t>Машина ОТК 2</t>
  </si>
  <si>
    <t>Машина ОТК 3</t>
  </si>
  <si>
    <t>Машина ОТК 4</t>
  </si>
  <si>
    <t>Машина ОТК 5</t>
  </si>
  <si>
    <t>Машина ОТК 6</t>
  </si>
  <si>
    <t>Машина настила 1</t>
  </si>
  <si>
    <t>Машина настила 2</t>
  </si>
  <si>
    <t>Вентустановка</t>
  </si>
  <si>
    <t>Оборудование водоподготовки</t>
  </si>
  <si>
    <t>Чиллер</t>
  </si>
  <si>
    <t>Компрессор и осушитель</t>
  </si>
  <si>
    <t>Жгутовой котел (малый)</t>
  </si>
  <si>
    <t>Дегидратор (отжим флиса)</t>
  </si>
  <si>
    <t>Жгутовой котёл (джет)</t>
  </si>
  <si>
    <t>Джиггер 1</t>
  </si>
  <si>
    <t>Джиггер 2</t>
  </si>
  <si>
    <t>Машина тумблирования №1</t>
  </si>
  <si>
    <t>Машина тумблирования №2</t>
  </si>
  <si>
    <t>Машина жгуторазбоя</t>
  </si>
  <si>
    <t>Машина ворсования флиса-3шт.</t>
  </si>
  <si>
    <t>Машина чесания флиса</t>
  </si>
  <si>
    <t>Машина стрижки флиса</t>
  </si>
  <si>
    <t>Оборудование вытяжной вентиляции циклон (флис)</t>
  </si>
  <si>
    <t>Каландр (Колотилова)</t>
  </si>
  <si>
    <t>План</t>
  </si>
  <si>
    <t>Машина валовой печати (Колотилова)</t>
  </si>
  <si>
    <t>Чиллер (Колотилова)</t>
  </si>
  <si>
    <t>Вентустановка №1, №2 (Колотилова)</t>
  </si>
  <si>
    <t>Компрессор и рессивер (Колотилова)</t>
  </si>
  <si>
    <t>Пеллетный котел (Колотилова)</t>
  </si>
  <si>
    <t>Кругловязальные машины (Колотилова)</t>
  </si>
  <si>
    <t xml:space="preserve">Визуальный осмотр подвижных частей и механизмов. Смазка подвижных частей и подшипников. </t>
  </si>
  <si>
    <t>Экструдер</t>
  </si>
  <si>
    <t>Штабелер 1</t>
  </si>
  <si>
    <t>Штабелер 2</t>
  </si>
  <si>
    <t>Штабелер 3</t>
  </si>
  <si>
    <t>Штабелер 4</t>
  </si>
  <si>
    <t>Рохля -8шт.</t>
  </si>
  <si>
    <t>Электророхли-2шт.</t>
  </si>
  <si>
    <t>Электроштабелёр-2шт</t>
  </si>
  <si>
    <t>Ричтрак</t>
  </si>
  <si>
    <t>Визуальный осмотр подвижныъ частей. Проверка гидравлики. Чистка и смазка колес.</t>
  </si>
  <si>
    <t>График проведения технического обслуживания оборудования и вспомогательных средст механизации на Апрель 2026г.</t>
  </si>
  <si>
    <t>График проведения технического обслуживания оборудования и вспомогательных средст механизации на Май 2026г.</t>
  </si>
  <si>
    <t>График проведения технического обслуживания оборудования и вспомогательных средст механизации на Июнь 2026г.</t>
  </si>
  <si>
    <t>График проведения технического обслуживания оборудования и вспомогательных средст механизации на Июль 2026г.</t>
  </si>
  <si>
    <t>График проведения технического обслуживания оборудования и вспомогательных средст механизации на Август 2026г.</t>
  </si>
  <si>
    <t>График проведения технического обслуживания оборудования и вспомогательных средст механизации на Сентябрь 2026г.</t>
  </si>
  <si>
    <t>График проведения технического обслуживания оборудования и вспомогательных средст механизации на Октябрь 2026г.</t>
  </si>
  <si>
    <t>График проведения технического обслуживания оборудования и вспомогательных средст механизации на Ноябрь 2026г.</t>
  </si>
  <si>
    <t>График проведения технического обслуживания оборудования и вспомогательных средст механизации на Декабрь 2026г.</t>
  </si>
  <si>
    <t>№</t>
  </si>
  <si>
    <t>внутр №</t>
  </si>
  <si>
    <t>пик</t>
  </si>
  <si>
    <t>Ткань</t>
  </si>
  <si>
    <t>Цвет</t>
  </si>
  <si>
    <t>Кол-во в заказе</t>
  </si>
  <si>
    <t>Кол-во факт</t>
  </si>
  <si>
    <t>Дата прихода (план)</t>
  </si>
  <si>
    <t>Дата прихода (факт)</t>
  </si>
  <si>
    <t>Отклонение (дни)</t>
  </si>
  <si>
    <t>Задача</t>
  </si>
  <si>
    <t>Дата поставки (неделя)</t>
  </si>
  <si>
    <t>21/11</t>
  </si>
  <si>
    <t>сырье ТКАНЬ ПОДКЛАДОЧНАЯ   ТЕРМООГНЕСТОЙКАЯ,100%м-арамид,90 г/м2,155см</t>
  </si>
  <si>
    <t>черный</t>
  </si>
  <si>
    <t>м</t>
  </si>
  <si>
    <t>-</t>
  </si>
  <si>
    <t>ожидает подтверждения (выкрасов, уточнение цвета,количества,тд.)</t>
  </si>
  <si>
    <t>заказ в производстве</t>
  </si>
  <si>
    <t>заказ в процессе перевозки</t>
  </si>
  <si>
    <t>поступление на склад</t>
  </si>
  <si>
    <t>сырье ТКАНЬ ПОДКЛАДОЧНАЯ   ТЕРМООГНЕСТОЙКАЯ,50%м-арамид,50%вискоза ФР,130 г/м2,155см</t>
  </si>
  <si>
    <t>Обязательно к заполнению</t>
  </si>
  <si>
    <t>сырье.BARREL, 93%м-арамид, 5% п-арамид, 2%АНТ, НМВО (Гамма)</t>
  </si>
  <si>
    <t>TPX 19-4056</t>
  </si>
  <si>
    <t>пряжа Марс</t>
  </si>
  <si>
    <t>кг</t>
  </si>
  <si>
    <t>пряжа Марс МС</t>
  </si>
  <si>
    <t xml:space="preserve">сырье.мембрана MERCURYTEX PROF PU </t>
  </si>
  <si>
    <t>20/12</t>
  </si>
  <si>
    <t>сырье. ИСЛАНДИЯ, 100%ПЭ, 170 г/м2, DWR, 150 см.</t>
  </si>
  <si>
    <t>navy 19-4023</t>
  </si>
  <si>
    <t>хаки</t>
  </si>
  <si>
    <t>24/12</t>
  </si>
  <si>
    <t>сырье.Arctica,100%ПА,DWR,70г/м2,150см</t>
  </si>
  <si>
    <t>цифра</t>
  </si>
  <si>
    <t>сырье ТРИКОТАЖ,100%ПЭ,85г/м2,150см</t>
  </si>
  <si>
    <t>гранулы. super element MERCURYTEX GREY</t>
  </si>
  <si>
    <t>серый</t>
  </si>
  <si>
    <t>гранулы.MERCURYTEX SHIELD. STANDARD</t>
  </si>
  <si>
    <t>гранулы.MERCURYTEX TURBO ACTIVE</t>
  </si>
  <si>
    <t>11/11</t>
  </si>
  <si>
    <t>сырье СОФТ,95%ПЭ5%СП, 120 г/м2,145-150см</t>
  </si>
  <si>
    <t>под крашение</t>
  </si>
  <si>
    <t>сырье ENERGY FR|AS,НМВО,150г/м2,150см,черный</t>
  </si>
  <si>
    <t>17/02</t>
  </si>
  <si>
    <t xml:space="preserve">Полотно термоогнестойкое трикотажное сетчатое (трикотажная сетка) MARS-S, 120 г/м2, 160 см </t>
  </si>
  <si>
    <t>сырье BARREL стрейч 2,90%м-арамид,5%п-арамид,3%СП,2%АНТ,НМВО,150г/м2,150см,</t>
  </si>
  <si>
    <t>TPX 19-3864</t>
  </si>
  <si>
    <t>TPX 17-1464</t>
  </si>
  <si>
    <t>02/03</t>
  </si>
  <si>
    <t>сырье МИКРО РИП-СТОП,100%ПЭ,WRS,120г/м2,145-150см</t>
  </si>
  <si>
    <t>василек</t>
  </si>
  <si>
    <t>синий</t>
  </si>
  <si>
    <t>сырье ТАСЛАН "КОШАЧИЙ ГЛАЗ",100%ПЭ,135г/м2,145-150см</t>
  </si>
  <si>
    <t>белый</t>
  </si>
  <si>
    <t>сырье NAVIGATOR(NL028),100%ПА,110г/м2,150cм, пог. м БЕЗ ВО</t>
  </si>
  <si>
    <t>сырье АЛОВА,100%ПЭ,WR,150г/м2,150см, кг,</t>
  </si>
  <si>
    <t xml:space="preserve">сырье ТРИКОТАЖ ПРЕМИУМ,100%ПЭ,25г/м2,150см, </t>
  </si>
  <si>
    <t>сырье СОФТ,95%ПЭ5%СП,120г/м2,145-150см, пог. м БЕЗ ВО</t>
  </si>
  <si>
    <t>сырье ФЛИС,100%ПЭ,150г/м2,150см,</t>
  </si>
  <si>
    <t>сырье РИП-СТОП 4*4,100%ПА,WRS,160г/м2,150см</t>
  </si>
  <si>
    <t>т.синий</t>
  </si>
  <si>
    <t>Показатель</t>
  </si>
  <si>
    <t>%выполнения</t>
  </si>
  <si>
    <t>Задачи</t>
  </si>
  <si>
    <t>5 неделя</t>
  </si>
  <si>
    <t>6 неделя</t>
  </si>
  <si>
    <t>7 неделя</t>
  </si>
  <si>
    <t>8 неделя</t>
  </si>
  <si>
    <t>9 неделя</t>
  </si>
  <si>
    <t>10 неделя</t>
  </si>
  <si>
    <t>11 неделя</t>
  </si>
  <si>
    <t>12 неделя</t>
  </si>
  <si>
    <t>13 неделя</t>
  </si>
  <si>
    <t>14 неделя</t>
  </si>
  <si>
    <t>15 неделя</t>
  </si>
  <si>
    <t>16 неделя</t>
  </si>
  <si>
    <t>17 неделя</t>
  </si>
  <si>
    <t>18 неделя</t>
  </si>
  <si>
    <t>19 неделя</t>
  </si>
  <si>
    <t>20 неделя</t>
  </si>
  <si>
    <t>21 неделя</t>
  </si>
  <si>
    <t>22 неделя</t>
  </si>
  <si>
    <t>23 неделя</t>
  </si>
  <si>
    <t>24 неделя</t>
  </si>
  <si>
    <t>25 неделя</t>
  </si>
  <si>
    <t>26 неделя</t>
  </si>
  <si>
    <t>27 неделя</t>
  </si>
  <si>
    <t>28 неделя</t>
  </si>
  <si>
    <t>29 неделя</t>
  </si>
  <si>
    <t>30 неделя</t>
  </si>
  <si>
    <t>31 неделя</t>
  </si>
  <si>
    <t>32 неделя</t>
  </si>
  <si>
    <t>33 неделя</t>
  </si>
  <si>
    <t>34 неделя</t>
  </si>
  <si>
    <t>35 неделя</t>
  </si>
  <si>
    <t>36 неделя</t>
  </si>
  <si>
    <t>37 неделя</t>
  </si>
  <si>
    <t>38 неделя</t>
  </si>
  <si>
    <t>39 неделя</t>
  </si>
  <si>
    <t>40 неделя</t>
  </si>
  <si>
    <t>41 неделя</t>
  </si>
  <si>
    <t>42 неделя</t>
  </si>
  <si>
    <t>43 неделя</t>
  </si>
  <si>
    <t>44 неделя</t>
  </si>
  <si>
    <t>45 неделя</t>
  </si>
  <si>
    <t>46 неделя</t>
  </si>
  <si>
    <t>47 неделя</t>
  </si>
  <si>
    <t>48 неделя</t>
  </si>
  <si>
    <t>49 неделя</t>
  </si>
  <si>
    <t>50 неделя</t>
  </si>
  <si>
    <t>51 неделя</t>
  </si>
  <si>
    <t>52 неделя</t>
  </si>
  <si>
    <t>Сырье Неделя,%</t>
  </si>
  <si>
    <t>Промежуточный контроль Неделя,%</t>
  </si>
  <si>
    <t>Готовая ткань Неделя,%</t>
  </si>
  <si>
    <t>Сырье Месяц,%</t>
  </si>
  <si>
    <t>Промежуточный контроль Месяц,%</t>
  </si>
  <si>
    <t>Готовая ткань Месяц,%</t>
  </si>
  <si>
    <t>Неделя Дата</t>
  </si>
  <si>
    <t>Часы до Решения</t>
  </si>
  <si>
    <t>Часы до решения Число</t>
  </si>
  <si>
    <t>Месяц Дата</t>
  </si>
  <si>
    <t>% выполнения Б2.Б3,Б4</t>
  </si>
  <si>
    <t>% выполнения цветная печать</t>
  </si>
  <si>
    <t>% выполнения валовая печать</t>
  </si>
  <si>
    <t>% выполнения Джиггер 1,2;Джет,циклы</t>
  </si>
  <si>
    <t>% выполнения Жгут циклы</t>
  </si>
  <si>
    <t>% выполнения СШМ</t>
  </si>
  <si>
    <t>% выполнения СШМ,кг(флис)</t>
  </si>
  <si>
    <t>% выполнения ленты(1-й слой)</t>
  </si>
  <si>
    <t>% выполнения Ленты(резка)</t>
  </si>
  <si>
    <t>% выполнения Флис(вязание)</t>
  </si>
  <si>
    <t>% выполнения флис(ворсование)</t>
  </si>
  <si>
    <t>% выполнения флис(тумблировние),кг</t>
  </si>
  <si>
    <t>% выполнения мембрана</t>
  </si>
  <si>
    <t xml:space="preserve">  Январь</t>
  </si>
  <si>
    <t>Ленты(резка), м.пог. 1</t>
  </si>
  <si>
    <t>Ленты(резка), м.пог. 2</t>
  </si>
  <si>
    <t>не соот НД( В/О после стирок)</t>
  </si>
  <si>
    <t>Дата постановки задачи</t>
  </si>
  <si>
    <t>сырье.АЙС ПРО ЛАЙТ, 100%ПЭ, DWR, 150г/м2, 150см</t>
  </si>
  <si>
    <t xml:space="preserve">Сырье TENSYLON ПА66,TEFLON,210г/м2,150см </t>
  </si>
  <si>
    <t xml:space="preserve">Сырье ткань полиамидная </t>
  </si>
  <si>
    <t>Пряжа для флиса ЗР</t>
  </si>
  <si>
    <t>сырье ТКАНЬ ПОДКЛАДОЧНАЯ ТЕРМООГНЕСТОЙКАЯ,50%м-арамид,50%вискоза ФР,НМВО,130 г/м2,155см,</t>
  </si>
  <si>
    <t>беж</t>
  </si>
  <si>
    <t>оранж</t>
  </si>
  <si>
    <t>выкрас</t>
  </si>
  <si>
    <t>синий 19-4023</t>
  </si>
  <si>
    <t>Отклонение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</si>
</sst>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.mm\.yyyy"/>
    <numFmt numFmtId="165" formatCode="[$-419]mmmm;@"/>
    <numFmt numFmtId="166" formatCode="#\ ##0"/>
    <numFmt numFmtId="167" formatCode="0.0000"/>
    <numFmt numFmtId="168" formatCode="_-* #\ ##0.00\ _₽_-;\-* #\ ##0.00\ _₽_-;_-* &quot;-&quot;??\ _₽_-;_-@_-"/>
    <numFmt numFmtId="169" formatCode="yyyy\-mm\-dd"/>
    <numFmt numFmtId="173" formatCode="[&gt;0]&quot;Отставание &quot;#,#00%;[&lt;0]&quot;Опережение &quot;#,#00%;&quot;В срок&quot;"/>
  </numFmts>
  <fonts count="37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Verdana"/>
      <family val="2"/>
      <charset val="204"/>
    </font>
    <font>
      <b/>
      <sz val="9"/>
      <color theme="0"/>
      <name val="Verdana"/>
      <family val="2"/>
      <charset val="204"/>
    </font>
    <font>
      <b/>
      <sz val="9"/>
      <name val="Verdana"/>
      <family val="2"/>
      <charset val="204"/>
    </font>
    <font>
      <sz val="9"/>
      <color theme="1"/>
      <name val="Verdana"/>
      <family val="2"/>
      <charset val="204"/>
    </font>
    <font>
      <b/>
      <sz val="9"/>
      <color theme="1"/>
      <name val="Verdana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9"/>
      <color rgb="FF333333"/>
      <name val="Segoe UI"/>
      <family val="2"/>
      <charset val="204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92CDDC"/>
        <bgColor rgb="FF92CDDC"/>
      </patternFill>
    </fill>
    <fill>
      <patternFill patternType="solid">
        <fgColor rgb="FF31859B"/>
        <bgColor rgb="FF31859B"/>
      </patternFill>
    </fill>
    <fill>
      <patternFill patternType="solid">
        <fgColor rgb="FFFFFFFF"/>
        <bgColor rgb="FFFFFFFF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44062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1454">
    <xf numFmtId="0" fontId="0" fillId="0" borderId="0"/>
    <xf numFmtId="0" fontId="24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9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8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168" fontId="24" fillId="0" borderId="0"/>
    <xf numFmtId="0" fontId="34" fillId="0" borderId="0"/>
  </cellStyleXfs>
  <cellXfs count="255">
    <xf numFmtId="0" fontId="0" fillId="0" borderId="0" xfId="0"/>
    <xf numFmtId="2" fontId="0" fillId="0" borderId="0" xfId="0" applyNumberFormat="1"/>
    <xf numFmtId="0" fontId="7" fillId="2" borderId="0" xfId="0" applyFont="1" applyFill="1"/>
    <xf numFmtId="0" fontId="9" fillId="0" borderId="0" xfId="0" applyFont="1"/>
    <xf numFmtId="0" fontId="9" fillId="2" borderId="0" xfId="0" applyFont="1" applyFill="1"/>
    <xf numFmtId="10" fontId="9" fillId="2" borderId="0" xfId="0" applyNumberFormat="1" applyFont="1" applyFill="1"/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2" borderId="0" xfId="0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0" fontId="9" fillId="2" borderId="0" xfId="0" applyNumberFormat="1" applyFont="1" applyFill="1" applyAlignment="1">
      <alignment horizontal="center"/>
    </xf>
    <xf numFmtId="0" fontId="8" fillId="5" borderId="0" xfId="0" applyFont="1" applyFill="1"/>
    <xf numFmtId="0" fontId="8" fillId="0" borderId="0" xfId="0" applyFont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0" fillId="4" borderId="0" xfId="0" applyFill="1"/>
    <xf numFmtId="0" fontId="12" fillId="0" borderId="0" xfId="0" applyFont="1"/>
    <xf numFmtId="0" fontId="8" fillId="9" borderId="0" xfId="0" applyFont="1" applyFill="1" applyAlignment="1">
      <alignment horizontal="center"/>
    </xf>
    <xf numFmtId="0" fontId="8" fillId="9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11" borderId="0" xfId="0" applyFill="1"/>
    <xf numFmtId="0" fontId="8" fillId="3" borderId="0" xfId="0" applyFont="1" applyFill="1"/>
    <xf numFmtId="0" fontId="13" fillId="10" borderId="0" xfId="0" applyFont="1" applyFill="1"/>
    <xf numFmtId="0" fontId="7" fillId="3" borderId="1" xfId="0" applyFont="1" applyFill="1" applyBorder="1"/>
    <xf numFmtId="0" fontId="7" fillId="12" borderId="2" xfId="0" applyFont="1" applyFill="1" applyBorder="1"/>
    <xf numFmtId="0" fontId="7" fillId="12" borderId="3" xfId="0" applyFont="1" applyFill="1" applyBorder="1"/>
    <xf numFmtId="0" fontId="7" fillId="12" borderId="4" xfId="0" applyFont="1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7" fillId="14" borderId="12" xfId="0" applyFont="1" applyFill="1" applyBorder="1" applyAlignment="1">
      <alignment horizontal="center" vertical="center"/>
    </xf>
    <xf numFmtId="0" fontId="0" fillId="14" borderId="13" xfId="0" applyFill="1" applyBorder="1"/>
    <xf numFmtId="0" fontId="7" fillId="15" borderId="1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14" borderId="16" xfId="0" applyFill="1" applyBorder="1"/>
    <xf numFmtId="0" fontId="0" fillId="0" borderId="16" xfId="0" applyBorder="1"/>
    <xf numFmtId="0" fontId="0" fillId="13" borderId="16" xfId="0" applyFill="1" applyBorder="1"/>
    <xf numFmtId="0" fontId="0" fillId="14" borderId="0" xfId="0" applyFill="1"/>
    <xf numFmtId="0" fontId="0" fillId="14" borderId="17" xfId="0" applyFill="1" applyBorder="1"/>
    <xf numFmtId="0" fontId="0" fillId="14" borderId="15" xfId="0" applyFill="1" applyBorder="1"/>
    <xf numFmtId="0" fontId="7" fillId="16" borderId="1" xfId="0" applyFont="1" applyFill="1" applyBorder="1" applyAlignment="1">
      <alignment horizontal="center"/>
    </xf>
    <xf numFmtId="0" fontId="7" fillId="14" borderId="20" xfId="0" applyFont="1" applyFill="1" applyBorder="1" applyAlignment="1">
      <alignment horizontal="center" vertical="center"/>
    </xf>
    <xf numFmtId="164" fontId="14" fillId="17" borderId="0" xfId="0" applyNumberFormat="1" applyFont="1" applyFill="1" applyAlignment="1">
      <alignment horizontal="center"/>
    </xf>
    <xf numFmtId="1" fontId="14" fillId="17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17" borderId="0" xfId="0" applyFont="1" applyFill="1" applyAlignment="1">
      <alignment horizontal="center"/>
    </xf>
    <xf numFmtId="0" fontId="14" fillId="0" borderId="0" xfId="0" applyFont="1"/>
    <xf numFmtId="164" fontId="15" fillId="12" borderId="22" xfId="0" applyNumberFormat="1" applyFont="1" applyFill="1" applyBorder="1" applyAlignment="1">
      <alignment horizontal="center"/>
    </xf>
    <xf numFmtId="1" fontId="15" fillId="12" borderId="22" xfId="0" applyNumberFormat="1" applyFont="1" applyFill="1" applyBorder="1" applyAlignment="1">
      <alignment horizontal="center"/>
    </xf>
    <xf numFmtId="1" fontId="15" fillId="12" borderId="6" xfId="0" applyNumberFormat="1" applyFont="1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0" fontId="15" fillId="12" borderId="6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164" fontId="14" fillId="17" borderId="23" xfId="0" applyNumberFormat="1" applyFont="1" applyFill="1" applyBorder="1" applyAlignment="1">
      <alignment horizontal="center"/>
    </xf>
    <xf numFmtId="1" fontId="14" fillId="17" borderId="23" xfId="0" applyNumberFormat="1" applyFont="1" applyFill="1" applyBorder="1" applyAlignment="1">
      <alignment horizontal="center"/>
    </xf>
    <xf numFmtId="1" fontId="14" fillId="17" borderId="7" xfId="0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17" borderId="3" xfId="0" applyFont="1" applyFill="1" applyBorder="1" applyAlignment="1">
      <alignment horizontal="center"/>
    </xf>
    <xf numFmtId="0" fontId="14" fillId="17" borderId="4" xfId="0" applyFont="1" applyFill="1" applyBorder="1" applyAlignment="1">
      <alignment horizontal="center"/>
    </xf>
    <xf numFmtId="0" fontId="14" fillId="17" borderId="5" xfId="0" applyFont="1" applyFill="1" applyBorder="1" applyAlignment="1">
      <alignment horizontal="center"/>
    </xf>
    <xf numFmtId="0" fontId="14" fillId="17" borderId="7" xfId="0" applyFont="1" applyFill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0" fontId="14" fillId="17" borderId="2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14" fillId="17" borderId="8" xfId="0" applyFont="1" applyFill="1" applyBorder="1" applyAlignment="1">
      <alignment horizontal="center"/>
    </xf>
    <xf numFmtId="164" fontId="14" fillId="17" borderId="24" xfId="0" applyNumberFormat="1" applyFont="1" applyFill="1" applyBorder="1" applyAlignment="1">
      <alignment horizontal="center"/>
    </xf>
    <xf numFmtId="1" fontId="14" fillId="17" borderId="24" xfId="0" applyNumberFormat="1" applyFont="1" applyFill="1" applyBorder="1" applyAlignment="1">
      <alignment horizontal="center"/>
    </xf>
    <xf numFmtId="1" fontId="14" fillId="17" borderId="8" xfId="0" applyNumberFormat="1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0" fontId="16" fillId="0" borderId="0" xfId="0" applyNumberFormat="1" applyFont="1"/>
    <xf numFmtId="164" fontId="17" fillId="17" borderId="22" xfId="0" applyNumberFormat="1" applyFont="1" applyFill="1" applyBorder="1" applyAlignment="1">
      <alignment horizontal="center"/>
    </xf>
    <xf numFmtId="0" fontId="17" fillId="17" borderId="2" xfId="0" applyFont="1" applyFill="1" applyBorder="1" applyAlignment="1">
      <alignment horizontal="center"/>
    </xf>
    <xf numFmtId="2" fontId="17" fillId="2" borderId="22" xfId="0" applyNumberFormat="1" applyFont="1" applyFill="1" applyBorder="1" applyAlignment="1">
      <alignment horizontal="center"/>
    </xf>
    <xf numFmtId="2" fontId="17" fillId="2" borderId="2" xfId="0" applyNumberFormat="1" applyFont="1" applyFill="1" applyBorder="1" applyAlignment="1">
      <alignment horizontal="center"/>
    </xf>
    <xf numFmtId="10" fontId="17" fillId="17" borderId="6" xfId="0" applyNumberFormat="1" applyFont="1" applyFill="1" applyBorder="1" applyAlignment="1">
      <alignment horizontal="center"/>
    </xf>
    <xf numFmtId="2" fontId="17" fillId="3" borderId="2" xfId="0" applyNumberFormat="1" applyFont="1" applyFill="1" applyBorder="1" applyAlignment="1">
      <alignment horizontal="center"/>
    </xf>
    <xf numFmtId="164" fontId="16" fillId="17" borderId="23" xfId="0" applyNumberFormat="1" applyFont="1" applyFill="1" applyBorder="1"/>
    <xf numFmtId="0" fontId="16" fillId="17" borderId="0" xfId="0" applyFont="1" applyFill="1"/>
    <xf numFmtId="2" fontId="16" fillId="0" borderId="23" xfId="0" applyNumberFormat="1" applyFont="1" applyBorder="1"/>
    <xf numFmtId="2" fontId="16" fillId="0" borderId="0" xfId="0" applyNumberFormat="1" applyFont="1"/>
    <xf numFmtId="10" fontId="16" fillId="17" borderId="7" xfId="0" applyNumberFormat="1" applyFont="1" applyFill="1" applyBorder="1"/>
    <xf numFmtId="2" fontId="17" fillId="16" borderId="22" xfId="0" applyNumberFormat="1" applyFont="1" applyFill="1" applyBorder="1" applyAlignment="1">
      <alignment horizontal="center"/>
    </xf>
    <xf numFmtId="2" fontId="17" fillId="16" borderId="2" xfId="0" applyNumberFormat="1" applyFont="1" applyFill="1" applyBorder="1" applyAlignment="1">
      <alignment horizontal="center"/>
    </xf>
    <xf numFmtId="2" fontId="17" fillId="18" borderId="22" xfId="0" applyNumberFormat="1" applyFont="1" applyFill="1" applyBorder="1" applyAlignment="1">
      <alignment horizontal="center"/>
    </xf>
    <xf numFmtId="2" fontId="17" fillId="18" borderId="2" xfId="0" applyNumberFormat="1" applyFont="1" applyFill="1" applyBorder="1" applyAlignment="1">
      <alignment horizontal="center"/>
    </xf>
    <xf numFmtId="2" fontId="17" fillId="19" borderId="22" xfId="0" applyNumberFormat="1" applyFont="1" applyFill="1" applyBorder="1" applyAlignment="1">
      <alignment horizontal="center"/>
    </xf>
    <xf numFmtId="2" fontId="17" fillId="19" borderId="2" xfId="0" applyNumberFormat="1" applyFont="1" applyFill="1" applyBorder="1" applyAlignment="1">
      <alignment horizontal="center"/>
    </xf>
    <xf numFmtId="2" fontId="17" fillId="20" borderId="22" xfId="0" applyNumberFormat="1" applyFont="1" applyFill="1" applyBorder="1" applyAlignment="1">
      <alignment horizontal="center"/>
    </xf>
    <xf numFmtId="2" fontId="17" fillId="20" borderId="2" xfId="0" applyNumberFormat="1" applyFont="1" applyFill="1" applyBorder="1" applyAlignment="1">
      <alignment horizontal="center"/>
    </xf>
    <xf numFmtId="2" fontId="17" fillId="21" borderId="22" xfId="0" applyNumberFormat="1" applyFont="1" applyFill="1" applyBorder="1" applyAlignment="1">
      <alignment horizontal="center"/>
    </xf>
    <xf numFmtId="2" fontId="17" fillId="21" borderId="2" xfId="0" applyNumberFormat="1" applyFont="1" applyFill="1" applyBorder="1" applyAlignment="1">
      <alignment horizontal="center"/>
    </xf>
    <xf numFmtId="2" fontId="17" fillId="22" borderId="2" xfId="0" applyNumberFormat="1" applyFont="1" applyFill="1" applyBorder="1" applyAlignment="1">
      <alignment horizontal="center"/>
    </xf>
    <xf numFmtId="10" fontId="17" fillId="17" borderId="2" xfId="0" applyNumberFormat="1" applyFont="1" applyFill="1" applyBorder="1" applyAlignment="1">
      <alignment horizontal="center"/>
    </xf>
    <xf numFmtId="2" fontId="17" fillId="23" borderId="22" xfId="0" applyNumberFormat="1" applyFont="1" applyFill="1" applyBorder="1" applyAlignment="1">
      <alignment horizontal="center"/>
    </xf>
    <xf numFmtId="2" fontId="17" fillId="23" borderId="2" xfId="0" applyNumberFormat="1" applyFont="1" applyFill="1" applyBorder="1" applyAlignment="1">
      <alignment horizontal="center"/>
    </xf>
    <xf numFmtId="2" fontId="17" fillId="24" borderId="22" xfId="0" applyNumberFormat="1" applyFont="1" applyFill="1" applyBorder="1" applyAlignment="1">
      <alignment horizontal="center"/>
    </xf>
    <xf numFmtId="2" fontId="17" fillId="24" borderId="2" xfId="0" applyNumberFormat="1" applyFont="1" applyFill="1" applyBorder="1" applyAlignment="1">
      <alignment horizontal="center"/>
    </xf>
    <xf numFmtId="10" fontId="16" fillId="17" borderId="0" xfId="0" applyNumberFormat="1" applyFont="1" applyFill="1"/>
    <xf numFmtId="2" fontId="17" fillId="25" borderId="22" xfId="0" applyNumberFormat="1" applyFont="1" applyFill="1" applyBorder="1" applyAlignment="1">
      <alignment horizontal="center"/>
    </xf>
    <xf numFmtId="2" fontId="17" fillId="25" borderId="2" xfId="0" applyNumberFormat="1" applyFont="1" applyFill="1" applyBorder="1" applyAlignment="1">
      <alignment horizontal="center"/>
    </xf>
    <xf numFmtId="164" fontId="16" fillId="17" borderId="24" xfId="0" applyNumberFormat="1" applyFont="1" applyFill="1" applyBorder="1"/>
    <xf numFmtId="0" fontId="16" fillId="17" borderId="5" xfId="0" applyFont="1" applyFill="1" applyBorder="1"/>
    <xf numFmtId="2" fontId="16" fillId="0" borderId="24" xfId="0" applyNumberFormat="1" applyFont="1" applyBorder="1"/>
    <xf numFmtId="2" fontId="16" fillId="0" borderId="5" xfId="0" applyNumberFormat="1" applyFont="1" applyBorder="1"/>
    <xf numFmtId="10" fontId="16" fillId="17" borderId="8" xfId="0" applyNumberFormat="1" applyFont="1" applyFill="1" applyBorder="1"/>
    <xf numFmtId="0" fontId="16" fillId="17" borderId="1" xfId="0" applyFont="1" applyFill="1" applyBorder="1"/>
    <xf numFmtId="0" fontId="16" fillId="17" borderId="2" xfId="0" applyFont="1" applyFill="1" applyBorder="1"/>
    <xf numFmtId="10" fontId="16" fillId="17" borderId="2" xfId="0" applyNumberFormat="1" applyFont="1" applyFill="1" applyBorder="1"/>
    <xf numFmtId="2" fontId="16" fillId="17" borderId="22" xfId="0" applyNumberFormat="1" applyFont="1" applyFill="1" applyBorder="1"/>
    <xf numFmtId="10" fontId="16" fillId="17" borderId="6" xfId="0" applyNumberFormat="1" applyFont="1" applyFill="1" applyBorder="1"/>
    <xf numFmtId="0" fontId="16" fillId="17" borderId="3" xfId="0" applyFont="1" applyFill="1" applyBorder="1"/>
    <xf numFmtId="0" fontId="16" fillId="17" borderId="23" xfId="0" applyFont="1" applyFill="1" applyBorder="1"/>
    <xf numFmtId="10" fontId="16" fillId="17" borderId="5" xfId="0" applyNumberFormat="1" applyFont="1" applyFill="1" applyBorder="1"/>
    <xf numFmtId="0" fontId="16" fillId="17" borderId="0" xfId="0" applyFont="1" applyFill="1" applyAlignment="1">
      <alignment wrapText="1"/>
    </xf>
    <xf numFmtId="0" fontId="16" fillId="17" borderId="4" xfId="0" applyFont="1" applyFill="1" applyBorder="1"/>
    <xf numFmtId="0" fontId="16" fillId="17" borderId="5" xfId="0" applyFont="1" applyFill="1" applyBorder="1" applyAlignment="1">
      <alignment wrapText="1"/>
    </xf>
    <xf numFmtId="0" fontId="16" fillId="17" borderId="24" xfId="0" applyFont="1" applyFill="1" applyBorder="1" applyAlignment="1">
      <alignment wrapText="1"/>
    </xf>
    <xf numFmtId="22" fontId="0" fillId="0" borderId="0" xfId="0" applyNumberFormat="1"/>
    <xf numFmtId="2" fontId="0" fillId="17" borderId="0" xfId="0" applyNumberFormat="1" applyFill="1"/>
    <xf numFmtId="22" fontId="7" fillId="4" borderId="22" xfId="0" applyNumberFormat="1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22" fontId="7" fillId="4" borderId="2" xfId="0" applyNumberFormat="1" applyFont="1" applyFill="1" applyBorder="1"/>
    <xf numFmtId="0" fontId="7" fillId="17" borderId="6" xfId="0" applyFont="1" applyFill="1" applyBorder="1"/>
    <xf numFmtId="0" fontId="0" fillId="17" borderId="0" xfId="0" applyFill="1"/>
    <xf numFmtId="0" fontId="7" fillId="3" borderId="16" xfId="0" applyFont="1" applyFill="1" applyBorder="1"/>
    <xf numFmtId="0" fontId="7" fillId="17" borderId="16" xfId="0" applyFont="1" applyFill="1" applyBorder="1"/>
    <xf numFmtId="0" fontId="0" fillId="17" borderId="16" xfId="0" applyFill="1" applyBorder="1"/>
    <xf numFmtId="0" fontId="18" fillId="0" borderId="0" xfId="4" applyFont="1"/>
    <xf numFmtId="0" fontId="18" fillId="26" borderId="0" xfId="4" applyFont="1" applyFill="1"/>
    <xf numFmtId="0" fontId="19" fillId="26" borderId="0" xfId="4" applyFont="1" applyFill="1" applyAlignment="1">
      <alignment vertical="center"/>
    </xf>
    <xf numFmtId="0" fontId="20" fillId="26" borderId="0" xfId="4" applyFont="1" applyFill="1"/>
    <xf numFmtId="0" fontId="21" fillId="26" borderId="0" xfId="4" applyFont="1" applyFill="1" applyAlignment="1">
      <alignment vertical="center"/>
    </xf>
    <xf numFmtId="0" fontId="22" fillId="26" borderId="0" xfId="4" applyFont="1" applyFill="1"/>
    <xf numFmtId="0" fontId="22" fillId="0" borderId="0" xfId="4" applyFont="1" applyAlignment="1">
      <alignment vertical="center"/>
    </xf>
    <xf numFmtId="0" fontId="22" fillId="0" borderId="0" xfId="4" applyFont="1"/>
    <xf numFmtId="0" fontId="23" fillId="0" borderId="25" xfId="4" applyFont="1" applyBorder="1" applyAlignment="1">
      <alignment horizontal="center" vertical="center"/>
    </xf>
    <xf numFmtId="165" fontId="23" fillId="0" borderId="25" xfId="4" applyNumberFormat="1" applyFont="1" applyBorder="1" applyAlignment="1">
      <alignment horizontal="center" vertical="center"/>
    </xf>
    <xf numFmtId="166" fontId="23" fillId="0" borderId="15" xfId="4" applyNumberFormat="1" applyFont="1" applyBorder="1" applyAlignment="1">
      <alignment horizontal="center" vertical="center"/>
    </xf>
    <xf numFmtId="166" fontId="23" fillId="19" borderId="15" xfId="4" applyNumberFormat="1" applyFont="1" applyFill="1" applyBorder="1" applyAlignment="1">
      <alignment horizontal="center" vertical="center"/>
    </xf>
    <xf numFmtId="0" fontId="18" fillId="27" borderId="0" xfId="4" applyFont="1" applyFill="1"/>
    <xf numFmtId="0" fontId="19" fillId="27" borderId="0" xfId="4" applyFont="1" applyFill="1" applyAlignment="1">
      <alignment vertical="center"/>
    </xf>
    <xf numFmtId="0" fontId="20" fillId="27" borderId="0" xfId="4" applyFont="1" applyFill="1"/>
    <xf numFmtId="0" fontId="21" fillId="27" borderId="0" xfId="4" applyFont="1" applyFill="1" applyAlignment="1">
      <alignment vertical="center"/>
    </xf>
    <xf numFmtId="0" fontId="22" fillId="27" borderId="0" xfId="4" applyFont="1" applyFill="1"/>
    <xf numFmtId="0" fontId="17" fillId="3" borderId="27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2" fontId="16" fillId="0" borderId="16" xfId="0" applyNumberFormat="1" applyFont="1" applyBorder="1" applyAlignment="1">
      <alignment horizontal="center"/>
    </xf>
    <xf numFmtId="0" fontId="17" fillId="3" borderId="29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/>
    </xf>
    <xf numFmtId="10" fontId="17" fillId="3" borderId="16" xfId="0" applyNumberFormat="1" applyFont="1" applyFill="1" applyBorder="1" applyAlignment="1">
      <alignment horizontal="center" vertical="center"/>
    </xf>
    <xf numFmtId="10" fontId="16" fillId="0" borderId="28" xfId="0" applyNumberFormat="1" applyFont="1" applyBorder="1" applyAlignment="1">
      <alignment horizontal="center"/>
    </xf>
    <xf numFmtId="0" fontId="7" fillId="12" borderId="31" xfId="0" applyFont="1" applyFill="1" applyBorder="1"/>
    <xf numFmtId="22" fontId="6" fillId="0" borderId="0" xfId="0" applyNumberFormat="1" applyFont="1"/>
    <xf numFmtId="0" fontId="5" fillId="0" borderId="0" xfId="0" applyFont="1"/>
    <xf numFmtId="2" fontId="16" fillId="0" borderId="16" xfId="0" applyNumberFormat="1" applyFont="1" applyBorder="1"/>
    <xf numFmtId="0" fontId="0" fillId="0" borderId="13" xfId="0" applyBorder="1"/>
    <xf numFmtId="0" fontId="0" fillId="0" borderId="33" xfId="0" applyBorder="1"/>
    <xf numFmtId="0" fontId="17" fillId="3" borderId="34" xfId="0" applyFont="1" applyFill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2" fontId="16" fillId="0" borderId="32" xfId="0" applyNumberFormat="1" applyFont="1" applyBorder="1" applyAlignment="1">
      <alignment horizontal="center"/>
    </xf>
    <xf numFmtId="10" fontId="16" fillId="0" borderId="35" xfId="0" applyNumberFormat="1" applyFont="1" applyBorder="1" applyAlignment="1">
      <alignment horizontal="center"/>
    </xf>
    <xf numFmtId="2" fontId="16" fillId="0" borderId="32" xfId="0" applyNumberFormat="1" applyFont="1" applyBorder="1"/>
    <xf numFmtId="0" fontId="27" fillId="12" borderId="6" xfId="0" applyFont="1" applyFill="1" applyBorder="1" applyAlignment="1">
      <alignment horizontal="center" vertical="center" wrapText="1"/>
    </xf>
    <xf numFmtId="0" fontId="4" fillId="0" borderId="0" xfId="0" applyFont="1"/>
    <xf numFmtId="10" fontId="0" fillId="0" borderId="0" xfId="0" applyNumberFormat="1"/>
    <xf numFmtId="2" fontId="17" fillId="3" borderId="22" xfId="0" applyNumberFormat="1" applyFont="1" applyFill="1" applyBorder="1" applyAlignment="1">
      <alignment horizontal="left"/>
    </xf>
    <xf numFmtId="4" fontId="10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14" fontId="9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167" fontId="14" fillId="17" borderId="0" xfId="0" applyNumberFormat="1" applyFont="1" applyFill="1" applyAlignment="1">
      <alignment horizontal="center"/>
    </xf>
    <xf numFmtId="2" fontId="16" fillId="0" borderId="17" xfId="0" applyNumberFormat="1" applyFont="1" applyBorder="1" applyAlignment="1">
      <alignment horizontal="center"/>
    </xf>
    <xf numFmtId="2" fontId="16" fillId="0" borderId="36" xfId="0" applyNumberFormat="1" applyFont="1" applyBorder="1" applyAlignment="1">
      <alignment horizontal="center"/>
    </xf>
    <xf numFmtId="2" fontId="7" fillId="17" borderId="2" xfId="0" applyNumberFormat="1" applyFont="1" applyFill="1" applyBorder="1" applyAlignment="1">
      <alignment horizontal="center"/>
    </xf>
    <xf numFmtId="0" fontId="29" fillId="29" borderId="0" xfId="0" applyFont="1" applyFill="1" applyAlignment="1">
      <alignment horizontal="center" vertical="center" wrapText="1"/>
    </xf>
    <xf numFmtId="169" fontId="0" fillId="0" borderId="0" xfId="0" applyNumberFormat="1"/>
    <xf numFmtId="0" fontId="30" fillId="0" borderId="2" xfId="0" applyFont="1" applyBorder="1"/>
    <xf numFmtId="164" fontId="0" fillId="0" borderId="0" xfId="0" applyNumberFormat="1"/>
    <xf numFmtId="0" fontId="30" fillId="0" borderId="0" xfId="0" applyFont="1"/>
    <xf numFmtId="0" fontId="32" fillId="30" borderId="47" xfId="0" applyFont="1" applyFill="1" applyBorder="1"/>
    <xf numFmtId="0" fontId="33" fillId="31" borderId="48" xfId="0" applyFont="1" applyFill="1" applyBorder="1"/>
    <xf numFmtId="0" fontId="33" fillId="32" borderId="48" xfId="0" applyFont="1" applyFill="1" applyBorder="1"/>
    <xf numFmtId="0" fontId="33" fillId="32" borderId="49" xfId="0" applyFont="1" applyFill="1" applyBorder="1"/>
    <xf numFmtId="0" fontId="10" fillId="3" borderId="0" xfId="0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49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left"/>
    </xf>
    <xf numFmtId="49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3" fontId="9" fillId="0" borderId="0" xfId="0" applyNumberFormat="1" applyFont="1" applyAlignment="1">
      <alignment horizontal="center"/>
    </xf>
    <xf numFmtId="49" fontId="25" fillId="3" borderId="0" xfId="0" applyNumberFormat="1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3" fontId="25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28" fillId="0" borderId="0" xfId="0" applyFont="1"/>
    <xf numFmtId="0" fontId="28" fillId="3" borderId="0" xfId="0" applyFont="1" applyFill="1"/>
    <xf numFmtId="0" fontId="16" fillId="28" borderId="30" xfId="0" applyFont="1" applyFill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16" fillId="28" borderId="16" xfId="0" applyFont="1" applyFill="1" applyBorder="1" applyAlignment="1">
      <alignment horizontal="center"/>
    </xf>
    <xf numFmtId="0" fontId="0" fillId="0" borderId="18" xfId="0" applyBorder="1"/>
    <xf numFmtId="0" fontId="0" fillId="0" borderId="21" xfId="0" applyBorder="1"/>
    <xf numFmtId="0" fontId="17" fillId="3" borderId="26" xfId="0" applyFont="1" applyFill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17" fillId="3" borderId="41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17" fillId="3" borderId="26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0" fillId="17" borderId="23" xfId="0" applyFill="1" applyBorder="1" applyAlignment="1">
      <alignment horizontal="center"/>
    </xf>
    <xf numFmtId="0" fontId="0" fillId="0" borderId="0" xfId="0"/>
    <xf numFmtId="0" fontId="7" fillId="3" borderId="44" xfId="0" applyFont="1" applyFill="1" applyBorder="1" applyAlignment="1">
      <alignment horizontal="center"/>
    </xf>
    <xf numFmtId="0" fontId="0" fillId="0" borderId="9" xfId="0" applyBorder="1"/>
    <xf numFmtId="0" fontId="0" fillId="0" borderId="19" xfId="0" applyBorder="1"/>
    <xf numFmtId="0" fontId="0" fillId="0" borderId="16" xfId="0" applyBorder="1" applyAlignment="1">
      <alignment horizontal="center"/>
    </xf>
    <xf numFmtId="0" fontId="7" fillId="14" borderId="10" xfId="0" applyFont="1" applyFill="1" applyBorder="1" applyAlignment="1">
      <alignment horizontal="center"/>
    </xf>
    <xf numFmtId="0" fontId="0" fillId="0" borderId="45" xfId="0" applyBorder="1"/>
    <xf numFmtId="0" fontId="7" fillId="14" borderId="46" xfId="0" applyFont="1" applyFill="1" applyBorder="1" applyAlignment="1">
      <alignment horizontal="center" wrapText="1"/>
    </xf>
    <xf numFmtId="0" fontId="0" fillId="0" borderId="11" xfId="0" applyBorder="1"/>
    <xf numFmtId="0" fontId="0" fillId="0" borderId="17" xfId="0" applyBorder="1" applyAlignment="1">
      <alignment horizont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6" fillId="0" borderId="0" xfId="0" applyFont="1"/>
    <xf numFmtId="173" fontId="16" fillId="0" borderId="16" xfId="0" applyNumberFormat="1" applyFont="1" applyBorder="1"/>
    <xf numFmtId="173" fontId="16" fillId="0" borderId="32" xfId="0" applyNumberFormat="1" applyFont="1" applyBorder="1"/>
  </cellXfs>
  <cellStyles count="11454">
    <cellStyle name="Normal" xfId="0" builtinId="0"/>
    <cellStyle name="Обычный 10" xfId="1" xr:uid="{00000000-0005-0000-0000-000001000000}"/>
    <cellStyle name="Обычный 11" xfId="2" xr:uid="{00000000-0005-0000-0000-000002000000}"/>
    <cellStyle name="Обычный 12" xfId="3" xr:uid="{00000000-0005-0000-0000-000003000000}"/>
    <cellStyle name="Обычный 13" xfId="11453" xr:uid="{00000000-0005-0000-0000-000004000000}"/>
    <cellStyle name="Обычный 2" xfId="4" xr:uid="{00000000-0005-0000-0000-000005000000}"/>
    <cellStyle name="Обычный 2 10" xfId="5" xr:uid="{00000000-0005-0000-0000-000006000000}"/>
    <cellStyle name="Обычный 2 11" xfId="6" xr:uid="{00000000-0005-0000-0000-000007000000}"/>
    <cellStyle name="Обычный 2 12" xfId="7" xr:uid="{00000000-0005-0000-0000-000008000000}"/>
    <cellStyle name="Обычный 2 2" xfId="8" xr:uid="{00000000-0005-0000-0000-000009000000}"/>
    <cellStyle name="Обычный 2 2 2" xfId="9" xr:uid="{00000000-0005-0000-0000-00000A000000}"/>
    <cellStyle name="Обычный 2 2 2 2" xfId="10" xr:uid="{00000000-0005-0000-0000-00000B000000}"/>
    <cellStyle name="Обычный 2 2 2 2 2" xfId="11" xr:uid="{00000000-0005-0000-0000-00000C000000}"/>
    <cellStyle name="Обычный 2 2 2 2 2 2" xfId="12" xr:uid="{00000000-0005-0000-0000-00000D000000}"/>
    <cellStyle name="Обычный 2 2 2 2 2 2 2" xfId="13" xr:uid="{00000000-0005-0000-0000-00000E000000}"/>
    <cellStyle name="Обычный 2 2 2 2 2 2 2 2" xfId="14" xr:uid="{00000000-0005-0000-0000-00000F000000}"/>
    <cellStyle name="Обычный 2 2 2 2 2 2 2 2 2" xfId="15" xr:uid="{00000000-0005-0000-0000-000010000000}"/>
    <cellStyle name="Обычный 2 2 2 2 2 2 2 2 2 2" xfId="16" xr:uid="{00000000-0005-0000-0000-000011000000}"/>
    <cellStyle name="Обычный 2 2 2 2 2 2 2 2 3" xfId="17" xr:uid="{00000000-0005-0000-0000-000012000000}"/>
    <cellStyle name="Обычный 2 2 2 2 2 2 2 3" xfId="18" xr:uid="{00000000-0005-0000-0000-000013000000}"/>
    <cellStyle name="Обычный 2 2 2 2 2 2 2 3 2" xfId="19" xr:uid="{00000000-0005-0000-0000-000014000000}"/>
    <cellStyle name="Обычный 2 2 2 2 2 2 2 4" xfId="20" xr:uid="{00000000-0005-0000-0000-000015000000}"/>
    <cellStyle name="Обычный 2 2 2 2 2 2 3" xfId="21" xr:uid="{00000000-0005-0000-0000-000016000000}"/>
    <cellStyle name="Обычный 2 2 2 2 2 2 3 2" xfId="22" xr:uid="{00000000-0005-0000-0000-000017000000}"/>
    <cellStyle name="Обычный 2 2 2 2 2 2 3 2 2" xfId="23" xr:uid="{00000000-0005-0000-0000-000018000000}"/>
    <cellStyle name="Обычный 2 2 2 2 2 2 3 3" xfId="24" xr:uid="{00000000-0005-0000-0000-000019000000}"/>
    <cellStyle name="Обычный 2 2 2 2 2 2 4" xfId="25" xr:uid="{00000000-0005-0000-0000-00001A000000}"/>
    <cellStyle name="Обычный 2 2 2 2 2 2 4 2" xfId="26" xr:uid="{00000000-0005-0000-0000-00001B000000}"/>
    <cellStyle name="Обычный 2 2 2 2 2 2 5" xfId="27" xr:uid="{00000000-0005-0000-0000-00001C000000}"/>
    <cellStyle name="Обычный 2 2 2 2 2 3" xfId="28" xr:uid="{00000000-0005-0000-0000-00001D000000}"/>
    <cellStyle name="Обычный 2 2 2 2 2 3 2" xfId="29" xr:uid="{00000000-0005-0000-0000-00001E000000}"/>
    <cellStyle name="Обычный 2 2 2 2 2 3 2 2" xfId="30" xr:uid="{00000000-0005-0000-0000-00001F000000}"/>
    <cellStyle name="Обычный 2 2 2 2 2 3 2 2 2" xfId="31" xr:uid="{00000000-0005-0000-0000-000020000000}"/>
    <cellStyle name="Обычный 2 2 2 2 2 3 2 3" xfId="32" xr:uid="{00000000-0005-0000-0000-000021000000}"/>
    <cellStyle name="Обычный 2 2 2 2 2 3 3" xfId="33" xr:uid="{00000000-0005-0000-0000-000022000000}"/>
    <cellStyle name="Обычный 2 2 2 2 2 3 3 2" xfId="34" xr:uid="{00000000-0005-0000-0000-000023000000}"/>
    <cellStyle name="Обычный 2 2 2 2 2 3 4" xfId="35" xr:uid="{00000000-0005-0000-0000-000024000000}"/>
    <cellStyle name="Обычный 2 2 2 2 2 4" xfId="36" xr:uid="{00000000-0005-0000-0000-000025000000}"/>
    <cellStyle name="Обычный 2 2 2 2 2 4 2" xfId="37" xr:uid="{00000000-0005-0000-0000-000026000000}"/>
    <cellStyle name="Обычный 2 2 2 2 2 4 2 2" xfId="38" xr:uid="{00000000-0005-0000-0000-000027000000}"/>
    <cellStyle name="Обычный 2 2 2 2 2 4 3" xfId="39" xr:uid="{00000000-0005-0000-0000-000028000000}"/>
    <cellStyle name="Обычный 2 2 2 2 2 5" xfId="40" xr:uid="{00000000-0005-0000-0000-000029000000}"/>
    <cellStyle name="Обычный 2 2 2 2 2 5 2" xfId="41" xr:uid="{00000000-0005-0000-0000-00002A000000}"/>
    <cellStyle name="Обычный 2 2 2 2 2 6" xfId="42" xr:uid="{00000000-0005-0000-0000-00002B000000}"/>
    <cellStyle name="Обычный 2 2 2 2 3" xfId="43" xr:uid="{00000000-0005-0000-0000-00002C000000}"/>
    <cellStyle name="Обычный 2 2 2 2 3 2" xfId="44" xr:uid="{00000000-0005-0000-0000-00002D000000}"/>
    <cellStyle name="Обычный 2 2 2 2 3 2 2" xfId="45" xr:uid="{00000000-0005-0000-0000-00002E000000}"/>
    <cellStyle name="Обычный 2 2 2 2 3 2 2 2" xfId="46" xr:uid="{00000000-0005-0000-0000-00002F000000}"/>
    <cellStyle name="Обычный 2 2 2 2 3 2 2 2 2" xfId="47" xr:uid="{00000000-0005-0000-0000-000030000000}"/>
    <cellStyle name="Обычный 2 2 2 2 3 2 2 3" xfId="48" xr:uid="{00000000-0005-0000-0000-000031000000}"/>
    <cellStyle name="Обычный 2 2 2 2 3 2 3" xfId="49" xr:uid="{00000000-0005-0000-0000-000032000000}"/>
    <cellStyle name="Обычный 2 2 2 2 3 2 3 2" xfId="50" xr:uid="{00000000-0005-0000-0000-000033000000}"/>
    <cellStyle name="Обычный 2 2 2 2 3 2 4" xfId="51" xr:uid="{00000000-0005-0000-0000-000034000000}"/>
    <cellStyle name="Обычный 2 2 2 2 3 3" xfId="52" xr:uid="{00000000-0005-0000-0000-000035000000}"/>
    <cellStyle name="Обычный 2 2 2 2 3 3 2" xfId="53" xr:uid="{00000000-0005-0000-0000-000036000000}"/>
    <cellStyle name="Обычный 2 2 2 2 3 3 2 2" xfId="54" xr:uid="{00000000-0005-0000-0000-000037000000}"/>
    <cellStyle name="Обычный 2 2 2 2 3 3 3" xfId="55" xr:uid="{00000000-0005-0000-0000-000038000000}"/>
    <cellStyle name="Обычный 2 2 2 2 3 4" xfId="56" xr:uid="{00000000-0005-0000-0000-000039000000}"/>
    <cellStyle name="Обычный 2 2 2 2 3 4 2" xfId="57" xr:uid="{00000000-0005-0000-0000-00003A000000}"/>
    <cellStyle name="Обычный 2 2 2 2 3 5" xfId="58" xr:uid="{00000000-0005-0000-0000-00003B000000}"/>
    <cellStyle name="Обычный 2 2 2 2 4" xfId="59" xr:uid="{00000000-0005-0000-0000-00003C000000}"/>
    <cellStyle name="Обычный 2 2 2 2 4 2" xfId="60" xr:uid="{00000000-0005-0000-0000-00003D000000}"/>
    <cellStyle name="Обычный 2 2 2 2 4 2 2" xfId="61" xr:uid="{00000000-0005-0000-0000-00003E000000}"/>
    <cellStyle name="Обычный 2 2 2 2 4 2 2 2" xfId="62" xr:uid="{00000000-0005-0000-0000-00003F000000}"/>
    <cellStyle name="Обычный 2 2 2 2 4 2 3" xfId="63" xr:uid="{00000000-0005-0000-0000-000040000000}"/>
    <cellStyle name="Обычный 2 2 2 2 4 3" xfId="64" xr:uid="{00000000-0005-0000-0000-000041000000}"/>
    <cellStyle name="Обычный 2 2 2 2 4 3 2" xfId="65" xr:uid="{00000000-0005-0000-0000-000042000000}"/>
    <cellStyle name="Обычный 2 2 2 2 4 4" xfId="66" xr:uid="{00000000-0005-0000-0000-000043000000}"/>
    <cellStyle name="Обычный 2 2 2 2 5" xfId="67" xr:uid="{00000000-0005-0000-0000-000044000000}"/>
    <cellStyle name="Обычный 2 2 2 2 5 2" xfId="68" xr:uid="{00000000-0005-0000-0000-000045000000}"/>
    <cellStyle name="Обычный 2 2 2 2 5 2 2" xfId="69" xr:uid="{00000000-0005-0000-0000-000046000000}"/>
    <cellStyle name="Обычный 2 2 2 2 5 3" xfId="70" xr:uid="{00000000-0005-0000-0000-000047000000}"/>
    <cellStyle name="Обычный 2 2 2 2 6" xfId="71" xr:uid="{00000000-0005-0000-0000-000048000000}"/>
    <cellStyle name="Обычный 2 2 2 2 6 2" xfId="72" xr:uid="{00000000-0005-0000-0000-000049000000}"/>
    <cellStyle name="Обычный 2 2 2 2 7" xfId="73" xr:uid="{00000000-0005-0000-0000-00004A000000}"/>
    <cellStyle name="Обычный 2 2 2 3" xfId="74" xr:uid="{00000000-0005-0000-0000-00004B000000}"/>
    <cellStyle name="Обычный 2 2 2 3 2" xfId="75" xr:uid="{00000000-0005-0000-0000-00004C000000}"/>
    <cellStyle name="Обычный 2 2 2 3 2 2" xfId="76" xr:uid="{00000000-0005-0000-0000-00004D000000}"/>
    <cellStyle name="Обычный 2 2 2 3 2 2 2" xfId="77" xr:uid="{00000000-0005-0000-0000-00004E000000}"/>
    <cellStyle name="Обычный 2 2 2 3 2 2 2 2" xfId="78" xr:uid="{00000000-0005-0000-0000-00004F000000}"/>
    <cellStyle name="Обычный 2 2 2 3 2 2 2 2 2" xfId="79" xr:uid="{00000000-0005-0000-0000-000050000000}"/>
    <cellStyle name="Обычный 2 2 2 3 2 2 2 3" xfId="80" xr:uid="{00000000-0005-0000-0000-000051000000}"/>
    <cellStyle name="Обычный 2 2 2 3 2 2 3" xfId="81" xr:uid="{00000000-0005-0000-0000-000052000000}"/>
    <cellStyle name="Обычный 2 2 2 3 2 2 3 2" xfId="82" xr:uid="{00000000-0005-0000-0000-000053000000}"/>
    <cellStyle name="Обычный 2 2 2 3 2 2 4" xfId="83" xr:uid="{00000000-0005-0000-0000-000054000000}"/>
    <cellStyle name="Обычный 2 2 2 3 2 3" xfId="84" xr:uid="{00000000-0005-0000-0000-000055000000}"/>
    <cellStyle name="Обычный 2 2 2 3 2 3 2" xfId="85" xr:uid="{00000000-0005-0000-0000-000056000000}"/>
    <cellStyle name="Обычный 2 2 2 3 2 3 2 2" xfId="86" xr:uid="{00000000-0005-0000-0000-000057000000}"/>
    <cellStyle name="Обычный 2 2 2 3 2 3 3" xfId="87" xr:uid="{00000000-0005-0000-0000-000058000000}"/>
    <cellStyle name="Обычный 2 2 2 3 2 4" xfId="88" xr:uid="{00000000-0005-0000-0000-000059000000}"/>
    <cellStyle name="Обычный 2 2 2 3 2 4 2" xfId="89" xr:uid="{00000000-0005-0000-0000-00005A000000}"/>
    <cellStyle name="Обычный 2 2 2 3 2 5" xfId="90" xr:uid="{00000000-0005-0000-0000-00005B000000}"/>
    <cellStyle name="Обычный 2 2 2 3 3" xfId="91" xr:uid="{00000000-0005-0000-0000-00005C000000}"/>
    <cellStyle name="Обычный 2 2 2 3 3 2" xfId="92" xr:uid="{00000000-0005-0000-0000-00005D000000}"/>
    <cellStyle name="Обычный 2 2 2 3 3 2 2" xfId="93" xr:uid="{00000000-0005-0000-0000-00005E000000}"/>
    <cellStyle name="Обычный 2 2 2 3 3 2 2 2" xfId="94" xr:uid="{00000000-0005-0000-0000-00005F000000}"/>
    <cellStyle name="Обычный 2 2 2 3 3 2 3" xfId="95" xr:uid="{00000000-0005-0000-0000-000060000000}"/>
    <cellStyle name="Обычный 2 2 2 3 3 3" xfId="96" xr:uid="{00000000-0005-0000-0000-000061000000}"/>
    <cellStyle name="Обычный 2 2 2 3 3 3 2" xfId="97" xr:uid="{00000000-0005-0000-0000-000062000000}"/>
    <cellStyle name="Обычный 2 2 2 3 3 4" xfId="98" xr:uid="{00000000-0005-0000-0000-000063000000}"/>
    <cellStyle name="Обычный 2 2 2 3 4" xfId="99" xr:uid="{00000000-0005-0000-0000-000064000000}"/>
    <cellStyle name="Обычный 2 2 2 3 4 2" xfId="100" xr:uid="{00000000-0005-0000-0000-000065000000}"/>
    <cellStyle name="Обычный 2 2 2 3 4 2 2" xfId="101" xr:uid="{00000000-0005-0000-0000-000066000000}"/>
    <cellStyle name="Обычный 2 2 2 3 4 3" xfId="102" xr:uid="{00000000-0005-0000-0000-000067000000}"/>
    <cellStyle name="Обычный 2 2 2 3 5" xfId="103" xr:uid="{00000000-0005-0000-0000-000068000000}"/>
    <cellStyle name="Обычный 2 2 2 3 5 2" xfId="104" xr:uid="{00000000-0005-0000-0000-000069000000}"/>
    <cellStyle name="Обычный 2 2 2 3 6" xfId="105" xr:uid="{00000000-0005-0000-0000-00006A000000}"/>
    <cellStyle name="Обычный 2 2 2 4" xfId="106" xr:uid="{00000000-0005-0000-0000-00006B000000}"/>
    <cellStyle name="Обычный 2 2 2 4 2" xfId="107" xr:uid="{00000000-0005-0000-0000-00006C000000}"/>
    <cellStyle name="Обычный 2 2 2 4 2 2" xfId="108" xr:uid="{00000000-0005-0000-0000-00006D000000}"/>
    <cellStyle name="Обычный 2 2 2 4 2 2 2" xfId="109" xr:uid="{00000000-0005-0000-0000-00006E000000}"/>
    <cellStyle name="Обычный 2 2 2 4 2 2 2 2" xfId="110" xr:uid="{00000000-0005-0000-0000-00006F000000}"/>
    <cellStyle name="Обычный 2 2 2 4 2 2 3" xfId="111" xr:uid="{00000000-0005-0000-0000-000070000000}"/>
    <cellStyle name="Обычный 2 2 2 4 2 3" xfId="112" xr:uid="{00000000-0005-0000-0000-000071000000}"/>
    <cellStyle name="Обычный 2 2 2 4 2 3 2" xfId="113" xr:uid="{00000000-0005-0000-0000-000072000000}"/>
    <cellStyle name="Обычный 2 2 2 4 2 4" xfId="114" xr:uid="{00000000-0005-0000-0000-000073000000}"/>
    <cellStyle name="Обычный 2 2 2 4 3" xfId="115" xr:uid="{00000000-0005-0000-0000-000074000000}"/>
    <cellStyle name="Обычный 2 2 2 4 3 2" xfId="116" xr:uid="{00000000-0005-0000-0000-000075000000}"/>
    <cellStyle name="Обычный 2 2 2 4 3 2 2" xfId="117" xr:uid="{00000000-0005-0000-0000-000076000000}"/>
    <cellStyle name="Обычный 2 2 2 4 3 3" xfId="118" xr:uid="{00000000-0005-0000-0000-000077000000}"/>
    <cellStyle name="Обычный 2 2 2 4 4" xfId="119" xr:uid="{00000000-0005-0000-0000-000078000000}"/>
    <cellStyle name="Обычный 2 2 2 4 4 2" xfId="120" xr:uid="{00000000-0005-0000-0000-000079000000}"/>
    <cellStyle name="Обычный 2 2 2 4 5" xfId="121" xr:uid="{00000000-0005-0000-0000-00007A000000}"/>
    <cellStyle name="Обычный 2 2 2 5" xfId="122" xr:uid="{00000000-0005-0000-0000-00007B000000}"/>
    <cellStyle name="Обычный 2 2 2 5 2" xfId="123" xr:uid="{00000000-0005-0000-0000-00007C000000}"/>
    <cellStyle name="Обычный 2 2 2 5 2 2" xfId="124" xr:uid="{00000000-0005-0000-0000-00007D000000}"/>
    <cellStyle name="Обычный 2 2 2 5 2 2 2" xfId="125" xr:uid="{00000000-0005-0000-0000-00007E000000}"/>
    <cellStyle name="Обычный 2 2 2 5 2 3" xfId="126" xr:uid="{00000000-0005-0000-0000-00007F000000}"/>
    <cellStyle name="Обычный 2 2 2 5 3" xfId="127" xr:uid="{00000000-0005-0000-0000-000080000000}"/>
    <cellStyle name="Обычный 2 2 2 5 3 2" xfId="128" xr:uid="{00000000-0005-0000-0000-000081000000}"/>
    <cellStyle name="Обычный 2 2 2 5 4" xfId="129" xr:uid="{00000000-0005-0000-0000-000082000000}"/>
    <cellStyle name="Обычный 2 2 2 6" xfId="130" xr:uid="{00000000-0005-0000-0000-000083000000}"/>
    <cellStyle name="Обычный 2 2 2 6 2" xfId="131" xr:uid="{00000000-0005-0000-0000-000084000000}"/>
    <cellStyle name="Обычный 2 2 2 6 2 2" xfId="132" xr:uid="{00000000-0005-0000-0000-000085000000}"/>
    <cellStyle name="Обычный 2 2 2 6 3" xfId="133" xr:uid="{00000000-0005-0000-0000-000086000000}"/>
    <cellStyle name="Обычный 2 2 2 7" xfId="134" xr:uid="{00000000-0005-0000-0000-000087000000}"/>
    <cellStyle name="Обычный 2 2 2 7 2" xfId="135" xr:uid="{00000000-0005-0000-0000-000088000000}"/>
    <cellStyle name="Обычный 2 2 2 8" xfId="136" xr:uid="{00000000-0005-0000-0000-000089000000}"/>
    <cellStyle name="Обычный 2 2 3" xfId="137" xr:uid="{00000000-0005-0000-0000-00008A000000}"/>
    <cellStyle name="Обычный 2 2 3 2" xfId="138" xr:uid="{00000000-0005-0000-0000-00008B000000}"/>
    <cellStyle name="Обычный 2 2 3 2 2" xfId="139" xr:uid="{00000000-0005-0000-0000-00008C000000}"/>
    <cellStyle name="Обычный 2 2 3 2 2 2" xfId="140" xr:uid="{00000000-0005-0000-0000-00008D000000}"/>
    <cellStyle name="Обычный 2 2 3 2 2 2 2" xfId="141" xr:uid="{00000000-0005-0000-0000-00008E000000}"/>
    <cellStyle name="Обычный 2 2 3 2 2 2 2 2" xfId="142" xr:uid="{00000000-0005-0000-0000-00008F000000}"/>
    <cellStyle name="Обычный 2 2 3 2 2 2 2 2 2" xfId="143" xr:uid="{00000000-0005-0000-0000-000090000000}"/>
    <cellStyle name="Обычный 2 2 3 2 2 2 2 3" xfId="144" xr:uid="{00000000-0005-0000-0000-000091000000}"/>
    <cellStyle name="Обычный 2 2 3 2 2 2 3" xfId="145" xr:uid="{00000000-0005-0000-0000-000092000000}"/>
    <cellStyle name="Обычный 2 2 3 2 2 2 3 2" xfId="146" xr:uid="{00000000-0005-0000-0000-000093000000}"/>
    <cellStyle name="Обычный 2 2 3 2 2 2 4" xfId="147" xr:uid="{00000000-0005-0000-0000-000094000000}"/>
    <cellStyle name="Обычный 2 2 3 2 2 3" xfId="148" xr:uid="{00000000-0005-0000-0000-000095000000}"/>
    <cellStyle name="Обычный 2 2 3 2 2 3 2" xfId="149" xr:uid="{00000000-0005-0000-0000-000096000000}"/>
    <cellStyle name="Обычный 2 2 3 2 2 3 2 2" xfId="150" xr:uid="{00000000-0005-0000-0000-000097000000}"/>
    <cellStyle name="Обычный 2 2 3 2 2 3 3" xfId="151" xr:uid="{00000000-0005-0000-0000-000098000000}"/>
    <cellStyle name="Обычный 2 2 3 2 2 4" xfId="152" xr:uid="{00000000-0005-0000-0000-000099000000}"/>
    <cellStyle name="Обычный 2 2 3 2 2 4 2" xfId="153" xr:uid="{00000000-0005-0000-0000-00009A000000}"/>
    <cellStyle name="Обычный 2 2 3 2 2 5" xfId="154" xr:uid="{00000000-0005-0000-0000-00009B000000}"/>
    <cellStyle name="Обычный 2 2 3 2 3" xfId="155" xr:uid="{00000000-0005-0000-0000-00009C000000}"/>
    <cellStyle name="Обычный 2 2 3 2 3 2" xfId="156" xr:uid="{00000000-0005-0000-0000-00009D000000}"/>
    <cellStyle name="Обычный 2 2 3 2 3 2 2" xfId="157" xr:uid="{00000000-0005-0000-0000-00009E000000}"/>
    <cellStyle name="Обычный 2 2 3 2 3 2 2 2" xfId="158" xr:uid="{00000000-0005-0000-0000-00009F000000}"/>
    <cellStyle name="Обычный 2 2 3 2 3 2 3" xfId="159" xr:uid="{00000000-0005-0000-0000-0000A0000000}"/>
    <cellStyle name="Обычный 2 2 3 2 3 3" xfId="160" xr:uid="{00000000-0005-0000-0000-0000A1000000}"/>
    <cellStyle name="Обычный 2 2 3 2 3 3 2" xfId="161" xr:uid="{00000000-0005-0000-0000-0000A2000000}"/>
    <cellStyle name="Обычный 2 2 3 2 3 4" xfId="162" xr:uid="{00000000-0005-0000-0000-0000A3000000}"/>
    <cellStyle name="Обычный 2 2 3 2 4" xfId="163" xr:uid="{00000000-0005-0000-0000-0000A4000000}"/>
    <cellStyle name="Обычный 2 2 3 2 4 2" xfId="164" xr:uid="{00000000-0005-0000-0000-0000A5000000}"/>
    <cellStyle name="Обычный 2 2 3 2 4 2 2" xfId="165" xr:uid="{00000000-0005-0000-0000-0000A6000000}"/>
    <cellStyle name="Обычный 2 2 3 2 4 3" xfId="166" xr:uid="{00000000-0005-0000-0000-0000A7000000}"/>
    <cellStyle name="Обычный 2 2 3 2 5" xfId="167" xr:uid="{00000000-0005-0000-0000-0000A8000000}"/>
    <cellStyle name="Обычный 2 2 3 2 5 2" xfId="168" xr:uid="{00000000-0005-0000-0000-0000A9000000}"/>
    <cellStyle name="Обычный 2 2 3 2 6" xfId="169" xr:uid="{00000000-0005-0000-0000-0000AA000000}"/>
    <cellStyle name="Обычный 2 2 3 3" xfId="170" xr:uid="{00000000-0005-0000-0000-0000AB000000}"/>
    <cellStyle name="Обычный 2 2 3 3 2" xfId="171" xr:uid="{00000000-0005-0000-0000-0000AC000000}"/>
    <cellStyle name="Обычный 2 2 3 3 2 2" xfId="172" xr:uid="{00000000-0005-0000-0000-0000AD000000}"/>
    <cellStyle name="Обычный 2 2 3 3 2 2 2" xfId="173" xr:uid="{00000000-0005-0000-0000-0000AE000000}"/>
    <cellStyle name="Обычный 2 2 3 3 2 2 2 2" xfId="174" xr:uid="{00000000-0005-0000-0000-0000AF000000}"/>
    <cellStyle name="Обычный 2 2 3 3 2 2 3" xfId="175" xr:uid="{00000000-0005-0000-0000-0000B0000000}"/>
    <cellStyle name="Обычный 2 2 3 3 2 3" xfId="176" xr:uid="{00000000-0005-0000-0000-0000B1000000}"/>
    <cellStyle name="Обычный 2 2 3 3 2 3 2" xfId="177" xr:uid="{00000000-0005-0000-0000-0000B2000000}"/>
    <cellStyle name="Обычный 2 2 3 3 2 4" xfId="178" xr:uid="{00000000-0005-0000-0000-0000B3000000}"/>
    <cellStyle name="Обычный 2 2 3 3 3" xfId="179" xr:uid="{00000000-0005-0000-0000-0000B4000000}"/>
    <cellStyle name="Обычный 2 2 3 3 3 2" xfId="180" xr:uid="{00000000-0005-0000-0000-0000B5000000}"/>
    <cellStyle name="Обычный 2 2 3 3 3 2 2" xfId="181" xr:uid="{00000000-0005-0000-0000-0000B6000000}"/>
    <cellStyle name="Обычный 2 2 3 3 3 3" xfId="182" xr:uid="{00000000-0005-0000-0000-0000B7000000}"/>
    <cellStyle name="Обычный 2 2 3 3 4" xfId="183" xr:uid="{00000000-0005-0000-0000-0000B8000000}"/>
    <cellStyle name="Обычный 2 2 3 3 4 2" xfId="184" xr:uid="{00000000-0005-0000-0000-0000B9000000}"/>
    <cellStyle name="Обычный 2 2 3 3 5" xfId="185" xr:uid="{00000000-0005-0000-0000-0000BA000000}"/>
    <cellStyle name="Обычный 2 2 3 4" xfId="186" xr:uid="{00000000-0005-0000-0000-0000BB000000}"/>
    <cellStyle name="Обычный 2 2 3 4 2" xfId="187" xr:uid="{00000000-0005-0000-0000-0000BC000000}"/>
    <cellStyle name="Обычный 2 2 3 4 2 2" xfId="188" xr:uid="{00000000-0005-0000-0000-0000BD000000}"/>
    <cellStyle name="Обычный 2 2 3 4 2 2 2" xfId="189" xr:uid="{00000000-0005-0000-0000-0000BE000000}"/>
    <cellStyle name="Обычный 2 2 3 4 2 3" xfId="190" xr:uid="{00000000-0005-0000-0000-0000BF000000}"/>
    <cellStyle name="Обычный 2 2 3 4 3" xfId="191" xr:uid="{00000000-0005-0000-0000-0000C0000000}"/>
    <cellStyle name="Обычный 2 2 3 4 3 2" xfId="192" xr:uid="{00000000-0005-0000-0000-0000C1000000}"/>
    <cellStyle name="Обычный 2 2 3 4 4" xfId="193" xr:uid="{00000000-0005-0000-0000-0000C2000000}"/>
    <cellStyle name="Обычный 2 2 3 5" xfId="194" xr:uid="{00000000-0005-0000-0000-0000C3000000}"/>
    <cellStyle name="Обычный 2 2 3 5 2" xfId="195" xr:uid="{00000000-0005-0000-0000-0000C4000000}"/>
    <cellStyle name="Обычный 2 2 3 5 2 2" xfId="196" xr:uid="{00000000-0005-0000-0000-0000C5000000}"/>
    <cellStyle name="Обычный 2 2 3 5 3" xfId="197" xr:uid="{00000000-0005-0000-0000-0000C6000000}"/>
    <cellStyle name="Обычный 2 2 3 6" xfId="198" xr:uid="{00000000-0005-0000-0000-0000C7000000}"/>
    <cellStyle name="Обычный 2 2 3 6 2" xfId="199" xr:uid="{00000000-0005-0000-0000-0000C8000000}"/>
    <cellStyle name="Обычный 2 2 3 7" xfId="200" xr:uid="{00000000-0005-0000-0000-0000C9000000}"/>
    <cellStyle name="Обычный 2 2 4" xfId="201" xr:uid="{00000000-0005-0000-0000-0000CA000000}"/>
    <cellStyle name="Обычный 2 2 4 2" xfId="202" xr:uid="{00000000-0005-0000-0000-0000CB000000}"/>
    <cellStyle name="Обычный 2 2 4 2 2" xfId="203" xr:uid="{00000000-0005-0000-0000-0000CC000000}"/>
    <cellStyle name="Обычный 2 2 4 2 2 2" xfId="204" xr:uid="{00000000-0005-0000-0000-0000CD000000}"/>
    <cellStyle name="Обычный 2 2 4 2 2 2 2" xfId="205" xr:uid="{00000000-0005-0000-0000-0000CE000000}"/>
    <cellStyle name="Обычный 2 2 4 2 2 2 2 2" xfId="206" xr:uid="{00000000-0005-0000-0000-0000CF000000}"/>
    <cellStyle name="Обычный 2 2 4 2 2 2 3" xfId="207" xr:uid="{00000000-0005-0000-0000-0000D0000000}"/>
    <cellStyle name="Обычный 2 2 4 2 2 3" xfId="208" xr:uid="{00000000-0005-0000-0000-0000D1000000}"/>
    <cellStyle name="Обычный 2 2 4 2 2 3 2" xfId="209" xr:uid="{00000000-0005-0000-0000-0000D2000000}"/>
    <cellStyle name="Обычный 2 2 4 2 2 4" xfId="210" xr:uid="{00000000-0005-0000-0000-0000D3000000}"/>
    <cellStyle name="Обычный 2 2 4 2 3" xfId="211" xr:uid="{00000000-0005-0000-0000-0000D4000000}"/>
    <cellStyle name="Обычный 2 2 4 2 3 2" xfId="212" xr:uid="{00000000-0005-0000-0000-0000D5000000}"/>
    <cellStyle name="Обычный 2 2 4 2 3 2 2" xfId="213" xr:uid="{00000000-0005-0000-0000-0000D6000000}"/>
    <cellStyle name="Обычный 2 2 4 2 3 3" xfId="214" xr:uid="{00000000-0005-0000-0000-0000D7000000}"/>
    <cellStyle name="Обычный 2 2 4 2 4" xfId="215" xr:uid="{00000000-0005-0000-0000-0000D8000000}"/>
    <cellStyle name="Обычный 2 2 4 2 4 2" xfId="216" xr:uid="{00000000-0005-0000-0000-0000D9000000}"/>
    <cellStyle name="Обычный 2 2 4 2 5" xfId="217" xr:uid="{00000000-0005-0000-0000-0000DA000000}"/>
    <cellStyle name="Обычный 2 2 4 3" xfId="218" xr:uid="{00000000-0005-0000-0000-0000DB000000}"/>
    <cellStyle name="Обычный 2 2 4 3 2" xfId="219" xr:uid="{00000000-0005-0000-0000-0000DC000000}"/>
    <cellStyle name="Обычный 2 2 4 3 2 2" xfId="220" xr:uid="{00000000-0005-0000-0000-0000DD000000}"/>
    <cellStyle name="Обычный 2 2 4 3 2 2 2" xfId="221" xr:uid="{00000000-0005-0000-0000-0000DE000000}"/>
    <cellStyle name="Обычный 2 2 4 3 2 3" xfId="222" xr:uid="{00000000-0005-0000-0000-0000DF000000}"/>
    <cellStyle name="Обычный 2 2 4 3 3" xfId="223" xr:uid="{00000000-0005-0000-0000-0000E0000000}"/>
    <cellStyle name="Обычный 2 2 4 3 3 2" xfId="224" xr:uid="{00000000-0005-0000-0000-0000E1000000}"/>
    <cellStyle name="Обычный 2 2 4 3 4" xfId="225" xr:uid="{00000000-0005-0000-0000-0000E2000000}"/>
    <cellStyle name="Обычный 2 2 4 4" xfId="226" xr:uid="{00000000-0005-0000-0000-0000E3000000}"/>
    <cellStyle name="Обычный 2 2 4 4 2" xfId="227" xr:uid="{00000000-0005-0000-0000-0000E4000000}"/>
    <cellStyle name="Обычный 2 2 4 4 2 2" xfId="228" xr:uid="{00000000-0005-0000-0000-0000E5000000}"/>
    <cellStyle name="Обычный 2 2 4 4 3" xfId="229" xr:uid="{00000000-0005-0000-0000-0000E6000000}"/>
    <cellStyle name="Обычный 2 2 4 5" xfId="230" xr:uid="{00000000-0005-0000-0000-0000E7000000}"/>
    <cellStyle name="Обычный 2 2 4 5 2" xfId="231" xr:uid="{00000000-0005-0000-0000-0000E8000000}"/>
    <cellStyle name="Обычный 2 2 4 6" xfId="232" xr:uid="{00000000-0005-0000-0000-0000E9000000}"/>
    <cellStyle name="Обычный 2 2 5" xfId="233" xr:uid="{00000000-0005-0000-0000-0000EA000000}"/>
    <cellStyle name="Обычный 2 2 5 2" xfId="234" xr:uid="{00000000-0005-0000-0000-0000EB000000}"/>
    <cellStyle name="Обычный 2 2 5 2 2" xfId="235" xr:uid="{00000000-0005-0000-0000-0000EC000000}"/>
    <cellStyle name="Обычный 2 2 5 2 2 2" xfId="236" xr:uid="{00000000-0005-0000-0000-0000ED000000}"/>
    <cellStyle name="Обычный 2 2 5 2 2 2 2" xfId="237" xr:uid="{00000000-0005-0000-0000-0000EE000000}"/>
    <cellStyle name="Обычный 2 2 5 2 2 3" xfId="238" xr:uid="{00000000-0005-0000-0000-0000EF000000}"/>
    <cellStyle name="Обычный 2 2 5 2 3" xfId="239" xr:uid="{00000000-0005-0000-0000-0000F0000000}"/>
    <cellStyle name="Обычный 2 2 5 2 3 2" xfId="240" xr:uid="{00000000-0005-0000-0000-0000F1000000}"/>
    <cellStyle name="Обычный 2 2 5 2 4" xfId="241" xr:uid="{00000000-0005-0000-0000-0000F2000000}"/>
    <cellStyle name="Обычный 2 2 5 3" xfId="242" xr:uid="{00000000-0005-0000-0000-0000F3000000}"/>
    <cellStyle name="Обычный 2 2 5 3 2" xfId="243" xr:uid="{00000000-0005-0000-0000-0000F4000000}"/>
    <cellStyle name="Обычный 2 2 5 3 2 2" xfId="244" xr:uid="{00000000-0005-0000-0000-0000F5000000}"/>
    <cellStyle name="Обычный 2 2 5 3 3" xfId="245" xr:uid="{00000000-0005-0000-0000-0000F6000000}"/>
    <cellStyle name="Обычный 2 2 5 4" xfId="246" xr:uid="{00000000-0005-0000-0000-0000F7000000}"/>
    <cellStyle name="Обычный 2 2 5 4 2" xfId="247" xr:uid="{00000000-0005-0000-0000-0000F8000000}"/>
    <cellStyle name="Обычный 2 2 5 5" xfId="248" xr:uid="{00000000-0005-0000-0000-0000F9000000}"/>
    <cellStyle name="Обычный 2 2 6" xfId="249" xr:uid="{00000000-0005-0000-0000-0000FA000000}"/>
    <cellStyle name="Обычный 2 2 6 2" xfId="250" xr:uid="{00000000-0005-0000-0000-0000FB000000}"/>
    <cellStyle name="Обычный 2 2 6 2 2" xfId="251" xr:uid="{00000000-0005-0000-0000-0000FC000000}"/>
    <cellStyle name="Обычный 2 2 6 2 2 2" xfId="252" xr:uid="{00000000-0005-0000-0000-0000FD000000}"/>
    <cellStyle name="Обычный 2 2 6 2 3" xfId="253" xr:uid="{00000000-0005-0000-0000-0000FE000000}"/>
    <cellStyle name="Обычный 2 2 6 3" xfId="254" xr:uid="{00000000-0005-0000-0000-0000FF000000}"/>
    <cellStyle name="Обычный 2 2 6 3 2" xfId="255" xr:uid="{00000000-0005-0000-0000-000000010000}"/>
    <cellStyle name="Обычный 2 2 6 4" xfId="256" xr:uid="{00000000-0005-0000-0000-000001010000}"/>
    <cellStyle name="Обычный 2 2 7" xfId="257" xr:uid="{00000000-0005-0000-0000-000002010000}"/>
    <cellStyle name="Обычный 2 2 7 2" xfId="258" xr:uid="{00000000-0005-0000-0000-000003010000}"/>
    <cellStyle name="Обычный 2 2 7 2 2" xfId="259" xr:uid="{00000000-0005-0000-0000-000004010000}"/>
    <cellStyle name="Обычный 2 2 7 3" xfId="260" xr:uid="{00000000-0005-0000-0000-000005010000}"/>
    <cellStyle name="Обычный 2 2 8" xfId="261" xr:uid="{00000000-0005-0000-0000-000006010000}"/>
    <cellStyle name="Обычный 2 2 8 2" xfId="262" xr:uid="{00000000-0005-0000-0000-000007010000}"/>
    <cellStyle name="Обычный 2 2 9" xfId="263" xr:uid="{00000000-0005-0000-0000-000008010000}"/>
    <cellStyle name="Обычный 2 3" xfId="264" xr:uid="{00000000-0005-0000-0000-000009010000}"/>
    <cellStyle name="Обычный 2 3 2" xfId="265" xr:uid="{00000000-0005-0000-0000-00000A010000}"/>
    <cellStyle name="Обычный 2 3 2 2" xfId="266" xr:uid="{00000000-0005-0000-0000-00000B010000}"/>
    <cellStyle name="Обычный 2 3 2 2 2" xfId="267" xr:uid="{00000000-0005-0000-0000-00000C010000}"/>
    <cellStyle name="Обычный 2 3 2 2 2 2" xfId="268" xr:uid="{00000000-0005-0000-0000-00000D010000}"/>
    <cellStyle name="Обычный 2 3 2 2 2 2 2" xfId="269" xr:uid="{00000000-0005-0000-0000-00000E010000}"/>
    <cellStyle name="Обычный 2 3 2 2 2 2 2 2" xfId="270" xr:uid="{00000000-0005-0000-0000-00000F010000}"/>
    <cellStyle name="Обычный 2 3 2 2 2 2 2 2 2" xfId="271" xr:uid="{00000000-0005-0000-0000-000010010000}"/>
    <cellStyle name="Обычный 2 3 2 2 2 2 2 3" xfId="272" xr:uid="{00000000-0005-0000-0000-000011010000}"/>
    <cellStyle name="Обычный 2 3 2 2 2 2 3" xfId="273" xr:uid="{00000000-0005-0000-0000-000012010000}"/>
    <cellStyle name="Обычный 2 3 2 2 2 2 3 2" xfId="274" xr:uid="{00000000-0005-0000-0000-000013010000}"/>
    <cellStyle name="Обычный 2 3 2 2 2 2 4" xfId="275" xr:uid="{00000000-0005-0000-0000-000014010000}"/>
    <cellStyle name="Обычный 2 3 2 2 2 3" xfId="276" xr:uid="{00000000-0005-0000-0000-000015010000}"/>
    <cellStyle name="Обычный 2 3 2 2 2 3 2" xfId="277" xr:uid="{00000000-0005-0000-0000-000016010000}"/>
    <cellStyle name="Обычный 2 3 2 2 2 3 2 2" xfId="278" xr:uid="{00000000-0005-0000-0000-000017010000}"/>
    <cellStyle name="Обычный 2 3 2 2 2 3 3" xfId="279" xr:uid="{00000000-0005-0000-0000-000018010000}"/>
    <cellStyle name="Обычный 2 3 2 2 2 4" xfId="280" xr:uid="{00000000-0005-0000-0000-000019010000}"/>
    <cellStyle name="Обычный 2 3 2 2 2 4 2" xfId="281" xr:uid="{00000000-0005-0000-0000-00001A010000}"/>
    <cellStyle name="Обычный 2 3 2 2 2 5" xfId="282" xr:uid="{00000000-0005-0000-0000-00001B010000}"/>
    <cellStyle name="Обычный 2 3 2 2 3" xfId="283" xr:uid="{00000000-0005-0000-0000-00001C010000}"/>
    <cellStyle name="Обычный 2 3 2 2 3 2" xfId="284" xr:uid="{00000000-0005-0000-0000-00001D010000}"/>
    <cellStyle name="Обычный 2 3 2 2 3 2 2" xfId="285" xr:uid="{00000000-0005-0000-0000-00001E010000}"/>
    <cellStyle name="Обычный 2 3 2 2 3 2 2 2" xfId="286" xr:uid="{00000000-0005-0000-0000-00001F010000}"/>
    <cellStyle name="Обычный 2 3 2 2 3 2 3" xfId="287" xr:uid="{00000000-0005-0000-0000-000020010000}"/>
    <cellStyle name="Обычный 2 3 2 2 3 3" xfId="288" xr:uid="{00000000-0005-0000-0000-000021010000}"/>
    <cellStyle name="Обычный 2 3 2 2 3 3 2" xfId="289" xr:uid="{00000000-0005-0000-0000-000022010000}"/>
    <cellStyle name="Обычный 2 3 2 2 3 4" xfId="290" xr:uid="{00000000-0005-0000-0000-000023010000}"/>
    <cellStyle name="Обычный 2 3 2 2 4" xfId="291" xr:uid="{00000000-0005-0000-0000-000024010000}"/>
    <cellStyle name="Обычный 2 3 2 2 4 2" xfId="292" xr:uid="{00000000-0005-0000-0000-000025010000}"/>
    <cellStyle name="Обычный 2 3 2 2 4 2 2" xfId="293" xr:uid="{00000000-0005-0000-0000-000026010000}"/>
    <cellStyle name="Обычный 2 3 2 2 4 3" xfId="294" xr:uid="{00000000-0005-0000-0000-000027010000}"/>
    <cellStyle name="Обычный 2 3 2 2 5" xfId="295" xr:uid="{00000000-0005-0000-0000-000028010000}"/>
    <cellStyle name="Обычный 2 3 2 2 5 2" xfId="296" xr:uid="{00000000-0005-0000-0000-000029010000}"/>
    <cellStyle name="Обычный 2 3 2 2 6" xfId="297" xr:uid="{00000000-0005-0000-0000-00002A010000}"/>
    <cellStyle name="Обычный 2 3 2 3" xfId="298" xr:uid="{00000000-0005-0000-0000-00002B010000}"/>
    <cellStyle name="Обычный 2 3 2 3 2" xfId="299" xr:uid="{00000000-0005-0000-0000-00002C010000}"/>
    <cellStyle name="Обычный 2 3 2 3 2 2" xfId="300" xr:uid="{00000000-0005-0000-0000-00002D010000}"/>
    <cellStyle name="Обычный 2 3 2 3 2 2 2" xfId="301" xr:uid="{00000000-0005-0000-0000-00002E010000}"/>
    <cellStyle name="Обычный 2 3 2 3 2 2 2 2" xfId="302" xr:uid="{00000000-0005-0000-0000-00002F010000}"/>
    <cellStyle name="Обычный 2 3 2 3 2 2 3" xfId="303" xr:uid="{00000000-0005-0000-0000-000030010000}"/>
    <cellStyle name="Обычный 2 3 2 3 2 3" xfId="304" xr:uid="{00000000-0005-0000-0000-000031010000}"/>
    <cellStyle name="Обычный 2 3 2 3 2 3 2" xfId="305" xr:uid="{00000000-0005-0000-0000-000032010000}"/>
    <cellStyle name="Обычный 2 3 2 3 2 4" xfId="306" xr:uid="{00000000-0005-0000-0000-000033010000}"/>
    <cellStyle name="Обычный 2 3 2 3 3" xfId="307" xr:uid="{00000000-0005-0000-0000-000034010000}"/>
    <cellStyle name="Обычный 2 3 2 3 3 2" xfId="308" xr:uid="{00000000-0005-0000-0000-000035010000}"/>
    <cellStyle name="Обычный 2 3 2 3 3 2 2" xfId="309" xr:uid="{00000000-0005-0000-0000-000036010000}"/>
    <cellStyle name="Обычный 2 3 2 3 3 3" xfId="310" xr:uid="{00000000-0005-0000-0000-000037010000}"/>
    <cellStyle name="Обычный 2 3 2 3 4" xfId="311" xr:uid="{00000000-0005-0000-0000-000038010000}"/>
    <cellStyle name="Обычный 2 3 2 3 4 2" xfId="312" xr:uid="{00000000-0005-0000-0000-000039010000}"/>
    <cellStyle name="Обычный 2 3 2 3 5" xfId="313" xr:uid="{00000000-0005-0000-0000-00003A010000}"/>
    <cellStyle name="Обычный 2 3 2 4" xfId="314" xr:uid="{00000000-0005-0000-0000-00003B010000}"/>
    <cellStyle name="Обычный 2 3 2 4 2" xfId="315" xr:uid="{00000000-0005-0000-0000-00003C010000}"/>
    <cellStyle name="Обычный 2 3 2 4 2 2" xfId="316" xr:uid="{00000000-0005-0000-0000-00003D010000}"/>
    <cellStyle name="Обычный 2 3 2 4 2 2 2" xfId="317" xr:uid="{00000000-0005-0000-0000-00003E010000}"/>
    <cellStyle name="Обычный 2 3 2 4 2 3" xfId="318" xr:uid="{00000000-0005-0000-0000-00003F010000}"/>
    <cellStyle name="Обычный 2 3 2 4 3" xfId="319" xr:uid="{00000000-0005-0000-0000-000040010000}"/>
    <cellStyle name="Обычный 2 3 2 4 3 2" xfId="320" xr:uid="{00000000-0005-0000-0000-000041010000}"/>
    <cellStyle name="Обычный 2 3 2 4 4" xfId="321" xr:uid="{00000000-0005-0000-0000-000042010000}"/>
    <cellStyle name="Обычный 2 3 2 5" xfId="322" xr:uid="{00000000-0005-0000-0000-000043010000}"/>
    <cellStyle name="Обычный 2 3 2 5 2" xfId="323" xr:uid="{00000000-0005-0000-0000-000044010000}"/>
    <cellStyle name="Обычный 2 3 2 5 2 2" xfId="324" xr:uid="{00000000-0005-0000-0000-000045010000}"/>
    <cellStyle name="Обычный 2 3 2 5 3" xfId="325" xr:uid="{00000000-0005-0000-0000-000046010000}"/>
    <cellStyle name="Обычный 2 3 2 6" xfId="326" xr:uid="{00000000-0005-0000-0000-000047010000}"/>
    <cellStyle name="Обычный 2 3 2 6 2" xfId="327" xr:uid="{00000000-0005-0000-0000-000048010000}"/>
    <cellStyle name="Обычный 2 3 2 7" xfId="328" xr:uid="{00000000-0005-0000-0000-000049010000}"/>
    <cellStyle name="Обычный 2 3 3" xfId="329" xr:uid="{00000000-0005-0000-0000-00004A010000}"/>
    <cellStyle name="Обычный 2 3 3 2" xfId="330" xr:uid="{00000000-0005-0000-0000-00004B010000}"/>
    <cellStyle name="Обычный 2 3 3 2 2" xfId="331" xr:uid="{00000000-0005-0000-0000-00004C010000}"/>
    <cellStyle name="Обычный 2 3 3 2 2 2" xfId="332" xr:uid="{00000000-0005-0000-0000-00004D010000}"/>
    <cellStyle name="Обычный 2 3 3 2 2 2 2" xfId="333" xr:uid="{00000000-0005-0000-0000-00004E010000}"/>
    <cellStyle name="Обычный 2 3 3 2 2 2 2 2" xfId="334" xr:uid="{00000000-0005-0000-0000-00004F010000}"/>
    <cellStyle name="Обычный 2 3 3 2 2 2 3" xfId="335" xr:uid="{00000000-0005-0000-0000-000050010000}"/>
    <cellStyle name="Обычный 2 3 3 2 2 3" xfId="336" xr:uid="{00000000-0005-0000-0000-000051010000}"/>
    <cellStyle name="Обычный 2 3 3 2 2 3 2" xfId="337" xr:uid="{00000000-0005-0000-0000-000052010000}"/>
    <cellStyle name="Обычный 2 3 3 2 2 4" xfId="338" xr:uid="{00000000-0005-0000-0000-000053010000}"/>
    <cellStyle name="Обычный 2 3 3 2 3" xfId="339" xr:uid="{00000000-0005-0000-0000-000054010000}"/>
    <cellStyle name="Обычный 2 3 3 2 3 2" xfId="340" xr:uid="{00000000-0005-0000-0000-000055010000}"/>
    <cellStyle name="Обычный 2 3 3 2 3 2 2" xfId="341" xr:uid="{00000000-0005-0000-0000-000056010000}"/>
    <cellStyle name="Обычный 2 3 3 2 3 3" xfId="342" xr:uid="{00000000-0005-0000-0000-000057010000}"/>
    <cellStyle name="Обычный 2 3 3 2 4" xfId="343" xr:uid="{00000000-0005-0000-0000-000058010000}"/>
    <cellStyle name="Обычный 2 3 3 2 4 2" xfId="344" xr:uid="{00000000-0005-0000-0000-000059010000}"/>
    <cellStyle name="Обычный 2 3 3 2 5" xfId="345" xr:uid="{00000000-0005-0000-0000-00005A010000}"/>
    <cellStyle name="Обычный 2 3 3 3" xfId="346" xr:uid="{00000000-0005-0000-0000-00005B010000}"/>
    <cellStyle name="Обычный 2 3 3 3 2" xfId="347" xr:uid="{00000000-0005-0000-0000-00005C010000}"/>
    <cellStyle name="Обычный 2 3 3 3 2 2" xfId="348" xr:uid="{00000000-0005-0000-0000-00005D010000}"/>
    <cellStyle name="Обычный 2 3 3 3 2 2 2" xfId="349" xr:uid="{00000000-0005-0000-0000-00005E010000}"/>
    <cellStyle name="Обычный 2 3 3 3 2 3" xfId="350" xr:uid="{00000000-0005-0000-0000-00005F010000}"/>
    <cellStyle name="Обычный 2 3 3 3 3" xfId="351" xr:uid="{00000000-0005-0000-0000-000060010000}"/>
    <cellStyle name="Обычный 2 3 3 3 3 2" xfId="352" xr:uid="{00000000-0005-0000-0000-000061010000}"/>
    <cellStyle name="Обычный 2 3 3 3 4" xfId="353" xr:uid="{00000000-0005-0000-0000-000062010000}"/>
    <cellStyle name="Обычный 2 3 3 4" xfId="354" xr:uid="{00000000-0005-0000-0000-000063010000}"/>
    <cellStyle name="Обычный 2 3 3 4 2" xfId="355" xr:uid="{00000000-0005-0000-0000-000064010000}"/>
    <cellStyle name="Обычный 2 3 3 4 2 2" xfId="356" xr:uid="{00000000-0005-0000-0000-000065010000}"/>
    <cellStyle name="Обычный 2 3 3 4 3" xfId="357" xr:uid="{00000000-0005-0000-0000-000066010000}"/>
    <cellStyle name="Обычный 2 3 3 5" xfId="358" xr:uid="{00000000-0005-0000-0000-000067010000}"/>
    <cellStyle name="Обычный 2 3 3 5 2" xfId="359" xr:uid="{00000000-0005-0000-0000-000068010000}"/>
    <cellStyle name="Обычный 2 3 3 6" xfId="360" xr:uid="{00000000-0005-0000-0000-000069010000}"/>
    <cellStyle name="Обычный 2 3 4" xfId="361" xr:uid="{00000000-0005-0000-0000-00006A010000}"/>
    <cellStyle name="Обычный 2 3 4 2" xfId="362" xr:uid="{00000000-0005-0000-0000-00006B010000}"/>
    <cellStyle name="Обычный 2 3 4 2 2" xfId="363" xr:uid="{00000000-0005-0000-0000-00006C010000}"/>
    <cellStyle name="Обычный 2 3 4 2 2 2" xfId="364" xr:uid="{00000000-0005-0000-0000-00006D010000}"/>
    <cellStyle name="Обычный 2 3 4 2 2 2 2" xfId="365" xr:uid="{00000000-0005-0000-0000-00006E010000}"/>
    <cellStyle name="Обычный 2 3 4 2 2 3" xfId="366" xr:uid="{00000000-0005-0000-0000-00006F010000}"/>
    <cellStyle name="Обычный 2 3 4 2 3" xfId="367" xr:uid="{00000000-0005-0000-0000-000070010000}"/>
    <cellStyle name="Обычный 2 3 4 2 3 2" xfId="368" xr:uid="{00000000-0005-0000-0000-000071010000}"/>
    <cellStyle name="Обычный 2 3 4 2 4" xfId="369" xr:uid="{00000000-0005-0000-0000-000072010000}"/>
    <cellStyle name="Обычный 2 3 4 3" xfId="370" xr:uid="{00000000-0005-0000-0000-000073010000}"/>
    <cellStyle name="Обычный 2 3 4 3 2" xfId="371" xr:uid="{00000000-0005-0000-0000-000074010000}"/>
    <cellStyle name="Обычный 2 3 4 3 2 2" xfId="372" xr:uid="{00000000-0005-0000-0000-000075010000}"/>
    <cellStyle name="Обычный 2 3 4 3 3" xfId="373" xr:uid="{00000000-0005-0000-0000-000076010000}"/>
    <cellStyle name="Обычный 2 3 4 4" xfId="374" xr:uid="{00000000-0005-0000-0000-000077010000}"/>
    <cellStyle name="Обычный 2 3 4 4 2" xfId="375" xr:uid="{00000000-0005-0000-0000-000078010000}"/>
    <cellStyle name="Обычный 2 3 4 5" xfId="376" xr:uid="{00000000-0005-0000-0000-000079010000}"/>
    <cellStyle name="Обычный 2 3 5" xfId="377" xr:uid="{00000000-0005-0000-0000-00007A010000}"/>
    <cellStyle name="Обычный 2 3 5 2" xfId="378" xr:uid="{00000000-0005-0000-0000-00007B010000}"/>
    <cellStyle name="Обычный 2 3 5 2 2" xfId="379" xr:uid="{00000000-0005-0000-0000-00007C010000}"/>
    <cellStyle name="Обычный 2 3 5 2 2 2" xfId="380" xr:uid="{00000000-0005-0000-0000-00007D010000}"/>
    <cellStyle name="Обычный 2 3 5 2 3" xfId="381" xr:uid="{00000000-0005-0000-0000-00007E010000}"/>
    <cellStyle name="Обычный 2 3 5 3" xfId="382" xr:uid="{00000000-0005-0000-0000-00007F010000}"/>
    <cellStyle name="Обычный 2 3 5 3 2" xfId="383" xr:uid="{00000000-0005-0000-0000-000080010000}"/>
    <cellStyle name="Обычный 2 3 5 4" xfId="384" xr:uid="{00000000-0005-0000-0000-000081010000}"/>
    <cellStyle name="Обычный 2 3 6" xfId="385" xr:uid="{00000000-0005-0000-0000-000082010000}"/>
    <cellStyle name="Обычный 2 3 6 2" xfId="386" xr:uid="{00000000-0005-0000-0000-000083010000}"/>
    <cellStyle name="Обычный 2 3 6 2 2" xfId="387" xr:uid="{00000000-0005-0000-0000-000084010000}"/>
    <cellStyle name="Обычный 2 3 6 3" xfId="388" xr:uid="{00000000-0005-0000-0000-000085010000}"/>
    <cellStyle name="Обычный 2 3 7" xfId="389" xr:uid="{00000000-0005-0000-0000-000086010000}"/>
    <cellStyle name="Обычный 2 3 7 2" xfId="390" xr:uid="{00000000-0005-0000-0000-000087010000}"/>
    <cellStyle name="Обычный 2 3 8" xfId="391" xr:uid="{00000000-0005-0000-0000-000088010000}"/>
    <cellStyle name="Обычный 2 4" xfId="392" xr:uid="{00000000-0005-0000-0000-000089010000}"/>
    <cellStyle name="Обычный 2 4 2" xfId="393" xr:uid="{00000000-0005-0000-0000-00008A010000}"/>
    <cellStyle name="Обычный 2 4 2 2" xfId="394" xr:uid="{00000000-0005-0000-0000-00008B010000}"/>
    <cellStyle name="Обычный 2 4 2 2 2" xfId="395" xr:uid="{00000000-0005-0000-0000-00008C010000}"/>
    <cellStyle name="Обычный 2 4 2 2 2 2" xfId="396" xr:uid="{00000000-0005-0000-0000-00008D010000}"/>
    <cellStyle name="Обычный 2 4 2 2 2 2 2" xfId="397" xr:uid="{00000000-0005-0000-0000-00008E010000}"/>
    <cellStyle name="Обычный 2 4 2 2 2 2 2 2" xfId="398" xr:uid="{00000000-0005-0000-0000-00008F010000}"/>
    <cellStyle name="Обычный 2 4 2 2 2 2 3" xfId="399" xr:uid="{00000000-0005-0000-0000-000090010000}"/>
    <cellStyle name="Обычный 2 4 2 2 2 3" xfId="400" xr:uid="{00000000-0005-0000-0000-000091010000}"/>
    <cellStyle name="Обычный 2 4 2 2 2 3 2" xfId="401" xr:uid="{00000000-0005-0000-0000-000092010000}"/>
    <cellStyle name="Обычный 2 4 2 2 2 4" xfId="402" xr:uid="{00000000-0005-0000-0000-000093010000}"/>
    <cellStyle name="Обычный 2 4 2 2 3" xfId="403" xr:uid="{00000000-0005-0000-0000-000094010000}"/>
    <cellStyle name="Обычный 2 4 2 2 3 2" xfId="404" xr:uid="{00000000-0005-0000-0000-000095010000}"/>
    <cellStyle name="Обычный 2 4 2 2 3 2 2" xfId="405" xr:uid="{00000000-0005-0000-0000-000096010000}"/>
    <cellStyle name="Обычный 2 4 2 2 3 3" xfId="406" xr:uid="{00000000-0005-0000-0000-000097010000}"/>
    <cellStyle name="Обычный 2 4 2 2 4" xfId="407" xr:uid="{00000000-0005-0000-0000-000098010000}"/>
    <cellStyle name="Обычный 2 4 2 2 4 2" xfId="408" xr:uid="{00000000-0005-0000-0000-000099010000}"/>
    <cellStyle name="Обычный 2 4 2 2 5" xfId="409" xr:uid="{00000000-0005-0000-0000-00009A010000}"/>
    <cellStyle name="Обычный 2 4 2 3" xfId="410" xr:uid="{00000000-0005-0000-0000-00009B010000}"/>
    <cellStyle name="Обычный 2 4 2 3 2" xfId="411" xr:uid="{00000000-0005-0000-0000-00009C010000}"/>
    <cellStyle name="Обычный 2 4 2 3 2 2" xfId="412" xr:uid="{00000000-0005-0000-0000-00009D010000}"/>
    <cellStyle name="Обычный 2 4 2 3 2 2 2" xfId="413" xr:uid="{00000000-0005-0000-0000-00009E010000}"/>
    <cellStyle name="Обычный 2 4 2 3 2 3" xfId="414" xr:uid="{00000000-0005-0000-0000-00009F010000}"/>
    <cellStyle name="Обычный 2 4 2 3 3" xfId="415" xr:uid="{00000000-0005-0000-0000-0000A0010000}"/>
    <cellStyle name="Обычный 2 4 2 3 3 2" xfId="416" xr:uid="{00000000-0005-0000-0000-0000A1010000}"/>
    <cellStyle name="Обычный 2 4 2 3 4" xfId="417" xr:uid="{00000000-0005-0000-0000-0000A2010000}"/>
    <cellStyle name="Обычный 2 4 2 4" xfId="418" xr:uid="{00000000-0005-0000-0000-0000A3010000}"/>
    <cellStyle name="Обычный 2 4 2 4 2" xfId="419" xr:uid="{00000000-0005-0000-0000-0000A4010000}"/>
    <cellStyle name="Обычный 2 4 2 4 2 2" xfId="420" xr:uid="{00000000-0005-0000-0000-0000A5010000}"/>
    <cellStyle name="Обычный 2 4 2 4 3" xfId="421" xr:uid="{00000000-0005-0000-0000-0000A6010000}"/>
    <cellStyle name="Обычный 2 4 2 5" xfId="422" xr:uid="{00000000-0005-0000-0000-0000A7010000}"/>
    <cellStyle name="Обычный 2 4 2 5 2" xfId="423" xr:uid="{00000000-0005-0000-0000-0000A8010000}"/>
    <cellStyle name="Обычный 2 4 2 6" xfId="424" xr:uid="{00000000-0005-0000-0000-0000A9010000}"/>
    <cellStyle name="Обычный 2 4 3" xfId="425" xr:uid="{00000000-0005-0000-0000-0000AA010000}"/>
    <cellStyle name="Обычный 2 4 3 2" xfId="426" xr:uid="{00000000-0005-0000-0000-0000AB010000}"/>
    <cellStyle name="Обычный 2 4 3 2 2" xfId="427" xr:uid="{00000000-0005-0000-0000-0000AC010000}"/>
    <cellStyle name="Обычный 2 4 3 2 2 2" xfId="428" xr:uid="{00000000-0005-0000-0000-0000AD010000}"/>
    <cellStyle name="Обычный 2 4 3 2 2 2 2" xfId="429" xr:uid="{00000000-0005-0000-0000-0000AE010000}"/>
    <cellStyle name="Обычный 2 4 3 2 2 3" xfId="430" xr:uid="{00000000-0005-0000-0000-0000AF010000}"/>
    <cellStyle name="Обычный 2 4 3 2 3" xfId="431" xr:uid="{00000000-0005-0000-0000-0000B0010000}"/>
    <cellStyle name="Обычный 2 4 3 2 3 2" xfId="432" xr:uid="{00000000-0005-0000-0000-0000B1010000}"/>
    <cellStyle name="Обычный 2 4 3 2 4" xfId="433" xr:uid="{00000000-0005-0000-0000-0000B2010000}"/>
    <cellStyle name="Обычный 2 4 3 3" xfId="434" xr:uid="{00000000-0005-0000-0000-0000B3010000}"/>
    <cellStyle name="Обычный 2 4 3 3 2" xfId="435" xr:uid="{00000000-0005-0000-0000-0000B4010000}"/>
    <cellStyle name="Обычный 2 4 3 3 2 2" xfId="436" xr:uid="{00000000-0005-0000-0000-0000B5010000}"/>
    <cellStyle name="Обычный 2 4 3 3 3" xfId="437" xr:uid="{00000000-0005-0000-0000-0000B6010000}"/>
    <cellStyle name="Обычный 2 4 3 4" xfId="438" xr:uid="{00000000-0005-0000-0000-0000B7010000}"/>
    <cellStyle name="Обычный 2 4 3 4 2" xfId="439" xr:uid="{00000000-0005-0000-0000-0000B8010000}"/>
    <cellStyle name="Обычный 2 4 3 5" xfId="440" xr:uid="{00000000-0005-0000-0000-0000B9010000}"/>
    <cellStyle name="Обычный 2 4 4" xfId="441" xr:uid="{00000000-0005-0000-0000-0000BA010000}"/>
    <cellStyle name="Обычный 2 4 4 2" xfId="442" xr:uid="{00000000-0005-0000-0000-0000BB010000}"/>
    <cellStyle name="Обычный 2 4 4 2 2" xfId="443" xr:uid="{00000000-0005-0000-0000-0000BC010000}"/>
    <cellStyle name="Обычный 2 4 4 2 2 2" xfId="444" xr:uid="{00000000-0005-0000-0000-0000BD010000}"/>
    <cellStyle name="Обычный 2 4 4 2 3" xfId="445" xr:uid="{00000000-0005-0000-0000-0000BE010000}"/>
    <cellStyle name="Обычный 2 4 4 3" xfId="446" xr:uid="{00000000-0005-0000-0000-0000BF010000}"/>
    <cellStyle name="Обычный 2 4 4 3 2" xfId="447" xr:uid="{00000000-0005-0000-0000-0000C0010000}"/>
    <cellStyle name="Обычный 2 4 4 4" xfId="448" xr:uid="{00000000-0005-0000-0000-0000C1010000}"/>
    <cellStyle name="Обычный 2 4 5" xfId="449" xr:uid="{00000000-0005-0000-0000-0000C2010000}"/>
    <cellStyle name="Обычный 2 4 5 2" xfId="450" xr:uid="{00000000-0005-0000-0000-0000C3010000}"/>
    <cellStyle name="Обычный 2 4 5 2 2" xfId="451" xr:uid="{00000000-0005-0000-0000-0000C4010000}"/>
    <cellStyle name="Обычный 2 4 5 3" xfId="452" xr:uid="{00000000-0005-0000-0000-0000C5010000}"/>
    <cellStyle name="Обычный 2 4 6" xfId="453" xr:uid="{00000000-0005-0000-0000-0000C6010000}"/>
    <cellStyle name="Обычный 2 4 6 2" xfId="454" xr:uid="{00000000-0005-0000-0000-0000C7010000}"/>
    <cellStyle name="Обычный 2 4 7" xfId="455" xr:uid="{00000000-0005-0000-0000-0000C8010000}"/>
    <cellStyle name="Обычный 2 5" xfId="456" xr:uid="{00000000-0005-0000-0000-0000C9010000}"/>
    <cellStyle name="Обычный 2 5 2" xfId="457" xr:uid="{00000000-0005-0000-0000-0000CA010000}"/>
    <cellStyle name="Обычный 2 5 2 2" xfId="458" xr:uid="{00000000-0005-0000-0000-0000CB010000}"/>
    <cellStyle name="Обычный 2 5 2 2 2" xfId="459" xr:uid="{00000000-0005-0000-0000-0000CC010000}"/>
    <cellStyle name="Обычный 2 5 2 2 2 2" xfId="460" xr:uid="{00000000-0005-0000-0000-0000CD010000}"/>
    <cellStyle name="Обычный 2 5 2 2 2 2 2" xfId="461" xr:uid="{00000000-0005-0000-0000-0000CE010000}"/>
    <cellStyle name="Обычный 2 5 2 2 2 3" xfId="462" xr:uid="{00000000-0005-0000-0000-0000CF010000}"/>
    <cellStyle name="Обычный 2 5 2 2 3" xfId="463" xr:uid="{00000000-0005-0000-0000-0000D0010000}"/>
    <cellStyle name="Обычный 2 5 2 2 3 2" xfId="464" xr:uid="{00000000-0005-0000-0000-0000D1010000}"/>
    <cellStyle name="Обычный 2 5 2 2 4" xfId="465" xr:uid="{00000000-0005-0000-0000-0000D2010000}"/>
    <cellStyle name="Обычный 2 5 2 3" xfId="466" xr:uid="{00000000-0005-0000-0000-0000D3010000}"/>
    <cellStyle name="Обычный 2 5 2 3 2" xfId="467" xr:uid="{00000000-0005-0000-0000-0000D4010000}"/>
    <cellStyle name="Обычный 2 5 2 3 2 2" xfId="468" xr:uid="{00000000-0005-0000-0000-0000D5010000}"/>
    <cellStyle name="Обычный 2 5 2 3 3" xfId="469" xr:uid="{00000000-0005-0000-0000-0000D6010000}"/>
    <cellStyle name="Обычный 2 5 2 4" xfId="470" xr:uid="{00000000-0005-0000-0000-0000D7010000}"/>
    <cellStyle name="Обычный 2 5 2 4 2" xfId="471" xr:uid="{00000000-0005-0000-0000-0000D8010000}"/>
    <cellStyle name="Обычный 2 5 2 5" xfId="472" xr:uid="{00000000-0005-0000-0000-0000D9010000}"/>
    <cellStyle name="Обычный 2 5 3" xfId="473" xr:uid="{00000000-0005-0000-0000-0000DA010000}"/>
    <cellStyle name="Обычный 2 5 3 2" xfId="474" xr:uid="{00000000-0005-0000-0000-0000DB010000}"/>
    <cellStyle name="Обычный 2 5 3 2 2" xfId="475" xr:uid="{00000000-0005-0000-0000-0000DC010000}"/>
    <cellStyle name="Обычный 2 5 3 2 2 2" xfId="476" xr:uid="{00000000-0005-0000-0000-0000DD010000}"/>
    <cellStyle name="Обычный 2 5 3 2 3" xfId="477" xr:uid="{00000000-0005-0000-0000-0000DE010000}"/>
    <cellStyle name="Обычный 2 5 3 3" xfId="478" xr:uid="{00000000-0005-0000-0000-0000DF010000}"/>
    <cellStyle name="Обычный 2 5 3 3 2" xfId="479" xr:uid="{00000000-0005-0000-0000-0000E0010000}"/>
    <cellStyle name="Обычный 2 5 3 4" xfId="480" xr:uid="{00000000-0005-0000-0000-0000E1010000}"/>
    <cellStyle name="Обычный 2 5 4" xfId="481" xr:uid="{00000000-0005-0000-0000-0000E2010000}"/>
    <cellStyle name="Обычный 2 5 4 2" xfId="482" xr:uid="{00000000-0005-0000-0000-0000E3010000}"/>
    <cellStyle name="Обычный 2 5 4 2 2" xfId="483" xr:uid="{00000000-0005-0000-0000-0000E4010000}"/>
    <cellStyle name="Обычный 2 5 4 3" xfId="484" xr:uid="{00000000-0005-0000-0000-0000E5010000}"/>
    <cellStyle name="Обычный 2 5 5" xfId="485" xr:uid="{00000000-0005-0000-0000-0000E6010000}"/>
    <cellStyle name="Обычный 2 5 5 2" xfId="486" xr:uid="{00000000-0005-0000-0000-0000E7010000}"/>
    <cellStyle name="Обычный 2 5 6" xfId="487" xr:uid="{00000000-0005-0000-0000-0000E8010000}"/>
    <cellStyle name="Обычный 2 6" xfId="488" xr:uid="{00000000-0005-0000-0000-0000E9010000}"/>
    <cellStyle name="Обычный 2 6 2" xfId="489" xr:uid="{00000000-0005-0000-0000-0000EA010000}"/>
    <cellStyle name="Обычный 2 6 2 2" xfId="490" xr:uid="{00000000-0005-0000-0000-0000EB010000}"/>
    <cellStyle name="Обычный 2 6 2 2 2" xfId="491" xr:uid="{00000000-0005-0000-0000-0000EC010000}"/>
    <cellStyle name="Обычный 2 6 2 2 2 2" xfId="492" xr:uid="{00000000-0005-0000-0000-0000ED010000}"/>
    <cellStyle name="Обычный 2 6 2 2 3" xfId="493" xr:uid="{00000000-0005-0000-0000-0000EE010000}"/>
    <cellStyle name="Обычный 2 6 2 3" xfId="494" xr:uid="{00000000-0005-0000-0000-0000EF010000}"/>
    <cellStyle name="Обычный 2 6 2 3 2" xfId="495" xr:uid="{00000000-0005-0000-0000-0000F0010000}"/>
    <cellStyle name="Обычный 2 6 2 4" xfId="496" xr:uid="{00000000-0005-0000-0000-0000F1010000}"/>
    <cellStyle name="Обычный 2 6 3" xfId="497" xr:uid="{00000000-0005-0000-0000-0000F2010000}"/>
    <cellStyle name="Обычный 2 6 3 2" xfId="498" xr:uid="{00000000-0005-0000-0000-0000F3010000}"/>
    <cellStyle name="Обычный 2 6 3 2 2" xfId="499" xr:uid="{00000000-0005-0000-0000-0000F4010000}"/>
    <cellStyle name="Обычный 2 6 3 3" xfId="500" xr:uid="{00000000-0005-0000-0000-0000F5010000}"/>
    <cellStyle name="Обычный 2 6 4" xfId="501" xr:uid="{00000000-0005-0000-0000-0000F6010000}"/>
    <cellStyle name="Обычный 2 6 4 2" xfId="502" xr:uid="{00000000-0005-0000-0000-0000F7010000}"/>
    <cellStyle name="Обычный 2 6 5" xfId="503" xr:uid="{00000000-0005-0000-0000-0000F8010000}"/>
    <cellStyle name="Обычный 2 7" xfId="504" xr:uid="{00000000-0005-0000-0000-0000F9010000}"/>
    <cellStyle name="Обычный 2 7 2" xfId="505" xr:uid="{00000000-0005-0000-0000-0000FA010000}"/>
    <cellStyle name="Обычный 2 7 2 2" xfId="506" xr:uid="{00000000-0005-0000-0000-0000FB010000}"/>
    <cellStyle name="Обычный 2 7 2 2 2" xfId="507" xr:uid="{00000000-0005-0000-0000-0000FC010000}"/>
    <cellStyle name="Обычный 2 7 2 3" xfId="508" xr:uid="{00000000-0005-0000-0000-0000FD010000}"/>
    <cellStyle name="Обычный 2 7 3" xfId="509" xr:uid="{00000000-0005-0000-0000-0000FE010000}"/>
    <cellStyle name="Обычный 2 7 3 2" xfId="510" xr:uid="{00000000-0005-0000-0000-0000FF010000}"/>
    <cellStyle name="Обычный 2 7 4" xfId="511" xr:uid="{00000000-0005-0000-0000-000000020000}"/>
    <cellStyle name="Обычный 2 8" xfId="512" xr:uid="{00000000-0005-0000-0000-000001020000}"/>
    <cellStyle name="Обычный 2 8 2" xfId="513" xr:uid="{00000000-0005-0000-0000-000002020000}"/>
    <cellStyle name="Обычный 2 8 2 2" xfId="514" xr:uid="{00000000-0005-0000-0000-000003020000}"/>
    <cellStyle name="Обычный 2 8 3" xfId="515" xr:uid="{00000000-0005-0000-0000-000004020000}"/>
    <cellStyle name="Обычный 2 9" xfId="516" xr:uid="{00000000-0005-0000-0000-000005020000}"/>
    <cellStyle name="Обычный 2 9 2" xfId="517" xr:uid="{00000000-0005-0000-0000-000006020000}"/>
    <cellStyle name="Обычный 3" xfId="518" xr:uid="{00000000-0005-0000-0000-000007020000}"/>
    <cellStyle name="Обычный 3 2" xfId="519" xr:uid="{00000000-0005-0000-0000-000008020000}"/>
    <cellStyle name="Обычный 3 2 2" xfId="520" xr:uid="{00000000-0005-0000-0000-000009020000}"/>
    <cellStyle name="Обычный 3 2 2 2" xfId="521" xr:uid="{00000000-0005-0000-0000-00000A020000}"/>
    <cellStyle name="Обычный 3 2 2 2 2" xfId="522" xr:uid="{00000000-0005-0000-0000-00000B020000}"/>
    <cellStyle name="Обычный 3 2 2 2 2 2" xfId="523" xr:uid="{00000000-0005-0000-0000-00000C020000}"/>
    <cellStyle name="Обычный 3 2 2 2 2 2 2" xfId="524" xr:uid="{00000000-0005-0000-0000-00000D020000}"/>
    <cellStyle name="Обычный 3 2 2 2 2 2 2 2" xfId="525" xr:uid="{00000000-0005-0000-0000-00000E020000}"/>
    <cellStyle name="Обычный 3 2 2 2 2 2 3" xfId="526" xr:uid="{00000000-0005-0000-0000-00000F020000}"/>
    <cellStyle name="Обычный 3 2 2 2 2 3" xfId="527" xr:uid="{00000000-0005-0000-0000-000010020000}"/>
    <cellStyle name="Обычный 3 2 2 2 2 3 2" xfId="528" xr:uid="{00000000-0005-0000-0000-000011020000}"/>
    <cellStyle name="Обычный 3 2 2 2 2 4" xfId="529" xr:uid="{00000000-0005-0000-0000-000012020000}"/>
    <cellStyle name="Обычный 3 2 2 2 3" xfId="530" xr:uid="{00000000-0005-0000-0000-000013020000}"/>
    <cellStyle name="Обычный 3 2 2 2 3 2" xfId="531" xr:uid="{00000000-0005-0000-0000-000014020000}"/>
    <cellStyle name="Обычный 3 2 2 2 3 2 2" xfId="532" xr:uid="{00000000-0005-0000-0000-000015020000}"/>
    <cellStyle name="Обычный 3 2 2 2 3 3" xfId="533" xr:uid="{00000000-0005-0000-0000-000016020000}"/>
    <cellStyle name="Обычный 3 2 2 2 4" xfId="534" xr:uid="{00000000-0005-0000-0000-000017020000}"/>
    <cellStyle name="Обычный 3 2 2 2 4 2" xfId="535" xr:uid="{00000000-0005-0000-0000-000018020000}"/>
    <cellStyle name="Обычный 3 2 2 2 5" xfId="536" xr:uid="{00000000-0005-0000-0000-000019020000}"/>
    <cellStyle name="Обычный 3 2 2 3" xfId="537" xr:uid="{00000000-0005-0000-0000-00001A020000}"/>
    <cellStyle name="Обычный 3 2 2 3 2" xfId="538" xr:uid="{00000000-0005-0000-0000-00001B020000}"/>
    <cellStyle name="Обычный 3 2 2 3 2 2" xfId="539" xr:uid="{00000000-0005-0000-0000-00001C020000}"/>
    <cellStyle name="Обычный 3 2 2 3 2 2 2" xfId="540" xr:uid="{00000000-0005-0000-0000-00001D020000}"/>
    <cellStyle name="Обычный 3 2 2 3 2 3" xfId="541" xr:uid="{00000000-0005-0000-0000-00001E020000}"/>
    <cellStyle name="Обычный 3 2 2 3 3" xfId="542" xr:uid="{00000000-0005-0000-0000-00001F020000}"/>
    <cellStyle name="Обычный 3 2 2 3 3 2" xfId="543" xr:uid="{00000000-0005-0000-0000-000020020000}"/>
    <cellStyle name="Обычный 3 2 2 3 4" xfId="544" xr:uid="{00000000-0005-0000-0000-000021020000}"/>
    <cellStyle name="Обычный 3 2 2 4" xfId="545" xr:uid="{00000000-0005-0000-0000-000022020000}"/>
    <cellStyle name="Обычный 3 2 2 4 2" xfId="546" xr:uid="{00000000-0005-0000-0000-000023020000}"/>
    <cellStyle name="Обычный 3 2 2 4 2 2" xfId="547" xr:uid="{00000000-0005-0000-0000-000024020000}"/>
    <cellStyle name="Обычный 3 2 2 4 3" xfId="548" xr:uid="{00000000-0005-0000-0000-000025020000}"/>
    <cellStyle name="Обычный 3 2 2 5" xfId="549" xr:uid="{00000000-0005-0000-0000-000026020000}"/>
    <cellStyle name="Обычный 3 2 2 5 2" xfId="550" xr:uid="{00000000-0005-0000-0000-000027020000}"/>
    <cellStyle name="Обычный 3 2 2 6" xfId="551" xr:uid="{00000000-0005-0000-0000-000028020000}"/>
    <cellStyle name="Обычный 3 2 3" xfId="552" xr:uid="{00000000-0005-0000-0000-000029020000}"/>
    <cellStyle name="Обычный 3 2 3 2" xfId="553" xr:uid="{00000000-0005-0000-0000-00002A020000}"/>
    <cellStyle name="Обычный 3 2 3 2 2" xfId="554" xr:uid="{00000000-0005-0000-0000-00002B020000}"/>
    <cellStyle name="Обычный 3 2 3 2 2 2" xfId="555" xr:uid="{00000000-0005-0000-0000-00002C020000}"/>
    <cellStyle name="Обычный 3 2 3 2 2 2 2" xfId="556" xr:uid="{00000000-0005-0000-0000-00002D020000}"/>
    <cellStyle name="Обычный 3 2 3 2 2 3" xfId="557" xr:uid="{00000000-0005-0000-0000-00002E020000}"/>
    <cellStyle name="Обычный 3 2 3 2 3" xfId="558" xr:uid="{00000000-0005-0000-0000-00002F020000}"/>
    <cellStyle name="Обычный 3 2 3 2 3 2" xfId="559" xr:uid="{00000000-0005-0000-0000-000030020000}"/>
    <cellStyle name="Обычный 3 2 3 2 4" xfId="560" xr:uid="{00000000-0005-0000-0000-000031020000}"/>
    <cellStyle name="Обычный 3 2 3 3" xfId="561" xr:uid="{00000000-0005-0000-0000-000032020000}"/>
    <cellStyle name="Обычный 3 2 3 3 2" xfId="562" xr:uid="{00000000-0005-0000-0000-000033020000}"/>
    <cellStyle name="Обычный 3 2 3 3 2 2" xfId="563" xr:uid="{00000000-0005-0000-0000-000034020000}"/>
    <cellStyle name="Обычный 3 2 3 3 3" xfId="564" xr:uid="{00000000-0005-0000-0000-000035020000}"/>
    <cellStyle name="Обычный 3 2 3 4" xfId="565" xr:uid="{00000000-0005-0000-0000-000036020000}"/>
    <cellStyle name="Обычный 3 2 3 4 2" xfId="566" xr:uid="{00000000-0005-0000-0000-000037020000}"/>
    <cellStyle name="Обычный 3 2 3 5" xfId="567" xr:uid="{00000000-0005-0000-0000-000038020000}"/>
    <cellStyle name="Обычный 3 2 4" xfId="568" xr:uid="{00000000-0005-0000-0000-000039020000}"/>
    <cellStyle name="Обычный 3 2 4 2" xfId="569" xr:uid="{00000000-0005-0000-0000-00003A020000}"/>
    <cellStyle name="Обычный 3 2 4 2 2" xfId="570" xr:uid="{00000000-0005-0000-0000-00003B020000}"/>
    <cellStyle name="Обычный 3 2 4 2 2 2" xfId="571" xr:uid="{00000000-0005-0000-0000-00003C020000}"/>
    <cellStyle name="Обычный 3 2 4 2 3" xfId="572" xr:uid="{00000000-0005-0000-0000-00003D020000}"/>
    <cellStyle name="Обычный 3 2 4 3" xfId="573" xr:uid="{00000000-0005-0000-0000-00003E020000}"/>
    <cellStyle name="Обычный 3 2 4 3 2" xfId="574" xr:uid="{00000000-0005-0000-0000-00003F020000}"/>
    <cellStyle name="Обычный 3 2 4 4" xfId="575" xr:uid="{00000000-0005-0000-0000-000040020000}"/>
    <cellStyle name="Обычный 3 2 5" xfId="576" xr:uid="{00000000-0005-0000-0000-000041020000}"/>
    <cellStyle name="Обычный 3 2 5 2" xfId="577" xr:uid="{00000000-0005-0000-0000-000042020000}"/>
    <cellStyle name="Обычный 3 2 5 2 2" xfId="578" xr:uid="{00000000-0005-0000-0000-000043020000}"/>
    <cellStyle name="Обычный 3 2 5 3" xfId="579" xr:uid="{00000000-0005-0000-0000-000044020000}"/>
    <cellStyle name="Обычный 3 2 6" xfId="580" xr:uid="{00000000-0005-0000-0000-000045020000}"/>
    <cellStyle name="Обычный 3 2 6 2" xfId="581" xr:uid="{00000000-0005-0000-0000-000046020000}"/>
    <cellStyle name="Обычный 3 2 7" xfId="582" xr:uid="{00000000-0005-0000-0000-000047020000}"/>
    <cellStyle name="Обычный 3 3" xfId="583" xr:uid="{00000000-0005-0000-0000-000048020000}"/>
    <cellStyle name="Обычный 3 3 2" xfId="584" xr:uid="{00000000-0005-0000-0000-000049020000}"/>
    <cellStyle name="Обычный 3 3 2 2" xfId="585" xr:uid="{00000000-0005-0000-0000-00004A020000}"/>
    <cellStyle name="Обычный 3 3 2 2 2" xfId="586" xr:uid="{00000000-0005-0000-0000-00004B020000}"/>
    <cellStyle name="Обычный 3 3 2 2 2 2" xfId="587" xr:uid="{00000000-0005-0000-0000-00004C020000}"/>
    <cellStyle name="Обычный 3 3 2 2 2 2 2" xfId="588" xr:uid="{00000000-0005-0000-0000-00004D020000}"/>
    <cellStyle name="Обычный 3 3 2 2 2 3" xfId="589" xr:uid="{00000000-0005-0000-0000-00004E020000}"/>
    <cellStyle name="Обычный 3 3 2 2 3" xfId="590" xr:uid="{00000000-0005-0000-0000-00004F020000}"/>
    <cellStyle name="Обычный 3 3 2 2 3 2" xfId="591" xr:uid="{00000000-0005-0000-0000-000050020000}"/>
    <cellStyle name="Обычный 3 3 2 2 4" xfId="592" xr:uid="{00000000-0005-0000-0000-000051020000}"/>
    <cellStyle name="Обычный 3 3 2 3" xfId="593" xr:uid="{00000000-0005-0000-0000-000052020000}"/>
    <cellStyle name="Обычный 3 3 2 3 2" xfId="594" xr:uid="{00000000-0005-0000-0000-000053020000}"/>
    <cellStyle name="Обычный 3 3 2 3 2 2" xfId="595" xr:uid="{00000000-0005-0000-0000-000054020000}"/>
    <cellStyle name="Обычный 3 3 2 3 3" xfId="596" xr:uid="{00000000-0005-0000-0000-000055020000}"/>
    <cellStyle name="Обычный 3 3 2 4" xfId="597" xr:uid="{00000000-0005-0000-0000-000056020000}"/>
    <cellStyle name="Обычный 3 3 2 4 2" xfId="598" xr:uid="{00000000-0005-0000-0000-000057020000}"/>
    <cellStyle name="Обычный 3 3 2 5" xfId="599" xr:uid="{00000000-0005-0000-0000-000058020000}"/>
    <cellStyle name="Обычный 3 3 3" xfId="600" xr:uid="{00000000-0005-0000-0000-000059020000}"/>
    <cellStyle name="Обычный 3 3 3 2" xfId="601" xr:uid="{00000000-0005-0000-0000-00005A020000}"/>
    <cellStyle name="Обычный 3 3 3 2 2" xfId="602" xr:uid="{00000000-0005-0000-0000-00005B020000}"/>
    <cellStyle name="Обычный 3 3 3 2 2 2" xfId="603" xr:uid="{00000000-0005-0000-0000-00005C020000}"/>
    <cellStyle name="Обычный 3 3 3 2 3" xfId="604" xr:uid="{00000000-0005-0000-0000-00005D020000}"/>
    <cellStyle name="Обычный 3 3 3 3" xfId="605" xr:uid="{00000000-0005-0000-0000-00005E020000}"/>
    <cellStyle name="Обычный 3 3 3 3 2" xfId="606" xr:uid="{00000000-0005-0000-0000-00005F020000}"/>
    <cellStyle name="Обычный 3 3 3 4" xfId="607" xr:uid="{00000000-0005-0000-0000-000060020000}"/>
    <cellStyle name="Обычный 3 3 4" xfId="608" xr:uid="{00000000-0005-0000-0000-000061020000}"/>
    <cellStyle name="Обычный 3 3 4 2" xfId="609" xr:uid="{00000000-0005-0000-0000-000062020000}"/>
    <cellStyle name="Обычный 3 3 4 2 2" xfId="610" xr:uid="{00000000-0005-0000-0000-000063020000}"/>
    <cellStyle name="Обычный 3 3 4 3" xfId="611" xr:uid="{00000000-0005-0000-0000-000064020000}"/>
    <cellStyle name="Обычный 3 3 5" xfId="612" xr:uid="{00000000-0005-0000-0000-000065020000}"/>
    <cellStyle name="Обычный 3 3 5 2" xfId="613" xr:uid="{00000000-0005-0000-0000-000066020000}"/>
    <cellStyle name="Обычный 3 3 6" xfId="614" xr:uid="{00000000-0005-0000-0000-000067020000}"/>
    <cellStyle name="Обычный 3 4" xfId="615" xr:uid="{00000000-0005-0000-0000-000068020000}"/>
    <cellStyle name="Обычный 3 4 2" xfId="616" xr:uid="{00000000-0005-0000-0000-000069020000}"/>
    <cellStyle name="Обычный 3 4 2 2" xfId="617" xr:uid="{00000000-0005-0000-0000-00006A020000}"/>
    <cellStyle name="Обычный 3 4 2 2 2" xfId="618" xr:uid="{00000000-0005-0000-0000-00006B020000}"/>
    <cellStyle name="Обычный 3 4 2 2 2 2" xfId="619" xr:uid="{00000000-0005-0000-0000-00006C020000}"/>
    <cellStyle name="Обычный 3 4 2 2 3" xfId="620" xr:uid="{00000000-0005-0000-0000-00006D020000}"/>
    <cellStyle name="Обычный 3 4 2 3" xfId="621" xr:uid="{00000000-0005-0000-0000-00006E020000}"/>
    <cellStyle name="Обычный 3 4 2 3 2" xfId="622" xr:uid="{00000000-0005-0000-0000-00006F020000}"/>
    <cellStyle name="Обычный 3 4 2 4" xfId="623" xr:uid="{00000000-0005-0000-0000-000070020000}"/>
    <cellStyle name="Обычный 3 4 3" xfId="624" xr:uid="{00000000-0005-0000-0000-000071020000}"/>
    <cellStyle name="Обычный 3 4 3 2" xfId="625" xr:uid="{00000000-0005-0000-0000-000072020000}"/>
    <cellStyle name="Обычный 3 4 3 2 2" xfId="626" xr:uid="{00000000-0005-0000-0000-000073020000}"/>
    <cellStyle name="Обычный 3 4 3 3" xfId="627" xr:uid="{00000000-0005-0000-0000-000074020000}"/>
    <cellStyle name="Обычный 3 4 4" xfId="628" xr:uid="{00000000-0005-0000-0000-000075020000}"/>
    <cellStyle name="Обычный 3 4 4 2" xfId="629" xr:uid="{00000000-0005-0000-0000-000076020000}"/>
    <cellStyle name="Обычный 3 4 5" xfId="630" xr:uid="{00000000-0005-0000-0000-000077020000}"/>
    <cellStyle name="Обычный 3 5" xfId="631" xr:uid="{00000000-0005-0000-0000-000078020000}"/>
    <cellStyle name="Обычный 3 5 2" xfId="632" xr:uid="{00000000-0005-0000-0000-000079020000}"/>
    <cellStyle name="Обычный 3 5 2 2" xfId="633" xr:uid="{00000000-0005-0000-0000-00007A020000}"/>
    <cellStyle name="Обычный 3 5 2 2 2" xfId="634" xr:uid="{00000000-0005-0000-0000-00007B020000}"/>
    <cellStyle name="Обычный 3 5 2 3" xfId="635" xr:uid="{00000000-0005-0000-0000-00007C020000}"/>
    <cellStyle name="Обычный 3 5 3" xfId="636" xr:uid="{00000000-0005-0000-0000-00007D020000}"/>
    <cellStyle name="Обычный 3 5 3 2" xfId="637" xr:uid="{00000000-0005-0000-0000-00007E020000}"/>
    <cellStyle name="Обычный 3 5 4" xfId="638" xr:uid="{00000000-0005-0000-0000-00007F020000}"/>
    <cellStyle name="Обычный 3 6" xfId="639" xr:uid="{00000000-0005-0000-0000-000080020000}"/>
    <cellStyle name="Обычный 3 6 2" xfId="640" xr:uid="{00000000-0005-0000-0000-000081020000}"/>
    <cellStyle name="Обычный 3 6 2 2" xfId="641" xr:uid="{00000000-0005-0000-0000-000082020000}"/>
    <cellStyle name="Обычный 3 6 3" xfId="642" xr:uid="{00000000-0005-0000-0000-000083020000}"/>
    <cellStyle name="Обычный 3 7" xfId="643" xr:uid="{00000000-0005-0000-0000-000084020000}"/>
    <cellStyle name="Обычный 3 7 2" xfId="644" xr:uid="{00000000-0005-0000-0000-000085020000}"/>
    <cellStyle name="Обычный 3 8" xfId="645" xr:uid="{00000000-0005-0000-0000-000086020000}"/>
    <cellStyle name="Обычный 4" xfId="646" xr:uid="{00000000-0005-0000-0000-000087020000}"/>
    <cellStyle name="Обычный 4 2" xfId="647" xr:uid="{00000000-0005-0000-0000-000088020000}"/>
    <cellStyle name="Обычный 4 2 2" xfId="648" xr:uid="{00000000-0005-0000-0000-000089020000}"/>
    <cellStyle name="Обычный 4 2 2 2" xfId="649" xr:uid="{00000000-0005-0000-0000-00008A020000}"/>
    <cellStyle name="Обычный 4 2 2 2 2" xfId="650" xr:uid="{00000000-0005-0000-0000-00008B020000}"/>
    <cellStyle name="Обычный 4 2 2 2 2 2" xfId="651" xr:uid="{00000000-0005-0000-0000-00008C020000}"/>
    <cellStyle name="Обычный 4 2 2 2 3" xfId="652" xr:uid="{00000000-0005-0000-0000-00008D020000}"/>
    <cellStyle name="Обычный 4 2 2 3" xfId="653" xr:uid="{00000000-0005-0000-0000-00008E020000}"/>
    <cellStyle name="Обычный 4 2 2 3 2" xfId="654" xr:uid="{00000000-0005-0000-0000-00008F020000}"/>
    <cellStyle name="Обычный 4 2 2 4" xfId="655" xr:uid="{00000000-0005-0000-0000-000090020000}"/>
    <cellStyle name="Обычный 4 2 3" xfId="656" xr:uid="{00000000-0005-0000-0000-000091020000}"/>
    <cellStyle name="Обычный 4 2 3 2" xfId="657" xr:uid="{00000000-0005-0000-0000-000092020000}"/>
    <cellStyle name="Обычный 4 2 3 2 2" xfId="658" xr:uid="{00000000-0005-0000-0000-000093020000}"/>
    <cellStyle name="Обычный 4 2 3 3" xfId="659" xr:uid="{00000000-0005-0000-0000-000094020000}"/>
    <cellStyle name="Обычный 4 2 4" xfId="660" xr:uid="{00000000-0005-0000-0000-000095020000}"/>
    <cellStyle name="Обычный 4 2 4 2" xfId="661" xr:uid="{00000000-0005-0000-0000-000096020000}"/>
    <cellStyle name="Обычный 4 2 5" xfId="662" xr:uid="{00000000-0005-0000-0000-000097020000}"/>
    <cellStyle name="Обычный 4 3" xfId="663" xr:uid="{00000000-0005-0000-0000-000098020000}"/>
    <cellStyle name="Обычный 4 3 2" xfId="664" xr:uid="{00000000-0005-0000-0000-000099020000}"/>
    <cellStyle name="Обычный 4 3 2 2" xfId="665" xr:uid="{00000000-0005-0000-0000-00009A020000}"/>
    <cellStyle name="Обычный 4 3 2 2 2" xfId="666" xr:uid="{00000000-0005-0000-0000-00009B020000}"/>
    <cellStyle name="Обычный 4 3 2 3" xfId="667" xr:uid="{00000000-0005-0000-0000-00009C020000}"/>
    <cellStyle name="Обычный 4 3 3" xfId="668" xr:uid="{00000000-0005-0000-0000-00009D020000}"/>
    <cellStyle name="Обычный 4 3 3 2" xfId="669" xr:uid="{00000000-0005-0000-0000-00009E020000}"/>
    <cellStyle name="Обычный 4 3 4" xfId="670" xr:uid="{00000000-0005-0000-0000-00009F020000}"/>
    <cellStyle name="Обычный 4 4" xfId="671" xr:uid="{00000000-0005-0000-0000-0000A0020000}"/>
    <cellStyle name="Обычный 4 4 2" xfId="672" xr:uid="{00000000-0005-0000-0000-0000A1020000}"/>
    <cellStyle name="Обычный 4 4 2 2" xfId="673" xr:uid="{00000000-0005-0000-0000-0000A2020000}"/>
    <cellStyle name="Обычный 4 4 3" xfId="674" xr:uid="{00000000-0005-0000-0000-0000A3020000}"/>
    <cellStyle name="Обычный 4 5" xfId="675" xr:uid="{00000000-0005-0000-0000-0000A4020000}"/>
    <cellStyle name="Обычный 4 5 2" xfId="676" xr:uid="{00000000-0005-0000-0000-0000A5020000}"/>
    <cellStyle name="Обычный 4 6" xfId="677" xr:uid="{00000000-0005-0000-0000-0000A6020000}"/>
    <cellStyle name="Обычный 5" xfId="678" xr:uid="{00000000-0005-0000-0000-0000A7020000}"/>
    <cellStyle name="Обычный 5 2" xfId="679" xr:uid="{00000000-0005-0000-0000-0000A8020000}"/>
    <cellStyle name="Обычный 5 2 2" xfId="680" xr:uid="{00000000-0005-0000-0000-0000A9020000}"/>
    <cellStyle name="Обычный 5 3" xfId="681" xr:uid="{00000000-0005-0000-0000-0000AA020000}"/>
    <cellStyle name="Обычный 6" xfId="682" xr:uid="{00000000-0005-0000-0000-0000AB020000}"/>
    <cellStyle name="Обычный 6 2" xfId="683" xr:uid="{00000000-0005-0000-0000-0000AC020000}"/>
    <cellStyle name="Обычный 6 2 2" xfId="684" xr:uid="{00000000-0005-0000-0000-0000AD020000}"/>
    <cellStyle name="Обычный 6 2 3" xfId="685" xr:uid="{00000000-0005-0000-0000-0000AE020000}"/>
    <cellStyle name="Обычный 6 3" xfId="686" xr:uid="{00000000-0005-0000-0000-0000AF020000}"/>
    <cellStyle name="Обычный 7" xfId="687" xr:uid="{00000000-0005-0000-0000-0000B0020000}"/>
    <cellStyle name="Обычный 7 2" xfId="688" xr:uid="{00000000-0005-0000-0000-0000B1020000}"/>
    <cellStyle name="Обычный 8" xfId="689" xr:uid="{00000000-0005-0000-0000-0000B2020000}"/>
    <cellStyle name="Обычный 8 2" xfId="690" xr:uid="{00000000-0005-0000-0000-0000B3020000}"/>
    <cellStyle name="Обычный 9" xfId="691" xr:uid="{00000000-0005-0000-0000-0000B4020000}"/>
    <cellStyle name="Обычный 9 2" xfId="692" xr:uid="{00000000-0005-0000-0000-0000B5020000}"/>
    <cellStyle name="Процентный 2" xfId="693" xr:uid="{00000000-0005-0000-0000-0000B6020000}"/>
    <cellStyle name="Процентный 2 10" xfId="694" xr:uid="{00000000-0005-0000-0000-0000B7020000}"/>
    <cellStyle name="Процентный 2 11" xfId="695" xr:uid="{00000000-0005-0000-0000-0000B8020000}"/>
    <cellStyle name="Процентный 2 12" xfId="696" xr:uid="{00000000-0005-0000-0000-0000B9020000}"/>
    <cellStyle name="Процентный 2 2" xfId="697" xr:uid="{00000000-0005-0000-0000-0000BA020000}"/>
    <cellStyle name="Процентный 2 2 2" xfId="698" xr:uid="{00000000-0005-0000-0000-0000BB020000}"/>
    <cellStyle name="Процентный 2 2 2 2" xfId="699" xr:uid="{00000000-0005-0000-0000-0000BC020000}"/>
    <cellStyle name="Процентный 2 2 2 2 2" xfId="700" xr:uid="{00000000-0005-0000-0000-0000BD020000}"/>
    <cellStyle name="Процентный 2 2 2 2 2 2" xfId="701" xr:uid="{00000000-0005-0000-0000-0000BE020000}"/>
    <cellStyle name="Процентный 2 2 2 2 2 2 2" xfId="702" xr:uid="{00000000-0005-0000-0000-0000BF020000}"/>
    <cellStyle name="Процентный 2 2 2 2 2 2 2 2" xfId="703" xr:uid="{00000000-0005-0000-0000-0000C0020000}"/>
    <cellStyle name="Процентный 2 2 2 2 2 2 2 2 2" xfId="704" xr:uid="{00000000-0005-0000-0000-0000C1020000}"/>
    <cellStyle name="Процентный 2 2 2 2 2 2 2 2 2 2" xfId="705" xr:uid="{00000000-0005-0000-0000-0000C2020000}"/>
    <cellStyle name="Процентный 2 2 2 2 2 2 2 2 3" xfId="706" xr:uid="{00000000-0005-0000-0000-0000C3020000}"/>
    <cellStyle name="Процентный 2 2 2 2 2 2 2 3" xfId="707" xr:uid="{00000000-0005-0000-0000-0000C4020000}"/>
    <cellStyle name="Процентный 2 2 2 2 2 2 2 3 2" xfId="708" xr:uid="{00000000-0005-0000-0000-0000C5020000}"/>
    <cellStyle name="Процентный 2 2 2 2 2 2 2 4" xfId="709" xr:uid="{00000000-0005-0000-0000-0000C6020000}"/>
    <cellStyle name="Процентный 2 2 2 2 2 2 3" xfId="710" xr:uid="{00000000-0005-0000-0000-0000C7020000}"/>
    <cellStyle name="Процентный 2 2 2 2 2 2 3 2" xfId="711" xr:uid="{00000000-0005-0000-0000-0000C8020000}"/>
    <cellStyle name="Процентный 2 2 2 2 2 2 3 2 2" xfId="712" xr:uid="{00000000-0005-0000-0000-0000C9020000}"/>
    <cellStyle name="Процентный 2 2 2 2 2 2 3 3" xfId="713" xr:uid="{00000000-0005-0000-0000-0000CA020000}"/>
    <cellStyle name="Процентный 2 2 2 2 2 2 4" xfId="714" xr:uid="{00000000-0005-0000-0000-0000CB020000}"/>
    <cellStyle name="Процентный 2 2 2 2 2 2 4 2" xfId="715" xr:uid="{00000000-0005-0000-0000-0000CC020000}"/>
    <cellStyle name="Процентный 2 2 2 2 2 2 5" xfId="716" xr:uid="{00000000-0005-0000-0000-0000CD020000}"/>
    <cellStyle name="Процентный 2 2 2 2 2 3" xfId="717" xr:uid="{00000000-0005-0000-0000-0000CE020000}"/>
    <cellStyle name="Процентный 2 2 2 2 2 3 2" xfId="718" xr:uid="{00000000-0005-0000-0000-0000CF020000}"/>
    <cellStyle name="Процентный 2 2 2 2 2 3 2 2" xfId="719" xr:uid="{00000000-0005-0000-0000-0000D0020000}"/>
    <cellStyle name="Процентный 2 2 2 2 2 3 2 2 2" xfId="720" xr:uid="{00000000-0005-0000-0000-0000D1020000}"/>
    <cellStyle name="Процентный 2 2 2 2 2 3 2 3" xfId="721" xr:uid="{00000000-0005-0000-0000-0000D2020000}"/>
    <cellStyle name="Процентный 2 2 2 2 2 3 3" xfId="722" xr:uid="{00000000-0005-0000-0000-0000D3020000}"/>
    <cellStyle name="Процентный 2 2 2 2 2 3 3 2" xfId="723" xr:uid="{00000000-0005-0000-0000-0000D4020000}"/>
    <cellStyle name="Процентный 2 2 2 2 2 3 4" xfId="724" xr:uid="{00000000-0005-0000-0000-0000D5020000}"/>
    <cellStyle name="Процентный 2 2 2 2 2 4" xfId="725" xr:uid="{00000000-0005-0000-0000-0000D6020000}"/>
    <cellStyle name="Процентный 2 2 2 2 2 4 2" xfId="726" xr:uid="{00000000-0005-0000-0000-0000D7020000}"/>
    <cellStyle name="Процентный 2 2 2 2 2 4 2 2" xfId="727" xr:uid="{00000000-0005-0000-0000-0000D8020000}"/>
    <cellStyle name="Процентный 2 2 2 2 2 4 3" xfId="728" xr:uid="{00000000-0005-0000-0000-0000D9020000}"/>
    <cellStyle name="Процентный 2 2 2 2 2 5" xfId="729" xr:uid="{00000000-0005-0000-0000-0000DA020000}"/>
    <cellStyle name="Процентный 2 2 2 2 2 5 2" xfId="730" xr:uid="{00000000-0005-0000-0000-0000DB020000}"/>
    <cellStyle name="Процентный 2 2 2 2 2 6" xfId="731" xr:uid="{00000000-0005-0000-0000-0000DC020000}"/>
    <cellStyle name="Процентный 2 2 2 2 3" xfId="732" xr:uid="{00000000-0005-0000-0000-0000DD020000}"/>
    <cellStyle name="Процентный 2 2 2 2 3 2" xfId="733" xr:uid="{00000000-0005-0000-0000-0000DE020000}"/>
    <cellStyle name="Процентный 2 2 2 2 3 2 2" xfId="734" xr:uid="{00000000-0005-0000-0000-0000DF020000}"/>
    <cellStyle name="Процентный 2 2 2 2 3 2 2 2" xfId="735" xr:uid="{00000000-0005-0000-0000-0000E0020000}"/>
    <cellStyle name="Процентный 2 2 2 2 3 2 2 2 2" xfId="736" xr:uid="{00000000-0005-0000-0000-0000E1020000}"/>
    <cellStyle name="Процентный 2 2 2 2 3 2 2 3" xfId="737" xr:uid="{00000000-0005-0000-0000-0000E2020000}"/>
    <cellStyle name="Процентный 2 2 2 2 3 2 3" xfId="738" xr:uid="{00000000-0005-0000-0000-0000E3020000}"/>
    <cellStyle name="Процентный 2 2 2 2 3 2 3 2" xfId="739" xr:uid="{00000000-0005-0000-0000-0000E4020000}"/>
    <cellStyle name="Процентный 2 2 2 2 3 2 4" xfId="740" xr:uid="{00000000-0005-0000-0000-0000E5020000}"/>
    <cellStyle name="Процентный 2 2 2 2 3 3" xfId="741" xr:uid="{00000000-0005-0000-0000-0000E6020000}"/>
    <cellStyle name="Процентный 2 2 2 2 3 3 2" xfId="742" xr:uid="{00000000-0005-0000-0000-0000E7020000}"/>
    <cellStyle name="Процентный 2 2 2 2 3 3 2 2" xfId="743" xr:uid="{00000000-0005-0000-0000-0000E8020000}"/>
    <cellStyle name="Процентный 2 2 2 2 3 3 3" xfId="744" xr:uid="{00000000-0005-0000-0000-0000E9020000}"/>
    <cellStyle name="Процентный 2 2 2 2 3 4" xfId="745" xr:uid="{00000000-0005-0000-0000-0000EA020000}"/>
    <cellStyle name="Процентный 2 2 2 2 3 4 2" xfId="746" xr:uid="{00000000-0005-0000-0000-0000EB020000}"/>
    <cellStyle name="Процентный 2 2 2 2 3 5" xfId="747" xr:uid="{00000000-0005-0000-0000-0000EC020000}"/>
    <cellStyle name="Процентный 2 2 2 2 4" xfId="748" xr:uid="{00000000-0005-0000-0000-0000ED020000}"/>
    <cellStyle name="Процентный 2 2 2 2 4 2" xfId="749" xr:uid="{00000000-0005-0000-0000-0000EE020000}"/>
    <cellStyle name="Процентный 2 2 2 2 4 2 2" xfId="750" xr:uid="{00000000-0005-0000-0000-0000EF020000}"/>
    <cellStyle name="Процентный 2 2 2 2 4 2 2 2" xfId="751" xr:uid="{00000000-0005-0000-0000-0000F0020000}"/>
    <cellStyle name="Процентный 2 2 2 2 4 2 3" xfId="752" xr:uid="{00000000-0005-0000-0000-0000F1020000}"/>
    <cellStyle name="Процентный 2 2 2 2 4 3" xfId="753" xr:uid="{00000000-0005-0000-0000-0000F2020000}"/>
    <cellStyle name="Процентный 2 2 2 2 4 3 2" xfId="754" xr:uid="{00000000-0005-0000-0000-0000F3020000}"/>
    <cellStyle name="Процентный 2 2 2 2 4 4" xfId="755" xr:uid="{00000000-0005-0000-0000-0000F4020000}"/>
    <cellStyle name="Процентный 2 2 2 2 5" xfId="756" xr:uid="{00000000-0005-0000-0000-0000F5020000}"/>
    <cellStyle name="Процентный 2 2 2 2 5 2" xfId="757" xr:uid="{00000000-0005-0000-0000-0000F6020000}"/>
    <cellStyle name="Процентный 2 2 2 2 5 2 2" xfId="758" xr:uid="{00000000-0005-0000-0000-0000F7020000}"/>
    <cellStyle name="Процентный 2 2 2 2 5 3" xfId="759" xr:uid="{00000000-0005-0000-0000-0000F8020000}"/>
    <cellStyle name="Процентный 2 2 2 2 6" xfId="760" xr:uid="{00000000-0005-0000-0000-0000F9020000}"/>
    <cellStyle name="Процентный 2 2 2 2 6 2" xfId="761" xr:uid="{00000000-0005-0000-0000-0000FA020000}"/>
    <cellStyle name="Процентный 2 2 2 2 7" xfId="762" xr:uid="{00000000-0005-0000-0000-0000FB020000}"/>
    <cellStyle name="Процентный 2 2 2 3" xfId="763" xr:uid="{00000000-0005-0000-0000-0000FC020000}"/>
    <cellStyle name="Процентный 2 2 2 3 2" xfId="764" xr:uid="{00000000-0005-0000-0000-0000FD020000}"/>
    <cellStyle name="Процентный 2 2 2 3 2 2" xfId="765" xr:uid="{00000000-0005-0000-0000-0000FE020000}"/>
    <cellStyle name="Процентный 2 2 2 3 2 2 2" xfId="766" xr:uid="{00000000-0005-0000-0000-0000FF020000}"/>
    <cellStyle name="Процентный 2 2 2 3 2 2 2 2" xfId="767" xr:uid="{00000000-0005-0000-0000-000000030000}"/>
    <cellStyle name="Процентный 2 2 2 3 2 2 2 2 2" xfId="768" xr:uid="{00000000-0005-0000-0000-000001030000}"/>
    <cellStyle name="Процентный 2 2 2 3 2 2 2 3" xfId="769" xr:uid="{00000000-0005-0000-0000-000002030000}"/>
    <cellStyle name="Процентный 2 2 2 3 2 2 3" xfId="770" xr:uid="{00000000-0005-0000-0000-000003030000}"/>
    <cellStyle name="Процентный 2 2 2 3 2 2 3 2" xfId="771" xr:uid="{00000000-0005-0000-0000-000004030000}"/>
    <cellStyle name="Процентный 2 2 2 3 2 2 4" xfId="772" xr:uid="{00000000-0005-0000-0000-000005030000}"/>
    <cellStyle name="Процентный 2 2 2 3 2 3" xfId="773" xr:uid="{00000000-0005-0000-0000-000006030000}"/>
    <cellStyle name="Процентный 2 2 2 3 2 3 2" xfId="774" xr:uid="{00000000-0005-0000-0000-000007030000}"/>
    <cellStyle name="Процентный 2 2 2 3 2 3 2 2" xfId="775" xr:uid="{00000000-0005-0000-0000-000008030000}"/>
    <cellStyle name="Процентный 2 2 2 3 2 3 3" xfId="776" xr:uid="{00000000-0005-0000-0000-000009030000}"/>
    <cellStyle name="Процентный 2 2 2 3 2 4" xfId="777" xr:uid="{00000000-0005-0000-0000-00000A030000}"/>
    <cellStyle name="Процентный 2 2 2 3 2 4 2" xfId="778" xr:uid="{00000000-0005-0000-0000-00000B030000}"/>
    <cellStyle name="Процентный 2 2 2 3 2 5" xfId="779" xr:uid="{00000000-0005-0000-0000-00000C030000}"/>
    <cellStyle name="Процентный 2 2 2 3 3" xfId="780" xr:uid="{00000000-0005-0000-0000-00000D030000}"/>
    <cellStyle name="Процентный 2 2 2 3 3 2" xfId="781" xr:uid="{00000000-0005-0000-0000-00000E030000}"/>
    <cellStyle name="Процентный 2 2 2 3 3 2 2" xfId="782" xr:uid="{00000000-0005-0000-0000-00000F030000}"/>
    <cellStyle name="Процентный 2 2 2 3 3 2 2 2" xfId="783" xr:uid="{00000000-0005-0000-0000-000010030000}"/>
    <cellStyle name="Процентный 2 2 2 3 3 2 3" xfId="784" xr:uid="{00000000-0005-0000-0000-000011030000}"/>
    <cellStyle name="Процентный 2 2 2 3 3 3" xfId="785" xr:uid="{00000000-0005-0000-0000-000012030000}"/>
    <cellStyle name="Процентный 2 2 2 3 3 3 2" xfId="786" xr:uid="{00000000-0005-0000-0000-000013030000}"/>
    <cellStyle name="Процентный 2 2 2 3 3 4" xfId="787" xr:uid="{00000000-0005-0000-0000-000014030000}"/>
    <cellStyle name="Процентный 2 2 2 3 4" xfId="788" xr:uid="{00000000-0005-0000-0000-000015030000}"/>
    <cellStyle name="Процентный 2 2 2 3 4 2" xfId="789" xr:uid="{00000000-0005-0000-0000-000016030000}"/>
    <cellStyle name="Процентный 2 2 2 3 4 2 2" xfId="790" xr:uid="{00000000-0005-0000-0000-000017030000}"/>
    <cellStyle name="Процентный 2 2 2 3 4 3" xfId="791" xr:uid="{00000000-0005-0000-0000-000018030000}"/>
    <cellStyle name="Процентный 2 2 2 3 5" xfId="792" xr:uid="{00000000-0005-0000-0000-000019030000}"/>
    <cellStyle name="Процентный 2 2 2 3 5 2" xfId="793" xr:uid="{00000000-0005-0000-0000-00001A030000}"/>
    <cellStyle name="Процентный 2 2 2 3 6" xfId="794" xr:uid="{00000000-0005-0000-0000-00001B030000}"/>
    <cellStyle name="Процентный 2 2 2 4" xfId="795" xr:uid="{00000000-0005-0000-0000-00001C030000}"/>
    <cellStyle name="Процентный 2 2 2 4 2" xfId="796" xr:uid="{00000000-0005-0000-0000-00001D030000}"/>
    <cellStyle name="Процентный 2 2 2 4 2 2" xfId="797" xr:uid="{00000000-0005-0000-0000-00001E030000}"/>
    <cellStyle name="Процентный 2 2 2 4 2 2 2" xfId="798" xr:uid="{00000000-0005-0000-0000-00001F030000}"/>
    <cellStyle name="Процентный 2 2 2 4 2 2 2 2" xfId="799" xr:uid="{00000000-0005-0000-0000-000020030000}"/>
    <cellStyle name="Процентный 2 2 2 4 2 2 3" xfId="800" xr:uid="{00000000-0005-0000-0000-000021030000}"/>
    <cellStyle name="Процентный 2 2 2 4 2 3" xfId="801" xr:uid="{00000000-0005-0000-0000-000022030000}"/>
    <cellStyle name="Процентный 2 2 2 4 2 3 2" xfId="802" xr:uid="{00000000-0005-0000-0000-000023030000}"/>
    <cellStyle name="Процентный 2 2 2 4 2 4" xfId="803" xr:uid="{00000000-0005-0000-0000-000024030000}"/>
    <cellStyle name="Процентный 2 2 2 4 3" xfId="804" xr:uid="{00000000-0005-0000-0000-000025030000}"/>
    <cellStyle name="Процентный 2 2 2 4 3 2" xfId="805" xr:uid="{00000000-0005-0000-0000-000026030000}"/>
    <cellStyle name="Процентный 2 2 2 4 3 2 2" xfId="806" xr:uid="{00000000-0005-0000-0000-000027030000}"/>
    <cellStyle name="Процентный 2 2 2 4 3 3" xfId="807" xr:uid="{00000000-0005-0000-0000-000028030000}"/>
    <cellStyle name="Процентный 2 2 2 4 4" xfId="808" xr:uid="{00000000-0005-0000-0000-000029030000}"/>
    <cellStyle name="Процентный 2 2 2 4 4 2" xfId="809" xr:uid="{00000000-0005-0000-0000-00002A030000}"/>
    <cellStyle name="Процентный 2 2 2 4 5" xfId="810" xr:uid="{00000000-0005-0000-0000-00002B030000}"/>
    <cellStyle name="Процентный 2 2 2 5" xfId="811" xr:uid="{00000000-0005-0000-0000-00002C030000}"/>
    <cellStyle name="Процентный 2 2 2 5 2" xfId="812" xr:uid="{00000000-0005-0000-0000-00002D030000}"/>
    <cellStyle name="Процентный 2 2 2 5 2 2" xfId="813" xr:uid="{00000000-0005-0000-0000-00002E030000}"/>
    <cellStyle name="Процентный 2 2 2 5 2 2 2" xfId="814" xr:uid="{00000000-0005-0000-0000-00002F030000}"/>
    <cellStyle name="Процентный 2 2 2 5 2 3" xfId="815" xr:uid="{00000000-0005-0000-0000-000030030000}"/>
    <cellStyle name="Процентный 2 2 2 5 3" xfId="816" xr:uid="{00000000-0005-0000-0000-000031030000}"/>
    <cellStyle name="Процентный 2 2 2 5 3 2" xfId="817" xr:uid="{00000000-0005-0000-0000-000032030000}"/>
    <cellStyle name="Процентный 2 2 2 5 4" xfId="818" xr:uid="{00000000-0005-0000-0000-000033030000}"/>
    <cellStyle name="Процентный 2 2 2 6" xfId="819" xr:uid="{00000000-0005-0000-0000-000034030000}"/>
    <cellStyle name="Процентный 2 2 2 6 2" xfId="820" xr:uid="{00000000-0005-0000-0000-000035030000}"/>
    <cellStyle name="Процентный 2 2 2 6 2 2" xfId="821" xr:uid="{00000000-0005-0000-0000-000036030000}"/>
    <cellStyle name="Процентный 2 2 2 6 3" xfId="822" xr:uid="{00000000-0005-0000-0000-000037030000}"/>
    <cellStyle name="Процентный 2 2 2 7" xfId="823" xr:uid="{00000000-0005-0000-0000-000038030000}"/>
    <cellStyle name="Процентный 2 2 2 7 2" xfId="824" xr:uid="{00000000-0005-0000-0000-000039030000}"/>
    <cellStyle name="Процентный 2 2 2 8" xfId="825" xr:uid="{00000000-0005-0000-0000-00003A030000}"/>
    <cellStyle name="Процентный 2 2 3" xfId="826" xr:uid="{00000000-0005-0000-0000-00003B030000}"/>
    <cellStyle name="Процентный 2 2 3 2" xfId="827" xr:uid="{00000000-0005-0000-0000-00003C030000}"/>
    <cellStyle name="Процентный 2 2 3 2 2" xfId="828" xr:uid="{00000000-0005-0000-0000-00003D030000}"/>
    <cellStyle name="Процентный 2 2 3 2 2 2" xfId="829" xr:uid="{00000000-0005-0000-0000-00003E030000}"/>
    <cellStyle name="Процентный 2 2 3 2 2 2 2" xfId="830" xr:uid="{00000000-0005-0000-0000-00003F030000}"/>
    <cellStyle name="Процентный 2 2 3 2 2 2 2 2" xfId="831" xr:uid="{00000000-0005-0000-0000-000040030000}"/>
    <cellStyle name="Процентный 2 2 3 2 2 2 2 2 2" xfId="832" xr:uid="{00000000-0005-0000-0000-000041030000}"/>
    <cellStyle name="Процентный 2 2 3 2 2 2 2 3" xfId="833" xr:uid="{00000000-0005-0000-0000-000042030000}"/>
    <cellStyle name="Процентный 2 2 3 2 2 2 3" xfId="834" xr:uid="{00000000-0005-0000-0000-000043030000}"/>
    <cellStyle name="Процентный 2 2 3 2 2 2 3 2" xfId="835" xr:uid="{00000000-0005-0000-0000-000044030000}"/>
    <cellStyle name="Процентный 2 2 3 2 2 2 4" xfId="836" xr:uid="{00000000-0005-0000-0000-000045030000}"/>
    <cellStyle name="Процентный 2 2 3 2 2 3" xfId="837" xr:uid="{00000000-0005-0000-0000-000046030000}"/>
    <cellStyle name="Процентный 2 2 3 2 2 3 2" xfId="838" xr:uid="{00000000-0005-0000-0000-000047030000}"/>
    <cellStyle name="Процентный 2 2 3 2 2 3 2 2" xfId="839" xr:uid="{00000000-0005-0000-0000-000048030000}"/>
    <cellStyle name="Процентный 2 2 3 2 2 3 3" xfId="840" xr:uid="{00000000-0005-0000-0000-000049030000}"/>
    <cellStyle name="Процентный 2 2 3 2 2 4" xfId="841" xr:uid="{00000000-0005-0000-0000-00004A030000}"/>
    <cellStyle name="Процентный 2 2 3 2 2 4 2" xfId="842" xr:uid="{00000000-0005-0000-0000-00004B030000}"/>
    <cellStyle name="Процентный 2 2 3 2 2 5" xfId="843" xr:uid="{00000000-0005-0000-0000-00004C030000}"/>
    <cellStyle name="Процентный 2 2 3 2 3" xfId="844" xr:uid="{00000000-0005-0000-0000-00004D030000}"/>
    <cellStyle name="Процентный 2 2 3 2 3 2" xfId="845" xr:uid="{00000000-0005-0000-0000-00004E030000}"/>
    <cellStyle name="Процентный 2 2 3 2 3 2 2" xfId="846" xr:uid="{00000000-0005-0000-0000-00004F030000}"/>
    <cellStyle name="Процентный 2 2 3 2 3 2 2 2" xfId="847" xr:uid="{00000000-0005-0000-0000-000050030000}"/>
    <cellStyle name="Процентный 2 2 3 2 3 2 3" xfId="848" xr:uid="{00000000-0005-0000-0000-000051030000}"/>
    <cellStyle name="Процентный 2 2 3 2 3 3" xfId="849" xr:uid="{00000000-0005-0000-0000-000052030000}"/>
    <cellStyle name="Процентный 2 2 3 2 3 3 2" xfId="850" xr:uid="{00000000-0005-0000-0000-000053030000}"/>
    <cellStyle name="Процентный 2 2 3 2 3 4" xfId="851" xr:uid="{00000000-0005-0000-0000-000054030000}"/>
    <cellStyle name="Процентный 2 2 3 2 4" xfId="852" xr:uid="{00000000-0005-0000-0000-000055030000}"/>
    <cellStyle name="Процентный 2 2 3 2 4 2" xfId="853" xr:uid="{00000000-0005-0000-0000-000056030000}"/>
    <cellStyle name="Процентный 2 2 3 2 4 2 2" xfId="854" xr:uid="{00000000-0005-0000-0000-000057030000}"/>
    <cellStyle name="Процентный 2 2 3 2 4 3" xfId="855" xr:uid="{00000000-0005-0000-0000-000058030000}"/>
    <cellStyle name="Процентный 2 2 3 2 5" xfId="856" xr:uid="{00000000-0005-0000-0000-000059030000}"/>
    <cellStyle name="Процентный 2 2 3 2 5 2" xfId="857" xr:uid="{00000000-0005-0000-0000-00005A030000}"/>
    <cellStyle name="Процентный 2 2 3 2 6" xfId="858" xr:uid="{00000000-0005-0000-0000-00005B030000}"/>
    <cellStyle name="Процентный 2 2 3 3" xfId="859" xr:uid="{00000000-0005-0000-0000-00005C030000}"/>
    <cellStyle name="Процентный 2 2 3 3 2" xfId="860" xr:uid="{00000000-0005-0000-0000-00005D030000}"/>
    <cellStyle name="Процентный 2 2 3 3 2 2" xfId="861" xr:uid="{00000000-0005-0000-0000-00005E030000}"/>
    <cellStyle name="Процентный 2 2 3 3 2 2 2" xfId="862" xr:uid="{00000000-0005-0000-0000-00005F030000}"/>
    <cellStyle name="Процентный 2 2 3 3 2 2 2 2" xfId="863" xr:uid="{00000000-0005-0000-0000-000060030000}"/>
    <cellStyle name="Процентный 2 2 3 3 2 2 3" xfId="864" xr:uid="{00000000-0005-0000-0000-000061030000}"/>
    <cellStyle name="Процентный 2 2 3 3 2 3" xfId="865" xr:uid="{00000000-0005-0000-0000-000062030000}"/>
    <cellStyle name="Процентный 2 2 3 3 2 3 2" xfId="866" xr:uid="{00000000-0005-0000-0000-000063030000}"/>
    <cellStyle name="Процентный 2 2 3 3 2 4" xfId="867" xr:uid="{00000000-0005-0000-0000-000064030000}"/>
    <cellStyle name="Процентный 2 2 3 3 3" xfId="868" xr:uid="{00000000-0005-0000-0000-000065030000}"/>
    <cellStyle name="Процентный 2 2 3 3 3 2" xfId="869" xr:uid="{00000000-0005-0000-0000-000066030000}"/>
    <cellStyle name="Процентный 2 2 3 3 3 2 2" xfId="870" xr:uid="{00000000-0005-0000-0000-000067030000}"/>
    <cellStyle name="Процентный 2 2 3 3 3 3" xfId="871" xr:uid="{00000000-0005-0000-0000-000068030000}"/>
    <cellStyle name="Процентный 2 2 3 3 4" xfId="872" xr:uid="{00000000-0005-0000-0000-000069030000}"/>
    <cellStyle name="Процентный 2 2 3 3 4 2" xfId="873" xr:uid="{00000000-0005-0000-0000-00006A030000}"/>
    <cellStyle name="Процентный 2 2 3 3 5" xfId="874" xr:uid="{00000000-0005-0000-0000-00006B030000}"/>
    <cellStyle name="Процентный 2 2 3 4" xfId="875" xr:uid="{00000000-0005-0000-0000-00006C030000}"/>
    <cellStyle name="Процентный 2 2 3 4 2" xfId="876" xr:uid="{00000000-0005-0000-0000-00006D030000}"/>
    <cellStyle name="Процентный 2 2 3 4 2 2" xfId="877" xr:uid="{00000000-0005-0000-0000-00006E030000}"/>
    <cellStyle name="Процентный 2 2 3 4 2 2 2" xfId="878" xr:uid="{00000000-0005-0000-0000-00006F030000}"/>
    <cellStyle name="Процентный 2 2 3 4 2 3" xfId="879" xr:uid="{00000000-0005-0000-0000-000070030000}"/>
    <cellStyle name="Процентный 2 2 3 4 3" xfId="880" xr:uid="{00000000-0005-0000-0000-000071030000}"/>
    <cellStyle name="Процентный 2 2 3 4 3 2" xfId="881" xr:uid="{00000000-0005-0000-0000-000072030000}"/>
    <cellStyle name="Процентный 2 2 3 4 4" xfId="882" xr:uid="{00000000-0005-0000-0000-000073030000}"/>
    <cellStyle name="Процентный 2 2 3 5" xfId="883" xr:uid="{00000000-0005-0000-0000-000074030000}"/>
    <cellStyle name="Процентный 2 2 3 5 2" xfId="884" xr:uid="{00000000-0005-0000-0000-000075030000}"/>
    <cellStyle name="Процентный 2 2 3 5 2 2" xfId="885" xr:uid="{00000000-0005-0000-0000-000076030000}"/>
    <cellStyle name="Процентный 2 2 3 5 3" xfId="886" xr:uid="{00000000-0005-0000-0000-000077030000}"/>
    <cellStyle name="Процентный 2 2 3 6" xfId="887" xr:uid="{00000000-0005-0000-0000-000078030000}"/>
    <cellStyle name="Процентный 2 2 3 6 2" xfId="888" xr:uid="{00000000-0005-0000-0000-000079030000}"/>
    <cellStyle name="Процентный 2 2 3 7" xfId="889" xr:uid="{00000000-0005-0000-0000-00007A030000}"/>
    <cellStyle name="Процентный 2 2 4" xfId="890" xr:uid="{00000000-0005-0000-0000-00007B030000}"/>
    <cellStyle name="Процентный 2 2 4 2" xfId="891" xr:uid="{00000000-0005-0000-0000-00007C030000}"/>
    <cellStyle name="Процентный 2 2 4 2 2" xfId="892" xr:uid="{00000000-0005-0000-0000-00007D030000}"/>
    <cellStyle name="Процентный 2 2 4 2 2 2" xfId="893" xr:uid="{00000000-0005-0000-0000-00007E030000}"/>
    <cellStyle name="Процентный 2 2 4 2 2 2 2" xfId="894" xr:uid="{00000000-0005-0000-0000-00007F030000}"/>
    <cellStyle name="Процентный 2 2 4 2 2 2 2 2" xfId="895" xr:uid="{00000000-0005-0000-0000-000080030000}"/>
    <cellStyle name="Процентный 2 2 4 2 2 2 3" xfId="896" xr:uid="{00000000-0005-0000-0000-000081030000}"/>
    <cellStyle name="Процентный 2 2 4 2 2 3" xfId="897" xr:uid="{00000000-0005-0000-0000-000082030000}"/>
    <cellStyle name="Процентный 2 2 4 2 2 3 2" xfId="898" xr:uid="{00000000-0005-0000-0000-000083030000}"/>
    <cellStyle name="Процентный 2 2 4 2 2 4" xfId="899" xr:uid="{00000000-0005-0000-0000-000084030000}"/>
    <cellStyle name="Процентный 2 2 4 2 3" xfId="900" xr:uid="{00000000-0005-0000-0000-000085030000}"/>
    <cellStyle name="Процентный 2 2 4 2 3 2" xfId="901" xr:uid="{00000000-0005-0000-0000-000086030000}"/>
    <cellStyle name="Процентный 2 2 4 2 3 2 2" xfId="902" xr:uid="{00000000-0005-0000-0000-000087030000}"/>
    <cellStyle name="Процентный 2 2 4 2 3 3" xfId="903" xr:uid="{00000000-0005-0000-0000-000088030000}"/>
    <cellStyle name="Процентный 2 2 4 2 4" xfId="904" xr:uid="{00000000-0005-0000-0000-000089030000}"/>
    <cellStyle name="Процентный 2 2 4 2 4 2" xfId="905" xr:uid="{00000000-0005-0000-0000-00008A030000}"/>
    <cellStyle name="Процентный 2 2 4 2 5" xfId="906" xr:uid="{00000000-0005-0000-0000-00008B030000}"/>
    <cellStyle name="Процентный 2 2 4 3" xfId="907" xr:uid="{00000000-0005-0000-0000-00008C030000}"/>
    <cellStyle name="Процентный 2 2 4 3 2" xfId="908" xr:uid="{00000000-0005-0000-0000-00008D030000}"/>
    <cellStyle name="Процентный 2 2 4 3 2 2" xfId="909" xr:uid="{00000000-0005-0000-0000-00008E030000}"/>
    <cellStyle name="Процентный 2 2 4 3 2 2 2" xfId="910" xr:uid="{00000000-0005-0000-0000-00008F030000}"/>
    <cellStyle name="Процентный 2 2 4 3 2 3" xfId="911" xr:uid="{00000000-0005-0000-0000-000090030000}"/>
    <cellStyle name="Процентный 2 2 4 3 3" xfId="912" xr:uid="{00000000-0005-0000-0000-000091030000}"/>
    <cellStyle name="Процентный 2 2 4 3 3 2" xfId="913" xr:uid="{00000000-0005-0000-0000-000092030000}"/>
    <cellStyle name="Процентный 2 2 4 3 4" xfId="914" xr:uid="{00000000-0005-0000-0000-000093030000}"/>
    <cellStyle name="Процентный 2 2 4 4" xfId="915" xr:uid="{00000000-0005-0000-0000-000094030000}"/>
    <cellStyle name="Процентный 2 2 4 4 2" xfId="916" xr:uid="{00000000-0005-0000-0000-000095030000}"/>
    <cellStyle name="Процентный 2 2 4 4 2 2" xfId="917" xr:uid="{00000000-0005-0000-0000-000096030000}"/>
    <cellStyle name="Процентный 2 2 4 4 3" xfId="918" xr:uid="{00000000-0005-0000-0000-000097030000}"/>
    <cellStyle name="Процентный 2 2 4 5" xfId="919" xr:uid="{00000000-0005-0000-0000-000098030000}"/>
    <cellStyle name="Процентный 2 2 4 5 2" xfId="920" xr:uid="{00000000-0005-0000-0000-000099030000}"/>
    <cellStyle name="Процентный 2 2 4 6" xfId="921" xr:uid="{00000000-0005-0000-0000-00009A030000}"/>
    <cellStyle name="Процентный 2 2 5" xfId="922" xr:uid="{00000000-0005-0000-0000-00009B030000}"/>
    <cellStyle name="Процентный 2 2 5 2" xfId="923" xr:uid="{00000000-0005-0000-0000-00009C030000}"/>
    <cellStyle name="Процентный 2 2 5 2 2" xfId="924" xr:uid="{00000000-0005-0000-0000-00009D030000}"/>
    <cellStyle name="Процентный 2 2 5 2 2 2" xfId="925" xr:uid="{00000000-0005-0000-0000-00009E030000}"/>
    <cellStyle name="Процентный 2 2 5 2 2 2 2" xfId="926" xr:uid="{00000000-0005-0000-0000-00009F030000}"/>
    <cellStyle name="Процентный 2 2 5 2 2 3" xfId="927" xr:uid="{00000000-0005-0000-0000-0000A0030000}"/>
    <cellStyle name="Процентный 2 2 5 2 3" xfId="928" xr:uid="{00000000-0005-0000-0000-0000A1030000}"/>
    <cellStyle name="Процентный 2 2 5 2 3 2" xfId="929" xr:uid="{00000000-0005-0000-0000-0000A2030000}"/>
    <cellStyle name="Процентный 2 2 5 2 4" xfId="930" xr:uid="{00000000-0005-0000-0000-0000A3030000}"/>
    <cellStyle name="Процентный 2 2 5 3" xfId="931" xr:uid="{00000000-0005-0000-0000-0000A4030000}"/>
    <cellStyle name="Процентный 2 2 5 3 2" xfId="932" xr:uid="{00000000-0005-0000-0000-0000A5030000}"/>
    <cellStyle name="Процентный 2 2 5 3 2 2" xfId="933" xr:uid="{00000000-0005-0000-0000-0000A6030000}"/>
    <cellStyle name="Процентный 2 2 5 3 3" xfId="934" xr:uid="{00000000-0005-0000-0000-0000A7030000}"/>
    <cellStyle name="Процентный 2 2 5 4" xfId="935" xr:uid="{00000000-0005-0000-0000-0000A8030000}"/>
    <cellStyle name="Процентный 2 2 5 4 2" xfId="936" xr:uid="{00000000-0005-0000-0000-0000A9030000}"/>
    <cellStyle name="Процентный 2 2 5 5" xfId="937" xr:uid="{00000000-0005-0000-0000-0000AA030000}"/>
    <cellStyle name="Процентный 2 2 6" xfId="938" xr:uid="{00000000-0005-0000-0000-0000AB030000}"/>
    <cellStyle name="Процентный 2 2 6 2" xfId="939" xr:uid="{00000000-0005-0000-0000-0000AC030000}"/>
    <cellStyle name="Процентный 2 2 6 2 2" xfId="940" xr:uid="{00000000-0005-0000-0000-0000AD030000}"/>
    <cellStyle name="Процентный 2 2 6 2 2 2" xfId="941" xr:uid="{00000000-0005-0000-0000-0000AE030000}"/>
    <cellStyle name="Процентный 2 2 6 2 3" xfId="942" xr:uid="{00000000-0005-0000-0000-0000AF030000}"/>
    <cellStyle name="Процентный 2 2 6 3" xfId="943" xr:uid="{00000000-0005-0000-0000-0000B0030000}"/>
    <cellStyle name="Процентный 2 2 6 3 2" xfId="944" xr:uid="{00000000-0005-0000-0000-0000B1030000}"/>
    <cellStyle name="Процентный 2 2 6 4" xfId="945" xr:uid="{00000000-0005-0000-0000-0000B2030000}"/>
    <cellStyle name="Процентный 2 2 7" xfId="946" xr:uid="{00000000-0005-0000-0000-0000B3030000}"/>
    <cellStyle name="Процентный 2 2 7 2" xfId="947" xr:uid="{00000000-0005-0000-0000-0000B4030000}"/>
    <cellStyle name="Процентный 2 2 7 2 2" xfId="948" xr:uid="{00000000-0005-0000-0000-0000B5030000}"/>
    <cellStyle name="Процентный 2 2 7 3" xfId="949" xr:uid="{00000000-0005-0000-0000-0000B6030000}"/>
    <cellStyle name="Процентный 2 2 8" xfId="950" xr:uid="{00000000-0005-0000-0000-0000B7030000}"/>
    <cellStyle name="Процентный 2 2 8 2" xfId="951" xr:uid="{00000000-0005-0000-0000-0000B8030000}"/>
    <cellStyle name="Процентный 2 2 9" xfId="952" xr:uid="{00000000-0005-0000-0000-0000B9030000}"/>
    <cellStyle name="Процентный 2 3" xfId="953" xr:uid="{00000000-0005-0000-0000-0000BA030000}"/>
    <cellStyle name="Процентный 2 3 2" xfId="954" xr:uid="{00000000-0005-0000-0000-0000BB030000}"/>
    <cellStyle name="Процентный 2 3 2 2" xfId="955" xr:uid="{00000000-0005-0000-0000-0000BC030000}"/>
    <cellStyle name="Процентный 2 3 2 2 2" xfId="956" xr:uid="{00000000-0005-0000-0000-0000BD030000}"/>
    <cellStyle name="Процентный 2 3 2 2 2 2" xfId="957" xr:uid="{00000000-0005-0000-0000-0000BE030000}"/>
    <cellStyle name="Процентный 2 3 2 2 2 2 2" xfId="958" xr:uid="{00000000-0005-0000-0000-0000BF030000}"/>
    <cellStyle name="Процентный 2 3 2 2 2 2 2 2" xfId="959" xr:uid="{00000000-0005-0000-0000-0000C0030000}"/>
    <cellStyle name="Процентный 2 3 2 2 2 2 2 2 2" xfId="960" xr:uid="{00000000-0005-0000-0000-0000C1030000}"/>
    <cellStyle name="Процентный 2 3 2 2 2 2 2 3" xfId="961" xr:uid="{00000000-0005-0000-0000-0000C2030000}"/>
    <cellStyle name="Процентный 2 3 2 2 2 2 3" xfId="962" xr:uid="{00000000-0005-0000-0000-0000C3030000}"/>
    <cellStyle name="Процентный 2 3 2 2 2 2 3 2" xfId="963" xr:uid="{00000000-0005-0000-0000-0000C4030000}"/>
    <cellStyle name="Процентный 2 3 2 2 2 2 4" xfId="964" xr:uid="{00000000-0005-0000-0000-0000C5030000}"/>
    <cellStyle name="Процентный 2 3 2 2 2 3" xfId="965" xr:uid="{00000000-0005-0000-0000-0000C6030000}"/>
    <cellStyle name="Процентный 2 3 2 2 2 3 2" xfId="966" xr:uid="{00000000-0005-0000-0000-0000C7030000}"/>
    <cellStyle name="Процентный 2 3 2 2 2 3 2 2" xfId="967" xr:uid="{00000000-0005-0000-0000-0000C8030000}"/>
    <cellStyle name="Процентный 2 3 2 2 2 3 3" xfId="968" xr:uid="{00000000-0005-0000-0000-0000C9030000}"/>
    <cellStyle name="Процентный 2 3 2 2 2 4" xfId="969" xr:uid="{00000000-0005-0000-0000-0000CA030000}"/>
    <cellStyle name="Процентный 2 3 2 2 2 4 2" xfId="970" xr:uid="{00000000-0005-0000-0000-0000CB030000}"/>
    <cellStyle name="Процентный 2 3 2 2 2 5" xfId="971" xr:uid="{00000000-0005-0000-0000-0000CC030000}"/>
    <cellStyle name="Процентный 2 3 2 2 3" xfId="972" xr:uid="{00000000-0005-0000-0000-0000CD030000}"/>
    <cellStyle name="Процентный 2 3 2 2 3 2" xfId="973" xr:uid="{00000000-0005-0000-0000-0000CE030000}"/>
    <cellStyle name="Процентный 2 3 2 2 3 2 2" xfId="974" xr:uid="{00000000-0005-0000-0000-0000CF030000}"/>
    <cellStyle name="Процентный 2 3 2 2 3 2 2 2" xfId="975" xr:uid="{00000000-0005-0000-0000-0000D0030000}"/>
    <cellStyle name="Процентный 2 3 2 2 3 2 3" xfId="976" xr:uid="{00000000-0005-0000-0000-0000D1030000}"/>
    <cellStyle name="Процентный 2 3 2 2 3 3" xfId="977" xr:uid="{00000000-0005-0000-0000-0000D2030000}"/>
    <cellStyle name="Процентный 2 3 2 2 3 3 2" xfId="978" xr:uid="{00000000-0005-0000-0000-0000D3030000}"/>
    <cellStyle name="Процентный 2 3 2 2 3 4" xfId="979" xr:uid="{00000000-0005-0000-0000-0000D4030000}"/>
    <cellStyle name="Процентный 2 3 2 2 4" xfId="980" xr:uid="{00000000-0005-0000-0000-0000D5030000}"/>
    <cellStyle name="Процентный 2 3 2 2 4 2" xfId="981" xr:uid="{00000000-0005-0000-0000-0000D6030000}"/>
    <cellStyle name="Процентный 2 3 2 2 4 2 2" xfId="982" xr:uid="{00000000-0005-0000-0000-0000D7030000}"/>
    <cellStyle name="Процентный 2 3 2 2 4 3" xfId="983" xr:uid="{00000000-0005-0000-0000-0000D8030000}"/>
    <cellStyle name="Процентный 2 3 2 2 5" xfId="984" xr:uid="{00000000-0005-0000-0000-0000D9030000}"/>
    <cellStyle name="Процентный 2 3 2 2 5 2" xfId="985" xr:uid="{00000000-0005-0000-0000-0000DA030000}"/>
    <cellStyle name="Процентный 2 3 2 2 6" xfId="986" xr:uid="{00000000-0005-0000-0000-0000DB030000}"/>
    <cellStyle name="Процентный 2 3 2 3" xfId="987" xr:uid="{00000000-0005-0000-0000-0000DC030000}"/>
    <cellStyle name="Процентный 2 3 2 3 2" xfId="988" xr:uid="{00000000-0005-0000-0000-0000DD030000}"/>
    <cellStyle name="Процентный 2 3 2 3 2 2" xfId="989" xr:uid="{00000000-0005-0000-0000-0000DE030000}"/>
    <cellStyle name="Процентный 2 3 2 3 2 2 2" xfId="990" xr:uid="{00000000-0005-0000-0000-0000DF030000}"/>
    <cellStyle name="Процентный 2 3 2 3 2 2 2 2" xfId="991" xr:uid="{00000000-0005-0000-0000-0000E0030000}"/>
    <cellStyle name="Процентный 2 3 2 3 2 2 3" xfId="992" xr:uid="{00000000-0005-0000-0000-0000E1030000}"/>
    <cellStyle name="Процентный 2 3 2 3 2 3" xfId="993" xr:uid="{00000000-0005-0000-0000-0000E2030000}"/>
    <cellStyle name="Процентный 2 3 2 3 2 3 2" xfId="994" xr:uid="{00000000-0005-0000-0000-0000E3030000}"/>
    <cellStyle name="Процентный 2 3 2 3 2 4" xfId="995" xr:uid="{00000000-0005-0000-0000-0000E4030000}"/>
    <cellStyle name="Процентный 2 3 2 3 3" xfId="996" xr:uid="{00000000-0005-0000-0000-0000E5030000}"/>
    <cellStyle name="Процентный 2 3 2 3 3 2" xfId="997" xr:uid="{00000000-0005-0000-0000-0000E6030000}"/>
    <cellStyle name="Процентный 2 3 2 3 3 2 2" xfId="998" xr:uid="{00000000-0005-0000-0000-0000E7030000}"/>
    <cellStyle name="Процентный 2 3 2 3 3 3" xfId="999" xr:uid="{00000000-0005-0000-0000-0000E8030000}"/>
    <cellStyle name="Процентный 2 3 2 3 4" xfId="1000" xr:uid="{00000000-0005-0000-0000-0000E9030000}"/>
    <cellStyle name="Процентный 2 3 2 3 4 2" xfId="1001" xr:uid="{00000000-0005-0000-0000-0000EA030000}"/>
    <cellStyle name="Процентный 2 3 2 3 5" xfId="1002" xr:uid="{00000000-0005-0000-0000-0000EB030000}"/>
    <cellStyle name="Процентный 2 3 2 4" xfId="1003" xr:uid="{00000000-0005-0000-0000-0000EC030000}"/>
    <cellStyle name="Процентный 2 3 2 4 2" xfId="1004" xr:uid="{00000000-0005-0000-0000-0000ED030000}"/>
    <cellStyle name="Процентный 2 3 2 4 2 2" xfId="1005" xr:uid="{00000000-0005-0000-0000-0000EE030000}"/>
    <cellStyle name="Процентный 2 3 2 4 2 2 2" xfId="1006" xr:uid="{00000000-0005-0000-0000-0000EF030000}"/>
    <cellStyle name="Процентный 2 3 2 4 2 3" xfId="1007" xr:uid="{00000000-0005-0000-0000-0000F0030000}"/>
    <cellStyle name="Процентный 2 3 2 4 3" xfId="1008" xr:uid="{00000000-0005-0000-0000-0000F1030000}"/>
    <cellStyle name="Процентный 2 3 2 4 3 2" xfId="1009" xr:uid="{00000000-0005-0000-0000-0000F2030000}"/>
    <cellStyle name="Процентный 2 3 2 4 4" xfId="1010" xr:uid="{00000000-0005-0000-0000-0000F3030000}"/>
    <cellStyle name="Процентный 2 3 2 5" xfId="1011" xr:uid="{00000000-0005-0000-0000-0000F4030000}"/>
    <cellStyle name="Процентный 2 3 2 5 2" xfId="1012" xr:uid="{00000000-0005-0000-0000-0000F5030000}"/>
    <cellStyle name="Процентный 2 3 2 5 2 2" xfId="1013" xr:uid="{00000000-0005-0000-0000-0000F6030000}"/>
    <cellStyle name="Процентный 2 3 2 5 3" xfId="1014" xr:uid="{00000000-0005-0000-0000-0000F7030000}"/>
    <cellStyle name="Процентный 2 3 2 6" xfId="1015" xr:uid="{00000000-0005-0000-0000-0000F8030000}"/>
    <cellStyle name="Процентный 2 3 2 6 2" xfId="1016" xr:uid="{00000000-0005-0000-0000-0000F9030000}"/>
    <cellStyle name="Процентный 2 3 2 7" xfId="1017" xr:uid="{00000000-0005-0000-0000-0000FA030000}"/>
    <cellStyle name="Процентный 2 3 3" xfId="1018" xr:uid="{00000000-0005-0000-0000-0000FB030000}"/>
    <cellStyle name="Процентный 2 3 3 2" xfId="1019" xr:uid="{00000000-0005-0000-0000-0000FC030000}"/>
    <cellStyle name="Процентный 2 3 3 2 2" xfId="1020" xr:uid="{00000000-0005-0000-0000-0000FD030000}"/>
    <cellStyle name="Процентный 2 3 3 2 2 2" xfId="1021" xr:uid="{00000000-0005-0000-0000-0000FE030000}"/>
    <cellStyle name="Процентный 2 3 3 2 2 2 2" xfId="1022" xr:uid="{00000000-0005-0000-0000-0000FF030000}"/>
    <cellStyle name="Процентный 2 3 3 2 2 2 2 2" xfId="1023" xr:uid="{00000000-0005-0000-0000-000000040000}"/>
    <cellStyle name="Процентный 2 3 3 2 2 2 3" xfId="1024" xr:uid="{00000000-0005-0000-0000-000001040000}"/>
    <cellStyle name="Процентный 2 3 3 2 2 3" xfId="1025" xr:uid="{00000000-0005-0000-0000-000002040000}"/>
    <cellStyle name="Процентный 2 3 3 2 2 3 2" xfId="1026" xr:uid="{00000000-0005-0000-0000-000003040000}"/>
    <cellStyle name="Процентный 2 3 3 2 2 4" xfId="1027" xr:uid="{00000000-0005-0000-0000-000004040000}"/>
    <cellStyle name="Процентный 2 3 3 2 3" xfId="1028" xr:uid="{00000000-0005-0000-0000-000005040000}"/>
    <cellStyle name="Процентный 2 3 3 2 3 2" xfId="1029" xr:uid="{00000000-0005-0000-0000-000006040000}"/>
    <cellStyle name="Процентный 2 3 3 2 3 2 2" xfId="1030" xr:uid="{00000000-0005-0000-0000-000007040000}"/>
    <cellStyle name="Процентный 2 3 3 2 3 3" xfId="1031" xr:uid="{00000000-0005-0000-0000-000008040000}"/>
    <cellStyle name="Процентный 2 3 3 2 4" xfId="1032" xr:uid="{00000000-0005-0000-0000-000009040000}"/>
    <cellStyle name="Процентный 2 3 3 2 4 2" xfId="1033" xr:uid="{00000000-0005-0000-0000-00000A040000}"/>
    <cellStyle name="Процентный 2 3 3 2 5" xfId="1034" xr:uid="{00000000-0005-0000-0000-00000B040000}"/>
    <cellStyle name="Процентный 2 3 3 3" xfId="1035" xr:uid="{00000000-0005-0000-0000-00000C040000}"/>
    <cellStyle name="Процентный 2 3 3 3 2" xfId="1036" xr:uid="{00000000-0005-0000-0000-00000D040000}"/>
    <cellStyle name="Процентный 2 3 3 3 2 2" xfId="1037" xr:uid="{00000000-0005-0000-0000-00000E040000}"/>
    <cellStyle name="Процентный 2 3 3 3 2 2 2" xfId="1038" xr:uid="{00000000-0005-0000-0000-00000F040000}"/>
    <cellStyle name="Процентный 2 3 3 3 2 3" xfId="1039" xr:uid="{00000000-0005-0000-0000-000010040000}"/>
    <cellStyle name="Процентный 2 3 3 3 3" xfId="1040" xr:uid="{00000000-0005-0000-0000-000011040000}"/>
    <cellStyle name="Процентный 2 3 3 3 3 2" xfId="1041" xr:uid="{00000000-0005-0000-0000-000012040000}"/>
    <cellStyle name="Процентный 2 3 3 3 4" xfId="1042" xr:uid="{00000000-0005-0000-0000-000013040000}"/>
    <cellStyle name="Процентный 2 3 3 4" xfId="1043" xr:uid="{00000000-0005-0000-0000-000014040000}"/>
    <cellStyle name="Процентный 2 3 3 4 2" xfId="1044" xr:uid="{00000000-0005-0000-0000-000015040000}"/>
    <cellStyle name="Процентный 2 3 3 4 2 2" xfId="1045" xr:uid="{00000000-0005-0000-0000-000016040000}"/>
    <cellStyle name="Процентный 2 3 3 4 3" xfId="1046" xr:uid="{00000000-0005-0000-0000-000017040000}"/>
    <cellStyle name="Процентный 2 3 3 5" xfId="1047" xr:uid="{00000000-0005-0000-0000-000018040000}"/>
    <cellStyle name="Процентный 2 3 3 5 2" xfId="1048" xr:uid="{00000000-0005-0000-0000-000019040000}"/>
    <cellStyle name="Процентный 2 3 3 6" xfId="1049" xr:uid="{00000000-0005-0000-0000-00001A040000}"/>
    <cellStyle name="Процентный 2 3 4" xfId="1050" xr:uid="{00000000-0005-0000-0000-00001B040000}"/>
    <cellStyle name="Процентный 2 3 4 2" xfId="1051" xr:uid="{00000000-0005-0000-0000-00001C040000}"/>
    <cellStyle name="Процентный 2 3 4 2 2" xfId="1052" xr:uid="{00000000-0005-0000-0000-00001D040000}"/>
    <cellStyle name="Процентный 2 3 4 2 2 2" xfId="1053" xr:uid="{00000000-0005-0000-0000-00001E040000}"/>
    <cellStyle name="Процентный 2 3 4 2 2 2 2" xfId="1054" xr:uid="{00000000-0005-0000-0000-00001F040000}"/>
    <cellStyle name="Процентный 2 3 4 2 2 3" xfId="1055" xr:uid="{00000000-0005-0000-0000-000020040000}"/>
    <cellStyle name="Процентный 2 3 4 2 3" xfId="1056" xr:uid="{00000000-0005-0000-0000-000021040000}"/>
    <cellStyle name="Процентный 2 3 4 2 3 2" xfId="1057" xr:uid="{00000000-0005-0000-0000-000022040000}"/>
    <cellStyle name="Процентный 2 3 4 2 4" xfId="1058" xr:uid="{00000000-0005-0000-0000-000023040000}"/>
    <cellStyle name="Процентный 2 3 4 3" xfId="1059" xr:uid="{00000000-0005-0000-0000-000024040000}"/>
    <cellStyle name="Процентный 2 3 4 3 2" xfId="1060" xr:uid="{00000000-0005-0000-0000-000025040000}"/>
    <cellStyle name="Процентный 2 3 4 3 2 2" xfId="1061" xr:uid="{00000000-0005-0000-0000-000026040000}"/>
    <cellStyle name="Процентный 2 3 4 3 3" xfId="1062" xr:uid="{00000000-0005-0000-0000-000027040000}"/>
    <cellStyle name="Процентный 2 3 4 4" xfId="1063" xr:uid="{00000000-0005-0000-0000-000028040000}"/>
    <cellStyle name="Процентный 2 3 4 4 2" xfId="1064" xr:uid="{00000000-0005-0000-0000-000029040000}"/>
    <cellStyle name="Процентный 2 3 4 5" xfId="1065" xr:uid="{00000000-0005-0000-0000-00002A040000}"/>
    <cellStyle name="Процентный 2 3 5" xfId="1066" xr:uid="{00000000-0005-0000-0000-00002B040000}"/>
    <cellStyle name="Процентный 2 3 5 2" xfId="1067" xr:uid="{00000000-0005-0000-0000-00002C040000}"/>
    <cellStyle name="Процентный 2 3 5 2 2" xfId="1068" xr:uid="{00000000-0005-0000-0000-00002D040000}"/>
    <cellStyle name="Процентный 2 3 5 2 2 2" xfId="1069" xr:uid="{00000000-0005-0000-0000-00002E040000}"/>
    <cellStyle name="Процентный 2 3 5 2 3" xfId="1070" xr:uid="{00000000-0005-0000-0000-00002F040000}"/>
    <cellStyle name="Процентный 2 3 5 3" xfId="1071" xr:uid="{00000000-0005-0000-0000-000030040000}"/>
    <cellStyle name="Процентный 2 3 5 3 2" xfId="1072" xr:uid="{00000000-0005-0000-0000-000031040000}"/>
    <cellStyle name="Процентный 2 3 5 4" xfId="1073" xr:uid="{00000000-0005-0000-0000-000032040000}"/>
    <cellStyle name="Процентный 2 3 6" xfId="1074" xr:uid="{00000000-0005-0000-0000-000033040000}"/>
    <cellStyle name="Процентный 2 3 6 2" xfId="1075" xr:uid="{00000000-0005-0000-0000-000034040000}"/>
    <cellStyle name="Процентный 2 3 6 2 2" xfId="1076" xr:uid="{00000000-0005-0000-0000-000035040000}"/>
    <cellStyle name="Процентный 2 3 6 3" xfId="1077" xr:uid="{00000000-0005-0000-0000-000036040000}"/>
    <cellStyle name="Процентный 2 3 7" xfId="1078" xr:uid="{00000000-0005-0000-0000-000037040000}"/>
    <cellStyle name="Процентный 2 3 7 2" xfId="1079" xr:uid="{00000000-0005-0000-0000-000038040000}"/>
    <cellStyle name="Процентный 2 3 8" xfId="1080" xr:uid="{00000000-0005-0000-0000-000039040000}"/>
    <cellStyle name="Процентный 2 4" xfId="1081" xr:uid="{00000000-0005-0000-0000-00003A040000}"/>
    <cellStyle name="Процентный 2 4 2" xfId="1082" xr:uid="{00000000-0005-0000-0000-00003B040000}"/>
    <cellStyle name="Процентный 2 4 2 2" xfId="1083" xr:uid="{00000000-0005-0000-0000-00003C040000}"/>
    <cellStyle name="Процентный 2 4 2 2 2" xfId="1084" xr:uid="{00000000-0005-0000-0000-00003D040000}"/>
    <cellStyle name="Процентный 2 4 2 2 2 2" xfId="1085" xr:uid="{00000000-0005-0000-0000-00003E040000}"/>
    <cellStyle name="Процентный 2 4 2 2 2 2 2" xfId="1086" xr:uid="{00000000-0005-0000-0000-00003F040000}"/>
    <cellStyle name="Процентный 2 4 2 2 2 2 2 2" xfId="1087" xr:uid="{00000000-0005-0000-0000-000040040000}"/>
    <cellStyle name="Процентный 2 4 2 2 2 2 3" xfId="1088" xr:uid="{00000000-0005-0000-0000-000041040000}"/>
    <cellStyle name="Процентный 2 4 2 2 2 3" xfId="1089" xr:uid="{00000000-0005-0000-0000-000042040000}"/>
    <cellStyle name="Процентный 2 4 2 2 2 3 2" xfId="1090" xr:uid="{00000000-0005-0000-0000-000043040000}"/>
    <cellStyle name="Процентный 2 4 2 2 2 4" xfId="1091" xr:uid="{00000000-0005-0000-0000-000044040000}"/>
    <cellStyle name="Процентный 2 4 2 2 3" xfId="1092" xr:uid="{00000000-0005-0000-0000-000045040000}"/>
    <cellStyle name="Процентный 2 4 2 2 3 2" xfId="1093" xr:uid="{00000000-0005-0000-0000-000046040000}"/>
    <cellStyle name="Процентный 2 4 2 2 3 2 2" xfId="1094" xr:uid="{00000000-0005-0000-0000-000047040000}"/>
    <cellStyle name="Процентный 2 4 2 2 3 3" xfId="1095" xr:uid="{00000000-0005-0000-0000-000048040000}"/>
    <cellStyle name="Процентный 2 4 2 2 4" xfId="1096" xr:uid="{00000000-0005-0000-0000-000049040000}"/>
    <cellStyle name="Процентный 2 4 2 2 4 2" xfId="1097" xr:uid="{00000000-0005-0000-0000-00004A040000}"/>
    <cellStyle name="Процентный 2 4 2 2 5" xfId="1098" xr:uid="{00000000-0005-0000-0000-00004B040000}"/>
    <cellStyle name="Процентный 2 4 2 3" xfId="1099" xr:uid="{00000000-0005-0000-0000-00004C040000}"/>
    <cellStyle name="Процентный 2 4 2 3 2" xfId="1100" xr:uid="{00000000-0005-0000-0000-00004D040000}"/>
    <cellStyle name="Процентный 2 4 2 3 2 2" xfId="1101" xr:uid="{00000000-0005-0000-0000-00004E040000}"/>
    <cellStyle name="Процентный 2 4 2 3 2 2 2" xfId="1102" xr:uid="{00000000-0005-0000-0000-00004F040000}"/>
    <cellStyle name="Процентный 2 4 2 3 2 3" xfId="1103" xr:uid="{00000000-0005-0000-0000-000050040000}"/>
    <cellStyle name="Процентный 2 4 2 3 3" xfId="1104" xr:uid="{00000000-0005-0000-0000-000051040000}"/>
    <cellStyle name="Процентный 2 4 2 3 3 2" xfId="1105" xr:uid="{00000000-0005-0000-0000-000052040000}"/>
    <cellStyle name="Процентный 2 4 2 3 4" xfId="1106" xr:uid="{00000000-0005-0000-0000-000053040000}"/>
    <cellStyle name="Процентный 2 4 2 4" xfId="1107" xr:uid="{00000000-0005-0000-0000-000054040000}"/>
    <cellStyle name="Процентный 2 4 2 4 2" xfId="1108" xr:uid="{00000000-0005-0000-0000-000055040000}"/>
    <cellStyle name="Процентный 2 4 2 4 2 2" xfId="1109" xr:uid="{00000000-0005-0000-0000-000056040000}"/>
    <cellStyle name="Процентный 2 4 2 4 3" xfId="1110" xr:uid="{00000000-0005-0000-0000-000057040000}"/>
    <cellStyle name="Процентный 2 4 2 5" xfId="1111" xr:uid="{00000000-0005-0000-0000-000058040000}"/>
    <cellStyle name="Процентный 2 4 2 5 2" xfId="1112" xr:uid="{00000000-0005-0000-0000-000059040000}"/>
    <cellStyle name="Процентный 2 4 2 6" xfId="1113" xr:uid="{00000000-0005-0000-0000-00005A040000}"/>
    <cellStyle name="Процентный 2 4 3" xfId="1114" xr:uid="{00000000-0005-0000-0000-00005B040000}"/>
    <cellStyle name="Процентный 2 4 3 2" xfId="1115" xr:uid="{00000000-0005-0000-0000-00005C040000}"/>
    <cellStyle name="Процентный 2 4 3 2 2" xfId="1116" xr:uid="{00000000-0005-0000-0000-00005D040000}"/>
    <cellStyle name="Процентный 2 4 3 2 2 2" xfId="1117" xr:uid="{00000000-0005-0000-0000-00005E040000}"/>
    <cellStyle name="Процентный 2 4 3 2 2 2 2" xfId="1118" xr:uid="{00000000-0005-0000-0000-00005F040000}"/>
    <cellStyle name="Процентный 2 4 3 2 2 3" xfId="1119" xr:uid="{00000000-0005-0000-0000-000060040000}"/>
    <cellStyle name="Процентный 2 4 3 2 3" xfId="1120" xr:uid="{00000000-0005-0000-0000-000061040000}"/>
    <cellStyle name="Процентный 2 4 3 2 3 2" xfId="1121" xr:uid="{00000000-0005-0000-0000-000062040000}"/>
    <cellStyle name="Процентный 2 4 3 2 4" xfId="1122" xr:uid="{00000000-0005-0000-0000-000063040000}"/>
    <cellStyle name="Процентный 2 4 3 3" xfId="1123" xr:uid="{00000000-0005-0000-0000-000064040000}"/>
    <cellStyle name="Процентный 2 4 3 3 2" xfId="1124" xr:uid="{00000000-0005-0000-0000-000065040000}"/>
    <cellStyle name="Процентный 2 4 3 3 2 2" xfId="1125" xr:uid="{00000000-0005-0000-0000-000066040000}"/>
    <cellStyle name="Процентный 2 4 3 3 3" xfId="1126" xr:uid="{00000000-0005-0000-0000-000067040000}"/>
    <cellStyle name="Процентный 2 4 3 4" xfId="1127" xr:uid="{00000000-0005-0000-0000-000068040000}"/>
    <cellStyle name="Процентный 2 4 3 4 2" xfId="1128" xr:uid="{00000000-0005-0000-0000-000069040000}"/>
    <cellStyle name="Процентный 2 4 3 5" xfId="1129" xr:uid="{00000000-0005-0000-0000-00006A040000}"/>
    <cellStyle name="Процентный 2 4 4" xfId="1130" xr:uid="{00000000-0005-0000-0000-00006B040000}"/>
    <cellStyle name="Процентный 2 4 4 2" xfId="1131" xr:uid="{00000000-0005-0000-0000-00006C040000}"/>
    <cellStyle name="Процентный 2 4 4 2 2" xfId="1132" xr:uid="{00000000-0005-0000-0000-00006D040000}"/>
    <cellStyle name="Процентный 2 4 4 2 2 2" xfId="1133" xr:uid="{00000000-0005-0000-0000-00006E040000}"/>
    <cellStyle name="Процентный 2 4 4 2 3" xfId="1134" xr:uid="{00000000-0005-0000-0000-00006F040000}"/>
    <cellStyle name="Процентный 2 4 4 3" xfId="1135" xr:uid="{00000000-0005-0000-0000-000070040000}"/>
    <cellStyle name="Процентный 2 4 4 3 2" xfId="1136" xr:uid="{00000000-0005-0000-0000-000071040000}"/>
    <cellStyle name="Процентный 2 4 4 4" xfId="1137" xr:uid="{00000000-0005-0000-0000-000072040000}"/>
    <cellStyle name="Процентный 2 4 5" xfId="1138" xr:uid="{00000000-0005-0000-0000-000073040000}"/>
    <cellStyle name="Процентный 2 4 5 2" xfId="1139" xr:uid="{00000000-0005-0000-0000-000074040000}"/>
    <cellStyle name="Процентный 2 4 5 2 2" xfId="1140" xr:uid="{00000000-0005-0000-0000-000075040000}"/>
    <cellStyle name="Процентный 2 4 5 3" xfId="1141" xr:uid="{00000000-0005-0000-0000-000076040000}"/>
    <cellStyle name="Процентный 2 4 6" xfId="1142" xr:uid="{00000000-0005-0000-0000-000077040000}"/>
    <cellStyle name="Процентный 2 4 6 2" xfId="1143" xr:uid="{00000000-0005-0000-0000-000078040000}"/>
    <cellStyle name="Процентный 2 4 7" xfId="1144" xr:uid="{00000000-0005-0000-0000-000079040000}"/>
    <cellStyle name="Процентный 2 5" xfId="1145" xr:uid="{00000000-0005-0000-0000-00007A040000}"/>
    <cellStyle name="Процентный 2 5 2" xfId="1146" xr:uid="{00000000-0005-0000-0000-00007B040000}"/>
    <cellStyle name="Процентный 2 5 2 2" xfId="1147" xr:uid="{00000000-0005-0000-0000-00007C040000}"/>
    <cellStyle name="Процентный 2 5 2 2 2" xfId="1148" xr:uid="{00000000-0005-0000-0000-00007D040000}"/>
    <cellStyle name="Процентный 2 5 2 2 2 2" xfId="1149" xr:uid="{00000000-0005-0000-0000-00007E040000}"/>
    <cellStyle name="Процентный 2 5 2 2 2 2 2" xfId="1150" xr:uid="{00000000-0005-0000-0000-00007F040000}"/>
    <cellStyle name="Процентный 2 5 2 2 2 3" xfId="1151" xr:uid="{00000000-0005-0000-0000-000080040000}"/>
    <cellStyle name="Процентный 2 5 2 2 3" xfId="1152" xr:uid="{00000000-0005-0000-0000-000081040000}"/>
    <cellStyle name="Процентный 2 5 2 2 3 2" xfId="1153" xr:uid="{00000000-0005-0000-0000-000082040000}"/>
    <cellStyle name="Процентный 2 5 2 2 4" xfId="1154" xr:uid="{00000000-0005-0000-0000-000083040000}"/>
    <cellStyle name="Процентный 2 5 2 3" xfId="1155" xr:uid="{00000000-0005-0000-0000-000084040000}"/>
    <cellStyle name="Процентный 2 5 2 3 2" xfId="1156" xr:uid="{00000000-0005-0000-0000-000085040000}"/>
    <cellStyle name="Процентный 2 5 2 3 2 2" xfId="1157" xr:uid="{00000000-0005-0000-0000-000086040000}"/>
    <cellStyle name="Процентный 2 5 2 3 3" xfId="1158" xr:uid="{00000000-0005-0000-0000-000087040000}"/>
    <cellStyle name="Процентный 2 5 2 4" xfId="1159" xr:uid="{00000000-0005-0000-0000-000088040000}"/>
    <cellStyle name="Процентный 2 5 2 4 2" xfId="1160" xr:uid="{00000000-0005-0000-0000-000089040000}"/>
    <cellStyle name="Процентный 2 5 2 5" xfId="1161" xr:uid="{00000000-0005-0000-0000-00008A040000}"/>
    <cellStyle name="Процентный 2 5 3" xfId="1162" xr:uid="{00000000-0005-0000-0000-00008B040000}"/>
    <cellStyle name="Процентный 2 5 3 2" xfId="1163" xr:uid="{00000000-0005-0000-0000-00008C040000}"/>
    <cellStyle name="Процентный 2 5 3 2 2" xfId="1164" xr:uid="{00000000-0005-0000-0000-00008D040000}"/>
    <cellStyle name="Процентный 2 5 3 2 2 2" xfId="1165" xr:uid="{00000000-0005-0000-0000-00008E040000}"/>
    <cellStyle name="Процентный 2 5 3 2 3" xfId="1166" xr:uid="{00000000-0005-0000-0000-00008F040000}"/>
    <cellStyle name="Процентный 2 5 3 3" xfId="1167" xr:uid="{00000000-0005-0000-0000-000090040000}"/>
    <cellStyle name="Процентный 2 5 3 3 2" xfId="1168" xr:uid="{00000000-0005-0000-0000-000091040000}"/>
    <cellStyle name="Процентный 2 5 3 4" xfId="1169" xr:uid="{00000000-0005-0000-0000-000092040000}"/>
    <cellStyle name="Процентный 2 5 4" xfId="1170" xr:uid="{00000000-0005-0000-0000-000093040000}"/>
    <cellStyle name="Процентный 2 5 4 2" xfId="1171" xr:uid="{00000000-0005-0000-0000-000094040000}"/>
    <cellStyle name="Процентный 2 5 4 2 2" xfId="1172" xr:uid="{00000000-0005-0000-0000-000095040000}"/>
    <cellStyle name="Процентный 2 5 4 3" xfId="1173" xr:uid="{00000000-0005-0000-0000-000096040000}"/>
    <cellStyle name="Процентный 2 5 5" xfId="1174" xr:uid="{00000000-0005-0000-0000-000097040000}"/>
    <cellStyle name="Процентный 2 5 5 2" xfId="1175" xr:uid="{00000000-0005-0000-0000-000098040000}"/>
    <cellStyle name="Процентный 2 5 6" xfId="1176" xr:uid="{00000000-0005-0000-0000-000099040000}"/>
    <cellStyle name="Процентный 2 6" xfId="1177" xr:uid="{00000000-0005-0000-0000-00009A040000}"/>
    <cellStyle name="Процентный 2 6 2" xfId="1178" xr:uid="{00000000-0005-0000-0000-00009B040000}"/>
    <cellStyle name="Процентный 2 6 2 2" xfId="1179" xr:uid="{00000000-0005-0000-0000-00009C040000}"/>
    <cellStyle name="Процентный 2 6 2 2 2" xfId="1180" xr:uid="{00000000-0005-0000-0000-00009D040000}"/>
    <cellStyle name="Процентный 2 6 2 2 2 2" xfId="1181" xr:uid="{00000000-0005-0000-0000-00009E040000}"/>
    <cellStyle name="Процентный 2 6 2 2 3" xfId="1182" xr:uid="{00000000-0005-0000-0000-00009F040000}"/>
    <cellStyle name="Процентный 2 6 2 3" xfId="1183" xr:uid="{00000000-0005-0000-0000-0000A0040000}"/>
    <cellStyle name="Процентный 2 6 2 3 2" xfId="1184" xr:uid="{00000000-0005-0000-0000-0000A1040000}"/>
    <cellStyle name="Процентный 2 6 2 4" xfId="1185" xr:uid="{00000000-0005-0000-0000-0000A2040000}"/>
    <cellStyle name="Процентный 2 6 3" xfId="1186" xr:uid="{00000000-0005-0000-0000-0000A3040000}"/>
    <cellStyle name="Процентный 2 6 3 2" xfId="1187" xr:uid="{00000000-0005-0000-0000-0000A4040000}"/>
    <cellStyle name="Процентный 2 6 3 2 2" xfId="1188" xr:uid="{00000000-0005-0000-0000-0000A5040000}"/>
    <cellStyle name="Процентный 2 6 3 3" xfId="1189" xr:uid="{00000000-0005-0000-0000-0000A6040000}"/>
    <cellStyle name="Процентный 2 6 4" xfId="1190" xr:uid="{00000000-0005-0000-0000-0000A7040000}"/>
    <cellStyle name="Процентный 2 6 4 2" xfId="1191" xr:uid="{00000000-0005-0000-0000-0000A8040000}"/>
    <cellStyle name="Процентный 2 6 5" xfId="1192" xr:uid="{00000000-0005-0000-0000-0000A9040000}"/>
    <cellStyle name="Процентный 2 7" xfId="1193" xr:uid="{00000000-0005-0000-0000-0000AA040000}"/>
    <cellStyle name="Процентный 2 7 2" xfId="1194" xr:uid="{00000000-0005-0000-0000-0000AB040000}"/>
    <cellStyle name="Процентный 2 7 2 2" xfId="1195" xr:uid="{00000000-0005-0000-0000-0000AC040000}"/>
    <cellStyle name="Процентный 2 7 2 2 2" xfId="1196" xr:uid="{00000000-0005-0000-0000-0000AD040000}"/>
    <cellStyle name="Процентный 2 7 2 3" xfId="1197" xr:uid="{00000000-0005-0000-0000-0000AE040000}"/>
    <cellStyle name="Процентный 2 7 3" xfId="1198" xr:uid="{00000000-0005-0000-0000-0000AF040000}"/>
    <cellStyle name="Процентный 2 7 3 2" xfId="1199" xr:uid="{00000000-0005-0000-0000-0000B0040000}"/>
    <cellStyle name="Процентный 2 7 4" xfId="1200" xr:uid="{00000000-0005-0000-0000-0000B1040000}"/>
    <cellStyle name="Процентный 2 8" xfId="1201" xr:uid="{00000000-0005-0000-0000-0000B2040000}"/>
    <cellStyle name="Процентный 2 8 2" xfId="1202" xr:uid="{00000000-0005-0000-0000-0000B3040000}"/>
    <cellStyle name="Процентный 2 8 2 2" xfId="1203" xr:uid="{00000000-0005-0000-0000-0000B4040000}"/>
    <cellStyle name="Процентный 2 8 3" xfId="1204" xr:uid="{00000000-0005-0000-0000-0000B5040000}"/>
    <cellStyle name="Процентный 2 9" xfId="1205" xr:uid="{00000000-0005-0000-0000-0000B6040000}"/>
    <cellStyle name="Процентный 2 9 2" xfId="1206" xr:uid="{00000000-0005-0000-0000-0000B7040000}"/>
    <cellStyle name="Финансовый 10" xfId="1207" xr:uid="{00000000-0005-0000-0000-0000B8040000}"/>
    <cellStyle name="Финансовый 10 10" xfId="1208" xr:uid="{00000000-0005-0000-0000-0000B9040000}"/>
    <cellStyle name="Финансовый 10 10 2" xfId="1209" xr:uid="{00000000-0005-0000-0000-0000BA040000}"/>
    <cellStyle name="Финансовый 10 10 3" xfId="1210" xr:uid="{00000000-0005-0000-0000-0000BB040000}"/>
    <cellStyle name="Финансовый 10 10 3 2" xfId="1211" xr:uid="{00000000-0005-0000-0000-0000BC040000}"/>
    <cellStyle name="Финансовый 10 10 3 2 2" xfId="1212" xr:uid="{00000000-0005-0000-0000-0000BD040000}"/>
    <cellStyle name="Финансовый 10 10 3 3" xfId="1213" xr:uid="{00000000-0005-0000-0000-0000BE040000}"/>
    <cellStyle name="Финансовый 10 11" xfId="1214" xr:uid="{00000000-0005-0000-0000-0000BF040000}"/>
    <cellStyle name="Финансовый 10 2" xfId="1215" xr:uid="{00000000-0005-0000-0000-0000C0040000}"/>
    <cellStyle name="Финансовый 10 2 10" xfId="1216" xr:uid="{00000000-0005-0000-0000-0000C1040000}"/>
    <cellStyle name="Финансовый 10 2 2" xfId="1217" xr:uid="{00000000-0005-0000-0000-0000C2040000}"/>
    <cellStyle name="Финансовый 10 2 2 2" xfId="1218" xr:uid="{00000000-0005-0000-0000-0000C3040000}"/>
    <cellStyle name="Финансовый 10 2 2 2 2" xfId="1219" xr:uid="{00000000-0005-0000-0000-0000C4040000}"/>
    <cellStyle name="Финансовый 10 2 2 2 2 2" xfId="1220" xr:uid="{00000000-0005-0000-0000-0000C5040000}"/>
    <cellStyle name="Финансовый 10 2 2 2 2 2 2" xfId="1221" xr:uid="{00000000-0005-0000-0000-0000C6040000}"/>
    <cellStyle name="Финансовый 10 2 2 2 2 2 2 2" xfId="1222" xr:uid="{00000000-0005-0000-0000-0000C7040000}"/>
    <cellStyle name="Финансовый 10 2 2 2 2 2 2 2 2" xfId="1223" xr:uid="{00000000-0005-0000-0000-0000C8040000}"/>
    <cellStyle name="Финансовый 10 2 2 2 2 2 2 2 2 2" xfId="1224" xr:uid="{00000000-0005-0000-0000-0000C9040000}"/>
    <cellStyle name="Финансовый 10 2 2 2 2 2 2 2 2 2 2" xfId="1225" xr:uid="{00000000-0005-0000-0000-0000CA040000}"/>
    <cellStyle name="Финансовый 10 2 2 2 2 2 2 2 2 3" xfId="1226" xr:uid="{00000000-0005-0000-0000-0000CB040000}"/>
    <cellStyle name="Финансовый 10 2 2 2 2 2 2 2 3" xfId="1227" xr:uid="{00000000-0005-0000-0000-0000CC040000}"/>
    <cellStyle name="Финансовый 10 2 2 2 2 2 2 2 3 2" xfId="1228" xr:uid="{00000000-0005-0000-0000-0000CD040000}"/>
    <cellStyle name="Финансовый 10 2 2 2 2 2 2 2 4" xfId="1229" xr:uid="{00000000-0005-0000-0000-0000CE040000}"/>
    <cellStyle name="Финансовый 10 2 2 2 2 2 2 3" xfId="1230" xr:uid="{00000000-0005-0000-0000-0000CF040000}"/>
    <cellStyle name="Финансовый 10 2 2 2 2 2 2 3 2" xfId="1231" xr:uid="{00000000-0005-0000-0000-0000D0040000}"/>
    <cellStyle name="Финансовый 10 2 2 2 2 2 2 3 2 2" xfId="1232" xr:uid="{00000000-0005-0000-0000-0000D1040000}"/>
    <cellStyle name="Финансовый 10 2 2 2 2 2 2 3 3" xfId="1233" xr:uid="{00000000-0005-0000-0000-0000D2040000}"/>
    <cellStyle name="Финансовый 10 2 2 2 2 2 2 4" xfId="1234" xr:uid="{00000000-0005-0000-0000-0000D3040000}"/>
    <cellStyle name="Финансовый 10 2 2 2 2 2 2 4 2" xfId="1235" xr:uid="{00000000-0005-0000-0000-0000D4040000}"/>
    <cellStyle name="Финансовый 10 2 2 2 2 2 2 5" xfId="1236" xr:uid="{00000000-0005-0000-0000-0000D5040000}"/>
    <cellStyle name="Финансовый 10 2 2 2 2 2 3" xfId="1237" xr:uid="{00000000-0005-0000-0000-0000D6040000}"/>
    <cellStyle name="Финансовый 10 2 2 2 2 2 3 2" xfId="1238" xr:uid="{00000000-0005-0000-0000-0000D7040000}"/>
    <cellStyle name="Финансовый 10 2 2 2 2 2 3 2 2" xfId="1239" xr:uid="{00000000-0005-0000-0000-0000D8040000}"/>
    <cellStyle name="Финансовый 10 2 2 2 2 2 3 2 2 2" xfId="1240" xr:uid="{00000000-0005-0000-0000-0000D9040000}"/>
    <cellStyle name="Финансовый 10 2 2 2 2 2 3 2 3" xfId="1241" xr:uid="{00000000-0005-0000-0000-0000DA040000}"/>
    <cellStyle name="Финансовый 10 2 2 2 2 2 3 3" xfId="1242" xr:uid="{00000000-0005-0000-0000-0000DB040000}"/>
    <cellStyle name="Финансовый 10 2 2 2 2 2 3 3 2" xfId="1243" xr:uid="{00000000-0005-0000-0000-0000DC040000}"/>
    <cellStyle name="Финансовый 10 2 2 2 2 2 3 4" xfId="1244" xr:uid="{00000000-0005-0000-0000-0000DD040000}"/>
    <cellStyle name="Финансовый 10 2 2 2 2 2 4" xfId="1245" xr:uid="{00000000-0005-0000-0000-0000DE040000}"/>
    <cellStyle name="Финансовый 10 2 2 2 2 2 4 2" xfId="1246" xr:uid="{00000000-0005-0000-0000-0000DF040000}"/>
    <cellStyle name="Финансовый 10 2 2 2 2 2 4 2 2" xfId="1247" xr:uid="{00000000-0005-0000-0000-0000E0040000}"/>
    <cellStyle name="Финансовый 10 2 2 2 2 2 4 3" xfId="1248" xr:uid="{00000000-0005-0000-0000-0000E1040000}"/>
    <cellStyle name="Финансовый 10 2 2 2 2 2 5" xfId="1249" xr:uid="{00000000-0005-0000-0000-0000E2040000}"/>
    <cellStyle name="Финансовый 10 2 2 2 2 2 5 2" xfId="1250" xr:uid="{00000000-0005-0000-0000-0000E3040000}"/>
    <cellStyle name="Финансовый 10 2 2 2 2 2 6" xfId="1251" xr:uid="{00000000-0005-0000-0000-0000E4040000}"/>
    <cellStyle name="Финансовый 10 2 2 2 2 3" xfId="1252" xr:uid="{00000000-0005-0000-0000-0000E5040000}"/>
    <cellStyle name="Финансовый 10 2 2 2 2 3 2" xfId="1253" xr:uid="{00000000-0005-0000-0000-0000E6040000}"/>
    <cellStyle name="Финансовый 10 2 2 2 2 3 2 2" xfId="1254" xr:uid="{00000000-0005-0000-0000-0000E7040000}"/>
    <cellStyle name="Финансовый 10 2 2 2 2 3 2 2 2" xfId="1255" xr:uid="{00000000-0005-0000-0000-0000E8040000}"/>
    <cellStyle name="Финансовый 10 2 2 2 2 3 2 2 2 2" xfId="1256" xr:uid="{00000000-0005-0000-0000-0000E9040000}"/>
    <cellStyle name="Финансовый 10 2 2 2 2 3 2 2 3" xfId="1257" xr:uid="{00000000-0005-0000-0000-0000EA040000}"/>
    <cellStyle name="Финансовый 10 2 2 2 2 3 2 3" xfId="1258" xr:uid="{00000000-0005-0000-0000-0000EB040000}"/>
    <cellStyle name="Финансовый 10 2 2 2 2 3 2 3 2" xfId="1259" xr:uid="{00000000-0005-0000-0000-0000EC040000}"/>
    <cellStyle name="Финансовый 10 2 2 2 2 3 2 4" xfId="1260" xr:uid="{00000000-0005-0000-0000-0000ED040000}"/>
    <cellStyle name="Финансовый 10 2 2 2 2 3 3" xfId="1261" xr:uid="{00000000-0005-0000-0000-0000EE040000}"/>
    <cellStyle name="Финансовый 10 2 2 2 2 3 3 2" xfId="1262" xr:uid="{00000000-0005-0000-0000-0000EF040000}"/>
    <cellStyle name="Финансовый 10 2 2 2 2 3 3 2 2" xfId="1263" xr:uid="{00000000-0005-0000-0000-0000F0040000}"/>
    <cellStyle name="Финансовый 10 2 2 2 2 3 3 3" xfId="1264" xr:uid="{00000000-0005-0000-0000-0000F1040000}"/>
    <cellStyle name="Финансовый 10 2 2 2 2 3 4" xfId="1265" xr:uid="{00000000-0005-0000-0000-0000F2040000}"/>
    <cellStyle name="Финансовый 10 2 2 2 2 3 4 2" xfId="1266" xr:uid="{00000000-0005-0000-0000-0000F3040000}"/>
    <cellStyle name="Финансовый 10 2 2 2 2 3 5" xfId="1267" xr:uid="{00000000-0005-0000-0000-0000F4040000}"/>
    <cellStyle name="Финансовый 10 2 2 2 2 4" xfId="1268" xr:uid="{00000000-0005-0000-0000-0000F5040000}"/>
    <cellStyle name="Финансовый 10 2 2 2 2 4 2" xfId="1269" xr:uid="{00000000-0005-0000-0000-0000F6040000}"/>
    <cellStyle name="Финансовый 10 2 2 2 2 4 2 2" xfId="1270" xr:uid="{00000000-0005-0000-0000-0000F7040000}"/>
    <cellStyle name="Финансовый 10 2 2 2 2 4 2 2 2" xfId="1271" xr:uid="{00000000-0005-0000-0000-0000F8040000}"/>
    <cellStyle name="Финансовый 10 2 2 2 2 4 2 3" xfId="1272" xr:uid="{00000000-0005-0000-0000-0000F9040000}"/>
    <cellStyle name="Финансовый 10 2 2 2 2 4 3" xfId="1273" xr:uid="{00000000-0005-0000-0000-0000FA040000}"/>
    <cellStyle name="Финансовый 10 2 2 2 2 4 3 2" xfId="1274" xr:uid="{00000000-0005-0000-0000-0000FB040000}"/>
    <cellStyle name="Финансовый 10 2 2 2 2 4 4" xfId="1275" xr:uid="{00000000-0005-0000-0000-0000FC040000}"/>
    <cellStyle name="Финансовый 10 2 2 2 2 5" xfId="1276" xr:uid="{00000000-0005-0000-0000-0000FD040000}"/>
    <cellStyle name="Финансовый 10 2 2 2 2 5 2" xfId="1277" xr:uid="{00000000-0005-0000-0000-0000FE040000}"/>
    <cellStyle name="Финансовый 10 2 2 2 2 5 2 2" xfId="1278" xr:uid="{00000000-0005-0000-0000-0000FF040000}"/>
    <cellStyle name="Финансовый 10 2 2 2 2 5 3" xfId="1279" xr:uid="{00000000-0005-0000-0000-000000050000}"/>
    <cellStyle name="Финансовый 10 2 2 2 2 6" xfId="1280" xr:uid="{00000000-0005-0000-0000-000001050000}"/>
    <cellStyle name="Финансовый 10 2 2 2 2 6 2" xfId="1281" xr:uid="{00000000-0005-0000-0000-000002050000}"/>
    <cellStyle name="Финансовый 10 2 2 2 2 7" xfId="1282" xr:uid="{00000000-0005-0000-0000-000003050000}"/>
    <cellStyle name="Финансовый 10 2 2 2 3" xfId="1283" xr:uid="{00000000-0005-0000-0000-000004050000}"/>
    <cellStyle name="Финансовый 10 2 2 2 3 2" xfId="1284" xr:uid="{00000000-0005-0000-0000-000005050000}"/>
    <cellStyle name="Финансовый 10 2 2 2 3 2 2" xfId="1285" xr:uid="{00000000-0005-0000-0000-000006050000}"/>
    <cellStyle name="Финансовый 10 2 2 2 3 2 2 2" xfId="1286" xr:uid="{00000000-0005-0000-0000-000007050000}"/>
    <cellStyle name="Финансовый 10 2 2 2 3 2 2 2 2" xfId="1287" xr:uid="{00000000-0005-0000-0000-000008050000}"/>
    <cellStyle name="Финансовый 10 2 2 2 3 2 2 2 2 2" xfId="1288" xr:uid="{00000000-0005-0000-0000-000009050000}"/>
    <cellStyle name="Финансовый 10 2 2 2 3 2 2 2 3" xfId="1289" xr:uid="{00000000-0005-0000-0000-00000A050000}"/>
    <cellStyle name="Финансовый 10 2 2 2 3 2 2 3" xfId="1290" xr:uid="{00000000-0005-0000-0000-00000B050000}"/>
    <cellStyle name="Финансовый 10 2 2 2 3 2 2 3 2" xfId="1291" xr:uid="{00000000-0005-0000-0000-00000C050000}"/>
    <cellStyle name="Финансовый 10 2 2 2 3 2 2 4" xfId="1292" xr:uid="{00000000-0005-0000-0000-00000D050000}"/>
    <cellStyle name="Финансовый 10 2 2 2 3 2 3" xfId="1293" xr:uid="{00000000-0005-0000-0000-00000E050000}"/>
    <cellStyle name="Финансовый 10 2 2 2 3 2 3 2" xfId="1294" xr:uid="{00000000-0005-0000-0000-00000F050000}"/>
    <cellStyle name="Финансовый 10 2 2 2 3 2 3 2 2" xfId="1295" xr:uid="{00000000-0005-0000-0000-000010050000}"/>
    <cellStyle name="Финансовый 10 2 2 2 3 2 3 3" xfId="1296" xr:uid="{00000000-0005-0000-0000-000011050000}"/>
    <cellStyle name="Финансовый 10 2 2 2 3 2 4" xfId="1297" xr:uid="{00000000-0005-0000-0000-000012050000}"/>
    <cellStyle name="Финансовый 10 2 2 2 3 2 4 2" xfId="1298" xr:uid="{00000000-0005-0000-0000-000013050000}"/>
    <cellStyle name="Финансовый 10 2 2 2 3 2 5" xfId="1299" xr:uid="{00000000-0005-0000-0000-000014050000}"/>
    <cellStyle name="Финансовый 10 2 2 2 3 3" xfId="1300" xr:uid="{00000000-0005-0000-0000-000015050000}"/>
    <cellStyle name="Финансовый 10 2 2 2 3 3 2" xfId="1301" xr:uid="{00000000-0005-0000-0000-000016050000}"/>
    <cellStyle name="Финансовый 10 2 2 2 3 3 2 2" xfId="1302" xr:uid="{00000000-0005-0000-0000-000017050000}"/>
    <cellStyle name="Финансовый 10 2 2 2 3 3 2 2 2" xfId="1303" xr:uid="{00000000-0005-0000-0000-000018050000}"/>
    <cellStyle name="Финансовый 10 2 2 2 3 3 2 3" xfId="1304" xr:uid="{00000000-0005-0000-0000-000019050000}"/>
    <cellStyle name="Финансовый 10 2 2 2 3 3 3" xfId="1305" xr:uid="{00000000-0005-0000-0000-00001A050000}"/>
    <cellStyle name="Финансовый 10 2 2 2 3 3 3 2" xfId="1306" xr:uid="{00000000-0005-0000-0000-00001B050000}"/>
    <cellStyle name="Финансовый 10 2 2 2 3 3 4" xfId="1307" xr:uid="{00000000-0005-0000-0000-00001C050000}"/>
    <cellStyle name="Финансовый 10 2 2 2 3 4" xfId="1308" xr:uid="{00000000-0005-0000-0000-00001D050000}"/>
    <cellStyle name="Финансовый 10 2 2 2 3 4 2" xfId="1309" xr:uid="{00000000-0005-0000-0000-00001E050000}"/>
    <cellStyle name="Финансовый 10 2 2 2 3 4 2 2" xfId="1310" xr:uid="{00000000-0005-0000-0000-00001F050000}"/>
    <cellStyle name="Финансовый 10 2 2 2 3 4 3" xfId="1311" xr:uid="{00000000-0005-0000-0000-000020050000}"/>
    <cellStyle name="Финансовый 10 2 2 2 3 5" xfId="1312" xr:uid="{00000000-0005-0000-0000-000021050000}"/>
    <cellStyle name="Финансовый 10 2 2 2 3 5 2" xfId="1313" xr:uid="{00000000-0005-0000-0000-000022050000}"/>
    <cellStyle name="Финансовый 10 2 2 2 3 6" xfId="1314" xr:uid="{00000000-0005-0000-0000-000023050000}"/>
    <cellStyle name="Финансовый 10 2 2 2 4" xfId="1315" xr:uid="{00000000-0005-0000-0000-000024050000}"/>
    <cellStyle name="Финансовый 10 2 2 2 4 2" xfId="1316" xr:uid="{00000000-0005-0000-0000-000025050000}"/>
    <cellStyle name="Финансовый 10 2 2 2 4 2 2" xfId="1317" xr:uid="{00000000-0005-0000-0000-000026050000}"/>
    <cellStyle name="Финансовый 10 2 2 2 4 2 2 2" xfId="1318" xr:uid="{00000000-0005-0000-0000-000027050000}"/>
    <cellStyle name="Финансовый 10 2 2 2 4 2 2 2 2" xfId="1319" xr:uid="{00000000-0005-0000-0000-000028050000}"/>
    <cellStyle name="Финансовый 10 2 2 2 4 2 2 3" xfId="1320" xr:uid="{00000000-0005-0000-0000-000029050000}"/>
    <cellStyle name="Финансовый 10 2 2 2 4 2 3" xfId="1321" xr:uid="{00000000-0005-0000-0000-00002A050000}"/>
    <cellStyle name="Финансовый 10 2 2 2 4 2 3 2" xfId="1322" xr:uid="{00000000-0005-0000-0000-00002B050000}"/>
    <cellStyle name="Финансовый 10 2 2 2 4 2 4" xfId="1323" xr:uid="{00000000-0005-0000-0000-00002C050000}"/>
    <cellStyle name="Финансовый 10 2 2 2 4 3" xfId="1324" xr:uid="{00000000-0005-0000-0000-00002D050000}"/>
    <cellStyle name="Финансовый 10 2 2 2 4 3 2" xfId="1325" xr:uid="{00000000-0005-0000-0000-00002E050000}"/>
    <cellStyle name="Финансовый 10 2 2 2 4 3 2 2" xfId="1326" xr:uid="{00000000-0005-0000-0000-00002F050000}"/>
    <cellStyle name="Финансовый 10 2 2 2 4 3 3" xfId="1327" xr:uid="{00000000-0005-0000-0000-000030050000}"/>
    <cellStyle name="Финансовый 10 2 2 2 4 4" xfId="1328" xr:uid="{00000000-0005-0000-0000-000031050000}"/>
    <cellStyle name="Финансовый 10 2 2 2 4 4 2" xfId="1329" xr:uid="{00000000-0005-0000-0000-000032050000}"/>
    <cellStyle name="Финансовый 10 2 2 2 4 5" xfId="1330" xr:uid="{00000000-0005-0000-0000-000033050000}"/>
    <cellStyle name="Финансовый 10 2 2 2 5" xfId="1331" xr:uid="{00000000-0005-0000-0000-000034050000}"/>
    <cellStyle name="Финансовый 10 2 2 2 5 2" xfId="1332" xr:uid="{00000000-0005-0000-0000-000035050000}"/>
    <cellStyle name="Финансовый 10 2 2 2 5 2 2" xfId="1333" xr:uid="{00000000-0005-0000-0000-000036050000}"/>
    <cellStyle name="Финансовый 10 2 2 2 5 2 2 2" xfId="1334" xr:uid="{00000000-0005-0000-0000-000037050000}"/>
    <cellStyle name="Финансовый 10 2 2 2 5 2 3" xfId="1335" xr:uid="{00000000-0005-0000-0000-000038050000}"/>
    <cellStyle name="Финансовый 10 2 2 2 5 3" xfId="1336" xr:uid="{00000000-0005-0000-0000-000039050000}"/>
    <cellStyle name="Финансовый 10 2 2 2 5 3 2" xfId="1337" xr:uid="{00000000-0005-0000-0000-00003A050000}"/>
    <cellStyle name="Финансовый 10 2 2 2 5 4" xfId="1338" xr:uid="{00000000-0005-0000-0000-00003B050000}"/>
    <cellStyle name="Финансовый 10 2 2 2 6" xfId="1339" xr:uid="{00000000-0005-0000-0000-00003C050000}"/>
    <cellStyle name="Финансовый 10 2 2 2 6 2" xfId="1340" xr:uid="{00000000-0005-0000-0000-00003D050000}"/>
    <cellStyle name="Финансовый 10 2 2 2 6 2 2" xfId="1341" xr:uid="{00000000-0005-0000-0000-00003E050000}"/>
    <cellStyle name="Финансовый 10 2 2 2 6 3" xfId="1342" xr:uid="{00000000-0005-0000-0000-00003F050000}"/>
    <cellStyle name="Финансовый 10 2 2 2 7" xfId="1343" xr:uid="{00000000-0005-0000-0000-000040050000}"/>
    <cellStyle name="Финансовый 10 2 2 2 7 2" xfId="1344" xr:uid="{00000000-0005-0000-0000-000041050000}"/>
    <cellStyle name="Финансовый 10 2 2 2 8" xfId="1345" xr:uid="{00000000-0005-0000-0000-000042050000}"/>
    <cellStyle name="Финансовый 10 2 2 3" xfId="1346" xr:uid="{00000000-0005-0000-0000-000043050000}"/>
    <cellStyle name="Финансовый 10 2 2 3 2" xfId="1347" xr:uid="{00000000-0005-0000-0000-000044050000}"/>
    <cellStyle name="Финансовый 10 2 2 3 2 2" xfId="1348" xr:uid="{00000000-0005-0000-0000-000045050000}"/>
    <cellStyle name="Финансовый 10 2 2 3 2 2 2" xfId="1349" xr:uid="{00000000-0005-0000-0000-000046050000}"/>
    <cellStyle name="Финансовый 10 2 2 3 2 2 2 2" xfId="1350" xr:uid="{00000000-0005-0000-0000-000047050000}"/>
    <cellStyle name="Финансовый 10 2 2 3 2 2 2 2 2" xfId="1351" xr:uid="{00000000-0005-0000-0000-000048050000}"/>
    <cellStyle name="Финансовый 10 2 2 3 2 2 2 2 2 2" xfId="1352" xr:uid="{00000000-0005-0000-0000-000049050000}"/>
    <cellStyle name="Финансовый 10 2 2 3 2 2 2 2 3" xfId="1353" xr:uid="{00000000-0005-0000-0000-00004A050000}"/>
    <cellStyle name="Финансовый 10 2 2 3 2 2 2 3" xfId="1354" xr:uid="{00000000-0005-0000-0000-00004B050000}"/>
    <cellStyle name="Финансовый 10 2 2 3 2 2 2 3 2" xfId="1355" xr:uid="{00000000-0005-0000-0000-00004C050000}"/>
    <cellStyle name="Финансовый 10 2 2 3 2 2 2 4" xfId="1356" xr:uid="{00000000-0005-0000-0000-00004D050000}"/>
    <cellStyle name="Финансовый 10 2 2 3 2 2 3" xfId="1357" xr:uid="{00000000-0005-0000-0000-00004E050000}"/>
    <cellStyle name="Финансовый 10 2 2 3 2 2 3 2" xfId="1358" xr:uid="{00000000-0005-0000-0000-00004F050000}"/>
    <cellStyle name="Финансовый 10 2 2 3 2 2 3 2 2" xfId="1359" xr:uid="{00000000-0005-0000-0000-000050050000}"/>
    <cellStyle name="Финансовый 10 2 2 3 2 2 3 3" xfId="1360" xr:uid="{00000000-0005-0000-0000-000051050000}"/>
    <cellStyle name="Финансовый 10 2 2 3 2 2 4" xfId="1361" xr:uid="{00000000-0005-0000-0000-000052050000}"/>
    <cellStyle name="Финансовый 10 2 2 3 2 2 4 2" xfId="1362" xr:uid="{00000000-0005-0000-0000-000053050000}"/>
    <cellStyle name="Финансовый 10 2 2 3 2 2 5" xfId="1363" xr:uid="{00000000-0005-0000-0000-000054050000}"/>
    <cellStyle name="Финансовый 10 2 2 3 2 3" xfId="1364" xr:uid="{00000000-0005-0000-0000-000055050000}"/>
    <cellStyle name="Финансовый 10 2 2 3 2 3 2" xfId="1365" xr:uid="{00000000-0005-0000-0000-000056050000}"/>
    <cellStyle name="Финансовый 10 2 2 3 2 3 2 2" xfId="1366" xr:uid="{00000000-0005-0000-0000-000057050000}"/>
    <cellStyle name="Финансовый 10 2 2 3 2 3 2 2 2" xfId="1367" xr:uid="{00000000-0005-0000-0000-000058050000}"/>
    <cellStyle name="Финансовый 10 2 2 3 2 3 2 3" xfId="1368" xr:uid="{00000000-0005-0000-0000-000059050000}"/>
    <cellStyle name="Финансовый 10 2 2 3 2 3 3" xfId="1369" xr:uid="{00000000-0005-0000-0000-00005A050000}"/>
    <cellStyle name="Финансовый 10 2 2 3 2 3 3 2" xfId="1370" xr:uid="{00000000-0005-0000-0000-00005B050000}"/>
    <cellStyle name="Финансовый 10 2 2 3 2 3 4" xfId="1371" xr:uid="{00000000-0005-0000-0000-00005C050000}"/>
    <cellStyle name="Финансовый 10 2 2 3 2 4" xfId="1372" xr:uid="{00000000-0005-0000-0000-00005D050000}"/>
    <cellStyle name="Финансовый 10 2 2 3 2 4 2" xfId="1373" xr:uid="{00000000-0005-0000-0000-00005E050000}"/>
    <cellStyle name="Финансовый 10 2 2 3 2 4 2 2" xfId="1374" xr:uid="{00000000-0005-0000-0000-00005F050000}"/>
    <cellStyle name="Финансовый 10 2 2 3 2 4 3" xfId="1375" xr:uid="{00000000-0005-0000-0000-000060050000}"/>
    <cellStyle name="Финансовый 10 2 2 3 2 5" xfId="1376" xr:uid="{00000000-0005-0000-0000-000061050000}"/>
    <cellStyle name="Финансовый 10 2 2 3 2 5 2" xfId="1377" xr:uid="{00000000-0005-0000-0000-000062050000}"/>
    <cellStyle name="Финансовый 10 2 2 3 2 6" xfId="1378" xr:uid="{00000000-0005-0000-0000-000063050000}"/>
    <cellStyle name="Финансовый 10 2 2 3 3" xfId="1379" xr:uid="{00000000-0005-0000-0000-000064050000}"/>
    <cellStyle name="Финансовый 10 2 2 3 3 2" xfId="1380" xr:uid="{00000000-0005-0000-0000-000065050000}"/>
    <cellStyle name="Финансовый 10 2 2 3 3 2 2" xfId="1381" xr:uid="{00000000-0005-0000-0000-000066050000}"/>
    <cellStyle name="Финансовый 10 2 2 3 3 2 2 2" xfId="1382" xr:uid="{00000000-0005-0000-0000-000067050000}"/>
    <cellStyle name="Финансовый 10 2 2 3 3 2 2 2 2" xfId="1383" xr:uid="{00000000-0005-0000-0000-000068050000}"/>
    <cellStyle name="Финансовый 10 2 2 3 3 2 2 3" xfId="1384" xr:uid="{00000000-0005-0000-0000-000069050000}"/>
    <cellStyle name="Финансовый 10 2 2 3 3 2 3" xfId="1385" xr:uid="{00000000-0005-0000-0000-00006A050000}"/>
    <cellStyle name="Финансовый 10 2 2 3 3 2 3 2" xfId="1386" xr:uid="{00000000-0005-0000-0000-00006B050000}"/>
    <cellStyle name="Финансовый 10 2 2 3 3 2 4" xfId="1387" xr:uid="{00000000-0005-0000-0000-00006C050000}"/>
    <cellStyle name="Финансовый 10 2 2 3 3 3" xfId="1388" xr:uid="{00000000-0005-0000-0000-00006D050000}"/>
    <cellStyle name="Финансовый 10 2 2 3 3 3 2" xfId="1389" xr:uid="{00000000-0005-0000-0000-00006E050000}"/>
    <cellStyle name="Финансовый 10 2 2 3 3 3 2 2" xfId="1390" xr:uid="{00000000-0005-0000-0000-00006F050000}"/>
    <cellStyle name="Финансовый 10 2 2 3 3 3 3" xfId="1391" xr:uid="{00000000-0005-0000-0000-000070050000}"/>
    <cellStyle name="Финансовый 10 2 2 3 3 4" xfId="1392" xr:uid="{00000000-0005-0000-0000-000071050000}"/>
    <cellStyle name="Финансовый 10 2 2 3 3 4 2" xfId="1393" xr:uid="{00000000-0005-0000-0000-000072050000}"/>
    <cellStyle name="Финансовый 10 2 2 3 3 5" xfId="1394" xr:uid="{00000000-0005-0000-0000-000073050000}"/>
    <cellStyle name="Финансовый 10 2 2 3 4" xfId="1395" xr:uid="{00000000-0005-0000-0000-000074050000}"/>
    <cellStyle name="Финансовый 10 2 2 3 4 2" xfId="1396" xr:uid="{00000000-0005-0000-0000-000075050000}"/>
    <cellStyle name="Финансовый 10 2 2 3 4 2 2" xfId="1397" xr:uid="{00000000-0005-0000-0000-000076050000}"/>
    <cellStyle name="Финансовый 10 2 2 3 4 2 2 2" xfId="1398" xr:uid="{00000000-0005-0000-0000-000077050000}"/>
    <cellStyle name="Финансовый 10 2 2 3 4 2 3" xfId="1399" xr:uid="{00000000-0005-0000-0000-000078050000}"/>
    <cellStyle name="Финансовый 10 2 2 3 4 3" xfId="1400" xr:uid="{00000000-0005-0000-0000-000079050000}"/>
    <cellStyle name="Финансовый 10 2 2 3 4 3 2" xfId="1401" xr:uid="{00000000-0005-0000-0000-00007A050000}"/>
    <cellStyle name="Финансовый 10 2 2 3 4 4" xfId="1402" xr:uid="{00000000-0005-0000-0000-00007B050000}"/>
    <cellStyle name="Финансовый 10 2 2 3 5" xfId="1403" xr:uid="{00000000-0005-0000-0000-00007C050000}"/>
    <cellStyle name="Финансовый 10 2 2 3 5 2" xfId="1404" xr:uid="{00000000-0005-0000-0000-00007D050000}"/>
    <cellStyle name="Финансовый 10 2 2 3 5 2 2" xfId="1405" xr:uid="{00000000-0005-0000-0000-00007E050000}"/>
    <cellStyle name="Финансовый 10 2 2 3 5 3" xfId="1406" xr:uid="{00000000-0005-0000-0000-00007F050000}"/>
    <cellStyle name="Финансовый 10 2 2 3 6" xfId="1407" xr:uid="{00000000-0005-0000-0000-000080050000}"/>
    <cellStyle name="Финансовый 10 2 2 3 6 2" xfId="1408" xr:uid="{00000000-0005-0000-0000-000081050000}"/>
    <cellStyle name="Финансовый 10 2 2 3 7" xfId="1409" xr:uid="{00000000-0005-0000-0000-000082050000}"/>
    <cellStyle name="Финансовый 10 2 2 4" xfId="1410" xr:uid="{00000000-0005-0000-0000-000083050000}"/>
    <cellStyle name="Финансовый 10 2 2 4 2" xfId="1411" xr:uid="{00000000-0005-0000-0000-000084050000}"/>
    <cellStyle name="Финансовый 10 2 2 4 2 2" xfId="1412" xr:uid="{00000000-0005-0000-0000-000085050000}"/>
    <cellStyle name="Финансовый 10 2 2 4 2 2 2" xfId="1413" xr:uid="{00000000-0005-0000-0000-000086050000}"/>
    <cellStyle name="Финансовый 10 2 2 4 2 2 2 2" xfId="1414" xr:uid="{00000000-0005-0000-0000-000087050000}"/>
    <cellStyle name="Финансовый 10 2 2 4 2 2 2 2 2" xfId="1415" xr:uid="{00000000-0005-0000-0000-000088050000}"/>
    <cellStyle name="Финансовый 10 2 2 4 2 2 2 3" xfId="1416" xr:uid="{00000000-0005-0000-0000-000089050000}"/>
    <cellStyle name="Финансовый 10 2 2 4 2 2 3" xfId="1417" xr:uid="{00000000-0005-0000-0000-00008A050000}"/>
    <cellStyle name="Финансовый 10 2 2 4 2 2 3 2" xfId="1418" xr:uid="{00000000-0005-0000-0000-00008B050000}"/>
    <cellStyle name="Финансовый 10 2 2 4 2 2 4" xfId="1419" xr:uid="{00000000-0005-0000-0000-00008C050000}"/>
    <cellStyle name="Финансовый 10 2 2 4 2 3" xfId="1420" xr:uid="{00000000-0005-0000-0000-00008D050000}"/>
    <cellStyle name="Финансовый 10 2 2 4 2 3 2" xfId="1421" xr:uid="{00000000-0005-0000-0000-00008E050000}"/>
    <cellStyle name="Финансовый 10 2 2 4 2 3 2 2" xfId="1422" xr:uid="{00000000-0005-0000-0000-00008F050000}"/>
    <cellStyle name="Финансовый 10 2 2 4 2 3 3" xfId="1423" xr:uid="{00000000-0005-0000-0000-000090050000}"/>
    <cellStyle name="Финансовый 10 2 2 4 2 4" xfId="1424" xr:uid="{00000000-0005-0000-0000-000091050000}"/>
    <cellStyle name="Финансовый 10 2 2 4 2 4 2" xfId="1425" xr:uid="{00000000-0005-0000-0000-000092050000}"/>
    <cellStyle name="Финансовый 10 2 2 4 2 5" xfId="1426" xr:uid="{00000000-0005-0000-0000-000093050000}"/>
    <cellStyle name="Финансовый 10 2 2 4 3" xfId="1427" xr:uid="{00000000-0005-0000-0000-000094050000}"/>
    <cellStyle name="Финансовый 10 2 2 4 3 2" xfId="1428" xr:uid="{00000000-0005-0000-0000-000095050000}"/>
    <cellStyle name="Финансовый 10 2 2 4 3 2 2" xfId="1429" xr:uid="{00000000-0005-0000-0000-000096050000}"/>
    <cellStyle name="Финансовый 10 2 2 4 3 2 2 2" xfId="1430" xr:uid="{00000000-0005-0000-0000-000097050000}"/>
    <cellStyle name="Финансовый 10 2 2 4 3 2 3" xfId="1431" xr:uid="{00000000-0005-0000-0000-000098050000}"/>
    <cellStyle name="Финансовый 10 2 2 4 3 3" xfId="1432" xr:uid="{00000000-0005-0000-0000-000099050000}"/>
    <cellStyle name="Финансовый 10 2 2 4 3 3 2" xfId="1433" xr:uid="{00000000-0005-0000-0000-00009A050000}"/>
    <cellStyle name="Финансовый 10 2 2 4 3 4" xfId="1434" xr:uid="{00000000-0005-0000-0000-00009B050000}"/>
    <cellStyle name="Финансовый 10 2 2 4 4" xfId="1435" xr:uid="{00000000-0005-0000-0000-00009C050000}"/>
    <cellStyle name="Финансовый 10 2 2 4 4 2" xfId="1436" xr:uid="{00000000-0005-0000-0000-00009D050000}"/>
    <cellStyle name="Финансовый 10 2 2 4 4 2 2" xfId="1437" xr:uid="{00000000-0005-0000-0000-00009E050000}"/>
    <cellStyle name="Финансовый 10 2 2 4 4 3" xfId="1438" xr:uid="{00000000-0005-0000-0000-00009F050000}"/>
    <cellStyle name="Финансовый 10 2 2 4 5" xfId="1439" xr:uid="{00000000-0005-0000-0000-0000A0050000}"/>
    <cellStyle name="Финансовый 10 2 2 4 5 2" xfId="1440" xr:uid="{00000000-0005-0000-0000-0000A1050000}"/>
    <cellStyle name="Финансовый 10 2 2 4 6" xfId="1441" xr:uid="{00000000-0005-0000-0000-0000A2050000}"/>
    <cellStyle name="Финансовый 10 2 2 5" xfId="1442" xr:uid="{00000000-0005-0000-0000-0000A3050000}"/>
    <cellStyle name="Финансовый 10 2 2 5 2" xfId="1443" xr:uid="{00000000-0005-0000-0000-0000A4050000}"/>
    <cellStyle name="Финансовый 10 2 2 5 2 2" xfId="1444" xr:uid="{00000000-0005-0000-0000-0000A5050000}"/>
    <cellStyle name="Финансовый 10 2 2 5 2 2 2" xfId="1445" xr:uid="{00000000-0005-0000-0000-0000A6050000}"/>
    <cellStyle name="Финансовый 10 2 2 5 2 2 2 2" xfId="1446" xr:uid="{00000000-0005-0000-0000-0000A7050000}"/>
    <cellStyle name="Финансовый 10 2 2 5 2 2 3" xfId="1447" xr:uid="{00000000-0005-0000-0000-0000A8050000}"/>
    <cellStyle name="Финансовый 10 2 2 5 2 3" xfId="1448" xr:uid="{00000000-0005-0000-0000-0000A9050000}"/>
    <cellStyle name="Финансовый 10 2 2 5 2 3 2" xfId="1449" xr:uid="{00000000-0005-0000-0000-0000AA050000}"/>
    <cellStyle name="Финансовый 10 2 2 5 2 4" xfId="1450" xr:uid="{00000000-0005-0000-0000-0000AB050000}"/>
    <cellStyle name="Финансовый 10 2 2 5 3" xfId="1451" xr:uid="{00000000-0005-0000-0000-0000AC050000}"/>
    <cellStyle name="Финансовый 10 2 2 5 3 2" xfId="1452" xr:uid="{00000000-0005-0000-0000-0000AD050000}"/>
    <cellStyle name="Финансовый 10 2 2 5 3 2 2" xfId="1453" xr:uid="{00000000-0005-0000-0000-0000AE050000}"/>
    <cellStyle name="Финансовый 10 2 2 5 3 3" xfId="1454" xr:uid="{00000000-0005-0000-0000-0000AF050000}"/>
    <cellStyle name="Финансовый 10 2 2 5 4" xfId="1455" xr:uid="{00000000-0005-0000-0000-0000B0050000}"/>
    <cellStyle name="Финансовый 10 2 2 5 4 2" xfId="1456" xr:uid="{00000000-0005-0000-0000-0000B1050000}"/>
    <cellStyle name="Финансовый 10 2 2 5 5" xfId="1457" xr:uid="{00000000-0005-0000-0000-0000B2050000}"/>
    <cellStyle name="Финансовый 10 2 2 6" xfId="1458" xr:uid="{00000000-0005-0000-0000-0000B3050000}"/>
    <cellStyle name="Финансовый 10 2 2 6 2" xfId="1459" xr:uid="{00000000-0005-0000-0000-0000B4050000}"/>
    <cellStyle name="Финансовый 10 2 2 6 2 2" xfId="1460" xr:uid="{00000000-0005-0000-0000-0000B5050000}"/>
    <cellStyle name="Финансовый 10 2 2 6 2 2 2" xfId="1461" xr:uid="{00000000-0005-0000-0000-0000B6050000}"/>
    <cellStyle name="Финансовый 10 2 2 6 2 3" xfId="1462" xr:uid="{00000000-0005-0000-0000-0000B7050000}"/>
    <cellStyle name="Финансовый 10 2 2 6 3" xfId="1463" xr:uid="{00000000-0005-0000-0000-0000B8050000}"/>
    <cellStyle name="Финансовый 10 2 2 6 3 2" xfId="1464" xr:uid="{00000000-0005-0000-0000-0000B9050000}"/>
    <cellStyle name="Финансовый 10 2 2 6 4" xfId="1465" xr:uid="{00000000-0005-0000-0000-0000BA050000}"/>
    <cellStyle name="Финансовый 10 2 2 7" xfId="1466" xr:uid="{00000000-0005-0000-0000-0000BB050000}"/>
    <cellStyle name="Финансовый 10 2 2 7 2" xfId="1467" xr:uid="{00000000-0005-0000-0000-0000BC050000}"/>
    <cellStyle name="Финансовый 10 2 2 7 2 2" xfId="1468" xr:uid="{00000000-0005-0000-0000-0000BD050000}"/>
    <cellStyle name="Финансовый 10 2 2 7 3" xfId="1469" xr:uid="{00000000-0005-0000-0000-0000BE050000}"/>
    <cellStyle name="Финансовый 10 2 2 8" xfId="1470" xr:uid="{00000000-0005-0000-0000-0000BF050000}"/>
    <cellStyle name="Финансовый 10 2 2 8 2" xfId="1471" xr:uid="{00000000-0005-0000-0000-0000C0050000}"/>
    <cellStyle name="Финансовый 10 2 2 9" xfId="1472" xr:uid="{00000000-0005-0000-0000-0000C1050000}"/>
    <cellStyle name="Финансовый 10 2 3" xfId="1473" xr:uid="{00000000-0005-0000-0000-0000C2050000}"/>
    <cellStyle name="Финансовый 10 2 3 2" xfId="1474" xr:uid="{00000000-0005-0000-0000-0000C3050000}"/>
    <cellStyle name="Финансовый 10 2 3 2 2" xfId="1475" xr:uid="{00000000-0005-0000-0000-0000C4050000}"/>
    <cellStyle name="Финансовый 10 2 3 2 2 2" xfId="1476" xr:uid="{00000000-0005-0000-0000-0000C5050000}"/>
    <cellStyle name="Финансовый 10 2 3 2 2 2 2" xfId="1477" xr:uid="{00000000-0005-0000-0000-0000C6050000}"/>
    <cellStyle name="Финансовый 10 2 3 2 2 2 2 2" xfId="1478" xr:uid="{00000000-0005-0000-0000-0000C7050000}"/>
    <cellStyle name="Финансовый 10 2 3 2 2 2 2 2 2" xfId="1479" xr:uid="{00000000-0005-0000-0000-0000C8050000}"/>
    <cellStyle name="Финансовый 10 2 3 2 2 2 2 2 2 2" xfId="1480" xr:uid="{00000000-0005-0000-0000-0000C9050000}"/>
    <cellStyle name="Финансовый 10 2 3 2 2 2 2 2 3" xfId="1481" xr:uid="{00000000-0005-0000-0000-0000CA050000}"/>
    <cellStyle name="Финансовый 10 2 3 2 2 2 2 3" xfId="1482" xr:uid="{00000000-0005-0000-0000-0000CB050000}"/>
    <cellStyle name="Финансовый 10 2 3 2 2 2 2 3 2" xfId="1483" xr:uid="{00000000-0005-0000-0000-0000CC050000}"/>
    <cellStyle name="Финансовый 10 2 3 2 2 2 2 4" xfId="1484" xr:uid="{00000000-0005-0000-0000-0000CD050000}"/>
    <cellStyle name="Финансовый 10 2 3 2 2 2 3" xfId="1485" xr:uid="{00000000-0005-0000-0000-0000CE050000}"/>
    <cellStyle name="Финансовый 10 2 3 2 2 2 3 2" xfId="1486" xr:uid="{00000000-0005-0000-0000-0000CF050000}"/>
    <cellStyle name="Финансовый 10 2 3 2 2 2 3 2 2" xfId="1487" xr:uid="{00000000-0005-0000-0000-0000D0050000}"/>
    <cellStyle name="Финансовый 10 2 3 2 2 2 3 3" xfId="1488" xr:uid="{00000000-0005-0000-0000-0000D1050000}"/>
    <cellStyle name="Финансовый 10 2 3 2 2 2 4" xfId="1489" xr:uid="{00000000-0005-0000-0000-0000D2050000}"/>
    <cellStyle name="Финансовый 10 2 3 2 2 2 4 2" xfId="1490" xr:uid="{00000000-0005-0000-0000-0000D3050000}"/>
    <cellStyle name="Финансовый 10 2 3 2 2 2 5" xfId="1491" xr:uid="{00000000-0005-0000-0000-0000D4050000}"/>
    <cellStyle name="Финансовый 10 2 3 2 2 3" xfId="1492" xr:uid="{00000000-0005-0000-0000-0000D5050000}"/>
    <cellStyle name="Финансовый 10 2 3 2 2 3 2" xfId="1493" xr:uid="{00000000-0005-0000-0000-0000D6050000}"/>
    <cellStyle name="Финансовый 10 2 3 2 2 3 2 2" xfId="1494" xr:uid="{00000000-0005-0000-0000-0000D7050000}"/>
    <cellStyle name="Финансовый 10 2 3 2 2 3 2 2 2" xfId="1495" xr:uid="{00000000-0005-0000-0000-0000D8050000}"/>
    <cellStyle name="Финансовый 10 2 3 2 2 3 2 3" xfId="1496" xr:uid="{00000000-0005-0000-0000-0000D9050000}"/>
    <cellStyle name="Финансовый 10 2 3 2 2 3 3" xfId="1497" xr:uid="{00000000-0005-0000-0000-0000DA050000}"/>
    <cellStyle name="Финансовый 10 2 3 2 2 3 3 2" xfId="1498" xr:uid="{00000000-0005-0000-0000-0000DB050000}"/>
    <cellStyle name="Финансовый 10 2 3 2 2 3 4" xfId="1499" xr:uid="{00000000-0005-0000-0000-0000DC050000}"/>
    <cellStyle name="Финансовый 10 2 3 2 2 4" xfId="1500" xr:uid="{00000000-0005-0000-0000-0000DD050000}"/>
    <cellStyle name="Финансовый 10 2 3 2 2 4 2" xfId="1501" xr:uid="{00000000-0005-0000-0000-0000DE050000}"/>
    <cellStyle name="Финансовый 10 2 3 2 2 4 2 2" xfId="1502" xr:uid="{00000000-0005-0000-0000-0000DF050000}"/>
    <cellStyle name="Финансовый 10 2 3 2 2 4 3" xfId="1503" xr:uid="{00000000-0005-0000-0000-0000E0050000}"/>
    <cellStyle name="Финансовый 10 2 3 2 2 5" xfId="1504" xr:uid="{00000000-0005-0000-0000-0000E1050000}"/>
    <cellStyle name="Финансовый 10 2 3 2 2 5 2" xfId="1505" xr:uid="{00000000-0005-0000-0000-0000E2050000}"/>
    <cellStyle name="Финансовый 10 2 3 2 2 6" xfId="1506" xr:uid="{00000000-0005-0000-0000-0000E3050000}"/>
    <cellStyle name="Финансовый 10 2 3 2 3" xfId="1507" xr:uid="{00000000-0005-0000-0000-0000E4050000}"/>
    <cellStyle name="Финансовый 10 2 3 2 3 2" xfId="1508" xr:uid="{00000000-0005-0000-0000-0000E5050000}"/>
    <cellStyle name="Финансовый 10 2 3 2 3 2 2" xfId="1509" xr:uid="{00000000-0005-0000-0000-0000E6050000}"/>
    <cellStyle name="Финансовый 10 2 3 2 3 2 2 2" xfId="1510" xr:uid="{00000000-0005-0000-0000-0000E7050000}"/>
    <cellStyle name="Финансовый 10 2 3 2 3 2 2 2 2" xfId="1511" xr:uid="{00000000-0005-0000-0000-0000E8050000}"/>
    <cellStyle name="Финансовый 10 2 3 2 3 2 2 3" xfId="1512" xr:uid="{00000000-0005-0000-0000-0000E9050000}"/>
    <cellStyle name="Финансовый 10 2 3 2 3 2 3" xfId="1513" xr:uid="{00000000-0005-0000-0000-0000EA050000}"/>
    <cellStyle name="Финансовый 10 2 3 2 3 2 3 2" xfId="1514" xr:uid="{00000000-0005-0000-0000-0000EB050000}"/>
    <cellStyle name="Финансовый 10 2 3 2 3 2 4" xfId="1515" xr:uid="{00000000-0005-0000-0000-0000EC050000}"/>
    <cellStyle name="Финансовый 10 2 3 2 3 3" xfId="1516" xr:uid="{00000000-0005-0000-0000-0000ED050000}"/>
    <cellStyle name="Финансовый 10 2 3 2 3 3 2" xfId="1517" xr:uid="{00000000-0005-0000-0000-0000EE050000}"/>
    <cellStyle name="Финансовый 10 2 3 2 3 3 2 2" xfId="1518" xr:uid="{00000000-0005-0000-0000-0000EF050000}"/>
    <cellStyle name="Финансовый 10 2 3 2 3 3 3" xfId="1519" xr:uid="{00000000-0005-0000-0000-0000F0050000}"/>
    <cellStyle name="Финансовый 10 2 3 2 3 4" xfId="1520" xr:uid="{00000000-0005-0000-0000-0000F1050000}"/>
    <cellStyle name="Финансовый 10 2 3 2 3 4 2" xfId="1521" xr:uid="{00000000-0005-0000-0000-0000F2050000}"/>
    <cellStyle name="Финансовый 10 2 3 2 3 5" xfId="1522" xr:uid="{00000000-0005-0000-0000-0000F3050000}"/>
    <cellStyle name="Финансовый 10 2 3 2 4" xfId="1523" xr:uid="{00000000-0005-0000-0000-0000F4050000}"/>
    <cellStyle name="Финансовый 10 2 3 2 4 2" xfId="1524" xr:uid="{00000000-0005-0000-0000-0000F5050000}"/>
    <cellStyle name="Финансовый 10 2 3 2 4 2 2" xfId="1525" xr:uid="{00000000-0005-0000-0000-0000F6050000}"/>
    <cellStyle name="Финансовый 10 2 3 2 4 2 2 2" xfId="1526" xr:uid="{00000000-0005-0000-0000-0000F7050000}"/>
    <cellStyle name="Финансовый 10 2 3 2 4 2 3" xfId="1527" xr:uid="{00000000-0005-0000-0000-0000F8050000}"/>
    <cellStyle name="Финансовый 10 2 3 2 4 3" xfId="1528" xr:uid="{00000000-0005-0000-0000-0000F9050000}"/>
    <cellStyle name="Финансовый 10 2 3 2 4 3 2" xfId="1529" xr:uid="{00000000-0005-0000-0000-0000FA050000}"/>
    <cellStyle name="Финансовый 10 2 3 2 4 4" xfId="1530" xr:uid="{00000000-0005-0000-0000-0000FB050000}"/>
    <cellStyle name="Финансовый 10 2 3 2 5" xfId="1531" xr:uid="{00000000-0005-0000-0000-0000FC050000}"/>
    <cellStyle name="Финансовый 10 2 3 2 5 2" xfId="1532" xr:uid="{00000000-0005-0000-0000-0000FD050000}"/>
    <cellStyle name="Финансовый 10 2 3 2 5 2 2" xfId="1533" xr:uid="{00000000-0005-0000-0000-0000FE050000}"/>
    <cellStyle name="Финансовый 10 2 3 2 5 3" xfId="1534" xr:uid="{00000000-0005-0000-0000-0000FF050000}"/>
    <cellStyle name="Финансовый 10 2 3 2 6" xfId="1535" xr:uid="{00000000-0005-0000-0000-000000060000}"/>
    <cellStyle name="Финансовый 10 2 3 2 6 2" xfId="1536" xr:uid="{00000000-0005-0000-0000-000001060000}"/>
    <cellStyle name="Финансовый 10 2 3 2 7" xfId="1537" xr:uid="{00000000-0005-0000-0000-000002060000}"/>
    <cellStyle name="Финансовый 10 2 3 3" xfId="1538" xr:uid="{00000000-0005-0000-0000-000003060000}"/>
    <cellStyle name="Финансовый 10 2 3 3 2" xfId="1539" xr:uid="{00000000-0005-0000-0000-000004060000}"/>
    <cellStyle name="Финансовый 10 2 3 3 2 2" xfId="1540" xr:uid="{00000000-0005-0000-0000-000005060000}"/>
    <cellStyle name="Финансовый 10 2 3 3 2 2 2" xfId="1541" xr:uid="{00000000-0005-0000-0000-000006060000}"/>
    <cellStyle name="Финансовый 10 2 3 3 2 2 2 2" xfId="1542" xr:uid="{00000000-0005-0000-0000-000007060000}"/>
    <cellStyle name="Финансовый 10 2 3 3 2 2 2 2 2" xfId="1543" xr:uid="{00000000-0005-0000-0000-000008060000}"/>
    <cellStyle name="Финансовый 10 2 3 3 2 2 2 3" xfId="1544" xr:uid="{00000000-0005-0000-0000-000009060000}"/>
    <cellStyle name="Финансовый 10 2 3 3 2 2 3" xfId="1545" xr:uid="{00000000-0005-0000-0000-00000A060000}"/>
    <cellStyle name="Финансовый 10 2 3 3 2 2 3 2" xfId="1546" xr:uid="{00000000-0005-0000-0000-00000B060000}"/>
    <cellStyle name="Финансовый 10 2 3 3 2 2 4" xfId="1547" xr:uid="{00000000-0005-0000-0000-00000C060000}"/>
    <cellStyle name="Финансовый 10 2 3 3 2 3" xfId="1548" xr:uid="{00000000-0005-0000-0000-00000D060000}"/>
    <cellStyle name="Финансовый 10 2 3 3 2 3 2" xfId="1549" xr:uid="{00000000-0005-0000-0000-00000E060000}"/>
    <cellStyle name="Финансовый 10 2 3 3 2 3 2 2" xfId="1550" xr:uid="{00000000-0005-0000-0000-00000F060000}"/>
    <cellStyle name="Финансовый 10 2 3 3 2 3 3" xfId="1551" xr:uid="{00000000-0005-0000-0000-000010060000}"/>
    <cellStyle name="Финансовый 10 2 3 3 2 4" xfId="1552" xr:uid="{00000000-0005-0000-0000-000011060000}"/>
    <cellStyle name="Финансовый 10 2 3 3 2 4 2" xfId="1553" xr:uid="{00000000-0005-0000-0000-000012060000}"/>
    <cellStyle name="Финансовый 10 2 3 3 2 5" xfId="1554" xr:uid="{00000000-0005-0000-0000-000013060000}"/>
    <cellStyle name="Финансовый 10 2 3 3 3" xfId="1555" xr:uid="{00000000-0005-0000-0000-000014060000}"/>
    <cellStyle name="Финансовый 10 2 3 3 3 2" xfId="1556" xr:uid="{00000000-0005-0000-0000-000015060000}"/>
    <cellStyle name="Финансовый 10 2 3 3 3 2 2" xfId="1557" xr:uid="{00000000-0005-0000-0000-000016060000}"/>
    <cellStyle name="Финансовый 10 2 3 3 3 2 2 2" xfId="1558" xr:uid="{00000000-0005-0000-0000-000017060000}"/>
    <cellStyle name="Финансовый 10 2 3 3 3 2 3" xfId="1559" xr:uid="{00000000-0005-0000-0000-000018060000}"/>
    <cellStyle name="Финансовый 10 2 3 3 3 3" xfId="1560" xr:uid="{00000000-0005-0000-0000-000019060000}"/>
    <cellStyle name="Финансовый 10 2 3 3 3 3 2" xfId="1561" xr:uid="{00000000-0005-0000-0000-00001A060000}"/>
    <cellStyle name="Финансовый 10 2 3 3 3 4" xfId="1562" xr:uid="{00000000-0005-0000-0000-00001B060000}"/>
    <cellStyle name="Финансовый 10 2 3 3 4" xfId="1563" xr:uid="{00000000-0005-0000-0000-00001C060000}"/>
    <cellStyle name="Финансовый 10 2 3 3 4 2" xfId="1564" xr:uid="{00000000-0005-0000-0000-00001D060000}"/>
    <cellStyle name="Финансовый 10 2 3 3 4 2 2" xfId="1565" xr:uid="{00000000-0005-0000-0000-00001E060000}"/>
    <cellStyle name="Финансовый 10 2 3 3 4 3" xfId="1566" xr:uid="{00000000-0005-0000-0000-00001F060000}"/>
    <cellStyle name="Финансовый 10 2 3 3 5" xfId="1567" xr:uid="{00000000-0005-0000-0000-000020060000}"/>
    <cellStyle name="Финансовый 10 2 3 3 5 2" xfId="1568" xr:uid="{00000000-0005-0000-0000-000021060000}"/>
    <cellStyle name="Финансовый 10 2 3 3 6" xfId="1569" xr:uid="{00000000-0005-0000-0000-000022060000}"/>
    <cellStyle name="Финансовый 10 2 3 4" xfId="1570" xr:uid="{00000000-0005-0000-0000-000023060000}"/>
    <cellStyle name="Финансовый 10 2 3 4 2" xfId="1571" xr:uid="{00000000-0005-0000-0000-000024060000}"/>
    <cellStyle name="Финансовый 10 2 3 4 2 2" xfId="1572" xr:uid="{00000000-0005-0000-0000-000025060000}"/>
    <cellStyle name="Финансовый 10 2 3 4 2 2 2" xfId="1573" xr:uid="{00000000-0005-0000-0000-000026060000}"/>
    <cellStyle name="Финансовый 10 2 3 4 2 2 2 2" xfId="1574" xr:uid="{00000000-0005-0000-0000-000027060000}"/>
    <cellStyle name="Финансовый 10 2 3 4 2 2 3" xfId="1575" xr:uid="{00000000-0005-0000-0000-000028060000}"/>
    <cellStyle name="Финансовый 10 2 3 4 2 3" xfId="1576" xr:uid="{00000000-0005-0000-0000-000029060000}"/>
    <cellStyle name="Финансовый 10 2 3 4 2 3 2" xfId="1577" xr:uid="{00000000-0005-0000-0000-00002A060000}"/>
    <cellStyle name="Финансовый 10 2 3 4 2 4" xfId="1578" xr:uid="{00000000-0005-0000-0000-00002B060000}"/>
    <cellStyle name="Финансовый 10 2 3 4 3" xfId="1579" xr:uid="{00000000-0005-0000-0000-00002C060000}"/>
    <cellStyle name="Финансовый 10 2 3 4 3 2" xfId="1580" xr:uid="{00000000-0005-0000-0000-00002D060000}"/>
    <cellStyle name="Финансовый 10 2 3 4 3 2 2" xfId="1581" xr:uid="{00000000-0005-0000-0000-00002E060000}"/>
    <cellStyle name="Финансовый 10 2 3 4 3 3" xfId="1582" xr:uid="{00000000-0005-0000-0000-00002F060000}"/>
    <cellStyle name="Финансовый 10 2 3 4 4" xfId="1583" xr:uid="{00000000-0005-0000-0000-000030060000}"/>
    <cellStyle name="Финансовый 10 2 3 4 4 2" xfId="1584" xr:uid="{00000000-0005-0000-0000-000031060000}"/>
    <cellStyle name="Финансовый 10 2 3 4 5" xfId="1585" xr:uid="{00000000-0005-0000-0000-000032060000}"/>
    <cellStyle name="Финансовый 10 2 3 5" xfId="1586" xr:uid="{00000000-0005-0000-0000-000033060000}"/>
    <cellStyle name="Финансовый 10 2 3 5 2" xfId="1587" xr:uid="{00000000-0005-0000-0000-000034060000}"/>
    <cellStyle name="Финансовый 10 2 3 5 2 2" xfId="1588" xr:uid="{00000000-0005-0000-0000-000035060000}"/>
    <cellStyle name="Финансовый 10 2 3 5 2 2 2" xfId="1589" xr:uid="{00000000-0005-0000-0000-000036060000}"/>
    <cellStyle name="Финансовый 10 2 3 5 2 3" xfId="1590" xr:uid="{00000000-0005-0000-0000-000037060000}"/>
    <cellStyle name="Финансовый 10 2 3 5 3" xfId="1591" xr:uid="{00000000-0005-0000-0000-000038060000}"/>
    <cellStyle name="Финансовый 10 2 3 5 3 2" xfId="1592" xr:uid="{00000000-0005-0000-0000-000039060000}"/>
    <cellStyle name="Финансовый 10 2 3 5 4" xfId="1593" xr:uid="{00000000-0005-0000-0000-00003A060000}"/>
    <cellStyle name="Финансовый 10 2 3 6" xfId="1594" xr:uid="{00000000-0005-0000-0000-00003B060000}"/>
    <cellStyle name="Финансовый 10 2 3 6 2" xfId="1595" xr:uid="{00000000-0005-0000-0000-00003C060000}"/>
    <cellStyle name="Финансовый 10 2 3 6 2 2" xfId="1596" xr:uid="{00000000-0005-0000-0000-00003D060000}"/>
    <cellStyle name="Финансовый 10 2 3 6 3" xfId="1597" xr:uid="{00000000-0005-0000-0000-00003E060000}"/>
    <cellStyle name="Финансовый 10 2 3 7" xfId="1598" xr:uid="{00000000-0005-0000-0000-00003F060000}"/>
    <cellStyle name="Финансовый 10 2 3 7 2" xfId="1599" xr:uid="{00000000-0005-0000-0000-000040060000}"/>
    <cellStyle name="Финансовый 10 2 3 8" xfId="1600" xr:uid="{00000000-0005-0000-0000-000041060000}"/>
    <cellStyle name="Финансовый 10 2 4" xfId="1601" xr:uid="{00000000-0005-0000-0000-000042060000}"/>
    <cellStyle name="Финансовый 10 2 4 2" xfId="1602" xr:uid="{00000000-0005-0000-0000-000043060000}"/>
    <cellStyle name="Финансовый 10 2 4 2 2" xfId="1603" xr:uid="{00000000-0005-0000-0000-000044060000}"/>
    <cellStyle name="Финансовый 10 2 4 2 2 2" xfId="1604" xr:uid="{00000000-0005-0000-0000-000045060000}"/>
    <cellStyle name="Финансовый 10 2 4 2 2 2 2" xfId="1605" xr:uid="{00000000-0005-0000-0000-000046060000}"/>
    <cellStyle name="Финансовый 10 2 4 2 2 2 2 2" xfId="1606" xr:uid="{00000000-0005-0000-0000-000047060000}"/>
    <cellStyle name="Финансовый 10 2 4 2 2 2 2 2 2" xfId="1607" xr:uid="{00000000-0005-0000-0000-000048060000}"/>
    <cellStyle name="Финансовый 10 2 4 2 2 2 2 3" xfId="1608" xr:uid="{00000000-0005-0000-0000-000049060000}"/>
    <cellStyle name="Финансовый 10 2 4 2 2 2 3" xfId="1609" xr:uid="{00000000-0005-0000-0000-00004A060000}"/>
    <cellStyle name="Финансовый 10 2 4 2 2 2 3 2" xfId="1610" xr:uid="{00000000-0005-0000-0000-00004B060000}"/>
    <cellStyle name="Финансовый 10 2 4 2 2 2 4" xfId="1611" xr:uid="{00000000-0005-0000-0000-00004C060000}"/>
    <cellStyle name="Финансовый 10 2 4 2 2 3" xfId="1612" xr:uid="{00000000-0005-0000-0000-00004D060000}"/>
    <cellStyle name="Финансовый 10 2 4 2 2 3 2" xfId="1613" xr:uid="{00000000-0005-0000-0000-00004E060000}"/>
    <cellStyle name="Финансовый 10 2 4 2 2 3 2 2" xfId="1614" xr:uid="{00000000-0005-0000-0000-00004F060000}"/>
    <cellStyle name="Финансовый 10 2 4 2 2 3 3" xfId="1615" xr:uid="{00000000-0005-0000-0000-000050060000}"/>
    <cellStyle name="Финансовый 10 2 4 2 2 4" xfId="1616" xr:uid="{00000000-0005-0000-0000-000051060000}"/>
    <cellStyle name="Финансовый 10 2 4 2 2 4 2" xfId="1617" xr:uid="{00000000-0005-0000-0000-000052060000}"/>
    <cellStyle name="Финансовый 10 2 4 2 2 5" xfId="1618" xr:uid="{00000000-0005-0000-0000-000053060000}"/>
    <cellStyle name="Финансовый 10 2 4 2 3" xfId="1619" xr:uid="{00000000-0005-0000-0000-000054060000}"/>
    <cellStyle name="Финансовый 10 2 4 2 3 2" xfId="1620" xr:uid="{00000000-0005-0000-0000-000055060000}"/>
    <cellStyle name="Финансовый 10 2 4 2 3 2 2" xfId="1621" xr:uid="{00000000-0005-0000-0000-000056060000}"/>
    <cellStyle name="Финансовый 10 2 4 2 3 2 2 2" xfId="1622" xr:uid="{00000000-0005-0000-0000-000057060000}"/>
    <cellStyle name="Финансовый 10 2 4 2 3 2 3" xfId="1623" xr:uid="{00000000-0005-0000-0000-000058060000}"/>
    <cellStyle name="Финансовый 10 2 4 2 3 3" xfId="1624" xr:uid="{00000000-0005-0000-0000-000059060000}"/>
    <cellStyle name="Финансовый 10 2 4 2 3 3 2" xfId="1625" xr:uid="{00000000-0005-0000-0000-00005A060000}"/>
    <cellStyle name="Финансовый 10 2 4 2 3 4" xfId="1626" xr:uid="{00000000-0005-0000-0000-00005B060000}"/>
    <cellStyle name="Финансовый 10 2 4 2 4" xfId="1627" xr:uid="{00000000-0005-0000-0000-00005C060000}"/>
    <cellStyle name="Финансовый 10 2 4 2 4 2" xfId="1628" xr:uid="{00000000-0005-0000-0000-00005D060000}"/>
    <cellStyle name="Финансовый 10 2 4 2 4 2 2" xfId="1629" xr:uid="{00000000-0005-0000-0000-00005E060000}"/>
    <cellStyle name="Финансовый 10 2 4 2 4 3" xfId="1630" xr:uid="{00000000-0005-0000-0000-00005F060000}"/>
    <cellStyle name="Финансовый 10 2 4 2 5" xfId="1631" xr:uid="{00000000-0005-0000-0000-000060060000}"/>
    <cellStyle name="Финансовый 10 2 4 2 5 2" xfId="1632" xr:uid="{00000000-0005-0000-0000-000061060000}"/>
    <cellStyle name="Финансовый 10 2 4 2 6" xfId="1633" xr:uid="{00000000-0005-0000-0000-000062060000}"/>
    <cellStyle name="Финансовый 10 2 4 3" xfId="1634" xr:uid="{00000000-0005-0000-0000-000063060000}"/>
    <cellStyle name="Финансовый 10 2 4 3 2" xfId="1635" xr:uid="{00000000-0005-0000-0000-000064060000}"/>
    <cellStyle name="Финансовый 10 2 4 3 2 2" xfId="1636" xr:uid="{00000000-0005-0000-0000-000065060000}"/>
    <cellStyle name="Финансовый 10 2 4 3 2 2 2" xfId="1637" xr:uid="{00000000-0005-0000-0000-000066060000}"/>
    <cellStyle name="Финансовый 10 2 4 3 2 2 2 2" xfId="1638" xr:uid="{00000000-0005-0000-0000-000067060000}"/>
    <cellStyle name="Финансовый 10 2 4 3 2 2 3" xfId="1639" xr:uid="{00000000-0005-0000-0000-000068060000}"/>
    <cellStyle name="Финансовый 10 2 4 3 2 3" xfId="1640" xr:uid="{00000000-0005-0000-0000-000069060000}"/>
    <cellStyle name="Финансовый 10 2 4 3 2 3 2" xfId="1641" xr:uid="{00000000-0005-0000-0000-00006A060000}"/>
    <cellStyle name="Финансовый 10 2 4 3 2 4" xfId="1642" xr:uid="{00000000-0005-0000-0000-00006B060000}"/>
    <cellStyle name="Финансовый 10 2 4 3 3" xfId="1643" xr:uid="{00000000-0005-0000-0000-00006C060000}"/>
    <cellStyle name="Финансовый 10 2 4 3 3 2" xfId="1644" xr:uid="{00000000-0005-0000-0000-00006D060000}"/>
    <cellStyle name="Финансовый 10 2 4 3 3 2 2" xfId="1645" xr:uid="{00000000-0005-0000-0000-00006E060000}"/>
    <cellStyle name="Финансовый 10 2 4 3 3 3" xfId="1646" xr:uid="{00000000-0005-0000-0000-00006F060000}"/>
    <cellStyle name="Финансовый 10 2 4 3 4" xfId="1647" xr:uid="{00000000-0005-0000-0000-000070060000}"/>
    <cellStyle name="Финансовый 10 2 4 3 4 2" xfId="1648" xr:uid="{00000000-0005-0000-0000-000071060000}"/>
    <cellStyle name="Финансовый 10 2 4 3 5" xfId="1649" xr:uid="{00000000-0005-0000-0000-000072060000}"/>
    <cellStyle name="Финансовый 10 2 4 4" xfId="1650" xr:uid="{00000000-0005-0000-0000-000073060000}"/>
    <cellStyle name="Финансовый 10 2 4 4 2" xfId="1651" xr:uid="{00000000-0005-0000-0000-000074060000}"/>
    <cellStyle name="Финансовый 10 2 4 4 2 2" xfId="1652" xr:uid="{00000000-0005-0000-0000-000075060000}"/>
    <cellStyle name="Финансовый 10 2 4 4 2 2 2" xfId="1653" xr:uid="{00000000-0005-0000-0000-000076060000}"/>
    <cellStyle name="Финансовый 10 2 4 4 2 3" xfId="1654" xr:uid="{00000000-0005-0000-0000-000077060000}"/>
    <cellStyle name="Финансовый 10 2 4 4 3" xfId="1655" xr:uid="{00000000-0005-0000-0000-000078060000}"/>
    <cellStyle name="Финансовый 10 2 4 4 3 2" xfId="1656" xr:uid="{00000000-0005-0000-0000-000079060000}"/>
    <cellStyle name="Финансовый 10 2 4 4 4" xfId="1657" xr:uid="{00000000-0005-0000-0000-00007A060000}"/>
    <cellStyle name="Финансовый 10 2 4 5" xfId="1658" xr:uid="{00000000-0005-0000-0000-00007B060000}"/>
    <cellStyle name="Финансовый 10 2 4 5 2" xfId="1659" xr:uid="{00000000-0005-0000-0000-00007C060000}"/>
    <cellStyle name="Финансовый 10 2 4 5 2 2" xfId="1660" xr:uid="{00000000-0005-0000-0000-00007D060000}"/>
    <cellStyle name="Финансовый 10 2 4 5 3" xfId="1661" xr:uid="{00000000-0005-0000-0000-00007E060000}"/>
    <cellStyle name="Финансовый 10 2 4 6" xfId="1662" xr:uid="{00000000-0005-0000-0000-00007F060000}"/>
    <cellStyle name="Финансовый 10 2 4 6 2" xfId="1663" xr:uid="{00000000-0005-0000-0000-000080060000}"/>
    <cellStyle name="Финансовый 10 2 4 7" xfId="1664" xr:uid="{00000000-0005-0000-0000-000081060000}"/>
    <cellStyle name="Финансовый 10 2 5" xfId="1665" xr:uid="{00000000-0005-0000-0000-000082060000}"/>
    <cellStyle name="Финансовый 10 2 5 2" xfId="1666" xr:uid="{00000000-0005-0000-0000-000083060000}"/>
    <cellStyle name="Финансовый 10 2 5 2 2" xfId="1667" xr:uid="{00000000-0005-0000-0000-000084060000}"/>
    <cellStyle name="Финансовый 10 2 5 2 2 2" xfId="1668" xr:uid="{00000000-0005-0000-0000-000085060000}"/>
    <cellStyle name="Финансовый 10 2 5 2 2 2 2" xfId="1669" xr:uid="{00000000-0005-0000-0000-000086060000}"/>
    <cellStyle name="Финансовый 10 2 5 2 2 2 2 2" xfId="1670" xr:uid="{00000000-0005-0000-0000-000087060000}"/>
    <cellStyle name="Финансовый 10 2 5 2 2 2 3" xfId="1671" xr:uid="{00000000-0005-0000-0000-000088060000}"/>
    <cellStyle name="Финансовый 10 2 5 2 2 3" xfId="1672" xr:uid="{00000000-0005-0000-0000-000089060000}"/>
    <cellStyle name="Финансовый 10 2 5 2 2 3 2" xfId="1673" xr:uid="{00000000-0005-0000-0000-00008A060000}"/>
    <cellStyle name="Финансовый 10 2 5 2 2 4" xfId="1674" xr:uid="{00000000-0005-0000-0000-00008B060000}"/>
    <cellStyle name="Финансовый 10 2 5 2 3" xfId="1675" xr:uid="{00000000-0005-0000-0000-00008C060000}"/>
    <cellStyle name="Финансовый 10 2 5 2 3 2" xfId="1676" xr:uid="{00000000-0005-0000-0000-00008D060000}"/>
    <cellStyle name="Финансовый 10 2 5 2 3 2 2" xfId="1677" xr:uid="{00000000-0005-0000-0000-00008E060000}"/>
    <cellStyle name="Финансовый 10 2 5 2 3 3" xfId="1678" xr:uid="{00000000-0005-0000-0000-00008F060000}"/>
    <cellStyle name="Финансовый 10 2 5 2 4" xfId="1679" xr:uid="{00000000-0005-0000-0000-000090060000}"/>
    <cellStyle name="Финансовый 10 2 5 2 4 2" xfId="1680" xr:uid="{00000000-0005-0000-0000-000091060000}"/>
    <cellStyle name="Финансовый 10 2 5 2 5" xfId="1681" xr:uid="{00000000-0005-0000-0000-000092060000}"/>
    <cellStyle name="Финансовый 10 2 5 3" xfId="1682" xr:uid="{00000000-0005-0000-0000-000093060000}"/>
    <cellStyle name="Финансовый 10 2 5 3 2" xfId="1683" xr:uid="{00000000-0005-0000-0000-000094060000}"/>
    <cellStyle name="Финансовый 10 2 5 3 2 2" xfId="1684" xr:uid="{00000000-0005-0000-0000-000095060000}"/>
    <cellStyle name="Финансовый 10 2 5 3 2 2 2" xfId="1685" xr:uid="{00000000-0005-0000-0000-000096060000}"/>
    <cellStyle name="Финансовый 10 2 5 3 2 3" xfId="1686" xr:uid="{00000000-0005-0000-0000-000097060000}"/>
    <cellStyle name="Финансовый 10 2 5 3 3" xfId="1687" xr:uid="{00000000-0005-0000-0000-000098060000}"/>
    <cellStyle name="Финансовый 10 2 5 3 3 2" xfId="1688" xr:uid="{00000000-0005-0000-0000-000099060000}"/>
    <cellStyle name="Финансовый 10 2 5 3 4" xfId="1689" xr:uid="{00000000-0005-0000-0000-00009A060000}"/>
    <cellStyle name="Финансовый 10 2 5 4" xfId="1690" xr:uid="{00000000-0005-0000-0000-00009B060000}"/>
    <cellStyle name="Финансовый 10 2 5 4 2" xfId="1691" xr:uid="{00000000-0005-0000-0000-00009C060000}"/>
    <cellStyle name="Финансовый 10 2 5 4 2 2" xfId="1692" xr:uid="{00000000-0005-0000-0000-00009D060000}"/>
    <cellStyle name="Финансовый 10 2 5 4 3" xfId="1693" xr:uid="{00000000-0005-0000-0000-00009E060000}"/>
    <cellStyle name="Финансовый 10 2 5 5" xfId="1694" xr:uid="{00000000-0005-0000-0000-00009F060000}"/>
    <cellStyle name="Финансовый 10 2 5 5 2" xfId="1695" xr:uid="{00000000-0005-0000-0000-0000A0060000}"/>
    <cellStyle name="Финансовый 10 2 5 6" xfId="1696" xr:uid="{00000000-0005-0000-0000-0000A1060000}"/>
    <cellStyle name="Финансовый 10 2 6" xfId="1697" xr:uid="{00000000-0005-0000-0000-0000A2060000}"/>
    <cellStyle name="Финансовый 10 2 6 2" xfId="1698" xr:uid="{00000000-0005-0000-0000-0000A3060000}"/>
    <cellStyle name="Финансовый 10 2 6 2 2" xfId="1699" xr:uid="{00000000-0005-0000-0000-0000A4060000}"/>
    <cellStyle name="Финансовый 10 2 6 2 2 2" xfId="1700" xr:uid="{00000000-0005-0000-0000-0000A5060000}"/>
    <cellStyle name="Финансовый 10 2 6 2 2 2 2" xfId="1701" xr:uid="{00000000-0005-0000-0000-0000A6060000}"/>
    <cellStyle name="Финансовый 10 2 6 2 2 3" xfId="1702" xr:uid="{00000000-0005-0000-0000-0000A7060000}"/>
    <cellStyle name="Финансовый 10 2 6 2 3" xfId="1703" xr:uid="{00000000-0005-0000-0000-0000A8060000}"/>
    <cellStyle name="Финансовый 10 2 6 2 3 2" xfId="1704" xr:uid="{00000000-0005-0000-0000-0000A9060000}"/>
    <cellStyle name="Финансовый 10 2 6 2 4" xfId="1705" xr:uid="{00000000-0005-0000-0000-0000AA060000}"/>
    <cellStyle name="Финансовый 10 2 6 3" xfId="1706" xr:uid="{00000000-0005-0000-0000-0000AB060000}"/>
    <cellStyle name="Финансовый 10 2 6 3 2" xfId="1707" xr:uid="{00000000-0005-0000-0000-0000AC060000}"/>
    <cellStyle name="Финансовый 10 2 6 3 2 2" xfId="1708" xr:uid="{00000000-0005-0000-0000-0000AD060000}"/>
    <cellStyle name="Финансовый 10 2 6 3 3" xfId="1709" xr:uid="{00000000-0005-0000-0000-0000AE060000}"/>
    <cellStyle name="Финансовый 10 2 6 4" xfId="1710" xr:uid="{00000000-0005-0000-0000-0000AF060000}"/>
    <cellStyle name="Финансовый 10 2 6 4 2" xfId="1711" xr:uid="{00000000-0005-0000-0000-0000B0060000}"/>
    <cellStyle name="Финансовый 10 2 6 5" xfId="1712" xr:uid="{00000000-0005-0000-0000-0000B1060000}"/>
    <cellStyle name="Финансовый 10 2 7" xfId="1713" xr:uid="{00000000-0005-0000-0000-0000B2060000}"/>
    <cellStyle name="Финансовый 10 2 7 2" xfId="1714" xr:uid="{00000000-0005-0000-0000-0000B3060000}"/>
    <cellStyle name="Финансовый 10 2 7 2 2" xfId="1715" xr:uid="{00000000-0005-0000-0000-0000B4060000}"/>
    <cellStyle name="Финансовый 10 2 7 2 2 2" xfId="1716" xr:uid="{00000000-0005-0000-0000-0000B5060000}"/>
    <cellStyle name="Финансовый 10 2 7 2 3" xfId="1717" xr:uid="{00000000-0005-0000-0000-0000B6060000}"/>
    <cellStyle name="Финансовый 10 2 7 3" xfId="1718" xr:uid="{00000000-0005-0000-0000-0000B7060000}"/>
    <cellStyle name="Финансовый 10 2 7 3 2" xfId="1719" xr:uid="{00000000-0005-0000-0000-0000B8060000}"/>
    <cellStyle name="Финансовый 10 2 7 4" xfId="1720" xr:uid="{00000000-0005-0000-0000-0000B9060000}"/>
    <cellStyle name="Финансовый 10 2 8" xfId="1721" xr:uid="{00000000-0005-0000-0000-0000BA060000}"/>
    <cellStyle name="Финансовый 10 2 8 2" xfId="1722" xr:uid="{00000000-0005-0000-0000-0000BB060000}"/>
    <cellStyle name="Финансовый 10 2 8 2 2" xfId="1723" xr:uid="{00000000-0005-0000-0000-0000BC060000}"/>
    <cellStyle name="Финансовый 10 2 8 3" xfId="1724" xr:uid="{00000000-0005-0000-0000-0000BD060000}"/>
    <cellStyle name="Финансовый 10 2 9" xfId="1725" xr:uid="{00000000-0005-0000-0000-0000BE060000}"/>
    <cellStyle name="Финансовый 10 2 9 2" xfId="1726" xr:uid="{00000000-0005-0000-0000-0000BF060000}"/>
    <cellStyle name="Финансовый 10 3" xfId="1727" xr:uid="{00000000-0005-0000-0000-0000C0060000}"/>
    <cellStyle name="Финансовый 10 3 2" xfId="1728" xr:uid="{00000000-0005-0000-0000-0000C1060000}"/>
    <cellStyle name="Финансовый 10 3 2 2" xfId="1729" xr:uid="{00000000-0005-0000-0000-0000C2060000}"/>
    <cellStyle name="Финансовый 10 3 2 2 2" xfId="1730" xr:uid="{00000000-0005-0000-0000-0000C3060000}"/>
    <cellStyle name="Финансовый 10 3 2 2 2 2" xfId="1731" xr:uid="{00000000-0005-0000-0000-0000C4060000}"/>
    <cellStyle name="Финансовый 10 3 2 2 2 2 2" xfId="1732" xr:uid="{00000000-0005-0000-0000-0000C5060000}"/>
    <cellStyle name="Финансовый 10 3 2 2 2 2 2 2" xfId="1733" xr:uid="{00000000-0005-0000-0000-0000C6060000}"/>
    <cellStyle name="Финансовый 10 3 2 2 2 2 2 2 2" xfId="1734" xr:uid="{00000000-0005-0000-0000-0000C7060000}"/>
    <cellStyle name="Финансовый 10 3 2 2 2 2 2 2 2 2" xfId="1735" xr:uid="{00000000-0005-0000-0000-0000C8060000}"/>
    <cellStyle name="Финансовый 10 3 2 2 2 2 2 2 3" xfId="1736" xr:uid="{00000000-0005-0000-0000-0000C9060000}"/>
    <cellStyle name="Финансовый 10 3 2 2 2 2 2 3" xfId="1737" xr:uid="{00000000-0005-0000-0000-0000CA060000}"/>
    <cellStyle name="Финансовый 10 3 2 2 2 2 2 3 2" xfId="1738" xr:uid="{00000000-0005-0000-0000-0000CB060000}"/>
    <cellStyle name="Финансовый 10 3 2 2 2 2 2 4" xfId="1739" xr:uid="{00000000-0005-0000-0000-0000CC060000}"/>
    <cellStyle name="Финансовый 10 3 2 2 2 2 3" xfId="1740" xr:uid="{00000000-0005-0000-0000-0000CD060000}"/>
    <cellStyle name="Финансовый 10 3 2 2 2 2 3 2" xfId="1741" xr:uid="{00000000-0005-0000-0000-0000CE060000}"/>
    <cellStyle name="Финансовый 10 3 2 2 2 2 3 2 2" xfId="1742" xr:uid="{00000000-0005-0000-0000-0000CF060000}"/>
    <cellStyle name="Финансовый 10 3 2 2 2 2 3 3" xfId="1743" xr:uid="{00000000-0005-0000-0000-0000D0060000}"/>
    <cellStyle name="Финансовый 10 3 2 2 2 2 4" xfId="1744" xr:uid="{00000000-0005-0000-0000-0000D1060000}"/>
    <cellStyle name="Финансовый 10 3 2 2 2 2 4 2" xfId="1745" xr:uid="{00000000-0005-0000-0000-0000D2060000}"/>
    <cellStyle name="Финансовый 10 3 2 2 2 2 5" xfId="1746" xr:uid="{00000000-0005-0000-0000-0000D3060000}"/>
    <cellStyle name="Финансовый 10 3 2 2 2 3" xfId="1747" xr:uid="{00000000-0005-0000-0000-0000D4060000}"/>
    <cellStyle name="Финансовый 10 3 2 2 2 3 2" xfId="1748" xr:uid="{00000000-0005-0000-0000-0000D5060000}"/>
    <cellStyle name="Финансовый 10 3 2 2 2 3 2 2" xfId="1749" xr:uid="{00000000-0005-0000-0000-0000D6060000}"/>
    <cellStyle name="Финансовый 10 3 2 2 2 3 2 2 2" xfId="1750" xr:uid="{00000000-0005-0000-0000-0000D7060000}"/>
    <cellStyle name="Финансовый 10 3 2 2 2 3 2 3" xfId="1751" xr:uid="{00000000-0005-0000-0000-0000D8060000}"/>
    <cellStyle name="Финансовый 10 3 2 2 2 3 3" xfId="1752" xr:uid="{00000000-0005-0000-0000-0000D9060000}"/>
    <cellStyle name="Финансовый 10 3 2 2 2 3 3 2" xfId="1753" xr:uid="{00000000-0005-0000-0000-0000DA060000}"/>
    <cellStyle name="Финансовый 10 3 2 2 2 3 4" xfId="1754" xr:uid="{00000000-0005-0000-0000-0000DB060000}"/>
    <cellStyle name="Финансовый 10 3 2 2 2 4" xfId="1755" xr:uid="{00000000-0005-0000-0000-0000DC060000}"/>
    <cellStyle name="Финансовый 10 3 2 2 2 4 2" xfId="1756" xr:uid="{00000000-0005-0000-0000-0000DD060000}"/>
    <cellStyle name="Финансовый 10 3 2 2 2 4 2 2" xfId="1757" xr:uid="{00000000-0005-0000-0000-0000DE060000}"/>
    <cellStyle name="Финансовый 10 3 2 2 2 4 3" xfId="1758" xr:uid="{00000000-0005-0000-0000-0000DF060000}"/>
    <cellStyle name="Финансовый 10 3 2 2 2 5" xfId="1759" xr:uid="{00000000-0005-0000-0000-0000E0060000}"/>
    <cellStyle name="Финансовый 10 3 2 2 2 5 2" xfId="1760" xr:uid="{00000000-0005-0000-0000-0000E1060000}"/>
    <cellStyle name="Финансовый 10 3 2 2 2 6" xfId="1761" xr:uid="{00000000-0005-0000-0000-0000E2060000}"/>
    <cellStyle name="Финансовый 10 3 2 2 3" xfId="1762" xr:uid="{00000000-0005-0000-0000-0000E3060000}"/>
    <cellStyle name="Финансовый 10 3 2 2 3 2" xfId="1763" xr:uid="{00000000-0005-0000-0000-0000E4060000}"/>
    <cellStyle name="Финансовый 10 3 2 2 3 2 2" xfId="1764" xr:uid="{00000000-0005-0000-0000-0000E5060000}"/>
    <cellStyle name="Финансовый 10 3 2 2 3 2 2 2" xfId="1765" xr:uid="{00000000-0005-0000-0000-0000E6060000}"/>
    <cellStyle name="Финансовый 10 3 2 2 3 2 2 2 2" xfId="1766" xr:uid="{00000000-0005-0000-0000-0000E7060000}"/>
    <cellStyle name="Финансовый 10 3 2 2 3 2 2 3" xfId="1767" xr:uid="{00000000-0005-0000-0000-0000E8060000}"/>
    <cellStyle name="Финансовый 10 3 2 2 3 2 3" xfId="1768" xr:uid="{00000000-0005-0000-0000-0000E9060000}"/>
    <cellStyle name="Финансовый 10 3 2 2 3 2 3 2" xfId="1769" xr:uid="{00000000-0005-0000-0000-0000EA060000}"/>
    <cellStyle name="Финансовый 10 3 2 2 3 2 4" xfId="1770" xr:uid="{00000000-0005-0000-0000-0000EB060000}"/>
    <cellStyle name="Финансовый 10 3 2 2 3 3" xfId="1771" xr:uid="{00000000-0005-0000-0000-0000EC060000}"/>
    <cellStyle name="Финансовый 10 3 2 2 3 3 2" xfId="1772" xr:uid="{00000000-0005-0000-0000-0000ED060000}"/>
    <cellStyle name="Финансовый 10 3 2 2 3 3 2 2" xfId="1773" xr:uid="{00000000-0005-0000-0000-0000EE060000}"/>
    <cellStyle name="Финансовый 10 3 2 2 3 3 3" xfId="1774" xr:uid="{00000000-0005-0000-0000-0000EF060000}"/>
    <cellStyle name="Финансовый 10 3 2 2 3 4" xfId="1775" xr:uid="{00000000-0005-0000-0000-0000F0060000}"/>
    <cellStyle name="Финансовый 10 3 2 2 3 4 2" xfId="1776" xr:uid="{00000000-0005-0000-0000-0000F1060000}"/>
    <cellStyle name="Финансовый 10 3 2 2 3 5" xfId="1777" xr:uid="{00000000-0005-0000-0000-0000F2060000}"/>
    <cellStyle name="Финансовый 10 3 2 2 4" xfId="1778" xr:uid="{00000000-0005-0000-0000-0000F3060000}"/>
    <cellStyle name="Финансовый 10 3 2 2 4 2" xfId="1779" xr:uid="{00000000-0005-0000-0000-0000F4060000}"/>
    <cellStyle name="Финансовый 10 3 2 2 4 2 2" xfId="1780" xr:uid="{00000000-0005-0000-0000-0000F5060000}"/>
    <cellStyle name="Финансовый 10 3 2 2 4 2 2 2" xfId="1781" xr:uid="{00000000-0005-0000-0000-0000F6060000}"/>
    <cellStyle name="Финансовый 10 3 2 2 4 2 3" xfId="1782" xr:uid="{00000000-0005-0000-0000-0000F7060000}"/>
    <cellStyle name="Финансовый 10 3 2 2 4 3" xfId="1783" xr:uid="{00000000-0005-0000-0000-0000F8060000}"/>
    <cellStyle name="Финансовый 10 3 2 2 4 3 2" xfId="1784" xr:uid="{00000000-0005-0000-0000-0000F9060000}"/>
    <cellStyle name="Финансовый 10 3 2 2 4 4" xfId="1785" xr:uid="{00000000-0005-0000-0000-0000FA060000}"/>
    <cellStyle name="Финансовый 10 3 2 2 5" xfId="1786" xr:uid="{00000000-0005-0000-0000-0000FB060000}"/>
    <cellStyle name="Финансовый 10 3 2 2 5 2" xfId="1787" xr:uid="{00000000-0005-0000-0000-0000FC060000}"/>
    <cellStyle name="Финансовый 10 3 2 2 5 2 2" xfId="1788" xr:uid="{00000000-0005-0000-0000-0000FD060000}"/>
    <cellStyle name="Финансовый 10 3 2 2 5 3" xfId="1789" xr:uid="{00000000-0005-0000-0000-0000FE060000}"/>
    <cellStyle name="Финансовый 10 3 2 2 6" xfId="1790" xr:uid="{00000000-0005-0000-0000-0000FF060000}"/>
    <cellStyle name="Финансовый 10 3 2 2 6 2" xfId="1791" xr:uid="{00000000-0005-0000-0000-000000070000}"/>
    <cellStyle name="Финансовый 10 3 2 2 7" xfId="1792" xr:uid="{00000000-0005-0000-0000-000001070000}"/>
    <cellStyle name="Финансовый 10 3 2 3" xfId="1793" xr:uid="{00000000-0005-0000-0000-000002070000}"/>
    <cellStyle name="Финансовый 10 3 2 3 2" xfId="1794" xr:uid="{00000000-0005-0000-0000-000003070000}"/>
    <cellStyle name="Финансовый 10 3 2 3 2 2" xfId="1795" xr:uid="{00000000-0005-0000-0000-000004070000}"/>
    <cellStyle name="Финансовый 10 3 2 3 2 2 2" xfId="1796" xr:uid="{00000000-0005-0000-0000-000005070000}"/>
    <cellStyle name="Финансовый 10 3 2 3 2 2 2 2" xfId="1797" xr:uid="{00000000-0005-0000-0000-000006070000}"/>
    <cellStyle name="Финансовый 10 3 2 3 2 2 2 2 2" xfId="1798" xr:uid="{00000000-0005-0000-0000-000007070000}"/>
    <cellStyle name="Финансовый 10 3 2 3 2 2 2 3" xfId="1799" xr:uid="{00000000-0005-0000-0000-000008070000}"/>
    <cellStyle name="Финансовый 10 3 2 3 2 2 3" xfId="1800" xr:uid="{00000000-0005-0000-0000-000009070000}"/>
    <cellStyle name="Финансовый 10 3 2 3 2 2 3 2" xfId="1801" xr:uid="{00000000-0005-0000-0000-00000A070000}"/>
    <cellStyle name="Финансовый 10 3 2 3 2 2 4" xfId="1802" xr:uid="{00000000-0005-0000-0000-00000B070000}"/>
    <cellStyle name="Финансовый 10 3 2 3 2 3" xfId="1803" xr:uid="{00000000-0005-0000-0000-00000C070000}"/>
    <cellStyle name="Финансовый 10 3 2 3 2 3 2" xfId="1804" xr:uid="{00000000-0005-0000-0000-00000D070000}"/>
    <cellStyle name="Финансовый 10 3 2 3 2 3 2 2" xfId="1805" xr:uid="{00000000-0005-0000-0000-00000E070000}"/>
    <cellStyle name="Финансовый 10 3 2 3 2 3 3" xfId="1806" xr:uid="{00000000-0005-0000-0000-00000F070000}"/>
    <cellStyle name="Финансовый 10 3 2 3 2 4" xfId="1807" xr:uid="{00000000-0005-0000-0000-000010070000}"/>
    <cellStyle name="Финансовый 10 3 2 3 2 4 2" xfId="1808" xr:uid="{00000000-0005-0000-0000-000011070000}"/>
    <cellStyle name="Финансовый 10 3 2 3 2 5" xfId="1809" xr:uid="{00000000-0005-0000-0000-000012070000}"/>
    <cellStyle name="Финансовый 10 3 2 3 3" xfId="1810" xr:uid="{00000000-0005-0000-0000-000013070000}"/>
    <cellStyle name="Финансовый 10 3 2 3 3 2" xfId="1811" xr:uid="{00000000-0005-0000-0000-000014070000}"/>
    <cellStyle name="Финансовый 10 3 2 3 3 2 2" xfId="1812" xr:uid="{00000000-0005-0000-0000-000015070000}"/>
    <cellStyle name="Финансовый 10 3 2 3 3 2 2 2" xfId="1813" xr:uid="{00000000-0005-0000-0000-000016070000}"/>
    <cellStyle name="Финансовый 10 3 2 3 3 2 3" xfId="1814" xr:uid="{00000000-0005-0000-0000-000017070000}"/>
    <cellStyle name="Финансовый 10 3 2 3 3 3" xfId="1815" xr:uid="{00000000-0005-0000-0000-000018070000}"/>
    <cellStyle name="Финансовый 10 3 2 3 3 3 2" xfId="1816" xr:uid="{00000000-0005-0000-0000-000019070000}"/>
    <cellStyle name="Финансовый 10 3 2 3 3 4" xfId="1817" xr:uid="{00000000-0005-0000-0000-00001A070000}"/>
    <cellStyle name="Финансовый 10 3 2 3 4" xfId="1818" xr:uid="{00000000-0005-0000-0000-00001B070000}"/>
    <cellStyle name="Финансовый 10 3 2 3 4 2" xfId="1819" xr:uid="{00000000-0005-0000-0000-00001C070000}"/>
    <cellStyle name="Финансовый 10 3 2 3 4 2 2" xfId="1820" xr:uid="{00000000-0005-0000-0000-00001D070000}"/>
    <cellStyle name="Финансовый 10 3 2 3 4 3" xfId="1821" xr:uid="{00000000-0005-0000-0000-00001E070000}"/>
    <cellStyle name="Финансовый 10 3 2 3 5" xfId="1822" xr:uid="{00000000-0005-0000-0000-00001F070000}"/>
    <cellStyle name="Финансовый 10 3 2 3 5 2" xfId="1823" xr:uid="{00000000-0005-0000-0000-000020070000}"/>
    <cellStyle name="Финансовый 10 3 2 3 6" xfId="1824" xr:uid="{00000000-0005-0000-0000-000021070000}"/>
    <cellStyle name="Финансовый 10 3 2 4" xfId="1825" xr:uid="{00000000-0005-0000-0000-000022070000}"/>
    <cellStyle name="Финансовый 10 3 2 4 2" xfId="1826" xr:uid="{00000000-0005-0000-0000-000023070000}"/>
    <cellStyle name="Финансовый 10 3 2 4 2 2" xfId="1827" xr:uid="{00000000-0005-0000-0000-000024070000}"/>
    <cellStyle name="Финансовый 10 3 2 4 2 2 2" xfId="1828" xr:uid="{00000000-0005-0000-0000-000025070000}"/>
    <cellStyle name="Финансовый 10 3 2 4 2 2 2 2" xfId="1829" xr:uid="{00000000-0005-0000-0000-000026070000}"/>
    <cellStyle name="Финансовый 10 3 2 4 2 2 3" xfId="1830" xr:uid="{00000000-0005-0000-0000-000027070000}"/>
    <cellStyle name="Финансовый 10 3 2 4 2 3" xfId="1831" xr:uid="{00000000-0005-0000-0000-000028070000}"/>
    <cellStyle name="Финансовый 10 3 2 4 2 3 2" xfId="1832" xr:uid="{00000000-0005-0000-0000-000029070000}"/>
    <cellStyle name="Финансовый 10 3 2 4 2 4" xfId="1833" xr:uid="{00000000-0005-0000-0000-00002A070000}"/>
    <cellStyle name="Финансовый 10 3 2 4 3" xfId="1834" xr:uid="{00000000-0005-0000-0000-00002B070000}"/>
    <cellStyle name="Финансовый 10 3 2 4 3 2" xfId="1835" xr:uid="{00000000-0005-0000-0000-00002C070000}"/>
    <cellStyle name="Финансовый 10 3 2 4 3 2 2" xfId="1836" xr:uid="{00000000-0005-0000-0000-00002D070000}"/>
    <cellStyle name="Финансовый 10 3 2 4 3 3" xfId="1837" xr:uid="{00000000-0005-0000-0000-00002E070000}"/>
    <cellStyle name="Финансовый 10 3 2 4 4" xfId="1838" xr:uid="{00000000-0005-0000-0000-00002F070000}"/>
    <cellStyle name="Финансовый 10 3 2 4 4 2" xfId="1839" xr:uid="{00000000-0005-0000-0000-000030070000}"/>
    <cellStyle name="Финансовый 10 3 2 4 5" xfId="1840" xr:uid="{00000000-0005-0000-0000-000031070000}"/>
    <cellStyle name="Финансовый 10 3 2 5" xfId="1841" xr:uid="{00000000-0005-0000-0000-000032070000}"/>
    <cellStyle name="Финансовый 10 3 2 5 2" xfId="1842" xr:uid="{00000000-0005-0000-0000-000033070000}"/>
    <cellStyle name="Финансовый 10 3 2 5 2 2" xfId="1843" xr:uid="{00000000-0005-0000-0000-000034070000}"/>
    <cellStyle name="Финансовый 10 3 2 5 2 2 2" xfId="1844" xr:uid="{00000000-0005-0000-0000-000035070000}"/>
    <cellStyle name="Финансовый 10 3 2 5 2 3" xfId="1845" xr:uid="{00000000-0005-0000-0000-000036070000}"/>
    <cellStyle name="Финансовый 10 3 2 5 3" xfId="1846" xr:uid="{00000000-0005-0000-0000-000037070000}"/>
    <cellStyle name="Финансовый 10 3 2 5 3 2" xfId="1847" xr:uid="{00000000-0005-0000-0000-000038070000}"/>
    <cellStyle name="Финансовый 10 3 2 5 4" xfId="1848" xr:uid="{00000000-0005-0000-0000-000039070000}"/>
    <cellStyle name="Финансовый 10 3 2 6" xfId="1849" xr:uid="{00000000-0005-0000-0000-00003A070000}"/>
    <cellStyle name="Финансовый 10 3 2 6 2" xfId="1850" xr:uid="{00000000-0005-0000-0000-00003B070000}"/>
    <cellStyle name="Финансовый 10 3 2 6 2 2" xfId="1851" xr:uid="{00000000-0005-0000-0000-00003C070000}"/>
    <cellStyle name="Финансовый 10 3 2 6 3" xfId="1852" xr:uid="{00000000-0005-0000-0000-00003D070000}"/>
    <cellStyle name="Финансовый 10 3 2 7" xfId="1853" xr:uid="{00000000-0005-0000-0000-00003E070000}"/>
    <cellStyle name="Финансовый 10 3 2 7 2" xfId="1854" xr:uid="{00000000-0005-0000-0000-00003F070000}"/>
    <cellStyle name="Финансовый 10 3 2 8" xfId="1855" xr:uid="{00000000-0005-0000-0000-000040070000}"/>
    <cellStyle name="Финансовый 10 3 3" xfId="1856" xr:uid="{00000000-0005-0000-0000-000041070000}"/>
    <cellStyle name="Финансовый 10 3 3 2" xfId="1857" xr:uid="{00000000-0005-0000-0000-000042070000}"/>
    <cellStyle name="Финансовый 10 3 3 2 2" xfId="1858" xr:uid="{00000000-0005-0000-0000-000043070000}"/>
    <cellStyle name="Финансовый 10 3 3 2 2 2" xfId="1859" xr:uid="{00000000-0005-0000-0000-000044070000}"/>
    <cellStyle name="Финансовый 10 3 3 2 2 2 2" xfId="1860" xr:uid="{00000000-0005-0000-0000-000045070000}"/>
    <cellStyle name="Финансовый 10 3 3 2 2 2 2 2" xfId="1861" xr:uid="{00000000-0005-0000-0000-000046070000}"/>
    <cellStyle name="Финансовый 10 3 3 2 2 2 2 2 2" xfId="1862" xr:uid="{00000000-0005-0000-0000-000047070000}"/>
    <cellStyle name="Финансовый 10 3 3 2 2 2 2 3" xfId="1863" xr:uid="{00000000-0005-0000-0000-000048070000}"/>
    <cellStyle name="Финансовый 10 3 3 2 2 2 3" xfId="1864" xr:uid="{00000000-0005-0000-0000-000049070000}"/>
    <cellStyle name="Финансовый 10 3 3 2 2 2 3 2" xfId="1865" xr:uid="{00000000-0005-0000-0000-00004A070000}"/>
    <cellStyle name="Финансовый 10 3 3 2 2 2 4" xfId="1866" xr:uid="{00000000-0005-0000-0000-00004B070000}"/>
    <cellStyle name="Финансовый 10 3 3 2 2 3" xfId="1867" xr:uid="{00000000-0005-0000-0000-00004C070000}"/>
    <cellStyle name="Финансовый 10 3 3 2 2 3 2" xfId="1868" xr:uid="{00000000-0005-0000-0000-00004D070000}"/>
    <cellStyle name="Финансовый 10 3 3 2 2 3 2 2" xfId="1869" xr:uid="{00000000-0005-0000-0000-00004E070000}"/>
    <cellStyle name="Финансовый 10 3 3 2 2 3 3" xfId="1870" xr:uid="{00000000-0005-0000-0000-00004F070000}"/>
    <cellStyle name="Финансовый 10 3 3 2 2 4" xfId="1871" xr:uid="{00000000-0005-0000-0000-000050070000}"/>
    <cellStyle name="Финансовый 10 3 3 2 2 4 2" xfId="1872" xr:uid="{00000000-0005-0000-0000-000051070000}"/>
    <cellStyle name="Финансовый 10 3 3 2 2 5" xfId="1873" xr:uid="{00000000-0005-0000-0000-000052070000}"/>
    <cellStyle name="Финансовый 10 3 3 2 3" xfId="1874" xr:uid="{00000000-0005-0000-0000-000053070000}"/>
    <cellStyle name="Финансовый 10 3 3 2 3 2" xfId="1875" xr:uid="{00000000-0005-0000-0000-000054070000}"/>
    <cellStyle name="Финансовый 10 3 3 2 3 2 2" xfId="1876" xr:uid="{00000000-0005-0000-0000-000055070000}"/>
    <cellStyle name="Финансовый 10 3 3 2 3 2 2 2" xfId="1877" xr:uid="{00000000-0005-0000-0000-000056070000}"/>
    <cellStyle name="Финансовый 10 3 3 2 3 2 3" xfId="1878" xr:uid="{00000000-0005-0000-0000-000057070000}"/>
    <cellStyle name="Финансовый 10 3 3 2 3 3" xfId="1879" xr:uid="{00000000-0005-0000-0000-000058070000}"/>
    <cellStyle name="Финансовый 10 3 3 2 3 3 2" xfId="1880" xr:uid="{00000000-0005-0000-0000-000059070000}"/>
    <cellStyle name="Финансовый 10 3 3 2 3 4" xfId="1881" xr:uid="{00000000-0005-0000-0000-00005A070000}"/>
    <cellStyle name="Финансовый 10 3 3 2 4" xfId="1882" xr:uid="{00000000-0005-0000-0000-00005B070000}"/>
    <cellStyle name="Финансовый 10 3 3 2 4 2" xfId="1883" xr:uid="{00000000-0005-0000-0000-00005C070000}"/>
    <cellStyle name="Финансовый 10 3 3 2 4 2 2" xfId="1884" xr:uid="{00000000-0005-0000-0000-00005D070000}"/>
    <cellStyle name="Финансовый 10 3 3 2 4 3" xfId="1885" xr:uid="{00000000-0005-0000-0000-00005E070000}"/>
    <cellStyle name="Финансовый 10 3 3 2 5" xfId="1886" xr:uid="{00000000-0005-0000-0000-00005F070000}"/>
    <cellStyle name="Финансовый 10 3 3 2 5 2" xfId="1887" xr:uid="{00000000-0005-0000-0000-000060070000}"/>
    <cellStyle name="Финансовый 10 3 3 2 6" xfId="1888" xr:uid="{00000000-0005-0000-0000-000061070000}"/>
    <cellStyle name="Финансовый 10 3 3 3" xfId="1889" xr:uid="{00000000-0005-0000-0000-000062070000}"/>
    <cellStyle name="Финансовый 10 3 3 3 2" xfId="1890" xr:uid="{00000000-0005-0000-0000-000063070000}"/>
    <cellStyle name="Финансовый 10 3 3 3 2 2" xfId="1891" xr:uid="{00000000-0005-0000-0000-000064070000}"/>
    <cellStyle name="Финансовый 10 3 3 3 2 2 2" xfId="1892" xr:uid="{00000000-0005-0000-0000-000065070000}"/>
    <cellStyle name="Финансовый 10 3 3 3 2 2 2 2" xfId="1893" xr:uid="{00000000-0005-0000-0000-000066070000}"/>
    <cellStyle name="Финансовый 10 3 3 3 2 2 3" xfId="1894" xr:uid="{00000000-0005-0000-0000-000067070000}"/>
    <cellStyle name="Финансовый 10 3 3 3 2 3" xfId="1895" xr:uid="{00000000-0005-0000-0000-000068070000}"/>
    <cellStyle name="Финансовый 10 3 3 3 2 3 2" xfId="1896" xr:uid="{00000000-0005-0000-0000-000069070000}"/>
    <cellStyle name="Финансовый 10 3 3 3 2 4" xfId="1897" xr:uid="{00000000-0005-0000-0000-00006A070000}"/>
    <cellStyle name="Финансовый 10 3 3 3 3" xfId="1898" xr:uid="{00000000-0005-0000-0000-00006B070000}"/>
    <cellStyle name="Финансовый 10 3 3 3 3 2" xfId="1899" xr:uid="{00000000-0005-0000-0000-00006C070000}"/>
    <cellStyle name="Финансовый 10 3 3 3 3 2 2" xfId="1900" xr:uid="{00000000-0005-0000-0000-00006D070000}"/>
    <cellStyle name="Финансовый 10 3 3 3 3 3" xfId="1901" xr:uid="{00000000-0005-0000-0000-00006E070000}"/>
    <cellStyle name="Финансовый 10 3 3 3 4" xfId="1902" xr:uid="{00000000-0005-0000-0000-00006F070000}"/>
    <cellStyle name="Финансовый 10 3 3 3 4 2" xfId="1903" xr:uid="{00000000-0005-0000-0000-000070070000}"/>
    <cellStyle name="Финансовый 10 3 3 3 5" xfId="1904" xr:uid="{00000000-0005-0000-0000-000071070000}"/>
    <cellStyle name="Финансовый 10 3 3 4" xfId="1905" xr:uid="{00000000-0005-0000-0000-000072070000}"/>
    <cellStyle name="Финансовый 10 3 3 4 2" xfId="1906" xr:uid="{00000000-0005-0000-0000-000073070000}"/>
    <cellStyle name="Финансовый 10 3 3 4 2 2" xfId="1907" xr:uid="{00000000-0005-0000-0000-000074070000}"/>
    <cellStyle name="Финансовый 10 3 3 4 2 2 2" xfId="1908" xr:uid="{00000000-0005-0000-0000-000075070000}"/>
    <cellStyle name="Финансовый 10 3 3 4 2 3" xfId="1909" xr:uid="{00000000-0005-0000-0000-000076070000}"/>
    <cellStyle name="Финансовый 10 3 3 4 3" xfId="1910" xr:uid="{00000000-0005-0000-0000-000077070000}"/>
    <cellStyle name="Финансовый 10 3 3 4 3 2" xfId="1911" xr:uid="{00000000-0005-0000-0000-000078070000}"/>
    <cellStyle name="Финансовый 10 3 3 4 4" xfId="1912" xr:uid="{00000000-0005-0000-0000-000079070000}"/>
    <cellStyle name="Финансовый 10 3 3 5" xfId="1913" xr:uid="{00000000-0005-0000-0000-00007A070000}"/>
    <cellStyle name="Финансовый 10 3 3 5 2" xfId="1914" xr:uid="{00000000-0005-0000-0000-00007B070000}"/>
    <cellStyle name="Финансовый 10 3 3 5 2 2" xfId="1915" xr:uid="{00000000-0005-0000-0000-00007C070000}"/>
    <cellStyle name="Финансовый 10 3 3 5 3" xfId="1916" xr:uid="{00000000-0005-0000-0000-00007D070000}"/>
    <cellStyle name="Финансовый 10 3 3 6" xfId="1917" xr:uid="{00000000-0005-0000-0000-00007E070000}"/>
    <cellStyle name="Финансовый 10 3 3 6 2" xfId="1918" xr:uid="{00000000-0005-0000-0000-00007F070000}"/>
    <cellStyle name="Финансовый 10 3 3 7" xfId="1919" xr:uid="{00000000-0005-0000-0000-000080070000}"/>
    <cellStyle name="Финансовый 10 3 4" xfId="1920" xr:uid="{00000000-0005-0000-0000-000081070000}"/>
    <cellStyle name="Финансовый 10 3 4 2" xfId="1921" xr:uid="{00000000-0005-0000-0000-000082070000}"/>
    <cellStyle name="Финансовый 10 3 4 2 2" xfId="1922" xr:uid="{00000000-0005-0000-0000-000083070000}"/>
    <cellStyle name="Финансовый 10 3 4 2 2 2" xfId="1923" xr:uid="{00000000-0005-0000-0000-000084070000}"/>
    <cellStyle name="Финансовый 10 3 4 2 2 2 2" xfId="1924" xr:uid="{00000000-0005-0000-0000-000085070000}"/>
    <cellStyle name="Финансовый 10 3 4 2 2 2 2 2" xfId="1925" xr:uid="{00000000-0005-0000-0000-000086070000}"/>
    <cellStyle name="Финансовый 10 3 4 2 2 2 3" xfId="1926" xr:uid="{00000000-0005-0000-0000-000087070000}"/>
    <cellStyle name="Финансовый 10 3 4 2 2 3" xfId="1927" xr:uid="{00000000-0005-0000-0000-000088070000}"/>
    <cellStyle name="Финансовый 10 3 4 2 2 3 2" xfId="1928" xr:uid="{00000000-0005-0000-0000-000089070000}"/>
    <cellStyle name="Финансовый 10 3 4 2 2 4" xfId="1929" xr:uid="{00000000-0005-0000-0000-00008A070000}"/>
    <cellStyle name="Финансовый 10 3 4 2 3" xfId="1930" xr:uid="{00000000-0005-0000-0000-00008B070000}"/>
    <cellStyle name="Финансовый 10 3 4 2 3 2" xfId="1931" xr:uid="{00000000-0005-0000-0000-00008C070000}"/>
    <cellStyle name="Финансовый 10 3 4 2 3 2 2" xfId="1932" xr:uid="{00000000-0005-0000-0000-00008D070000}"/>
    <cellStyle name="Финансовый 10 3 4 2 3 3" xfId="1933" xr:uid="{00000000-0005-0000-0000-00008E070000}"/>
    <cellStyle name="Финансовый 10 3 4 2 4" xfId="1934" xr:uid="{00000000-0005-0000-0000-00008F070000}"/>
    <cellStyle name="Финансовый 10 3 4 2 4 2" xfId="1935" xr:uid="{00000000-0005-0000-0000-000090070000}"/>
    <cellStyle name="Финансовый 10 3 4 2 5" xfId="1936" xr:uid="{00000000-0005-0000-0000-000091070000}"/>
    <cellStyle name="Финансовый 10 3 4 3" xfId="1937" xr:uid="{00000000-0005-0000-0000-000092070000}"/>
    <cellStyle name="Финансовый 10 3 4 3 2" xfId="1938" xr:uid="{00000000-0005-0000-0000-000093070000}"/>
    <cellStyle name="Финансовый 10 3 4 3 2 2" xfId="1939" xr:uid="{00000000-0005-0000-0000-000094070000}"/>
    <cellStyle name="Финансовый 10 3 4 3 2 2 2" xfId="1940" xr:uid="{00000000-0005-0000-0000-000095070000}"/>
    <cellStyle name="Финансовый 10 3 4 3 2 3" xfId="1941" xr:uid="{00000000-0005-0000-0000-000096070000}"/>
    <cellStyle name="Финансовый 10 3 4 3 3" xfId="1942" xr:uid="{00000000-0005-0000-0000-000097070000}"/>
    <cellStyle name="Финансовый 10 3 4 3 3 2" xfId="1943" xr:uid="{00000000-0005-0000-0000-000098070000}"/>
    <cellStyle name="Финансовый 10 3 4 3 4" xfId="1944" xr:uid="{00000000-0005-0000-0000-000099070000}"/>
    <cellStyle name="Финансовый 10 3 4 4" xfId="1945" xr:uid="{00000000-0005-0000-0000-00009A070000}"/>
    <cellStyle name="Финансовый 10 3 4 4 2" xfId="1946" xr:uid="{00000000-0005-0000-0000-00009B070000}"/>
    <cellStyle name="Финансовый 10 3 4 4 2 2" xfId="1947" xr:uid="{00000000-0005-0000-0000-00009C070000}"/>
    <cellStyle name="Финансовый 10 3 4 4 3" xfId="1948" xr:uid="{00000000-0005-0000-0000-00009D070000}"/>
    <cellStyle name="Финансовый 10 3 4 5" xfId="1949" xr:uid="{00000000-0005-0000-0000-00009E070000}"/>
    <cellStyle name="Финансовый 10 3 4 5 2" xfId="1950" xr:uid="{00000000-0005-0000-0000-00009F070000}"/>
    <cellStyle name="Финансовый 10 3 4 6" xfId="1951" xr:uid="{00000000-0005-0000-0000-0000A0070000}"/>
    <cellStyle name="Финансовый 10 3 5" xfId="1952" xr:uid="{00000000-0005-0000-0000-0000A1070000}"/>
    <cellStyle name="Финансовый 10 3 5 2" xfId="1953" xr:uid="{00000000-0005-0000-0000-0000A2070000}"/>
    <cellStyle name="Финансовый 10 3 5 2 2" xfId="1954" xr:uid="{00000000-0005-0000-0000-0000A3070000}"/>
    <cellStyle name="Финансовый 10 3 5 2 2 2" xfId="1955" xr:uid="{00000000-0005-0000-0000-0000A4070000}"/>
    <cellStyle name="Финансовый 10 3 5 2 2 2 2" xfId="1956" xr:uid="{00000000-0005-0000-0000-0000A5070000}"/>
    <cellStyle name="Финансовый 10 3 5 2 2 3" xfId="1957" xr:uid="{00000000-0005-0000-0000-0000A6070000}"/>
    <cellStyle name="Финансовый 10 3 5 2 3" xfId="1958" xr:uid="{00000000-0005-0000-0000-0000A7070000}"/>
    <cellStyle name="Финансовый 10 3 5 2 3 2" xfId="1959" xr:uid="{00000000-0005-0000-0000-0000A8070000}"/>
    <cellStyle name="Финансовый 10 3 5 2 4" xfId="1960" xr:uid="{00000000-0005-0000-0000-0000A9070000}"/>
    <cellStyle name="Финансовый 10 3 5 3" xfId="1961" xr:uid="{00000000-0005-0000-0000-0000AA070000}"/>
    <cellStyle name="Финансовый 10 3 5 3 2" xfId="1962" xr:uid="{00000000-0005-0000-0000-0000AB070000}"/>
    <cellStyle name="Финансовый 10 3 5 3 2 2" xfId="1963" xr:uid="{00000000-0005-0000-0000-0000AC070000}"/>
    <cellStyle name="Финансовый 10 3 5 3 3" xfId="1964" xr:uid="{00000000-0005-0000-0000-0000AD070000}"/>
    <cellStyle name="Финансовый 10 3 5 4" xfId="1965" xr:uid="{00000000-0005-0000-0000-0000AE070000}"/>
    <cellStyle name="Финансовый 10 3 5 4 2" xfId="1966" xr:uid="{00000000-0005-0000-0000-0000AF070000}"/>
    <cellStyle name="Финансовый 10 3 5 5" xfId="1967" xr:uid="{00000000-0005-0000-0000-0000B0070000}"/>
    <cellStyle name="Финансовый 10 3 6" xfId="1968" xr:uid="{00000000-0005-0000-0000-0000B1070000}"/>
    <cellStyle name="Финансовый 10 3 6 2" xfId="1969" xr:uid="{00000000-0005-0000-0000-0000B2070000}"/>
    <cellStyle name="Финансовый 10 3 6 2 2" xfId="1970" xr:uid="{00000000-0005-0000-0000-0000B3070000}"/>
    <cellStyle name="Финансовый 10 3 6 2 2 2" xfId="1971" xr:uid="{00000000-0005-0000-0000-0000B4070000}"/>
    <cellStyle name="Финансовый 10 3 6 2 3" xfId="1972" xr:uid="{00000000-0005-0000-0000-0000B5070000}"/>
    <cellStyle name="Финансовый 10 3 6 3" xfId="1973" xr:uid="{00000000-0005-0000-0000-0000B6070000}"/>
    <cellStyle name="Финансовый 10 3 6 3 2" xfId="1974" xr:uid="{00000000-0005-0000-0000-0000B7070000}"/>
    <cellStyle name="Финансовый 10 3 6 4" xfId="1975" xr:uid="{00000000-0005-0000-0000-0000B8070000}"/>
    <cellStyle name="Финансовый 10 3 7" xfId="1976" xr:uid="{00000000-0005-0000-0000-0000B9070000}"/>
    <cellStyle name="Финансовый 10 3 7 2" xfId="1977" xr:uid="{00000000-0005-0000-0000-0000BA070000}"/>
    <cellStyle name="Финансовый 10 3 7 2 2" xfId="1978" xr:uid="{00000000-0005-0000-0000-0000BB070000}"/>
    <cellStyle name="Финансовый 10 3 7 3" xfId="1979" xr:uid="{00000000-0005-0000-0000-0000BC070000}"/>
    <cellStyle name="Финансовый 10 3 8" xfId="1980" xr:uid="{00000000-0005-0000-0000-0000BD070000}"/>
    <cellStyle name="Финансовый 10 3 8 2" xfId="1981" xr:uid="{00000000-0005-0000-0000-0000BE070000}"/>
    <cellStyle name="Финансовый 10 3 9" xfId="1982" xr:uid="{00000000-0005-0000-0000-0000BF070000}"/>
    <cellStyle name="Финансовый 10 4" xfId="1983" xr:uid="{00000000-0005-0000-0000-0000C0070000}"/>
    <cellStyle name="Финансовый 10 4 2" xfId="1984" xr:uid="{00000000-0005-0000-0000-0000C1070000}"/>
    <cellStyle name="Финансовый 10 4 2 2" xfId="1985" xr:uid="{00000000-0005-0000-0000-0000C2070000}"/>
    <cellStyle name="Финансовый 10 4 2 2 2" xfId="1986" xr:uid="{00000000-0005-0000-0000-0000C3070000}"/>
    <cellStyle name="Финансовый 10 4 2 2 2 2" xfId="1987" xr:uid="{00000000-0005-0000-0000-0000C4070000}"/>
    <cellStyle name="Финансовый 10 4 2 2 2 2 2" xfId="1988" xr:uid="{00000000-0005-0000-0000-0000C5070000}"/>
    <cellStyle name="Финансовый 10 4 2 2 2 2 2 2" xfId="1989" xr:uid="{00000000-0005-0000-0000-0000C6070000}"/>
    <cellStyle name="Финансовый 10 4 2 2 2 2 2 2 2" xfId="1990" xr:uid="{00000000-0005-0000-0000-0000C7070000}"/>
    <cellStyle name="Финансовый 10 4 2 2 2 2 2 3" xfId="1991" xr:uid="{00000000-0005-0000-0000-0000C8070000}"/>
    <cellStyle name="Финансовый 10 4 2 2 2 2 3" xfId="1992" xr:uid="{00000000-0005-0000-0000-0000C9070000}"/>
    <cellStyle name="Финансовый 10 4 2 2 2 2 3 2" xfId="1993" xr:uid="{00000000-0005-0000-0000-0000CA070000}"/>
    <cellStyle name="Финансовый 10 4 2 2 2 2 4" xfId="1994" xr:uid="{00000000-0005-0000-0000-0000CB070000}"/>
    <cellStyle name="Финансовый 10 4 2 2 2 3" xfId="1995" xr:uid="{00000000-0005-0000-0000-0000CC070000}"/>
    <cellStyle name="Финансовый 10 4 2 2 2 3 2" xfId="1996" xr:uid="{00000000-0005-0000-0000-0000CD070000}"/>
    <cellStyle name="Финансовый 10 4 2 2 2 3 2 2" xfId="1997" xr:uid="{00000000-0005-0000-0000-0000CE070000}"/>
    <cellStyle name="Финансовый 10 4 2 2 2 3 3" xfId="1998" xr:uid="{00000000-0005-0000-0000-0000CF070000}"/>
    <cellStyle name="Финансовый 10 4 2 2 2 4" xfId="1999" xr:uid="{00000000-0005-0000-0000-0000D0070000}"/>
    <cellStyle name="Финансовый 10 4 2 2 2 4 2" xfId="2000" xr:uid="{00000000-0005-0000-0000-0000D1070000}"/>
    <cellStyle name="Финансовый 10 4 2 2 2 5" xfId="2001" xr:uid="{00000000-0005-0000-0000-0000D2070000}"/>
    <cellStyle name="Финансовый 10 4 2 2 3" xfId="2002" xr:uid="{00000000-0005-0000-0000-0000D3070000}"/>
    <cellStyle name="Финансовый 10 4 2 2 3 2" xfId="2003" xr:uid="{00000000-0005-0000-0000-0000D4070000}"/>
    <cellStyle name="Финансовый 10 4 2 2 3 2 2" xfId="2004" xr:uid="{00000000-0005-0000-0000-0000D5070000}"/>
    <cellStyle name="Финансовый 10 4 2 2 3 2 2 2" xfId="2005" xr:uid="{00000000-0005-0000-0000-0000D6070000}"/>
    <cellStyle name="Финансовый 10 4 2 2 3 2 3" xfId="2006" xr:uid="{00000000-0005-0000-0000-0000D7070000}"/>
    <cellStyle name="Финансовый 10 4 2 2 3 3" xfId="2007" xr:uid="{00000000-0005-0000-0000-0000D8070000}"/>
    <cellStyle name="Финансовый 10 4 2 2 3 3 2" xfId="2008" xr:uid="{00000000-0005-0000-0000-0000D9070000}"/>
    <cellStyle name="Финансовый 10 4 2 2 3 4" xfId="2009" xr:uid="{00000000-0005-0000-0000-0000DA070000}"/>
    <cellStyle name="Финансовый 10 4 2 2 4" xfId="2010" xr:uid="{00000000-0005-0000-0000-0000DB070000}"/>
    <cellStyle name="Финансовый 10 4 2 2 4 2" xfId="2011" xr:uid="{00000000-0005-0000-0000-0000DC070000}"/>
    <cellStyle name="Финансовый 10 4 2 2 4 2 2" xfId="2012" xr:uid="{00000000-0005-0000-0000-0000DD070000}"/>
    <cellStyle name="Финансовый 10 4 2 2 4 3" xfId="2013" xr:uid="{00000000-0005-0000-0000-0000DE070000}"/>
    <cellStyle name="Финансовый 10 4 2 2 5" xfId="2014" xr:uid="{00000000-0005-0000-0000-0000DF070000}"/>
    <cellStyle name="Финансовый 10 4 2 2 5 2" xfId="2015" xr:uid="{00000000-0005-0000-0000-0000E0070000}"/>
    <cellStyle name="Финансовый 10 4 2 2 6" xfId="2016" xr:uid="{00000000-0005-0000-0000-0000E1070000}"/>
    <cellStyle name="Финансовый 10 4 2 3" xfId="2017" xr:uid="{00000000-0005-0000-0000-0000E2070000}"/>
    <cellStyle name="Финансовый 10 4 2 3 2" xfId="2018" xr:uid="{00000000-0005-0000-0000-0000E3070000}"/>
    <cellStyle name="Финансовый 10 4 2 3 2 2" xfId="2019" xr:uid="{00000000-0005-0000-0000-0000E4070000}"/>
    <cellStyle name="Финансовый 10 4 2 3 2 2 2" xfId="2020" xr:uid="{00000000-0005-0000-0000-0000E5070000}"/>
    <cellStyle name="Финансовый 10 4 2 3 2 2 2 2" xfId="2021" xr:uid="{00000000-0005-0000-0000-0000E6070000}"/>
    <cellStyle name="Финансовый 10 4 2 3 2 2 3" xfId="2022" xr:uid="{00000000-0005-0000-0000-0000E7070000}"/>
    <cellStyle name="Финансовый 10 4 2 3 2 3" xfId="2023" xr:uid="{00000000-0005-0000-0000-0000E8070000}"/>
    <cellStyle name="Финансовый 10 4 2 3 2 3 2" xfId="2024" xr:uid="{00000000-0005-0000-0000-0000E9070000}"/>
    <cellStyle name="Финансовый 10 4 2 3 2 4" xfId="2025" xr:uid="{00000000-0005-0000-0000-0000EA070000}"/>
    <cellStyle name="Финансовый 10 4 2 3 3" xfId="2026" xr:uid="{00000000-0005-0000-0000-0000EB070000}"/>
    <cellStyle name="Финансовый 10 4 2 3 3 2" xfId="2027" xr:uid="{00000000-0005-0000-0000-0000EC070000}"/>
    <cellStyle name="Финансовый 10 4 2 3 3 2 2" xfId="2028" xr:uid="{00000000-0005-0000-0000-0000ED070000}"/>
    <cellStyle name="Финансовый 10 4 2 3 3 3" xfId="2029" xr:uid="{00000000-0005-0000-0000-0000EE070000}"/>
    <cellStyle name="Финансовый 10 4 2 3 4" xfId="2030" xr:uid="{00000000-0005-0000-0000-0000EF070000}"/>
    <cellStyle name="Финансовый 10 4 2 3 4 2" xfId="2031" xr:uid="{00000000-0005-0000-0000-0000F0070000}"/>
    <cellStyle name="Финансовый 10 4 2 3 5" xfId="2032" xr:uid="{00000000-0005-0000-0000-0000F1070000}"/>
    <cellStyle name="Финансовый 10 4 2 4" xfId="2033" xr:uid="{00000000-0005-0000-0000-0000F2070000}"/>
    <cellStyle name="Финансовый 10 4 2 4 2" xfId="2034" xr:uid="{00000000-0005-0000-0000-0000F3070000}"/>
    <cellStyle name="Финансовый 10 4 2 4 2 2" xfId="2035" xr:uid="{00000000-0005-0000-0000-0000F4070000}"/>
    <cellStyle name="Финансовый 10 4 2 4 2 2 2" xfId="2036" xr:uid="{00000000-0005-0000-0000-0000F5070000}"/>
    <cellStyle name="Финансовый 10 4 2 4 2 3" xfId="2037" xr:uid="{00000000-0005-0000-0000-0000F6070000}"/>
    <cellStyle name="Финансовый 10 4 2 4 3" xfId="2038" xr:uid="{00000000-0005-0000-0000-0000F7070000}"/>
    <cellStyle name="Финансовый 10 4 2 4 3 2" xfId="2039" xr:uid="{00000000-0005-0000-0000-0000F8070000}"/>
    <cellStyle name="Финансовый 10 4 2 4 4" xfId="2040" xr:uid="{00000000-0005-0000-0000-0000F9070000}"/>
    <cellStyle name="Финансовый 10 4 2 5" xfId="2041" xr:uid="{00000000-0005-0000-0000-0000FA070000}"/>
    <cellStyle name="Финансовый 10 4 2 5 2" xfId="2042" xr:uid="{00000000-0005-0000-0000-0000FB070000}"/>
    <cellStyle name="Финансовый 10 4 2 5 2 2" xfId="2043" xr:uid="{00000000-0005-0000-0000-0000FC070000}"/>
    <cellStyle name="Финансовый 10 4 2 5 3" xfId="2044" xr:uid="{00000000-0005-0000-0000-0000FD070000}"/>
    <cellStyle name="Финансовый 10 4 2 6" xfId="2045" xr:uid="{00000000-0005-0000-0000-0000FE070000}"/>
    <cellStyle name="Финансовый 10 4 2 6 2" xfId="2046" xr:uid="{00000000-0005-0000-0000-0000FF070000}"/>
    <cellStyle name="Финансовый 10 4 2 7" xfId="2047" xr:uid="{00000000-0005-0000-0000-000000080000}"/>
    <cellStyle name="Финансовый 10 4 3" xfId="2048" xr:uid="{00000000-0005-0000-0000-000001080000}"/>
    <cellStyle name="Финансовый 10 4 3 2" xfId="2049" xr:uid="{00000000-0005-0000-0000-000002080000}"/>
    <cellStyle name="Финансовый 10 4 3 2 2" xfId="2050" xr:uid="{00000000-0005-0000-0000-000003080000}"/>
    <cellStyle name="Финансовый 10 4 3 2 2 2" xfId="2051" xr:uid="{00000000-0005-0000-0000-000004080000}"/>
    <cellStyle name="Финансовый 10 4 3 2 2 2 2" xfId="2052" xr:uid="{00000000-0005-0000-0000-000005080000}"/>
    <cellStyle name="Финансовый 10 4 3 2 2 2 2 2" xfId="2053" xr:uid="{00000000-0005-0000-0000-000006080000}"/>
    <cellStyle name="Финансовый 10 4 3 2 2 2 3" xfId="2054" xr:uid="{00000000-0005-0000-0000-000007080000}"/>
    <cellStyle name="Финансовый 10 4 3 2 2 3" xfId="2055" xr:uid="{00000000-0005-0000-0000-000008080000}"/>
    <cellStyle name="Финансовый 10 4 3 2 2 3 2" xfId="2056" xr:uid="{00000000-0005-0000-0000-000009080000}"/>
    <cellStyle name="Финансовый 10 4 3 2 2 4" xfId="2057" xr:uid="{00000000-0005-0000-0000-00000A080000}"/>
    <cellStyle name="Финансовый 10 4 3 2 3" xfId="2058" xr:uid="{00000000-0005-0000-0000-00000B080000}"/>
    <cellStyle name="Финансовый 10 4 3 2 3 2" xfId="2059" xr:uid="{00000000-0005-0000-0000-00000C080000}"/>
    <cellStyle name="Финансовый 10 4 3 2 3 2 2" xfId="2060" xr:uid="{00000000-0005-0000-0000-00000D080000}"/>
    <cellStyle name="Финансовый 10 4 3 2 3 3" xfId="2061" xr:uid="{00000000-0005-0000-0000-00000E080000}"/>
    <cellStyle name="Финансовый 10 4 3 2 4" xfId="2062" xr:uid="{00000000-0005-0000-0000-00000F080000}"/>
    <cellStyle name="Финансовый 10 4 3 2 4 2" xfId="2063" xr:uid="{00000000-0005-0000-0000-000010080000}"/>
    <cellStyle name="Финансовый 10 4 3 2 5" xfId="2064" xr:uid="{00000000-0005-0000-0000-000011080000}"/>
    <cellStyle name="Финансовый 10 4 3 3" xfId="2065" xr:uid="{00000000-0005-0000-0000-000012080000}"/>
    <cellStyle name="Финансовый 10 4 3 3 2" xfId="2066" xr:uid="{00000000-0005-0000-0000-000013080000}"/>
    <cellStyle name="Финансовый 10 4 3 3 2 2" xfId="2067" xr:uid="{00000000-0005-0000-0000-000014080000}"/>
    <cellStyle name="Финансовый 10 4 3 3 2 2 2" xfId="2068" xr:uid="{00000000-0005-0000-0000-000015080000}"/>
    <cellStyle name="Финансовый 10 4 3 3 2 3" xfId="2069" xr:uid="{00000000-0005-0000-0000-000016080000}"/>
    <cellStyle name="Финансовый 10 4 3 3 3" xfId="2070" xr:uid="{00000000-0005-0000-0000-000017080000}"/>
    <cellStyle name="Финансовый 10 4 3 3 3 2" xfId="2071" xr:uid="{00000000-0005-0000-0000-000018080000}"/>
    <cellStyle name="Финансовый 10 4 3 3 4" xfId="2072" xr:uid="{00000000-0005-0000-0000-000019080000}"/>
    <cellStyle name="Финансовый 10 4 3 4" xfId="2073" xr:uid="{00000000-0005-0000-0000-00001A080000}"/>
    <cellStyle name="Финансовый 10 4 3 4 2" xfId="2074" xr:uid="{00000000-0005-0000-0000-00001B080000}"/>
    <cellStyle name="Финансовый 10 4 3 4 2 2" xfId="2075" xr:uid="{00000000-0005-0000-0000-00001C080000}"/>
    <cellStyle name="Финансовый 10 4 3 4 3" xfId="2076" xr:uid="{00000000-0005-0000-0000-00001D080000}"/>
    <cellStyle name="Финансовый 10 4 3 5" xfId="2077" xr:uid="{00000000-0005-0000-0000-00001E080000}"/>
    <cellStyle name="Финансовый 10 4 3 5 2" xfId="2078" xr:uid="{00000000-0005-0000-0000-00001F080000}"/>
    <cellStyle name="Финансовый 10 4 3 6" xfId="2079" xr:uid="{00000000-0005-0000-0000-000020080000}"/>
    <cellStyle name="Финансовый 10 4 4" xfId="2080" xr:uid="{00000000-0005-0000-0000-000021080000}"/>
    <cellStyle name="Финансовый 10 4 4 2" xfId="2081" xr:uid="{00000000-0005-0000-0000-000022080000}"/>
    <cellStyle name="Финансовый 10 4 4 2 2" xfId="2082" xr:uid="{00000000-0005-0000-0000-000023080000}"/>
    <cellStyle name="Финансовый 10 4 4 2 2 2" xfId="2083" xr:uid="{00000000-0005-0000-0000-000024080000}"/>
    <cellStyle name="Финансовый 10 4 4 2 2 2 2" xfId="2084" xr:uid="{00000000-0005-0000-0000-000025080000}"/>
    <cellStyle name="Финансовый 10 4 4 2 2 3" xfId="2085" xr:uid="{00000000-0005-0000-0000-000026080000}"/>
    <cellStyle name="Финансовый 10 4 4 2 3" xfId="2086" xr:uid="{00000000-0005-0000-0000-000027080000}"/>
    <cellStyle name="Финансовый 10 4 4 2 3 2" xfId="2087" xr:uid="{00000000-0005-0000-0000-000028080000}"/>
    <cellStyle name="Финансовый 10 4 4 2 4" xfId="2088" xr:uid="{00000000-0005-0000-0000-000029080000}"/>
    <cellStyle name="Финансовый 10 4 4 3" xfId="2089" xr:uid="{00000000-0005-0000-0000-00002A080000}"/>
    <cellStyle name="Финансовый 10 4 4 3 2" xfId="2090" xr:uid="{00000000-0005-0000-0000-00002B080000}"/>
    <cellStyle name="Финансовый 10 4 4 3 2 2" xfId="2091" xr:uid="{00000000-0005-0000-0000-00002C080000}"/>
    <cellStyle name="Финансовый 10 4 4 3 3" xfId="2092" xr:uid="{00000000-0005-0000-0000-00002D080000}"/>
    <cellStyle name="Финансовый 10 4 4 4" xfId="2093" xr:uid="{00000000-0005-0000-0000-00002E080000}"/>
    <cellStyle name="Финансовый 10 4 4 4 2" xfId="2094" xr:uid="{00000000-0005-0000-0000-00002F080000}"/>
    <cellStyle name="Финансовый 10 4 4 5" xfId="2095" xr:uid="{00000000-0005-0000-0000-000030080000}"/>
    <cellStyle name="Финансовый 10 4 5" xfId="2096" xr:uid="{00000000-0005-0000-0000-000031080000}"/>
    <cellStyle name="Финансовый 10 4 5 2" xfId="2097" xr:uid="{00000000-0005-0000-0000-000032080000}"/>
    <cellStyle name="Финансовый 10 4 5 2 2" xfId="2098" xr:uid="{00000000-0005-0000-0000-000033080000}"/>
    <cellStyle name="Финансовый 10 4 5 2 2 2" xfId="2099" xr:uid="{00000000-0005-0000-0000-000034080000}"/>
    <cellStyle name="Финансовый 10 4 5 2 3" xfId="2100" xr:uid="{00000000-0005-0000-0000-000035080000}"/>
    <cellStyle name="Финансовый 10 4 5 3" xfId="2101" xr:uid="{00000000-0005-0000-0000-000036080000}"/>
    <cellStyle name="Финансовый 10 4 5 3 2" xfId="2102" xr:uid="{00000000-0005-0000-0000-000037080000}"/>
    <cellStyle name="Финансовый 10 4 5 4" xfId="2103" xr:uid="{00000000-0005-0000-0000-000038080000}"/>
    <cellStyle name="Финансовый 10 4 6" xfId="2104" xr:uid="{00000000-0005-0000-0000-000039080000}"/>
    <cellStyle name="Финансовый 10 4 6 2" xfId="2105" xr:uid="{00000000-0005-0000-0000-00003A080000}"/>
    <cellStyle name="Финансовый 10 4 6 2 2" xfId="2106" xr:uid="{00000000-0005-0000-0000-00003B080000}"/>
    <cellStyle name="Финансовый 10 4 6 3" xfId="2107" xr:uid="{00000000-0005-0000-0000-00003C080000}"/>
    <cellStyle name="Финансовый 10 4 7" xfId="2108" xr:uid="{00000000-0005-0000-0000-00003D080000}"/>
    <cellStyle name="Финансовый 10 4 7 2" xfId="2109" xr:uid="{00000000-0005-0000-0000-00003E080000}"/>
    <cellStyle name="Финансовый 10 4 8" xfId="2110" xr:uid="{00000000-0005-0000-0000-00003F080000}"/>
    <cellStyle name="Финансовый 10 5" xfId="2111" xr:uid="{00000000-0005-0000-0000-000040080000}"/>
    <cellStyle name="Финансовый 10 5 2" xfId="2112" xr:uid="{00000000-0005-0000-0000-000041080000}"/>
    <cellStyle name="Финансовый 10 5 2 2" xfId="2113" xr:uid="{00000000-0005-0000-0000-000042080000}"/>
    <cellStyle name="Финансовый 10 5 2 2 2" xfId="2114" xr:uid="{00000000-0005-0000-0000-000043080000}"/>
    <cellStyle name="Финансовый 10 5 2 2 2 2" xfId="2115" xr:uid="{00000000-0005-0000-0000-000044080000}"/>
    <cellStyle name="Финансовый 10 5 2 2 2 2 2" xfId="2116" xr:uid="{00000000-0005-0000-0000-000045080000}"/>
    <cellStyle name="Финансовый 10 5 2 2 2 2 2 2" xfId="2117" xr:uid="{00000000-0005-0000-0000-000046080000}"/>
    <cellStyle name="Финансовый 10 5 2 2 2 2 3" xfId="2118" xr:uid="{00000000-0005-0000-0000-000047080000}"/>
    <cellStyle name="Финансовый 10 5 2 2 2 3" xfId="2119" xr:uid="{00000000-0005-0000-0000-000048080000}"/>
    <cellStyle name="Финансовый 10 5 2 2 2 3 2" xfId="2120" xr:uid="{00000000-0005-0000-0000-000049080000}"/>
    <cellStyle name="Финансовый 10 5 2 2 2 4" xfId="2121" xr:uid="{00000000-0005-0000-0000-00004A080000}"/>
    <cellStyle name="Финансовый 10 5 2 2 3" xfId="2122" xr:uid="{00000000-0005-0000-0000-00004B080000}"/>
    <cellStyle name="Финансовый 10 5 2 2 3 2" xfId="2123" xr:uid="{00000000-0005-0000-0000-00004C080000}"/>
    <cellStyle name="Финансовый 10 5 2 2 3 2 2" xfId="2124" xr:uid="{00000000-0005-0000-0000-00004D080000}"/>
    <cellStyle name="Финансовый 10 5 2 2 3 3" xfId="2125" xr:uid="{00000000-0005-0000-0000-00004E080000}"/>
    <cellStyle name="Финансовый 10 5 2 2 4" xfId="2126" xr:uid="{00000000-0005-0000-0000-00004F080000}"/>
    <cellStyle name="Финансовый 10 5 2 2 4 2" xfId="2127" xr:uid="{00000000-0005-0000-0000-000050080000}"/>
    <cellStyle name="Финансовый 10 5 2 2 5" xfId="2128" xr:uid="{00000000-0005-0000-0000-000051080000}"/>
    <cellStyle name="Финансовый 10 5 2 3" xfId="2129" xr:uid="{00000000-0005-0000-0000-000052080000}"/>
    <cellStyle name="Финансовый 10 5 2 3 2" xfId="2130" xr:uid="{00000000-0005-0000-0000-000053080000}"/>
    <cellStyle name="Финансовый 10 5 2 3 2 2" xfId="2131" xr:uid="{00000000-0005-0000-0000-000054080000}"/>
    <cellStyle name="Финансовый 10 5 2 3 2 2 2" xfId="2132" xr:uid="{00000000-0005-0000-0000-000055080000}"/>
    <cellStyle name="Финансовый 10 5 2 3 2 3" xfId="2133" xr:uid="{00000000-0005-0000-0000-000056080000}"/>
    <cellStyle name="Финансовый 10 5 2 3 3" xfId="2134" xr:uid="{00000000-0005-0000-0000-000057080000}"/>
    <cellStyle name="Финансовый 10 5 2 3 3 2" xfId="2135" xr:uid="{00000000-0005-0000-0000-000058080000}"/>
    <cellStyle name="Финансовый 10 5 2 3 4" xfId="2136" xr:uid="{00000000-0005-0000-0000-000059080000}"/>
    <cellStyle name="Финансовый 10 5 2 4" xfId="2137" xr:uid="{00000000-0005-0000-0000-00005A080000}"/>
    <cellStyle name="Финансовый 10 5 2 4 2" xfId="2138" xr:uid="{00000000-0005-0000-0000-00005B080000}"/>
    <cellStyle name="Финансовый 10 5 2 4 2 2" xfId="2139" xr:uid="{00000000-0005-0000-0000-00005C080000}"/>
    <cellStyle name="Финансовый 10 5 2 4 3" xfId="2140" xr:uid="{00000000-0005-0000-0000-00005D080000}"/>
    <cellStyle name="Финансовый 10 5 2 5" xfId="2141" xr:uid="{00000000-0005-0000-0000-00005E080000}"/>
    <cellStyle name="Финансовый 10 5 2 5 2" xfId="2142" xr:uid="{00000000-0005-0000-0000-00005F080000}"/>
    <cellStyle name="Финансовый 10 5 2 6" xfId="2143" xr:uid="{00000000-0005-0000-0000-000060080000}"/>
    <cellStyle name="Финансовый 10 5 3" xfId="2144" xr:uid="{00000000-0005-0000-0000-000061080000}"/>
    <cellStyle name="Финансовый 10 5 3 2" xfId="2145" xr:uid="{00000000-0005-0000-0000-000062080000}"/>
    <cellStyle name="Финансовый 10 5 3 2 2" xfId="2146" xr:uid="{00000000-0005-0000-0000-000063080000}"/>
    <cellStyle name="Финансовый 10 5 3 2 2 2" xfId="2147" xr:uid="{00000000-0005-0000-0000-000064080000}"/>
    <cellStyle name="Финансовый 10 5 3 2 2 2 2" xfId="2148" xr:uid="{00000000-0005-0000-0000-000065080000}"/>
    <cellStyle name="Финансовый 10 5 3 2 2 3" xfId="2149" xr:uid="{00000000-0005-0000-0000-000066080000}"/>
    <cellStyle name="Финансовый 10 5 3 2 3" xfId="2150" xr:uid="{00000000-0005-0000-0000-000067080000}"/>
    <cellStyle name="Финансовый 10 5 3 2 3 2" xfId="2151" xr:uid="{00000000-0005-0000-0000-000068080000}"/>
    <cellStyle name="Финансовый 10 5 3 2 4" xfId="2152" xr:uid="{00000000-0005-0000-0000-000069080000}"/>
    <cellStyle name="Финансовый 10 5 3 3" xfId="2153" xr:uid="{00000000-0005-0000-0000-00006A080000}"/>
    <cellStyle name="Финансовый 10 5 3 3 2" xfId="2154" xr:uid="{00000000-0005-0000-0000-00006B080000}"/>
    <cellStyle name="Финансовый 10 5 3 3 2 2" xfId="2155" xr:uid="{00000000-0005-0000-0000-00006C080000}"/>
    <cellStyle name="Финансовый 10 5 3 3 3" xfId="2156" xr:uid="{00000000-0005-0000-0000-00006D080000}"/>
    <cellStyle name="Финансовый 10 5 3 4" xfId="2157" xr:uid="{00000000-0005-0000-0000-00006E080000}"/>
    <cellStyle name="Финансовый 10 5 3 4 2" xfId="2158" xr:uid="{00000000-0005-0000-0000-00006F080000}"/>
    <cellStyle name="Финансовый 10 5 3 5" xfId="2159" xr:uid="{00000000-0005-0000-0000-000070080000}"/>
    <cellStyle name="Финансовый 10 5 4" xfId="2160" xr:uid="{00000000-0005-0000-0000-000071080000}"/>
    <cellStyle name="Финансовый 10 5 4 2" xfId="2161" xr:uid="{00000000-0005-0000-0000-000072080000}"/>
    <cellStyle name="Финансовый 10 5 4 2 2" xfId="2162" xr:uid="{00000000-0005-0000-0000-000073080000}"/>
    <cellStyle name="Финансовый 10 5 4 2 2 2" xfId="2163" xr:uid="{00000000-0005-0000-0000-000074080000}"/>
    <cellStyle name="Финансовый 10 5 4 2 3" xfId="2164" xr:uid="{00000000-0005-0000-0000-000075080000}"/>
    <cellStyle name="Финансовый 10 5 4 3" xfId="2165" xr:uid="{00000000-0005-0000-0000-000076080000}"/>
    <cellStyle name="Финансовый 10 5 4 3 2" xfId="2166" xr:uid="{00000000-0005-0000-0000-000077080000}"/>
    <cellStyle name="Финансовый 10 5 4 4" xfId="2167" xr:uid="{00000000-0005-0000-0000-000078080000}"/>
    <cellStyle name="Финансовый 10 5 5" xfId="2168" xr:uid="{00000000-0005-0000-0000-000079080000}"/>
    <cellStyle name="Финансовый 10 5 5 2" xfId="2169" xr:uid="{00000000-0005-0000-0000-00007A080000}"/>
    <cellStyle name="Финансовый 10 5 5 2 2" xfId="2170" xr:uid="{00000000-0005-0000-0000-00007B080000}"/>
    <cellStyle name="Финансовый 10 5 5 3" xfId="2171" xr:uid="{00000000-0005-0000-0000-00007C080000}"/>
    <cellStyle name="Финансовый 10 5 6" xfId="2172" xr:uid="{00000000-0005-0000-0000-00007D080000}"/>
    <cellStyle name="Финансовый 10 5 6 2" xfId="2173" xr:uid="{00000000-0005-0000-0000-00007E080000}"/>
    <cellStyle name="Финансовый 10 5 7" xfId="2174" xr:uid="{00000000-0005-0000-0000-00007F080000}"/>
    <cellStyle name="Финансовый 10 6" xfId="2175" xr:uid="{00000000-0005-0000-0000-000080080000}"/>
    <cellStyle name="Финансовый 10 6 2" xfId="2176" xr:uid="{00000000-0005-0000-0000-000081080000}"/>
    <cellStyle name="Финансовый 10 6 2 2" xfId="2177" xr:uid="{00000000-0005-0000-0000-000082080000}"/>
    <cellStyle name="Финансовый 10 6 2 2 2" xfId="2178" xr:uid="{00000000-0005-0000-0000-000083080000}"/>
    <cellStyle name="Финансовый 10 6 2 2 2 2" xfId="2179" xr:uid="{00000000-0005-0000-0000-000084080000}"/>
    <cellStyle name="Финансовый 10 6 2 2 2 2 2" xfId="2180" xr:uid="{00000000-0005-0000-0000-000085080000}"/>
    <cellStyle name="Финансовый 10 6 2 2 2 3" xfId="2181" xr:uid="{00000000-0005-0000-0000-000086080000}"/>
    <cellStyle name="Финансовый 10 6 2 2 3" xfId="2182" xr:uid="{00000000-0005-0000-0000-000087080000}"/>
    <cellStyle name="Финансовый 10 6 2 2 3 2" xfId="2183" xr:uid="{00000000-0005-0000-0000-000088080000}"/>
    <cellStyle name="Финансовый 10 6 2 2 4" xfId="2184" xr:uid="{00000000-0005-0000-0000-000089080000}"/>
    <cellStyle name="Финансовый 10 6 2 3" xfId="2185" xr:uid="{00000000-0005-0000-0000-00008A080000}"/>
    <cellStyle name="Финансовый 10 6 2 3 2" xfId="2186" xr:uid="{00000000-0005-0000-0000-00008B080000}"/>
    <cellStyle name="Финансовый 10 6 2 3 2 2" xfId="2187" xr:uid="{00000000-0005-0000-0000-00008C080000}"/>
    <cellStyle name="Финансовый 10 6 2 3 3" xfId="2188" xr:uid="{00000000-0005-0000-0000-00008D080000}"/>
    <cellStyle name="Финансовый 10 6 2 4" xfId="2189" xr:uid="{00000000-0005-0000-0000-00008E080000}"/>
    <cellStyle name="Финансовый 10 6 2 4 2" xfId="2190" xr:uid="{00000000-0005-0000-0000-00008F080000}"/>
    <cellStyle name="Финансовый 10 6 2 5" xfId="2191" xr:uid="{00000000-0005-0000-0000-000090080000}"/>
    <cellStyle name="Финансовый 10 6 3" xfId="2192" xr:uid="{00000000-0005-0000-0000-000091080000}"/>
    <cellStyle name="Финансовый 10 6 3 2" xfId="2193" xr:uid="{00000000-0005-0000-0000-000092080000}"/>
    <cellStyle name="Финансовый 10 6 3 2 2" xfId="2194" xr:uid="{00000000-0005-0000-0000-000093080000}"/>
    <cellStyle name="Финансовый 10 6 3 2 2 2" xfId="2195" xr:uid="{00000000-0005-0000-0000-000094080000}"/>
    <cellStyle name="Финансовый 10 6 3 2 3" xfId="2196" xr:uid="{00000000-0005-0000-0000-000095080000}"/>
    <cellStyle name="Финансовый 10 6 3 3" xfId="2197" xr:uid="{00000000-0005-0000-0000-000096080000}"/>
    <cellStyle name="Финансовый 10 6 3 3 2" xfId="2198" xr:uid="{00000000-0005-0000-0000-000097080000}"/>
    <cellStyle name="Финансовый 10 6 3 4" xfId="2199" xr:uid="{00000000-0005-0000-0000-000098080000}"/>
    <cellStyle name="Финансовый 10 6 4" xfId="2200" xr:uid="{00000000-0005-0000-0000-000099080000}"/>
    <cellStyle name="Финансовый 10 6 4 2" xfId="2201" xr:uid="{00000000-0005-0000-0000-00009A080000}"/>
    <cellStyle name="Финансовый 10 6 4 2 2" xfId="2202" xr:uid="{00000000-0005-0000-0000-00009B080000}"/>
    <cellStyle name="Финансовый 10 6 4 3" xfId="2203" xr:uid="{00000000-0005-0000-0000-00009C080000}"/>
    <cellStyle name="Финансовый 10 6 5" xfId="2204" xr:uid="{00000000-0005-0000-0000-00009D080000}"/>
    <cellStyle name="Финансовый 10 6 5 2" xfId="2205" xr:uid="{00000000-0005-0000-0000-00009E080000}"/>
    <cellStyle name="Финансовый 10 6 6" xfId="2206" xr:uid="{00000000-0005-0000-0000-00009F080000}"/>
    <cellStyle name="Финансовый 10 7" xfId="2207" xr:uid="{00000000-0005-0000-0000-0000A0080000}"/>
    <cellStyle name="Финансовый 10 7 2" xfId="2208" xr:uid="{00000000-0005-0000-0000-0000A1080000}"/>
    <cellStyle name="Финансовый 10 7 2 2" xfId="2209" xr:uid="{00000000-0005-0000-0000-0000A2080000}"/>
    <cellStyle name="Финансовый 10 7 2 2 2" xfId="2210" xr:uid="{00000000-0005-0000-0000-0000A3080000}"/>
    <cellStyle name="Финансовый 10 7 2 2 2 2" xfId="2211" xr:uid="{00000000-0005-0000-0000-0000A4080000}"/>
    <cellStyle name="Финансовый 10 7 2 2 3" xfId="2212" xr:uid="{00000000-0005-0000-0000-0000A5080000}"/>
    <cellStyle name="Финансовый 10 7 2 3" xfId="2213" xr:uid="{00000000-0005-0000-0000-0000A6080000}"/>
    <cellStyle name="Финансовый 10 7 2 3 2" xfId="2214" xr:uid="{00000000-0005-0000-0000-0000A7080000}"/>
    <cellStyle name="Финансовый 10 7 2 4" xfId="2215" xr:uid="{00000000-0005-0000-0000-0000A8080000}"/>
    <cellStyle name="Финансовый 10 7 3" xfId="2216" xr:uid="{00000000-0005-0000-0000-0000A9080000}"/>
    <cellStyle name="Финансовый 10 7 3 2" xfId="2217" xr:uid="{00000000-0005-0000-0000-0000AA080000}"/>
    <cellStyle name="Финансовый 10 7 3 2 2" xfId="2218" xr:uid="{00000000-0005-0000-0000-0000AB080000}"/>
    <cellStyle name="Финансовый 10 7 3 3" xfId="2219" xr:uid="{00000000-0005-0000-0000-0000AC080000}"/>
    <cellStyle name="Финансовый 10 7 4" xfId="2220" xr:uid="{00000000-0005-0000-0000-0000AD080000}"/>
    <cellStyle name="Финансовый 10 7 4 2" xfId="2221" xr:uid="{00000000-0005-0000-0000-0000AE080000}"/>
    <cellStyle name="Финансовый 10 7 5" xfId="2222" xr:uid="{00000000-0005-0000-0000-0000AF080000}"/>
    <cellStyle name="Финансовый 10 8" xfId="2223" xr:uid="{00000000-0005-0000-0000-0000B0080000}"/>
    <cellStyle name="Финансовый 10 8 2" xfId="2224" xr:uid="{00000000-0005-0000-0000-0000B1080000}"/>
    <cellStyle name="Финансовый 10 8 2 2" xfId="2225" xr:uid="{00000000-0005-0000-0000-0000B2080000}"/>
    <cellStyle name="Финансовый 10 8 2 2 2" xfId="2226" xr:uid="{00000000-0005-0000-0000-0000B3080000}"/>
    <cellStyle name="Финансовый 10 8 2 3" xfId="2227" xr:uid="{00000000-0005-0000-0000-0000B4080000}"/>
    <cellStyle name="Финансовый 10 8 3" xfId="2228" xr:uid="{00000000-0005-0000-0000-0000B5080000}"/>
    <cellStyle name="Финансовый 10 8 3 2" xfId="2229" xr:uid="{00000000-0005-0000-0000-0000B6080000}"/>
    <cellStyle name="Финансовый 10 8 4" xfId="2230" xr:uid="{00000000-0005-0000-0000-0000B7080000}"/>
    <cellStyle name="Финансовый 10 9" xfId="2231" xr:uid="{00000000-0005-0000-0000-0000B8080000}"/>
    <cellStyle name="Финансовый 10 9 2" xfId="2232" xr:uid="{00000000-0005-0000-0000-0000B9080000}"/>
    <cellStyle name="Финансовый 10 9 2 2" xfId="2233" xr:uid="{00000000-0005-0000-0000-0000BA080000}"/>
    <cellStyle name="Финансовый 10 9 3" xfId="2234" xr:uid="{00000000-0005-0000-0000-0000BB080000}"/>
    <cellStyle name="Финансовый 11" xfId="2235" xr:uid="{00000000-0005-0000-0000-0000BC080000}"/>
    <cellStyle name="Финансовый 11 10" xfId="2236" xr:uid="{00000000-0005-0000-0000-0000BD080000}"/>
    <cellStyle name="Финансовый 11 2" xfId="2237" xr:uid="{00000000-0005-0000-0000-0000BE080000}"/>
    <cellStyle name="Финансовый 11 2 2" xfId="2238" xr:uid="{00000000-0005-0000-0000-0000BF080000}"/>
    <cellStyle name="Финансовый 11 2 2 2" xfId="2239" xr:uid="{00000000-0005-0000-0000-0000C0080000}"/>
    <cellStyle name="Финансовый 11 2 2 2 2" xfId="2240" xr:uid="{00000000-0005-0000-0000-0000C1080000}"/>
    <cellStyle name="Финансовый 11 2 2 2 2 2" xfId="2241" xr:uid="{00000000-0005-0000-0000-0000C2080000}"/>
    <cellStyle name="Финансовый 11 2 2 2 2 2 2" xfId="2242" xr:uid="{00000000-0005-0000-0000-0000C3080000}"/>
    <cellStyle name="Финансовый 11 2 2 2 2 2 2 2" xfId="2243" xr:uid="{00000000-0005-0000-0000-0000C4080000}"/>
    <cellStyle name="Финансовый 11 2 2 2 2 2 2 2 2" xfId="2244" xr:uid="{00000000-0005-0000-0000-0000C5080000}"/>
    <cellStyle name="Финансовый 11 2 2 2 2 2 2 2 2 2" xfId="2245" xr:uid="{00000000-0005-0000-0000-0000C6080000}"/>
    <cellStyle name="Финансовый 11 2 2 2 2 2 2 2 3" xfId="2246" xr:uid="{00000000-0005-0000-0000-0000C7080000}"/>
    <cellStyle name="Финансовый 11 2 2 2 2 2 2 3" xfId="2247" xr:uid="{00000000-0005-0000-0000-0000C8080000}"/>
    <cellStyle name="Финансовый 11 2 2 2 2 2 2 3 2" xfId="2248" xr:uid="{00000000-0005-0000-0000-0000C9080000}"/>
    <cellStyle name="Финансовый 11 2 2 2 2 2 2 4" xfId="2249" xr:uid="{00000000-0005-0000-0000-0000CA080000}"/>
    <cellStyle name="Финансовый 11 2 2 2 2 2 3" xfId="2250" xr:uid="{00000000-0005-0000-0000-0000CB080000}"/>
    <cellStyle name="Финансовый 11 2 2 2 2 2 3 2" xfId="2251" xr:uid="{00000000-0005-0000-0000-0000CC080000}"/>
    <cellStyle name="Финансовый 11 2 2 2 2 2 3 2 2" xfId="2252" xr:uid="{00000000-0005-0000-0000-0000CD080000}"/>
    <cellStyle name="Финансовый 11 2 2 2 2 2 3 3" xfId="2253" xr:uid="{00000000-0005-0000-0000-0000CE080000}"/>
    <cellStyle name="Финансовый 11 2 2 2 2 2 4" xfId="2254" xr:uid="{00000000-0005-0000-0000-0000CF080000}"/>
    <cellStyle name="Финансовый 11 2 2 2 2 2 4 2" xfId="2255" xr:uid="{00000000-0005-0000-0000-0000D0080000}"/>
    <cellStyle name="Финансовый 11 2 2 2 2 2 5" xfId="2256" xr:uid="{00000000-0005-0000-0000-0000D1080000}"/>
    <cellStyle name="Финансовый 11 2 2 2 2 3" xfId="2257" xr:uid="{00000000-0005-0000-0000-0000D2080000}"/>
    <cellStyle name="Финансовый 11 2 2 2 2 3 2" xfId="2258" xr:uid="{00000000-0005-0000-0000-0000D3080000}"/>
    <cellStyle name="Финансовый 11 2 2 2 2 3 2 2" xfId="2259" xr:uid="{00000000-0005-0000-0000-0000D4080000}"/>
    <cellStyle name="Финансовый 11 2 2 2 2 3 2 2 2" xfId="2260" xr:uid="{00000000-0005-0000-0000-0000D5080000}"/>
    <cellStyle name="Финансовый 11 2 2 2 2 3 2 3" xfId="2261" xr:uid="{00000000-0005-0000-0000-0000D6080000}"/>
    <cellStyle name="Финансовый 11 2 2 2 2 3 3" xfId="2262" xr:uid="{00000000-0005-0000-0000-0000D7080000}"/>
    <cellStyle name="Финансовый 11 2 2 2 2 3 3 2" xfId="2263" xr:uid="{00000000-0005-0000-0000-0000D8080000}"/>
    <cellStyle name="Финансовый 11 2 2 2 2 3 4" xfId="2264" xr:uid="{00000000-0005-0000-0000-0000D9080000}"/>
    <cellStyle name="Финансовый 11 2 2 2 2 4" xfId="2265" xr:uid="{00000000-0005-0000-0000-0000DA080000}"/>
    <cellStyle name="Финансовый 11 2 2 2 2 4 2" xfId="2266" xr:uid="{00000000-0005-0000-0000-0000DB080000}"/>
    <cellStyle name="Финансовый 11 2 2 2 2 4 2 2" xfId="2267" xr:uid="{00000000-0005-0000-0000-0000DC080000}"/>
    <cellStyle name="Финансовый 11 2 2 2 2 4 3" xfId="2268" xr:uid="{00000000-0005-0000-0000-0000DD080000}"/>
    <cellStyle name="Финансовый 11 2 2 2 2 5" xfId="2269" xr:uid="{00000000-0005-0000-0000-0000DE080000}"/>
    <cellStyle name="Финансовый 11 2 2 2 2 5 2" xfId="2270" xr:uid="{00000000-0005-0000-0000-0000DF080000}"/>
    <cellStyle name="Финансовый 11 2 2 2 2 6" xfId="2271" xr:uid="{00000000-0005-0000-0000-0000E0080000}"/>
    <cellStyle name="Финансовый 11 2 2 2 3" xfId="2272" xr:uid="{00000000-0005-0000-0000-0000E1080000}"/>
    <cellStyle name="Финансовый 11 2 2 2 3 2" xfId="2273" xr:uid="{00000000-0005-0000-0000-0000E2080000}"/>
    <cellStyle name="Финансовый 11 2 2 2 3 2 2" xfId="2274" xr:uid="{00000000-0005-0000-0000-0000E3080000}"/>
    <cellStyle name="Финансовый 11 2 2 2 3 2 2 2" xfId="2275" xr:uid="{00000000-0005-0000-0000-0000E4080000}"/>
    <cellStyle name="Финансовый 11 2 2 2 3 2 2 2 2" xfId="2276" xr:uid="{00000000-0005-0000-0000-0000E5080000}"/>
    <cellStyle name="Финансовый 11 2 2 2 3 2 2 3" xfId="2277" xr:uid="{00000000-0005-0000-0000-0000E6080000}"/>
    <cellStyle name="Финансовый 11 2 2 2 3 2 3" xfId="2278" xr:uid="{00000000-0005-0000-0000-0000E7080000}"/>
    <cellStyle name="Финансовый 11 2 2 2 3 2 3 2" xfId="2279" xr:uid="{00000000-0005-0000-0000-0000E8080000}"/>
    <cellStyle name="Финансовый 11 2 2 2 3 2 4" xfId="2280" xr:uid="{00000000-0005-0000-0000-0000E9080000}"/>
    <cellStyle name="Финансовый 11 2 2 2 3 3" xfId="2281" xr:uid="{00000000-0005-0000-0000-0000EA080000}"/>
    <cellStyle name="Финансовый 11 2 2 2 3 3 2" xfId="2282" xr:uid="{00000000-0005-0000-0000-0000EB080000}"/>
    <cellStyle name="Финансовый 11 2 2 2 3 3 2 2" xfId="2283" xr:uid="{00000000-0005-0000-0000-0000EC080000}"/>
    <cellStyle name="Финансовый 11 2 2 2 3 3 3" xfId="2284" xr:uid="{00000000-0005-0000-0000-0000ED080000}"/>
    <cellStyle name="Финансовый 11 2 2 2 3 4" xfId="2285" xr:uid="{00000000-0005-0000-0000-0000EE080000}"/>
    <cellStyle name="Финансовый 11 2 2 2 3 4 2" xfId="2286" xr:uid="{00000000-0005-0000-0000-0000EF080000}"/>
    <cellStyle name="Финансовый 11 2 2 2 3 5" xfId="2287" xr:uid="{00000000-0005-0000-0000-0000F0080000}"/>
    <cellStyle name="Финансовый 11 2 2 2 4" xfId="2288" xr:uid="{00000000-0005-0000-0000-0000F1080000}"/>
    <cellStyle name="Финансовый 11 2 2 2 4 2" xfId="2289" xr:uid="{00000000-0005-0000-0000-0000F2080000}"/>
    <cellStyle name="Финансовый 11 2 2 2 4 2 2" xfId="2290" xr:uid="{00000000-0005-0000-0000-0000F3080000}"/>
    <cellStyle name="Финансовый 11 2 2 2 4 2 2 2" xfId="2291" xr:uid="{00000000-0005-0000-0000-0000F4080000}"/>
    <cellStyle name="Финансовый 11 2 2 2 4 2 3" xfId="2292" xr:uid="{00000000-0005-0000-0000-0000F5080000}"/>
    <cellStyle name="Финансовый 11 2 2 2 4 3" xfId="2293" xr:uid="{00000000-0005-0000-0000-0000F6080000}"/>
    <cellStyle name="Финансовый 11 2 2 2 4 3 2" xfId="2294" xr:uid="{00000000-0005-0000-0000-0000F7080000}"/>
    <cellStyle name="Финансовый 11 2 2 2 4 4" xfId="2295" xr:uid="{00000000-0005-0000-0000-0000F8080000}"/>
    <cellStyle name="Финансовый 11 2 2 2 5" xfId="2296" xr:uid="{00000000-0005-0000-0000-0000F9080000}"/>
    <cellStyle name="Финансовый 11 2 2 2 5 2" xfId="2297" xr:uid="{00000000-0005-0000-0000-0000FA080000}"/>
    <cellStyle name="Финансовый 11 2 2 2 5 2 2" xfId="2298" xr:uid="{00000000-0005-0000-0000-0000FB080000}"/>
    <cellStyle name="Финансовый 11 2 2 2 5 3" xfId="2299" xr:uid="{00000000-0005-0000-0000-0000FC080000}"/>
    <cellStyle name="Финансовый 11 2 2 2 6" xfId="2300" xr:uid="{00000000-0005-0000-0000-0000FD080000}"/>
    <cellStyle name="Финансовый 11 2 2 2 6 2" xfId="2301" xr:uid="{00000000-0005-0000-0000-0000FE080000}"/>
    <cellStyle name="Финансовый 11 2 2 2 7" xfId="2302" xr:uid="{00000000-0005-0000-0000-0000FF080000}"/>
    <cellStyle name="Финансовый 11 2 2 3" xfId="2303" xr:uid="{00000000-0005-0000-0000-000000090000}"/>
    <cellStyle name="Финансовый 11 2 2 3 2" xfId="2304" xr:uid="{00000000-0005-0000-0000-000001090000}"/>
    <cellStyle name="Финансовый 11 2 2 3 2 2" xfId="2305" xr:uid="{00000000-0005-0000-0000-000002090000}"/>
    <cellStyle name="Финансовый 11 2 2 3 2 2 2" xfId="2306" xr:uid="{00000000-0005-0000-0000-000003090000}"/>
    <cellStyle name="Финансовый 11 2 2 3 2 2 2 2" xfId="2307" xr:uid="{00000000-0005-0000-0000-000004090000}"/>
    <cellStyle name="Финансовый 11 2 2 3 2 2 2 2 2" xfId="2308" xr:uid="{00000000-0005-0000-0000-000005090000}"/>
    <cellStyle name="Финансовый 11 2 2 3 2 2 2 3" xfId="2309" xr:uid="{00000000-0005-0000-0000-000006090000}"/>
    <cellStyle name="Финансовый 11 2 2 3 2 2 3" xfId="2310" xr:uid="{00000000-0005-0000-0000-000007090000}"/>
    <cellStyle name="Финансовый 11 2 2 3 2 2 3 2" xfId="2311" xr:uid="{00000000-0005-0000-0000-000008090000}"/>
    <cellStyle name="Финансовый 11 2 2 3 2 2 4" xfId="2312" xr:uid="{00000000-0005-0000-0000-000009090000}"/>
    <cellStyle name="Финансовый 11 2 2 3 2 3" xfId="2313" xr:uid="{00000000-0005-0000-0000-00000A090000}"/>
    <cellStyle name="Финансовый 11 2 2 3 2 3 2" xfId="2314" xr:uid="{00000000-0005-0000-0000-00000B090000}"/>
    <cellStyle name="Финансовый 11 2 2 3 2 3 2 2" xfId="2315" xr:uid="{00000000-0005-0000-0000-00000C090000}"/>
    <cellStyle name="Финансовый 11 2 2 3 2 3 3" xfId="2316" xr:uid="{00000000-0005-0000-0000-00000D090000}"/>
    <cellStyle name="Финансовый 11 2 2 3 2 4" xfId="2317" xr:uid="{00000000-0005-0000-0000-00000E090000}"/>
    <cellStyle name="Финансовый 11 2 2 3 2 4 2" xfId="2318" xr:uid="{00000000-0005-0000-0000-00000F090000}"/>
    <cellStyle name="Финансовый 11 2 2 3 2 5" xfId="2319" xr:uid="{00000000-0005-0000-0000-000010090000}"/>
    <cellStyle name="Финансовый 11 2 2 3 3" xfId="2320" xr:uid="{00000000-0005-0000-0000-000011090000}"/>
    <cellStyle name="Финансовый 11 2 2 3 3 2" xfId="2321" xr:uid="{00000000-0005-0000-0000-000012090000}"/>
    <cellStyle name="Финансовый 11 2 2 3 3 2 2" xfId="2322" xr:uid="{00000000-0005-0000-0000-000013090000}"/>
    <cellStyle name="Финансовый 11 2 2 3 3 2 2 2" xfId="2323" xr:uid="{00000000-0005-0000-0000-000014090000}"/>
    <cellStyle name="Финансовый 11 2 2 3 3 2 3" xfId="2324" xr:uid="{00000000-0005-0000-0000-000015090000}"/>
    <cellStyle name="Финансовый 11 2 2 3 3 3" xfId="2325" xr:uid="{00000000-0005-0000-0000-000016090000}"/>
    <cellStyle name="Финансовый 11 2 2 3 3 3 2" xfId="2326" xr:uid="{00000000-0005-0000-0000-000017090000}"/>
    <cellStyle name="Финансовый 11 2 2 3 3 4" xfId="2327" xr:uid="{00000000-0005-0000-0000-000018090000}"/>
    <cellStyle name="Финансовый 11 2 2 3 4" xfId="2328" xr:uid="{00000000-0005-0000-0000-000019090000}"/>
    <cellStyle name="Финансовый 11 2 2 3 4 2" xfId="2329" xr:uid="{00000000-0005-0000-0000-00001A090000}"/>
    <cellStyle name="Финансовый 11 2 2 3 4 2 2" xfId="2330" xr:uid="{00000000-0005-0000-0000-00001B090000}"/>
    <cellStyle name="Финансовый 11 2 2 3 4 3" xfId="2331" xr:uid="{00000000-0005-0000-0000-00001C090000}"/>
    <cellStyle name="Финансовый 11 2 2 3 5" xfId="2332" xr:uid="{00000000-0005-0000-0000-00001D090000}"/>
    <cellStyle name="Финансовый 11 2 2 3 5 2" xfId="2333" xr:uid="{00000000-0005-0000-0000-00001E090000}"/>
    <cellStyle name="Финансовый 11 2 2 3 6" xfId="2334" xr:uid="{00000000-0005-0000-0000-00001F090000}"/>
    <cellStyle name="Финансовый 11 2 2 4" xfId="2335" xr:uid="{00000000-0005-0000-0000-000020090000}"/>
    <cellStyle name="Финансовый 11 2 2 4 2" xfId="2336" xr:uid="{00000000-0005-0000-0000-000021090000}"/>
    <cellStyle name="Финансовый 11 2 2 4 2 2" xfId="2337" xr:uid="{00000000-0005-0000-0000-000022090000}"/>
    <cellStyle name="Финансовый 11 2 2 4 2 2 2" xfId="2338" xr:uid="{00000000-0005-0000-0000-000023090000}"/>
    <cellStyle name="Финансовый 11 2 2 4 2 2 2 2" xfId="2339" xr:uid="{00000000-0005-0000-0000-000024090000}"/>
    <cellStyle name="Финансовый 11 2 2 4 2 2 3" xfId="2340" xr:uid="{00000000-0005-0000-0000-000025090000}"/>
    <cellStyle name="Финансовый 11 2 2 4 2 3" xfId="2341" xr:uid="{00000000-0005-0000-0000-000026090000}"/>
    <cellStyle name="Финансовый 11 2 2 4 2 3 2" xfId="2342" xr:uid="{00000000-0005-0000-0000-000027090000}"/>
    <cellStyle name="Финансовый 11 2 2 4 2 4" xfId="2343" xr:uid="{00000000-0005-0000-0000-000028090000}"/>
    <cellStyle name="Финансовый 11 2 2 4 3" xfId="2344" xr:uid="{00000000-0005-0000-0000-000029090000}"/>
    <cellStyle name="Финансовый 11 2 2 4 3 2" xfId="2345" xr:uid="{00000000-0005-0000-0000-00002A090000}"/>
    <cellStyle name="Финансовый 11 2 2 4 3 2 2" xfId="2346" xr:uid="{00000000-0005-0000-0000-00002B090000}"/>
    <cellStyle name="Финансовый 11 2 2 4 3 3" xfId="2347" xr:uid="{00000000-0005-0000-0000-00002C090000}"/>
    <cellStyle name="Финансовый 11 2 2 4 4" xfId="2348" xr:uid="{00000000-0005-0000-0000-00002D090000}"/>
    <cellStyle name="Финансовый 11 2 2 4 4 2" xfId="2349" xr:uid="{00000000-0005-0000-0000-00002E090000}"/>
    <cellStyle name="Финансовый 11 2 2 4 5" xfId="2350" xr:uid="{00000000-0005-0000-0000-00002F090000}"/>
    <cellStyle name="Финансовый 11 2 2 5" xfId="2351" xr:uid="{00000000-0005-0000-0000-000030090000}"/>
    <cellStyle name="Финансовый 11 2 2 5 2" xfId="2352" xr:uid="{00000000-0005-0000-0000-000031090000}"/>
    <cellStyle name="Финансовый 11 2 2 5 2 2" xfId="2353" xr:uid="{00000000-0005-0000-0000-000032090000}"/>
    <cellStyle name="Финансовый 11 2 2 5 2 2 2" xfId="2354" xr:uid="{00000000-0005-0000-0000-000033090000}"/>
    <cellStyle name="Финансовый 11 2 2 5 2 3" xfId="2355" xr:uid="{00000000-0005-0000-0000-000034090000}"/>
    <cellStyle name="Финансовый 11 2 2 5 3" xfId="2356" xr:uid="{00000000-0005-0000-0000-000035090000}"/>
    <cellStyle name="Финансовый 11 2 2 5 3 2" xfId="2357" xr:uid="{00000000-0005-0000-0000-000036090000}"/>
    <cellStyle name="Финансовый 11 2 2 5 4" xfId="2358" xr:uid="{00000000-0005-0000-0000-000037090000}"/>
    <cellStyle name="Финансовый 11 2 2 6" xfId="2359" xr:uid="{00000000-0005-0000-0000-000038090000}"/>
    <cellStyle name="Финансовый 11 2 2 6 2" xfId="2360" xr:uid="{00000000-0005-0000-0000-000039090000}"/>
    <cellStyle name="Финансовый 11 2 2 6 2 2" xfId="2361" xr:uid="{00000000-0005-0000-0000-00003A090000}"/>
    <cellStyle name="Финансовый 11 2 2 6 3" xfId="2362" xr:uid="{00000000-0005-0000-0000-00003B090000}"/>
    <cellStyle name="Финансовый 11 2 2 7" xfId="2363" xr:uid="{00000000-0005-0000-0000-00003C090000}"/>
    <cellStyle name="Финансовый 11 2 2 7 2" xfId="2364" xr:uid="{00000000-0005-0000-0000-00003D090000}"/>
    <cellStyle name="Финансовый 11 2 2 8" xfId="2365" xr:uid="{00000000-0005-0000-0000-00003E090000}"/>
    <cellStyle name="Финансовый 11 2 3" xfId="2366" xr:uid="{00000000-0005-0000-0000-00003F090000}"/>
    <cellStyle name="Финансовый 11 2 3 2" xfId="2367" xr:uid="{00000000-0005-0000-0000-000040090000}"/>
    <cellStyle name="Финансовый 11 2 3 2 2" xfId="2368" xr:uid="{00000000-0005-0000-0000-000041090000}"/>
    <cellStyle name="Финансовый 11 2 3 2 2 2" xfId="2369" xr:uid="{00000000-0005-0000-0000-000042090000}"/>
    <cellStyle name="Финансовый 11 2 3 2 2 2 2" xfId="2370" xr:uid="{00000000-0005-0000-0000-000043090000}"/>
    <cellStyle name="Финансовый 11 2 3 2 2 2 2 2" xfId="2371" xr:uid="{00000000-0005-0000-0000-000044090000}"/>
    <cellStyle name="Финансовый 11 2 3 2 2 2 2 2 2" xfId="2372" xr:uid="{00000000-0005-0000-0000-000045090000}"/>
    <cellStyle name="Финансовый 11 2 3 2 2 2 2 3" xfId="2373" xr:uid="{00000000-0005-0000-0000-000046090000}"/>
    <cellStyle name="Финансовый 11 2 3 2 2 2 3" xfId="2374" xr:uid="{00000000-0005-0000-0000-000047090000}"/>
    <cellStyle name="Финансовый 11 2 3 2 2 2 3 2" xfId="2375" xr:uid="{00000000-0005-0000-0000-000048090000}"/>
    <cellStyle name="Финансовый 11 2 3 2 2 2 4" xfId="2376" xr:uid="{00000000-0005-0000-0000-000049090000}"/>
    <cellStyle name="Финансовый 11 2 3 2 2 3" xfId="2377" xr:uid="{00000000-0005-0000-0000-00004A090000}"/>
    <cellStyle name="Финансовый 11 2 3 2 2 3 2" xfId="2378" xr:uid="{00000000-0005-0000-0000-00004B090000}"/>
    <cellStyle name="Финансовый 11 2 3 2 2 3 2 2" xfId="2379" xr:uid="{00000000-0005-0000-0000-00004C090000}"/>
    <cellStyle name="Финансовый 11 2 3 2 2 3 3" xfId="2380" xr:uid="{00000000-0005-0000-0000-00004D090000}"/>
    <cellStyle name="Финансовый 11 2 3 2 2 4" xfId="2381" xr:uid="{00000000-0005-0000-0000-00004E090000}"/>
    <cellStyle name="Финансовый 11 2 3 2 2 4 2" xfId="2382" xr:uid="{00000000-0005-0000-0000-00004F090000}"/>
    <cellStyle name="Финансовый 11 2 3 2 2 5" xfId="2383" xr:uid="{00000000-0005-0000-0000-000050090000}"/>
    <cellStyle name="Финансовый 11 2 3 2 3" xfId="2384" xr:uid="{00000000-0005-0000-0000-000051090000}"/>
    <cellStyle name="Финансовый 11 2 3 2 3 2" xfId="2385" xr:uid="{00000000-0005-0000-0000-000052090000}"/>
    <cellStyle name="Финансовый 11 2 3 2 3 2 2" xfId="2386" xr:uid="{00000000-0005-0000-0000-000053090000}"/>
    <cellStyle name="Финансовый 11 2 3 2 3 2 2 2" xfId="2387" xr:uid="{00000000-0005-0000-0000-000054090000}"/>
    <cellStyle name="Финансовый 11 2 3 2 3 2 3" xfId="2388" xr:uid="{00000000-0005-0000-0000-000055090000}"/>
    <cellStyle name="Финансовый 11 2 3 2 3 3" xfId="2389" xr:uid="{00000000-0005-0000-0000-000056090000}"/>
    <cellStyle name="Финансовый 11 2 3 2 3 3 2" xfId="2390" xr:uid="{00000000-0005-0000-0000-000057090000}"/>
    <cellStyle name="Финансовый 11 2 3 2 3 4" xfId="2391" xr:uid="{00000000-0005-0000-0000-000058090000}"/>
    <cellStyle name="Финансовый 11 2 3 2 4" xfId="2392" xr:uid="{00000000-0005-0000-0000-000059090000}"/>
    <cellStyle name="Финансовый 11 2 3 2 4 2" xfId="2393" xr:uid="{00000000-0005-0000-0000-00005A090000}"/>
    <cellStyle name="Финансовый 11 2 3 2 4 2 2" xfId="2394" xr:uid="{00000000-0005-0000-0000-00005B090000}"/>
    <cellStyle name="Финансовый 11 2 3 2 4 3" xfId="2395" xr:uid="{00000000-0005-0000-0000-00005C090000}"/>
    <cellStyle name="Финансовый 11 2 3 2 5" xfId="2396" xr:uid="{00000000-0005-0000-0000-00005D090000}"/>
    <cellStyle name="Финансовый 11 2 3 2 5 2" xfId="2397" xr:uid="{00000000-0005-0000-0000-00005E090000}"/>
    <cellStyle name="Финансовый 11 2 3 2 6" xfId="2398" xr:uid="{00000000-0005-0000-0000-00005F090000}"/>
    <cellStyle name="Финансовый 11 2 3 3" xfId="2399" xr:uid="{00000000-0005-0000-0000-000060090000}"/>
    <cellStyle name="Финансовый 11 2 3 3 2" xfId="2400" xr:uid="{00000000-0005-0000-0000-000061090000}"/>
    <cellStyle name="Финансовый 11 2 3 3 2 2" xfId="2401" xr:uid="{00000000-0005-0000-0000-000062090000}"/>
    <cellStyle name="Финансовый 11 2 3 3 2 2 2" xfId="2402" xr:uid="{00000000-0005-0000-0000-000063090000}"/>
    <cellStyle name="Финансовый 11 2 3 3 2 2 2 2" xfId="2403" xr:uid="{00000000-0005-0000-0000-000064090000}"/>
    <cellStyle name="Финансовый 11 2 3 3 2 2 3" xfId="2404" xr:uid="{00000000-0005-0000-0000-000065090000}"/>
    <cellStyle name="Финансовый 11 2 3 3 2 3" xfId="2405" xr:uid="{00000000-0005-0000-0000-000066090000}"/>
    <cellStyle name="Финансовый 11 2 3 3 2 3 2" xfId="2406" xr:uid="{00000000-0005-0000-0000-000067090000}"/>
    <cellStyle name="Финансовый 11 2 3 3 2 4" xfId="2407" xr:uid="{00000000-0005-0000-0000-000068090000}"/>
    <cellStyle name="Финансовый 11 2 3 3 3" xfId="2408" xr:uid="{00000000-0005-0000-0000-000069090000}"/>
    <cellStyle name="Финансовый 11 2 3 3 3 2" xfId="2409" xr:uid="{00000000-0005-0000-0000-00006A090000}"/>
    <cellStyle name="Финансовый 11 2 3 3 3 2 2" xfId="2410" xr:uid="{00000000-0005-0000-0000-00006B090000}"/>
    <cellStyle name="Финансовый 11 2 3 3 3 3" xfId="2411" xr:uid="{00000000-0005-0000-0000-00006C090000}"/>
    <cellStyle name="Финансовый 11 2 3 3 4" xfId="2412" xr:uid="{00000000-0005-0000-0000-00006D090000}"/>
    <cellStyle name="Финансовый 11 2 3 3 4 2" xfId="2413" xr:uid="{00000000-0005-0000-0000-00006E090000}"/>
    <cellStyle name="Финансовый 11 2 3 3 5" xfId="2414" xr:uid="{00000000-0005-0000-0000-00006F090000}"/>
    <cellStyle name="Финансовый 11 2 3 4" xfId="2415" xr:uid="{00000000-0005-0000-0000-000070090000}"/>
    <cellStyle name="Финансовый 11 2 3 4 2" xfId="2416" xr:uid="{00000000-0005-0000-0000-000071090000}"/>
    <cellStyle name="Финансовый 11 2 3 4 2 2" xfId="2417" xr:uid="{00000000-0005-0000-0000-000072090000}"/>
    <cellStyle name="Финансовый 11 2 3 4 2 2 2" xfId="2418" xr:uid="{00000000-0005-0000-0000-000073090000}"/>
    <cellStyle name="Финансовый 11 2 3 4 2 3" xfId="2419" xr:uid="{00000000-0005-0000-0000-000074090000}"/>
    <cellStyle name="Финансовый 11 2 3 4 3" xfId="2420" xr:uid="{00000000-0005-0000-0000-000075090000}"/>
    <cellStyle name="Финансовый 11 2 3 4 3 2" xfId="2421" xr:uid="{00000000-0005-0000-0000-000076090000}"/>
    <cellStyle name="Финансовый 11 2 3 4 4" xfId="2422" xr:uid="{00000000-0005-0000-0000-000077090000}"/>
    <cellStyle name="Финансовый 11 2 3 5" xfId="2423" xr:uid="{00000000-0005-0000-0000-000078090000}"/>
    <cellStyle name="Финансовый 11 2 3 5 2" xfId="2424" xr:uid="{00000000-0005-0000-0000-000079090000}"/>
    <cellStyle name="Финансовый 11 2 3 5 2 2" xfId="2425" xr:uid="{00000000-0005-0000-0000-00007A090000}"/>
    <cellStyle name="Финансовый 11 2 3 5 3" xfId="2426" xr:uid="{00000000-0005-0000-0000-00007B090000}"/>
    <cellStyle name="Финансовый 11 2 3 6" xfId="2427" xr:uid="{00000000-0005-0000-0000-00007C090000}"/>
    <cellStyle name="Финансовый 11 2 3 6 2" xfId="2428" xr:uid="{00000000-0005-0000-0000-00007D090000}"/>
    <cellStyle name="Финансовый 11 2 3 7" xfId="2429" xr:uid="{00000000-0005-0000-0000-00007E090000}"/>
    <cellStyle name="Финансовый 11 2 4" xfId="2430" xr:uid="{00000000-0005-0000-0000-00007F090000}"/>
    <cellStyle name="Финансовый 11 2 4 2" xfId="2431" xr:uid="{00000000-0005-0000-0000-000080090000}"/>
    <cellStyle name="Финансовый 11 2 4 2 2" xfId="2432" xr:uid="{00000000-0005-0000-0000-000081090000}"/>
    <cellStyle name="Финансовый 11 2 4 2 2 2" xfId="2433" xr:uid="{00000000-0005-0000-0000-000082090000}"/>
    <cellStyle name="Финансовый 11 2 4 2 2 2 2" xfId="2434" xr:uid="{00000000-0005-0000-0000-000083090000}"/>
    <cellStyle name="Финансовый 11 2 4 2 2 2 2 2" xfId="2435" xr:uid="{00000000-0005-0000-0000-000084090000}"/>
    <cellStyle name="Финансовый 11 2 4 2 2 2 3" xfId="2436" xr:uid="{00000000-0005-0000-0000-000085090000}"/>
    <cellStyle name="Финансовый 11 2 4 2 2 3" xfId="2437" xr:uid="{00000000-0005-0000-0000-000086090000}"/>
    <cellStyle name="Финансовый 11 2 4 2 2 3 2" xfId="2438" xr:uid="{00000000-0005-0000-0000-000087090000}"/>
    <cellStyle name="Финансовый 11 2 4 2 2 4" xfId="2439" xr:uid="{00000000-0005-0000-0000-000088090000}"/>
    <cellStyle name="Финансовый 11 2 4 2 3" xfId="2440" xr:uid="{00000000-0005-0000-0000-000089090000}"/>
    <cellStyle name="Финансовый 11 2 4 2 3 2" xfId="2441" xr:uid="{00000000-0005-0000-0000-00008A090000}"/>
    <cellStyle name="Финансовый 11 2 4 2 3 2 2" xfId="2442" xr:uid="{00000000-0005-0000-0000-00008B090000}"/>
    <cellStyle name="Финансовый 11 2 4 2 3 3" xfId="2443" xr:uid="{00000000-0005-0000-0000-00008C090000}"/>
    <cellStyle name="Финансовый 11 2 4 2 4" xfId="2444" xr:uid="{00000000-0005-0000-0000-00008D090000}"/>
    <cellStyle name="Финансовый 11 2 4 2 4 2" xfId="2445" xr:uid="{00000000-0005-0000-0000-00008E090000}"/>
    <cellStyle name="Финансовый 11 2 4 2 5" xfId="2446" xr:uid="{00000000-0005-0000-0000-00008F090000}"/>
    <cellStyle name="Финансовый 11 2 4 3" xfId="2447" xr:uid="{00000000-0005-0000-0000-000090090000}"/>
    <cellStyle name="Финансовый 11 2 4 3 2" xfId="2448" xr:uid="{00000000-0005-0000-0000-000091090000}"/>
    <cellStyle name="Финансовый 11 2 4 3 2 2" xfId="2449" xr:uid="{00000000-0005-0000-0000-000092090000}"/>
    <cellStyle name="Финансовый 11 2 4 3 2 2 2" xfId="2450" xr:uid="{00000000-0005-0000-0000-000093090000}"/>
    <cellStyle name="Финансовый 11 2 4 3 2 3" xfId="2451" xr:uid="{00000000-0005-0000-0000-000094090000}"/>
    <cellStyle name="Финансовый 11 2 4 3 3" xfId="2452" xr:uid="{00000000-0005-0000-0000-000095090000}"/>
    <cellStyle name="Финансовый 11 2 4 3 3 2" xfId="2453" xr:uid="{00000000-0005-0000-0000-000096090000}"/>
    <cellStyle name="Финансовый 11 2 4 3 4" xfId="2454" xr:uid="{00000000-0005-0000-0000-000097090000}"/>
    <cellStyle name="Финансовый 11 2 4 4" xfId="2455" xr:uid="{00000000-0005-0000-0000-000098090000}"/>
    <cellStyle name="Финансовый 11 2 4 4 2" xfId="2456" xr:uid="{00000000-0005-0000-0000-000099090000}"/>
    <cellStyle name="Финансовый 11 2 4 4 2 2" xfId="2457" xr:uid="{00000000-0005-0000-0000-00009A090000}"/>
    <cellStyle name="Финансовый 11 2 4 4 3" xfId="2458" xr:uid="{00000000-0005-0000-0000-00009B090000}"/>
    <cellStyle name="Финансовый 11 2 4 5" xfId="2459" xr:uid="{00000000-0005-0000-0000-00009C090000}"/>
    <cellStyle name="Финансовый 11 2 4 5 2" xfId="2460" xr:uid="{00000000-0005-0000-0000-00009D090000}"/>
    <cellStyle name="Финансовый 11 2 4 6" xfId="2461" xr:uid="{00000000-0005-0000-0000-00009E090000}"/>
    <cellStyle name="Финансовый 11 2 5" xfId="2462" xr:uid="{00000000-0005-0000-0000-00009F090000}"/>
    <cellStyle name="Финансовый 11 2 5 2" xfId="2463" xr:uid="{00000000-0005-0000-0000-0000A0090000}"/>
    <cellStyle name="Финансовый 11 2 5 2 2" xfId="2464" xr:uid="{00000000-0005-0000-0000-0000A1090000}"/>
    <cellStyle name="Финансовый 11 2 5 2 2 2" xfId="2465" xr:uid="{00000000-0005-0000-0000-0000A2090000}"/>
    <cellStyle name="Финансовый 11 2 5 2 2 2 2" xfId="2466" xr:uid="{00000000-0005-0000-0000-0000A3090000}"/>
    <cellStyle name="Финансовый 11 2 5 2 2 3" xfId="2467" xr:uid="{00000000-0005-0000-0000-0000A4090000}"/>
    <cellStyle name="Финансовый 11 2 5 2 3" xfId="2468" xr:uid="{00000000-0005-0000-0000-0000A5090000}"/>
    <cellStyle name="Финансовый 11 2 5 2 3 2" xfId="2469" xr:uid="{00000000-0005-0000-0000-0000A6090000}"/>
    <cellStyle name="Финансовый 11 2 5 2 4" xfId="2470" xr:uid="{00000000-0005-0000-0000-0000A7090000}"/>
    <cellStyle name="Финансовый 11 2 5 3" xfId="2471" xr:uid="{00000000-0005-0000-0000-0000A8090000}"/>
    <cellStyle name="Финансовый 11 2 5 3 2" xfId="2472" xr:uid="{00000000-0005-0000-0000-0000A9090000}"/>
    <cellStyle name="Финансовый 11 2 5 3 2 2" xfId="2473" xr:uid="{00000000-0005-0000-0000-0000AA090000}"/>
    <cellStyle name="Финансовый 11 2 5 3 3" xfId="2474" xr:uid="{00000000-0005-0000-0000-0000AB090000}"/>
    <cellStyle name="Финансовый 11 2 5 4" xfId="2475" xr:uid="{00000000-0005-0000-0000-0000AC090000}"/>
    <cellStyle name="Финансовый 11 2 5 4 2" xfId="2476" xr:uid="{00000000-0005-0000-0000-0000AD090000}"/>
    <cellStyle name="Финансовый 11 2 5 5" xfId="2477" xr:uid="{00000000-0005-0000-0000-0000AE090000}"/>
    <cellStyle name="Финансовый 11 2 6" xfId="2478" xr:uid="{00000000-0005-0000-0000-0000AF090000}"/>
    <cellStyle name="Финансовый 11 2 6 2" xfId="2479" xr:uid="{00000000-0005-0000-0000-0000B0090000}"/>
    <cellStyle name="Финансовый 11 2 6 2 2" xfId="2480" xr:uid="{00000000-0005-0000-0000-0000B1090000}"/>
    <cellStyle name="Финансовый 11 2 6 2 2 2" xfId="2481" xr:uid="{00000000-0005-0000-0000-0000B2090000}"/>
    <cellStyle name="Финансовый 11 2 6 2 3" xfId="2482" xr:uid="{00000000-0005-0000-0000-0000B3090000}"/>
    <cellStyle name="Финансовый 11 2 6 3" xfId="2483" xr:uid="{00000000-0005-0000-0000-0000B4090000}"/>
    <cellStyle name="Финансовый 11 2 6 3 2" xfId="2484" xr:uid="{00000000-0005-0000-0000-0000B5090000}"/>
    <cellStyle name="Финансовый 11 2 6 4" xfId="2485" xr:uid="{00000000-0005-0000-0000-0000B6090000}"/>
    <cellStyle name="Финансовый 11 2 7" xfId="2486" xr:uid="{00000000-0005-0000-0000-0000B7090000}"/>
    <cellStyle name="Финансовый 11 2 7 2" xfId="2487" xr:uid="{00000000-0005-0000-0000-0000B8090000}"/>
    <cellStyle name="Финансовый 11 2 7 2 2" xfId="2488" xr:uid="{00000000-0005-0000-0000-0000B9090000}"/>
    <cellStyle name="Финансовый 11 2 7 3" xfId="2489" xr:uid="{00000000-0005-0000-0000-0000BA090000}"/>
    <cellStyle name="Финансовый 11 2 8" xfId="2490" xr:uid="{00000000-0005-0000-0000-0000BB090000}"/>
    <cellStyle name="Финансовый 11 2 8 2" xfId="2491" xr:uid="{00000000-0005-0000-0000-0000BC090000}"/>
    <cellStyle name="Финансовый 11 2 9" xfId="2492" xr:uid="{00000000-0005-0000-0000-0000BD090000}"/>
    <cellStyle name="Финансовый 11 3" xfId="2493" xr:uid="{00000000-0005-0000-0000-0000BE090000}"/>
    <cellStyle name="Финансовый 11 3 2" xfId="2494" xr:uid="{00000000-0005-0000-0000-0000BF090000}"/>
    <cellStyle name="Финансовый 11 3 2 2" xfId="2495" xr:uid="{00000000-0005-0000-0000-0000C0090000}"/>
    <cellStyle name="Финансовый 11 3 2 2 2" xfId="2496" xr:uid="{00000000-0005-0000-0000-0000C1090000}"/>
    <cellStyle name="Финансовый 11 3 2 2 2 2" xfId="2497" xr:uid="{00000000-0005-0000-0000-0000C2090000}"/>
    <cellStyle name="Финансовый 11 3 2 2 2 2 2" xfId="2498" xr:uid="{00000000-0005-0000-0000-0000C3090000}"/>
    <cellStyle name="Финансовый 11 3 2 2 2 2 2 2" xfId="2499" xr:uid="{00000000-0005-0000-0000-0000C4090000}"/>
    <cellStyle name="Финансовый 11 3 2 2 2 2 2 2 2" xfId="2500" xr:uid="{00000000-0005-0000-0000-0000C5090000}"/>
    <cellStyle name="Финансовый 11 3 2 2 2 2 2 3" xfId="2501" xr:uid="{00000000-0005-0000-0000-0000C6090000}"/>
    <cellStyle name="Финансовый 11 3 2 2 2 2 3" xfId="2502" xr:uid="{00000000-0005-0000-0000-0000C7090000}"/>
    <cellStyle name="Финансовый 11 3 2 2 2 2 3 2" xfId="2503" xr:uid="{00000000-0005-0000-0000-0000C8090000}"/>
    <cellStyle name="Финансовый 11 3 2 2 2 2 4" xfId="2504" xr:uid="{00000000-0005-0000-0000-0000C9090000}"/>
    <cellStyle name="Финансовый 11 3 2 2 2 3" xfId="2505" xr:uid="{00000000-0005-0000-0000-0000CA090000}"/>
    <cellStyle name="Финансовый 11 3 2 2 2 3 2" xfId="2506" xr:uid="{00000000-0005-0000-0000-0000CB090000}"/>
    <cellStyle name="Финансовый 11 3 2 2 2 3 2 2" xfId="2507" xr:uid="{00000000-0005-0000-0000-0000CC090000}"/>
    <cellStyle name="Финансовый 11 3 2 2 2 3 3" xfId="2508" xr:uid="{00000000-0005-0000-0000-0000CD090000}"/>
    <cellStyle name="Финансовый 11 3 2 2 2 4" xfId="2509" xr:uid="{00000000-0005-0000-0000-0000CE090000}"/>
    <cellStyle name="Финансовый 11 3 2 2 2 4 2" xfId="2510" xr:uid="{00000000-0005-0000-0000-0000CF090000}"/>
    <cellStyle name="Финансовый 11 3 2 2 2 5" xfId="2511" xr:uid="{00000000-0005-0000-0000-0000D0090000}"/>
    <cellStyle name="Финансовый 11 3 2 2 3" xfId="2512" xr:uid="{00000000-0005-0000-0000-0000D1090000}"/>
    <cellStyle name="Финансовый 11 3 2 2 3 2" xfId="2513" xr:uid="{00000000-0005-0000-0000-0000D2090000}"/>
    <cellStyle name="Финансовый 11 3 2 2 3 2 2" xfId="2514" xr:uid="{00000000-0005-0000-0000-0000D3090000}"/>
    <cellStyle name="Финансовый 11 3 2 2 3 2 2 2" xfId="2515" xr:uid="{00000000-0005-0000-0000-0000D4090000}"/>
    <cellStyle name="Финансовый 11 3 2 2 3 2 3" xfId="2516" xr:uid="{00000000-0005-0000-0000-0000D5090000}"/>
    <cellStyle name="Финансовый 11 3 2 2 3 3" xfId="2517" xr:uid="{00000000-0005-0000-0000-0000D6090000}"/>
    <cellStyle name="Финансовый 11 3 2 2 3 3 2" xfId="2518" xr:uid="{00000000-0005-0000-0000-0000D7090000}"/>
    <cellStyle name="Финансовый 11 3 2 2 3 4" xfId="2519" xr:uid="{00000000-0005-0000-0000-0000D8090000}"/>
    <cellStyle name="Финансовый 11 3 2 2 4" xfId="2520" xr:uid="{00000000-0005-0000-0000-0000D9090000}"/>
    <cellStyle name="Финансовый 11 3 2 2 4 2" xfId="2521" xr:uid="{00000000-0005-0000-0000-0000DA090000}"/>
    <cellStyle name="Финансовый 11 3 2 2 4 2 2" xfId="2522" xr:uid="{00000000-0005-0000-0000-0000DB090000}"/>
    <cellStyle name="Финансовый 11 3 2 2 4 3" xfId="2523" xr:uid="{00000000-0005-0000-0000-0000DC090000}"/>
    <cellStyle name="Финансовый 11 3 2 2 5" xfId="2524" xr:uid="{00000000-0005-0000-0000-0000DD090000}"/>
    <cellStyle name="Финансовый 11 3 2 2 5 2" xfId="2525" xr:uid="{00000000-0005-0000-0000-0000DE090000}"/>
    <cellStyle name="Финансовый 11 3 2 2 6" xfId="2526" xr:uid="{00000000-0005-0000-0000-0000DF090000}"/>
    <cellStyle name="Финансовый 11 3 2 3" xfId="2527" xr:uid="{00000000-0005-0000-0000-0000E0090000}"/>
    <cellStyle name="Финансовый 11 3 2 3 2" xfId="2528" xr:uid="{00000000-0005-0000-0000-0000E1090000}"/>
    <cellStyle name="Финансовый 11 3 2 3 2 2" xfId="2529" xr:uid="{00000000-0005-0000-0000-0000E2090000}"/>
    <cellStyle name="Финансовый 11 3 2 3 2 2 2" xfId="2530" xr:uid="{00000000-0005-0000-0000-0000E3090000}"/>
    <cellStyle name="Финансовый 11 3 2 3 2 2 2 2" xfId="2531" xr:uid="{00000000-0005-0000-0000-0000E4090000}"/>
    <cellStyle name="Финансовый 11 3 2 3 2 2 3" xfId="2532" xr:uid="{00000000-0005-0000-0000-0000E5090000}"/>
    <cellStyle name="Финансовый 11 3 2 3 2 3" xfId="2533" xr:uid="{00000000-0005-0000-0000-0000E6090000}"/>
    <cellStyle name="Финансовый 11 3 2 3 2 3 2" xfId="2534" xr:uid="{00000000-0005-0000-0000-0000E7090000}"/>
    <cellStyle name="Финансовый 11 3 2 3 2 4" xfId="2535" xr:uid="{00000000-0005-0000-0000-0000E8090000}"/>
    <cellStyle name="Финансовый 11 3 2 3 3" xfId="2536" xr:uid="{00000000-0005-0000-0000-0000E9090000}"/>
    <cellStyle name="Финансовый 11 3 2 3 3 2" xfId="2537" xr:uid="{00000000-0005-0000-0000-0000EA090000}"/>
    <cellStyle name="Финансовый 11 3 2 3 3 2 2" xfId="2538" xr:uid="{00000000-0005-0000-0000-0000EB090000}"/>
    <cellStyle name="Финансовый 11 3 2 3 3 3" xfId="2539" xr:uid="{00000000-0005-0000-0000-0000EC090000}"/>
    <cellStyle name="Финансовый 11 3 2 3 4" xfId="2540" xr:uid="{00000000-0005-0000-0000-0000ED090000}"/>
    <cellStyle name="Финансовый 11 3 2 3 4 2" xfId="2541" xr:uid="{00000000-0005-0000-0000-0000EE090000}"/>
    <cellStyle name="Финансовый 11 3 2 3 5" xfId="2542" xr:uid="{00000000-0005-0000-0000-0000EF090000}"/>
    <cellStyle name="Финансовый 11 3 2 4" xfId="2543" xr:uid="{00000000-0005-0000-0000-0000F0090000}"/>
    <cellStyle name="Финансовый 11 3 2 4 2" xfId="2544" xr:uid="{00000000-0005-0000-0000-0000F1090000}"/>
    <cellStyle name="Финансовый 11 3 2 4 2 2" xfId="2545" xr:uid="{00000000-0005-0000-0000-0000F2090000}"/>
    <cellStyle name="Финансовый 11 3 2 4 2 2 2" xfId="2546" xr:uid="{00000000-0005-0000-0000-0000F3090000}"/>
    <cellStyle name="Финансовый 11 3 2 4 2 3" xfId="2547" xr:uid="{00000000-0005-0000-0000-0000F4090000}"/>
    <cellStyle name="Финансовый 11 3 2 4 3" xfId="2548" xr:uid="{00000000-0005-0000-0000-0000F5090000}"/>
    <cellStyle name="Финансовый 11 3 2 4 3 2" xfId="2549" xr:uid="{00000000-0005-0000-0000-0000F6090000}"/>
    <cellStyle name="Финансовый 11 3 2 4 4" xfId="2550" xr:uid="{00000000-0005-0000-0000-0000F7090000}"/>
    <cellStyle name="Финансовый 11 3 2 5" xfId="2551" xr:uid="{00000000-0005-0000-0000-0000F8090000}"/>
    <cellStyle name="Финансовый 11 3 2 5 2" xfId="2552" xr:uid="{00000000-0005-0000-0000-0000F9090000}"/>
    <cellStyle name="Финансовый 11 3 2 5 2 2" xfId="2553" xr:uid="{00000000-0005-0000-0000-0000FA090000}"/>
    <cellStyle name="Финансовый 11 3 2 5 3" xfId="2554" xr:uid="{00000000-0005-0000-0000-0000FB090000}"/>
    <cellStyle name="Финансовый 11 3 2 6" xfId="2555" xr:uid="{00000000-0005-0000-0000-0000FC090000}"/>
    <cellStyle name="Финансовый 11 3 2 6 2" xfId="2556" xr:uid="{00000000-0005-0000-0000-0000FD090000}"/>
    <cellStyle name="Финансовый 11 3 2 7" xfId="2557" xr:uid="{00000000-0005-0000-0000-0000FE090000}"/>
    <cellStyle name="Финансовый 11 3 3" xfId="2558" xr:uid="{00000000-0005-0000-0000-0000FF090000}"/>
    <cellStyle name="Финансовый 11 3 3 2" xfId="2559" xr:uid="{00000000-0005-0000-0000-0000000A0000}"/>
    <cellStyle name="Финансовый 11 3 3 2 2" xfId="2560" xr:uid="{00000000-0005-0000-0000-0000010A0000}"/>
    <cellStyle name="Финансовый 11 3 3 2 2 2" xfId="2561" xr:uid="{00000000-0005-0000-0000-0000020A0000}"/>
    <cellStyle name="Финансовый 11 3 3 2 2 2 2" xfId="2562" xr:uid="{00000000-0005-0000-0000-0000030A0000}"/>
    <cellStyle name="Финансовый 11 3 3 2 2 2 2 2" xfId="2563" xr:uid="{00000000-0005-0000-0000-0000040A0000}"/>
    <cellStyle name="Финансовый 11 3 3 2 2 2 3" xfId="2564" xr:uid="{00000000-0005-0000-0000-0000050A0000}"/>
    <cellStyle name="Финансовый 11 3 3 2 2 3" xfId="2565" xr:uid="{00000000-0005-0000-0000-0000060A0000}"/>
    <cellStyle name="Финансовый 11 3 3 2 2 3 2" xfId="2566" xr:uid="{00000000-0005-0000-0000-0000070A0000}"/>
    <cellStyle name="Финансовый 11 3 3 2 2 4" xfId="2567" xr:uid="{00000000-0005-0000-0000-0000080A0000}"/>
    <cellStyle name="Финансовый 11 3 3 2 3" xfId="2568" xr:uid="{00000000-0005-0000-0000-0000090A0000}"/>
    <cellStyle name="Финансовый 11 3 3 2 3 2" xfId="2569" xr:uid="{00000000-0005-0000-0000-00000A0A0000}"/>
    <cellStyle name="Финансовый 11 3 3 2 3 2 2" xfId="2570" xr:uid="{00000000-0005-0000-0000-00000B0A0000}"/>
    <cellStyle name="Финансовый 11 3 3 2 3 3" xfId="2571" xr:uid="{00000000-0005-0000-0000-00000C0A0000}"/>
    <cellStyle name="Финансовый 11 3 3 2 4" xfId="2572" xr:uid="{00000000-0005-0000-0000-00000D0A0000}"/>
    <cellStyle name="Финансовый 11 3 3 2 4 2" xfId="2573" xr:uid="{00000000-0005-0000-0000-00000E0A0000}"/>
    <cellStyle name="Финансовый 11 3 3 2 5" xfId="2574" xr:uid="{00000000-0005-0000-0000-00000F0A0000}"/>
    <cellStyle name="Финансовый 11 3 3 3" xfId="2575" xr:uid="{00000000-0005-0000-0000-0000100A0000}"/>
    <cellStyle name="Финансовый 11 3 3 3 2" xfId="2576" xr:uid="{00000000-0005-0000-0000-0000110A0000}"/>
    <cellStyle name="Финансовый 11 3 3 3 2 2" xfId="2577" xr:uid="{00000000-0005-0000-0000-0000120A0000}"/>
    <cellStyle name="Финансовый 11 3 3 3 2 2 2" xfId="2578" xr:uid="{00000000-0005-0000-0000-0000130A0000}"/>
    <cellStyle name="Финансовый 11 3 3 3 2 3" xfId="2579" xr:uid="{00000000-0005-0000-0000-0000140A0000}"/>
    <cellStyle name="Финансовый 11 3 3 3 3" xfId="2580" xr:uid="{00000000-0005-0000-0000-0000150A0000}"/>
    <cellStyle name="Финансовый 11 3 3 3 3 2" xfId="2581" xr:uid="{00000000-0005-0000-0000-0000160A0000}"/>
    <cellStyle name="Финансовый 11 3 3 3 4" xfId="2582" xr:uid="{00000000-0005-0000-0000-0000170A0000}"/>
    <cellStyle name="Финансовый 11 3 3 4" xfId="2583" xr:uid="{00000000-0005-0000-0000-0000180A0000}"/>
    <cellStyle name="Финансовый 11 3 3 4 2" xfId="2584" xr:uid="{00000000-0005-0000-0000-0000190A0000}"/>
    <cellStyle name="Финансовый 11 3 3 4 2 2" xfId="2585" xr:uid="{00000000-0005-0000-0000-00001A0A0000}"/>
    <cellStyle name="Финансовый 11 3 3 4 3" xfId="2586" xr:uid="{00000000-0005-0000-0000-00001B0A0000}"/>
    <cellStyle name="Финансовый 11 3 3 5" xfId="2587" xr:uid="{00000000-0005-0000-0000-00001C0A0000}"/>
    <cellStyle name="Финансовый 11 3 3 5 2" xfId="2588" xr:uid="{00000000-0005-0000-0000-00001D0A0000}"/>
    <cellStyle name="Финансовый 11 3 3 6" xfId="2589" xr:uid="{00000000-0005-0000-0000-00001E0A0000}"/>
    <cellStyle name="Финансовый 11 3 4" xfId="2590" xr:uid="{00000000-0005-0000-0000-00001F0A0000}"/>
    <cellStyle name="Финансовый 11 3 4 2" xfId="2591" xr:uid="{00000000-0005-0000-0000-0000200A0000}"/>
    <cellStyle name="Финансовый 11 3 4 2 2" xfId="2592" xr:uid="{00000000-0005-0000-0000-0000210A0000}"/>
    <cellStyle name="Финансовый 11 3 4 2 2 2" xfId="2593" xr:uid="{00000000-0005-0000-0000-0000220A0000}"/>
    <cellStyle name="Финансовый 11 3 4 2 2 2 2" xfId="2594" xr:uid="{00000000-0005-0000-0000-0000230A0000}"/>
    <cellStyle name="Финансовый 11 3 4 2 2 3" xfId="2595" xr:uid="{00000000-0005-0000-0000-0000240A0000}"/>
    <cellStyle name="Финансовый 11 3 4 2 3" xfId="2596" xr:uid="{00000000-0005-0000-0000-0000250A0000}"/>
    <cellStyle name="Финансовый 11 3 4 2 3 2" xfId="2597" xr:uid="{00000000-0005-0000-0000-0000260A0000}"/>
    <cellStyle name="Финансовый 11 3 4 2 4" xfId="2598" xr:uid="{00000000-0005-0000-0000-0000270A0000}"/>
    <cellStyle name="Финансовый 11 3 4 3" xfId="2599" xr:uid="{00000000-0005-0000-0000-0000280A0000}"/>
    <cellStyle name="Финансовый 11 3 4 3 2" xfId="2600" xr:uid="{00000000-0005-0000-0000-0000290A0000}"/>
    <cellStyle name="Финансовый 11 3 4 3 2 2" xfId="2601" xr:uid="{00000000-0005-0000-0000-00002A0A0000}"/>
    <cellStyle name="Финансовый 11 3 4 3 3" xfId="2602" xr:uid="{00000000-0005-0000-0000-00002B0A0000}"/>
    <cellStyle name="Финансовый 11 3 4 4" xfId="2603" xr:uid="{00000000-0005-0000-0000-00002C0A0000}"/>
    <cellStyle name="Финансовый 11 3 4 4 2" xfId="2604" xr:uid="{00000000-0005-0000-0000-00002D0A0000}"/>
    <cellStyle name="Финансовый 11 3 4 5" xfId="2605" xr:uid="{00000000-0005-0000-0000-00002E0A0000}"/>
    <cellStyle name="Финансовый 11 3 5" xfId="2606" xr:uid="{00000000-0005-0000-0000-00002F0A0000}"/>
    <cellStyle name="Финансовый 11 3 5 2" xfId="2607" xr:uid="{00000000-0005-0000-0000-0000300A0000}"/>
    <cellStyle name="Финансовый 11 3 5 2 2" xfId="2608" xr:uid="{00000000-0005-0000-0000-0000310A0000}"/>
    <cellStyle name="Финансовый 11 3 5 2 2 2" xfId="2609" xr:uid="{00000000-0005-0000-0000-0000320A0000}"/>
    <cellStyle name="Финансовый 11 3 5 2 3" xfId="2610" xr:uid="{00000000-0005-0000-0000-0000330A0000}"/>
    <cellStyle name="Финансовый 11 3 5 3" xfId="2611" xr:uid="{00000000-0005-0000-0000-0000340A0000}"/>
    <cellStyle name="Финансовый 11 3 5 3 2" xfId="2612" xr:uid="{00000000-0005-0000-0000-0000350A0000}"/>
    <cellStyle name="Финансовый 11 3 5 4" xfId="2613" xr:uid="{00000000-0005-0000-0000-0000360A0000}"/>
    <cellStyle name="Финансовый 11 3 6" xfId="2614" xr:uid="{00000000-0005-0000-0000-0000370A0000}"/>
    <cellStyle name="Финансовый 11 3 6 2" xfId="2615" xr:uid="{00000000-0005-0000-0000-0000380A0000}"/>
    <cellStyle name="Финансовый 11 3 6 2 2" xfId="2616" xr:uid="{00000000-0005-0000-0000-0000390A0000}"/>
    <cellStyle name="Финансовый 11 3 6 3" xfId="2617" xr:uid="{00000000-0005-0000-0000-00003A0A0000}"/>
    <cellStyle name="Финансовый 11 3 7" xfId="2618" xr:uid="{00000000-0005-0000-0000-00003B0A0000}"/>
    <cellStyle name="Финансовый 11 3 7 2" xfId="2619" xr:uid="{00000000-0005-0000-0000-00003C0A0000}"/>
    <cellStyle name="Финансовый 11 3 8" xfId="2620" xr:uid="{00000000-0005-0000-0000-00003D0A0000}"/>
    <cellStyle name="Финансовый 11 4" xfId="2621" xr:uid="{00000000-0005-0000-0000-00003E0A0000}"/>
    <cellStyle name="Финансовый 11 4 2" xfId="2622" xr:uid="{00000000-0005-0000-0000-00003F0A0000}"/>
    <cellStyle name="Финансовый 11 4 2 2" xfId="2623" xr:uid="{00000000-0005-0000-0000-0000400A0000}"/>
    <cellStyle name="Финансовый 11 4 2 2 2" xfId="2624" xr:uid="{00000000-0005-0000-0000-0000410A0000}"/>
    <cellStyle name="Финансовый 11 4 2 2 2 2" xfId="2625" xr:uid="{00000000-0005-0000-0000-0000420A0000}"/>
    <cellStyle name="Финансовый 11 4 2 2 2 2 2" xfId="2626" xr:uid="{00000000-0005-0000-0000-0000430A0000}"/>
    <cellStyle name="Финансовый 11 4 2 2 2 2 2 2" xfId="2627" xr:uid="{00000000-0005-0000-0000-0000440A0000}"/>
    <cellStyle name="Финансовый 11 4 2 2 2 2 3" xfId="2628" xr:uid="{00000000-0005-0000-0000-0000450A0000}"/>
    <cellStyle name="Финансовый 11 4 2 2 2 3" xfId="2629" xr:uid="{00000000-0005-0000-0000-0000460A0000}"/>
    <cellStyle name="Финансовый 11 4 2 2 2 3 2" xfId="2630" xr:uid="{00000000-0005-0000-0000-0000470A0000}"/>
    <cellStyle name="Финансовый 11 4 2 2 2 4" xfId="2631" xr:uid="{00000000-0005-0000-0000-0000480A0000}"/>
    <cellStyle name="Финансовый 11 4 2 2 3" xfId="2632" xr:uid="{00000000-0005-0000-0000-0000490A0000}"/>
    <cellStyle name="Финансовый 11 4 2 2 3 2" xfId="2633" xr:uid="{00000000-0005-0000-0000-00004A0A0000}"/>
    <cellStyle name="Финансовый 11 4 2 2 3 2 2" xfId="2634" xr:uid="{00000000-0005-0000-0000-00004B0A0000}"/>
    <cellStyle name="Финансовый 11 4 2 2 3 3" xfId="2635" xr:uid="{00000000-0005-0000-0000-00004C0A0000}"/>
    <cellStyle name="Финансовый 11 4 2 2 4" xfId="2636" xr:uid="{00000000-0005-0000-0000-00004D0A0000}"/>
    <cellStyle name="Финансовый 11 4 2 2 4 2" xfId="2637" xr:uid="{00000000-0005-0000-0000-00004E0A0000}"/>
    <cellStyle name="Финансовый 11 4 2 2 5" xfId="2638" xr:uid="{00000000-0005-0000-0000-00004F0A0000}"/>
    <cellStyle name="Финансовый 11 4 2 3" xfId="2639" xr:uid="{00000000-0005-0000-0000-0000500A0000}"/>
    <cellStyle name="Финансовый 11 4 2 3 2" xfId="2640" xr:uid="{00000000-0005-0000-0000-0000510A0000}"/>
    <cellStyle name="Финансовый 11 4 2 3 2 2" xfId="2641" xr:uid="{00000000-0005-0000-0000-0000520A0000}"/>
    <cellStyle name="Финансовый 11 4 2 3 2 2 2" xfId="2642" xr:uid="{00000000-0005-0000-0000-0000530A0000}"/>
    <cellStyle name="Финансовый 11 4 2 3 2 3" xfId="2643" xr:uid="{00000000-0005-0000-0000-0000540A0000}"/>
    <cellStyle name="Финансовый 11 4 2 3 3" xfId="2644" xr:uid="{00000000-0005-0000-0000-0000550A0000}"/>
    <cellStyle name="Финансовый 11 4 2 3 3 2" xfId="2645" xr:uid="{00000000-0005-0000-0000-0000560A0000}"/>
    <cellStyle name="Финансовый 11 4 2 3 4" xfId="2646" xr:uid="{00000000-0005-0000-0000-0000570A0000}"/>
    <cellStyle name="Финансовый 11 4 2 4" xfId="2647" xr:uid="{00000000-0005-0000-0000-0000580A0000}"/>
    <cellStyle name="Финансовый 11 4 2 4 2" xfId="2648" xr:uid="{00000000-0005-0000-0000-0000590A0000}"/>
    <cellStyle name="Финансовый 11 4 2 4 2 2" xfId="2649" xr:uid="{00000000-0005-0000-0000-00005A0A0000}"/>
    <cellStyle name="Финансовый 11 4 2 4 3" xfId="2650" xr:uid="{00000000-0005-0000-0000-00005B0A0000}"/>
    <cellStyle name="Финансовый 11 4 2 5" xfId="2651" xr:uid="{00000000-0005-0000-0000-00005C0A0000}"/>
    <cellStyle name="Финансовый 11 4 2 5 2" xfId="2652" xr:uid="{00000000-0005-0000-0000-00005D0A0000}"/>
    <cellStyle name="Финансовый 11 4 2 6" xfId="2653" xr:uid="{00000000-0005-0000-0000-00005E0A0000}"/>
    <cellStyle name="Финансовый 11 4 3" xfId="2654" xr:uid="{00000000-0005-0000-0000-00005F0A0000}"/>
    <cellStyle name="Финансовый 11 4 3 2" xfId="2655" xr:uid="{00000000-0005-0000-0000-0000600A0000}"/>
    <cellStyle name="Финансовый 11 4 3 2 2" xfId="2656" xr:uid="{00000000-0005-0000-0000-0000610A0000}"/>
    <cellStyle name="Финансовый 11 4 3 2 2 2" xfId="2657" xr:uid="{00000000-0005-0000-0000-0000620A0000}"/>
    <cellStyle name="Финансовый 11 4 3 2 2 2 2" xfId="2658" xr:uid="{00000000-0005-0000-0000-0000630A0000}"/>
    <cellStyle name="Финансовый 11 4 3 2 2 3" xfId="2659" xr:uid="{00000000-0005-0000-0000-0000640A0000}"/>
    <cellStyle name="Финансовый 11 4 3 2 3" xfId="2660" xr:uid="{00000000-0005-0000-0000-0000650A0000}"/>
    <cellStyle name="Финансовый 11 4 3 2 3 2" xfId="2661" xr:uid="{00000000-0005-0000-0000-0000660A0000}"/>
    <cellStyle name="Финансовый 11 4 3 2 4" xfId="2662" xr:uid="{00000000-0005-0000-0000-0000670A0000}"/>
    <cellStyle name="Финансовый 11 4 3 3" xfId="2663" xr:uid="{00000000-0005-0000-0000-0000680A0000}"/>
    <cellStyle name="Финансовый 11 4 3 3 2" xfId="2664" xr:uid="{00000000-0005-0000-0000-0000690A0000}"/>
    <cellStyle name="Финансовый 11 4 3 3 2 2" xfId="2665" xr:uid="{00000000-0005-0000-0000-00006A0A0000}"/>
    <cellStyle name="Финансовый 11 4 3 3 3" xfId="2666" xr:uid="{00000000-0005-0000-0000-00006B0A0000}"/>
    <cellStyle name="Финансовый 11 4 3 4" xfId="2667" xr:uid="{00000000-0005-0000-0000-00006C0A0000}"/>
    <cellStyle name="Финансовый 11 4 3 4 2" xfId="2668" xr:uid="{00000000-0005-0000-0000-00006D0A0000}"/>
    <cellStyle name="Финансовый 11 4 3 5" xfId="2669" xr:uid="{00000000-0005-0000-0000-00006E0A0000}"/>
    <cellStyle name="Финансовый 11 4 4" xfId="2670" xr:uid="{00000000-0005-0000-0000-00006F0A0000}"/>
    <cellStyle name="Финансовый 11 4 4 2" xfId="2671" xr:uid="{00000000-0005-0000-0000-0000700A0000}"/>
    <cellStyle name="Финансовый 11 4 4 2 2" xfId="2672" xr:uid="{00000000-0005-0000-0000-0000710A0000}"/>
    <cellStyle name="Финансовый 11 4 4 2 2 2" xfId="2673" xr:uid="{00000000-0005-0000-0000-0000720A0000}"/>
    <cellStyle name="Финансовый 11 4 4 2 3" xfId="2674" xr:uid="{00000000-0005-0000-0000-0000730A0000}"/>
    <cellStyle name="Финансовый 11 4 4 3" xfId="2675" xr:uid="{00000000-0005-0000-0000-0000740A0000}"/>
    <cellStyle name="Финансовый 11 4 4 3 2" xfId="2676" xr:uid="{00000000-0005-0000-0000-0000750A0000}"/>
    <cellStyle name="Финансовый 11 4 4 4" xfId="2677" xr:uid="{00000000-0005-0000-0000-0000760A0000}"/>
    <cellStyle name="Финансовый 11 4 5" xfId="2678" xr:uid="{00000000-0005-0000-0000-0000770A0000}"/>
    <cellStyle name="Финансовый 11 4 5 2" xfId="2679" xr:uid="{00000000-0005-0000-0000-0000780A0000}"/>
    <cellStyle name="Финансовый 11 4 5 2 2" xfId="2680" xr:uid="{00000000-0005-0000-0000-0000790A0000}"/>
    <cellStyle name="Финансовый 11 4 5 3" xfId="2681" xr:uid="{00000000-0005-0000-0000-00007A0A0000}"/>
    <cellStyle name="Финансовый 11 4 6" xfId="2682" xr:uid="{00000000-0005-0000-0000-00007B0A0000}"/>
    <cellStyle name="Финансовый 11 4 6 2" xfId="2683" xr:uid="{00000000-0005-0000-0000-00007C0A0000}"/>
    <cellStyle name="Финансовый 11 4 7" xfId="2684" xr:uid="{00000000-0005-0000-0000-00007D0A0000}"/>
    <cellStyle name="Финансовый 11 5" xfId="2685" xr:uid="{00000000-0005-0000-0000-00007E0A0000}"/>
    <cellStyle name="Финансовый 11 5 2" xfId="2686" xr:uid="{00000000-0005-0000-0000-00007F0A0000}"/>
    <cellStyle name="Финансовый 11 5 2 2" xfId="2687" xr:uid="{00000000-0005-0000-0000-0000800A0000}"/>
    <cellStyle name="Финансовый 11 5 2 2 2" xfId="2688" xr:uid="{00000000-0005-0000-0000-0000810A0000}"/>
    <cellStyle name="Финансовый 11 5 2 2 2 2" xfId="2689" xr:uid="{00000000-0005-0000-0000-0000820A0000}"/>
    <cellStyle name="Финансовый 11 5 2 2 2 2 2" xfId="2690" xr:uid="{00000000-0005-0000-0000-0000830A0000}"/>
    <cellStyle name="Финансовый 11 5 2 2 2 3" xfId="2691" xr:uid="{00000000-0005-0000-0000-0000840A0000}"/>
    <cellStyle name="Финансовый 11 5 2 2 3" xfId="2692" xr:uid="{00000000-0005-0000-0000-0000850A0000}"/>
    <cellStyle name="Финансовый 11 5 2 2 3 2" xfId="2693" xr:uid="{00000000-0005-0000-0000-0000860A0000}"/>
    <cellStyle name="Финансовый 11 5 2 2 4" xfId="2694" xr:uid="{00000000-0005-0000-0000-0000870A0000}"/>
    <cellStyle name="Финансовый 11 5 2 3" xfId="2695" xr:uid="{00000000-0005-0000-0000-0000880A0000}"/>
    <cellStyle name="Финансовый 11 5 2 3 2" xfId="2696" xr:uid="{00000000-0005-0000-0000-0000890A0000}"/>
    <cellStyle name="Финансовый 11 5 2 3 2 2" xfId="2697" xr:uid="{00000000-0005-0000-0000-00008A0A0000}"/>
    <cellStyle name="Финансовый 11 5 2 3 3" xfId="2698" xr:uid="{00000000-0005-0000-0000-00008B0A0000}"/>
    <cellStyle name="Финансовый 11 5 2 4" xfId="2699" xr:uid="{00000000-0005-0000-0000-00008C0A0000}"/>
    <cellStyle name="Финансовый 11 5 2 4 2" xfId="2700" xr:uid="{00000000-0005-0000-0000-00008D0A0000}"/>
    <cellStyle name="Финансовый 11 5 2 5" xfId="2701" xr:uid="{00000000-0005-0000-0000-00008E0A0000}"/>
    <cellStyle name="Финансовый 11 5 3" xfId="2702" xr:uid="{00000000-0005-0000-0000-00008F0A0000}"/>
    <cellStyle name="Финансовый 11 5 3 2" xfId="2703" xr:uid="{00000000-0005-0000-0000-0000900A0000}"/>
    <cellStyle name="Финансовый 11 5 3 2 2" xfId="2704" xr:uid="{00000000-0005-0000-0000-0000910A0000}"/>
    <cellStyle name="Финансовый 11 5 3 2 2 2" xfId="2705" xr:uid="{00000000-0005-0000-0000-0000920A0000}"/>
    <cellStyle name="Финансовый 11 5 3 2 3" xfId="2706" xr:uid="{00000000-0005-0000-0000-0000930A0000}"/>
    <cellStyle name="Финансовый 11 5 3 3" xfId="2707" xr:uid="{00000000-0005-0000-0000-0000940A0000}"/>
    <cellStyle name="Финансовый 11 5 3 3 2" xfId="2708" xr:uid="{00000000-0005-0000-0000-0000950A0000}"/>
    <cellStyle name="Финансовый 11 5 3 4" xfId="2709" xr:uid="{00000000-0005-0000-0000-0000960A0000}"/>
    <cellStyle name="Финансовый 11 5 4" xfId="2710" xr:uid="{00000000-0005-0000-0000-0000970A0000}"/>
    <cellStyle name="Финансовый 11 5 4 2" xfId="2711" xr:uid="{00000000-0005-0000-0000-0000980A0000}"/>
    <cellStyle name="Финансовый 11 5 4 2 2" xfId="2712" xr:uid="{00000000-0005-0000-0000-0000990A0000}"/>
    <cellStyle name="Финансовый 11 5 4 3" xfId="2713" xr:uid="{00000000-0005-0000-0000-00009A0A0000}"/>
    <cellStyle name="Финансовый 11 5 5" xfId="2714" xr:uid="{00000000-0005-0000-0000-00009B0A0000}"/>
    <cellStyle name="Финансовый 11 5 5 2" xfId="2715" xr:uid="{00000000-0005-0000-0000-00009C0A0000}"/>
    <cellStyle name="Финансовый 11 5 6" xfId="2716" xr:uid="{00000000-0005-0000-0000-00009D0A0000}"/>
    <cellStyle name="Финансовый 11 6" xfId="2717" xr:uid="{00000000-0005-0000-0000-00009E0A0000}"/>
    <cellStyle name="Финансовый 11 6 2" xfId="2718" xr:uid="{00000000-0005-0000-0000-00009F0A0000}"/>
    <cellStyle name="Финансовый 11 6 2 2" xfId="2719" xr:uid="{00000000-0005-0000-0000-0000A00A0000}"/>
    <cellStyle name="Финансовый 11 6 2 2 2" xfId="2720" xr:uid="{00000000-0005-0000-0000-0000A10A0000}"/>
    <cellStyle name="Финансовый 11 6 2 2 2 2" xfId="2721" xr:uid="{00000000-0005-0000-0000-0000A20A0000}"/>
    <cellStyle name="Финансовый 11 6 2 2 3" xfId="2722" xr:uid="{00000000-0005-0000-0000-0000A30A0000}"/>
    <cellStyle name="Финансовый 11 6 2 3" xfId="2723" xr:uid="{00000000-0005-0000-0000-0000A40A0000}"/>
    <cellStyle name="Финансовый 11 6 2 3 2" xfId="2724" xr:uid="{00000000-0005-0000-0000-0000A50A0000}"/>
    <cellStyle name="Финансовый 11 6 2 4" xfId="2725" xr:uid="{00000000-0005-0000-0000-0000A60A0000}"/>
    <cellStyle name="Финансовый 11 6 3" xfId="2726" xr:uid="{00000000-0005-0000-0000-0000A70A0000}"/>
    <cellStyle name="Финансовый 11 6 3 2" xfId="2727" xr:uid="{00000000-0005-0000-0000-0000A80A0000}"/>
    <cellStyle name="Финансовый 11 6 3 2 2" xfId="2728" xr:uid="{00000000-0005-0000-0000-0000A90A0000}"/>
    <cellStyle name="Финансовый 11 6 3 3" xfId="2729" xr:uid="{00000000-0005-0000-0000-0000AA0A0000}"/>
    <cellStyle name="Финансовый 11 6 4" xfId="2730" xr:uid="{00000000-0005-0000-0000-0000AB0A0000}"/>
    <cellStyle name="Финансовый 11 6 4 2" xfId="2731" xr:uid="{00000000-0005-0000-0000-0000AC0A0000}"/>
    <cellStyle name="Финансовый 11 6 5" xfId="2732" xr:uid="{00000000-0005-0000-0000-0000AD0A0000}"/>
    <cellStyle name="Финансовый 11 7" xfId="2733" xr:uid="{00000000-0005-0000-0000-0000AE0A0000}"/>
    <cellStyle name="Финансовый 11 7 2" xfId="2734" xr:uid="{00000000-0005-0000-0000-0000AF0A0000}"/>
    <cellStyle name="Финансовый 11 7 2 2" xfId="2735" xr:uid="{00000000-0005-0000-0000-0000B00A0000}"/>
    <cellStyle name="Финансовый 11 7 2 2 2" xfId="2736" xr:uid="{00000000-0005-0000-0000-0000B10A0000}"/>
    <cellStyle name="Финансовый 11 7 2 3" xfId="2737" xr:uid="{00000000-0005-0000-0000-0000B20A0000}"/>
    <cellStyle name="Финансовый 11 7 3" xfId="2738" xr:uid="{00000000-0005-0000-0000-0000B30A0000}"/>
    <cellStyle name="Финансовый 11 7 3 2" xfId="2739" xr:uid="{00000000-0005-0000-0000-0000B40A0000}"/>
    <cellStyle name="Финансовый 11 7 4" xfId="2740" xr:uid="{00000000-0005-0000-0000-0000B50A0000}"/>
    <cellStyle name="Финансовый 11 8" xfId="2741" xr:uid="{00000000-0005-0000-0000-0000B60A0000}"/>
    <cellStyle name="Финансовый 11 8 2" xfId="2742" xr:uid="{00000000-0005-0000-0000-0000B70A0000}"/>
    <cellStyle name="Финансовый 11 8 2 2" xfId="2743" xr:uid="{00000000-0005-0000-0000-0000B80A0000}"/>
    <cellStyle name="Финансовый 11 8 3" xfId="2744" xr:uid="{00000000-0005-0000-0000-0000B90A0000}"/>
    <cellStyle name="Финансовый 11 9" xfId="2745" xr:uid="{00000000-0005-0000-0000-0000BA0A0000}"/>
    <cellStyle name="Финансовый 11 9 2" xfId="2746" xr:uid="{00000000-0005-0000-0000-0000BB0A0000}"/>
    <cellStyle name="Финансовый 12" xfId="2747" xr:uid="{00000000-0005-0000-0000-0000BC0A0000}"/>
    <cellStyle name="Финансовый 12 2" xfId="2748" xr:uid="{00000000-0005-0000-0000-0000BD0A0000}"/>
    <cellStyle name="Финансовый 12 2 2" xfId="2749" xr:uid="{00000000-0005-0000-0000-0000BE0A0000}"/>
    <cellStyle name="Финансовый 12 2 2 2" xfId="2750" xr:uid="{00000000-0005-0000-0000-0000BF0A0000}"/>
    <cellStyle name="Финансовый 12 2 2 2 2" xfId="2751" xr:uid="{00000000-0005-0000-0000-0000C00A0000}"/>
    <cellStyle name="Финансовый 12 2 2 2 2 2" xfId="2752" xr:uid="{00000000-0005-0000-0000-0000C10A0000}"/>
    <cellStyle name="Финансовый 12 2 2 2 2 2 2" xfId="2753" xr:uid="{00000000-0005-0000-0000-0000C20A0000}"/>
    <cellStyle name="Финансовый 12 2 2 2 2 2 2 2" xfId="2754" xr:uid="{00000000-0005-0000-0000-0000C30A0000}"/>
    <cellStyle name="Финансовый 12 2 2 2 2 2 2 2 2" xfId="2755" xr:uid="{00000000-0005-0000-0000-0000C40A0000}"/>
    <cellStyle name="Финансовый 12 2 2 2 2 2 2 3" xfId="2756" xr:uid="{00000000-0005-0000-0000-0000C50A0000}"/>
    <cellStyle name="Финансовый 12 2 2 2 2 2 3" xfId="2757" xr:uid="{00000000-0005-0000-0000-0000C60A0000}"/>
    <cellStyle name="Финансовый 12 2 2 2 2 2 3 2" xfId="2758" xr:uid="{00000000-0005-0000-0000-0000C70A0000}"/>
    <cellStyle name="Финансовый 12 2 2 2 2 2 4" xfId="2759" xr:uid="{00000000-0005-0000-0000-0000C80A0000}"/>
    <cellStyle name="Финансовый 12 2 2 2 2 3" xfId="2760" xr:uid="{00000000-0005-0000-0000-0000C90A0000}"/>
    <cellStyle name="Финансовый 12 2 2 2 2 3 2" xfId="2761" xr:uid="{00000000-0005-0000-0000-0000CA0A0000}"/>
    <cellStyle name="Финансовый 12 2 2 2 2 3 2 2" xfId="2762" xr:uid="{00000000-0005-0000-0000-0000CB0A0000}"/>
    <cellStyle name="Финансовый 12 2 2 2 2 3 3" xfId="2763" xr:uid="{00000000-0005-0000-0000-0000CC0A0000}"/>
    <cellStyle name="Финансовый 12 2 2 2 2 4" xfId="2764" xr:uid="{00000000-0005-0000-0000-0000CD0A0000}"/>
    <cellStyle name="Финансовый 12 2 2 2 2 4 2" xfId="2765" xr:uid="{00000000-0005-0000-0000-0000CE0A0000}"/>
    <cellStyle name="Финансовый 12 2 2 2 2 5" xfId="2766" xr:uid="{00000000-0005-0000-0000-0000CF0A0000}"/>
    <cellStyle name="Финансовый 12 2 2 2 3" xfId="2767" xr:uid="{00000000-0005-0000-0000-0000D00A0000}"/>
    <cellStyle name="Финансовый 12 2 2 2 3 2" xfId="2768" xr:uid="{00000000-0005-0000-0000-0000D10A0000}"/>
    <cellStyle name="Финансовый 12 2 2 2 3 2 2" xfId="2769" xr:uid="{00000000-0005-0000-0000-0000D20A0000}"/>
    <cellStyle name="Финансовый 12 2 2 2 3 2 2 2" xfId="2770" xr:uid="{00000000-0005-0000-0000-0000D30A0000}"/>
    <cellStyle name="Финансовый 12 2 2 2 3 2 3" xfId="2771" xr:uid="{00000000-0005-0000-0000-0000D40A0000}"/>
    <cellStyle name="Финансовый 12 2 2 2 3 3" xfId="2772" xr:uid="{00000000-0005-0000-0000-0000D50A0000}"/>
    <cellStyle name="Финансовый 12 2 2 2 3 3 2" xfId="2773" xr:uid="{00000000-0005-0000-0000-0000D60A0000}"/>
    <cellStyle name="Финансовый 12 2 2 2 3 4" xfId="2774" xr:uid="{00000000-0005-0000-0000-0000D70A0000}"/>
    <cellStyle name="Финансовый 12 2 2 2 4" xfId="2775" xr:uid="{00000000-0005-0000-0000-0000D80A0000}"/>
    <cellStyle name="Финансовый 12 2 2 2 4 2" xfId="2776" xr:uid="{00000000-0005-0000-0000-0000D90A0000}"/>
    <cellStyle name="Финансовый 12 2 2 2 4 2 2" xfId="2777" xr:uid="{00000000-0005-0000-0000-0000DA0A0000}"/>
    <cellStyle name="Финансовый 12 2 2 2 4 3" xfId="2778" xr:uid="{00000000-0005-0000-0000-0000DB0A0000}"/>
    <cellStyle name="Финансовый 12 2 2 2 5" xfId="2779" xr:uid="{00000000-0005-0000-0000-0000DC0A0000}"/>
    <cellStyle name="Финансовый 12 2 2 2 5 2" xfId="2780" xr:uid="{00000000-0005-0000-0000-0000DD0A0000}"/>
    <cellStyle name="Финансовый 12 2 2 2 6" xfId="2781" xr:uid="{00000000-0005-0000-0000-0000DE0A0000}"/>
    <cellStyle name="Финансовый 12 2 2 3" xfId="2782" xr:uid="{00000000-0005-0000-0000-0000DF0A0000}"/>
    <cellStyle name="Финансовый 12 2 2 3 2" xfId="2783" xr:uid="{00000000-0005-0000-0000-0000E00A0000}"/>
    <cellStyle name="Финансовый 12 2 2 3 2 2" xfId="2784" xr:uid="{00000000-0005-0000-0000-0000E10A0000}"/>
    <cellStyle name="Финансовый 12 2 2 3 2 2 2" xfId="2785" xr:uid="{00000000-0005-0000-0000-0000E20A0000}"/>
    <cellStyle name="Финансовый 12 2 2 3 2 2 2 2" xfId="2786" xr:uid="{00000000-0005-0000-0000-0000E30A0000}"/>
    <cellStyle name="Финансовый 12 2 2 3 2 2 3" xfId="2787" xr:uid="{00000000-0005-0000-0000-0000E40A0000}"/>
    <cellStyle name="Финансовый 12 2 2 3 2 3" xfId="2788" xr:uid="{00000000-0005-0000-0000-0000E50A0000}"/>
    <cellStyle name="Финансовый 12 2 2 3 2 3 2" xfId="2789" xr:uid="{00000000-0005-0000-0000-0000E60A0000}"/>
    <cellStyle name="Финансовый 12 2 2 3 2 4" xfId="2790" xr:uid="{00000000-0005-0000-0000-0000E70A0000}"/>
    <cellStyle name="Финансовый 12 2 2 3 3" xfId="2791" xr:uid="{00000000-0005-0000-0000-0000E80A0000}"/>
    <cellStyle name="Финансовый 12 2 2 3 3 2" xfId="2792" xr:uid="{00000000-0005-0000-0000-0000E90A0000}"/>
    <cellStyle name="Финансовый 12 2 2 3 3 2 2" xfId="2793" xr:uid="{00000000-0005-0000-0000-0000EA0A0000}"/>
    <cellStyle name="Финансовый 12 2 2 3 3 3" xfId="2794" xr:uid="{00000000-0005-0000-0000-0000EB0A0000}"/>
    <cellStyle name="Финансовый 12 2 2 3 4" xfId="2795" xr:uid="{00000000-0005-0000-0000-0000EC0A0000}"/>
    <cellStyle name="Финансовый 12 2 2 3 4 2" xfId="2796" xr:uid="{00000000-0005-0000-0000-0000ED0A0000}"/>
    <cellStyle name="Финансовый 12 2 2 3 5" xfId="2797" xr:uid="{00000000-0005-0000-0000-0000EE0A0000}"/>
    <cellStyle name="Финансовый 12 2 2 4" xfId="2798" xr:uid="{00000000-0005-0000-0000-0000EF0A0000}"/>
    <cellStyle name="Финансовый 12 2 2 4 2" xfId="2799" xr:uid="{00000000-0005-0000-0000-0000F00A0000}"/>
    <cellStyle name="Финансовый 12 2 2 4 2 2" xfId="2800" xr:uid="{00000000-0005-0000-0000-0000F10A0000}"/>
    <cellStyle name="Финансовый 12 2 2 4 2 2 2" xfId="2801" xr:uid="{00000000-0005-0000-0000-0000F20A0000}"/>
    <cellStyle name="Финансовый 12 2 2 4 2 3" xfId="2802" xr:uid="{00000000-0005-0000-0000-0000F30A0000}"/>
    <cellStyle name="Финансовый 12 2 2 4 3" xfId="2803" xr:uid="{00000000-0005-0000-0000-0000F40A0000}"/>
    <cellStyle name="Финансовый 12 2 2 4 3 2" xfId="2804" xr:uid="{00000000-0005-0000-0000-0000F50A0000}"/>
    <cellStyle name="Финансовый 12 2 2 4 4" xfId="2805" xr:uid="{00000000-0005-0000-0000-0000F60A0000}"/>
    <cellStyle name="Финансовый 12 2 2 5" xfId="2806" xr:uid="{00000000-0005-0000-0000-0000F70A0000}"/>
    <cellStyle name="Финансовый 12 2 2 5 2" xfId="2807" xr:uid="{00000000-0005-0000-0000-0000F80A0000}"/>
    <cellStyle name="Финансовый 12 2 2 5 2 2" xfId="2808" xr:uid="{00000000-0005-0000-0000-0000F90A0000}"/>
    <cellStyle name="Финансовый 12 2 2 5 3" xfId="2809" xr:uid="{00000000-0005-0000-0000-0000FA0A0000}"/>
    <cellStyle name="Финансовый 12 2 2 6" xfId="2810" xr:uid="{00000000-0005-0000-0000-0000FB0A0000}"/>
    <cellStyle name="Финансовый 12 2 2 6 2" xfId="2811" xr:uid="{00000000-0005-0000-0000-0000FC0A0000}"/>
    <cellStyle name="Финансовый 12 2 2 7" xfId="2812" xr:uid="{00000000-0005-0000-0000-0000FD0A0000}"/>
    <cellStyle name="Финансовый 12 2 3" xfId="2813" xr:uid="{00000000-0005-0000-0000-0000FE0A0000}"/>
    <cellStyle name="Финансовый 12 2 3 2" xfId="2814" xr:uid="{00000000-0005-0000-0000-0000FF0A0000}"/>
    <cellStyle name="Финансовый 12 2 3 2 2" xfId="2815" xr:uid="{00000000-0005-0000-0000-0000000B0000}"/>
    <cellStyle name="Финансовый 12 2 3 2 2 2" xfId="2816" xr:uid="{00000000-0005-0000-0000-0000010B0000}"/>
    <cellStyle name="Финансовый 12 2 3 2 2 2 2" xfId="2817" xr:uid="{00000000-0005-0000-0000-0000020B0000}"/>
    <cellStyle name="Финансовый 12 2 3 2 2 2 2 2" xfId="2818" xr:uid="{00000000-0005-0000-0000-0000030B0000}"/>
    <cellStyle name="Финансовый 12 2 3 2 2 2 3" xfId="2819" xr:uid="{00000000-0005-0000-0000-0000040B0000}"/>
    <cellStyle name="Финансовый 12 2 3 2 2 3" xfId="2820" xr:uid="{00000000-0005-0000-0000-0000050B0000}"/>
    <cellStyle name="Финансовый 12 2 3 2 2 3 2" xfId="2821" xr:uid="{00000000-0005-0000-0000-0000060B0000}"/>
    <cellStyle name="Финансовый 12 2 3 2 2 4" xfId="2822" xr:uid="{00000000-0005-0000-0000-0000070B0000}"/>
    <cellStyle name="Финансовый 12 2 3 2 3" xfId="2823" xr:uid="{00000000-0005-0000-0000-0000080B0000}"/>
    <cellStyle name="Финансовый 12 2 3 2 3 2" xfId="2824" xr:uid="{00000000-0005-0000-0000-0000090B0000}"/>
    <cellStyle name="Финансовый 12 2 3 2 3 2 2" xfId="2825" xr:uid="{00000000-0005-0000-0000-00000A0B0000}"/>
    <cellStyle name="Финансовый 12 2 3 2 3 3" xfId="2826" xr:uid="{00000000-0005-0000-0000-00000B0B0000}"/>
    <cellStyle name="Финансовый 12 2 3 2 4" xfId="2827" xr:uid="{00000000-0005-0000-0000-00000C0B0000}"/>
    <cellStyle name="Финансовый 12 2 3 2 4 2" xfId="2828" xr:uid="{00000000-0005-0000-0000-00000D0B0000}"/>
    <cellStyle name="Финансовый 12 2 3 2 5" xfId="2829" xr:uid="{00000000-0005-0000-0000-00000E0B0000}"/>
    <cellStyle name="Финансовый 12 2 3 3" xfId="2830" xr:uid="{00000000-0005-0000-0000-00000F0B0000}"/>
    <cellStyle name="Финансовый 12 2 3 3 2" xfId="2831" xr:uid="{00000000-0005-0000-0000-0000100B0000}"/>
    <cellStyle name="Финансовый 12 2 3 3 2 2" xfId="2832" xr:uid="{00000000-0005-0000-0000-0000110B0000}"/>
    <cellStyle name="Финансовый 12 2 3 3 2 2 2" xfId="2833" xr:uid="{00000000-0005-0000-0000-0000120B0000}"/>
    <cellStyle name="Финансовый 12 2 3 3 2 3" xfId="2834" xr:uid="{00000000-0005-0000-0000-0000130B0000}"/>
    <cellStyle name="Финансовый 12 2 3 3 3" xfId="2835" xr:uid="{00000000-0005-0000-0000-0000140B0000}"/>
    <cellStyle name="Финансовый 12 2 3 3 3 2" xfId="2836" xr:uid="{00000000-0005-0000-0000-0000150B0000}"/>
    <cellStyle name="Финансовый 12 2 3 3 4" xfId="2837" xr:uid="{00000000-0005-0000-0000-0000160B0000}"/>
    <cellStyle name="Финансовый 12 2 3 4" xfId="2838" xr:uid="{00000000-0005-0000-0000-0000170B0000}"/>
    <cellStyle name="Финансовый 12 2 3 4 2" xfId="2839" xr:uid="{00000000-0005-0000-0000-0000180B0000}"/>
    <cellStyle name="Финансовый 12 2 3 4 2 2" xfId="2840" xr:uid="{00000000-0005-0000-0000-0000190B0000}"/>
    <cellStyle name="Финансовый 12 2 3 4 3" xfId="2841" xr:uid="{00000000-0005-0000-0000-00001A0B0000}"/>
    <cellStyle name="Финансовый 12 2 3 5" xfId="2842" xr:uid="{00000000-0005-0000-0000-00001B0B0000}"/>
    <cellStyle name="Финансовый 12 2 3 5 2" xfId="2843" xr:uid="{00000000-0005-0000-0000-00001C0B0000}"/>
    <cellStyle name="Финансовый 12 2 3 6" xfId="2844" xr:uid="{00000000-0005-0000-0000-00001D0B0000}"/>
    <cellStyle name="Финансовый 12 2 4" xfId="2845" xr:uid="{00000000-0005-0000-0000-00001E0B0000}"/>
    <cellStyle name="Финансовый 12 2 4 2" xfId="2846" xr:uid="{00000000-0005-0000-0000-00001F0B0000}"/>
    <cellStyle name="Финансовый 12 2 4 2 2" xfId="2847" xr:uid="{00000000-0005-0000-0000-0000200B0000}"/>
    <cellStyle name="Финансовый 12 2 4 2 2 2" xfId="2848" xr:uid="{00000000-0005-0000-0000-0000210B0000}"/>
    <cellStyle name="Финансовый 12 2 4 2 2 2 2" xfId="2849" xr:uid="{00000000-0005-0000-0000-0000220B0000}"/>
    <cellStyle name="Финансовый 12 2 4 2 2 3" xfId="2850" xr:uid="{00000000-0005-0000-0000-0000230B0000}"/>
    <cellStyle name="Финансовый 12 2 4 2 3" xfId="2851" xr:uid="{00000000-0005-0000-0000-0000240B0000}"/>
    <cellStyle name="Финансовый 12 2 4 2 3 2" xfId="2852" xr:uid="{00000000-0005-0000-0000-0000250B0000}"/>
    <cellStyle name="Финансовый 12 2 4 2 4" xfId="2853" xr:uid="{00000000-0005-0000-0000-0000260B0000}"/>
    <cellStyle name="Финансовый 12 2 4 3" xfId="2854" xr:uid="{00000000-0005-0000-0000-0000270B0000}"/>
    <cellStyle name="Финансовый 12 2 4 3 2" xfId="2855" xr:uid="{00000000-0005-0000-0000-0000280B0000}"/>
    <cellStyle name="Финансовый 12 2 4 3 2 2" xfId="2856" xr:uid="{00000000-0005-0000-0000-0000290B0000}"/>
    <cellStyle name="Финансовый 12 2 4 3 3" xfId="2857" xr:uid="{00000000-0005-0000-0000-00002A0B0000}"/>
    <cellStyle name="Финансовый 12 2 4 4" xfId="2858" xr:uid="{00000000-0005-0000-0000-00002B0B0000}"/>
    <cellStyle name="Финансовый 12 2 4 4 2" xfId="2859" xr:uid="{00000000-0005-0000-0000-00002C0B0000}"/>
    <cellStyle name="Финансовый 12 2 4 5" xfId="2860" xr:uid="{00000000-0005-0000-0000-00002D0B0000}"/>
    <cellStyle name="Финансовый 12 2 5" xfId="2861" xr:uid="{00000000-0005-0000-0000-00002E0B0000}"/>
    <cellStyle name="Финансовый 12 2 5 2" xfId="2862" xr:uid="{00000000-0005-0000-0000-00002F0B0000}"/>
    <cellStyle name="Финансовый 12 2 5 2 2" xfId="2863" xr:uid="{00000000-0005-0000-0000-0000300B0000}"/>
    <cellStyle name="Финансовый 12 2 5 2 2 2" xfId="2864" xr:uid="{00000000-0005-0000-0000-0000310B0000}"/>
    <cellStyle name="Финансовый 12 2 5 2 3" xfId="2865" xr:uid="{00000000-0005-0000-0000-0000320B0000}"/>
    <cellStyle name="Финансовый 12 2 5 3" xfId="2866" xr:uid="{00000000-0005-0000-0000-0000330B0000}"/>
    <cellStyle name="Финансовый 12 2 5 3 2" xfId="2867" xr:uid="{00000000-0005-0000-0000-0000340B0000}"/>
    <cellStyle name="Финансовый 12 2 5 4" xfId="2868" xr:uid="{00000000-0005-0000-0000-0000350B0000}"/>
    <cellStyle name="Финансовый 12 2 6" xfId="2869" xr:uid="{00000000-0005-0000-0000-0000360B0000}"/>
    <cellStyle name="Финансовый 12 2 6 2" xfId="2870" xr:uid="{00000000-0005-0000-0000-0000370B0000}"/>
    <cellStyle name="Финансовый 12 2 6 2 2" xfId="2871" xr:uid="{00000000-0005-0000-0000-0000380B0000}"/>
    <cellStyle name="Финансовый 12 2 6 3" xfId="2872" xr:uid="{00000000-0005-0000-0000-0000390B0000}"/>
    <cellStyle name="Финансовый 12 2 7" xfId="2873" xr:uid="{00000000-0005-0000-0000-00003A0B0000}"/>
    <cellStyle name="Финансовый 12 2 7 2" xfId="2874" xr:uid="{00000000-0005-0000-0000-00003B0B0000}"/>
    <cellStyle name="Финансовый 12 2 8" xfId="2875" xr:uid="{00000000-0005-0000-0000-00003C0B0000}"/>
    <cellStyle name="Финансовый 12 3" xfId="2876" xr:uid="{00000000-0005-0000-0000-00003D0B0000}"/>
    <cellStyle name="Финансовый 12 3 2" xfId="2877" xr:uid="{00000000-0005-0000-0000-00003E0B0000}"/>
    <cellStyle name="Финансовый 12 3 2 2" xfId="2878" xr:uid="{00000000-0005-0000-0000-00003F0B0000}"/>
    <cellStyle name="Финансовый 12 3 2 2 2" xfId="2879" xr:uid="{00000000-0005-0000-0000-0000400B0000}"/>
    <cellStyle name="Финансовый 12 3 2 2 2 2" xfId="2880" xr:uid="{00000000-0005-0000-0000-0000410B0000}"/>
    <cellStyle name="Финансовый 12 3 2 2 2 2 2" xfId="2881" xr:uid="{00000000-0005-0000-0000-0000420B0000}"/>
    <cellStyle name="Финансовый 12 3 2 2 2 2 2 2" xfId="2882" xr:uid="{00000000-0005-0000-0000-0000430B0000}"/>
    <cellStyle name="Финансовый 12 3 2 2 2 2 3" xfId="2883" xr:uid="{00000000-0005-0000-0000-0000440B0000}"/>
    <cellStyle name="Финансовый 12 3 2 2 2 3" xfId="2884" xr:uid="{00000000-0005-0000-0000-0000450B0000}"/>
    <cellStyle name="Финансовый 12 3 2 2 2 3 2" xfId="2885" xr:uid="{00000000-0005-0000-0000-0000460B0000}"/>
    <cellStyle name="Финансовый 12 3 2 2 2 4" xfId="2886" xr:uid="{00000000-0005-0000-0000-0000470B0000}"/>
    <cellStyle name="Финансовый 12 3 2 2 3" xfId="2887" xr:uid="{00000000-0005-0000-0000-0000480B0000}"/>
    <cellStyle name="Финансовый 12 3 2 2 3 2" xfId="2888" xr:uid="{00000000-0005-0000-0000-0000490B0000}"/>
    <cellStyle name="Финансовый 12 3 2 2 3 2 2" xfId="2889" xr:uid="{00000000-0005-0000-0000-00004A0B0000}"/>
    <cellStyle name="Финансовый 12 3 2 2 3 3" xfId="2890" xr:uid="{00000000-0005-0000-0000-00004B0B0000}"/>
    <cellStyle name="Финансовый 12 3 2 2 4" xfId="2891" xr:uid="{00000000-0005-0000-0000-00004C0B0000}"/>
    <cellStyle name="Финансовый 12 3 2 2 4 2" xfId="2892" xr:uid="{00000000-0005-0000-0000-00004D0B0000}"/>
    <cellStyle name="Финансовый 12 3 2 2 5" xfId="2893" xr:uid="{00000000-0005-0000-0000-00004E0B0000}"/>
    <cellStyle name="Финансовый 12 3 2 3" xfId="2894" xr:uid="{00000000-0005-0000-0000-00004F0B0000}"/>
    <cellStyle name="Финансовый 12 3 2 3 2" xfId="2895" xr:uid="{00000000-0005-0000-0000-0000500B0000}"/>
    <cellStyle name="Финансовый 12 3 2 3 2 2" xfId="2896" xr:uid="{00000000-0005-0000-0000-0000510B0000}"/>
    <cellStyle name="Финансовый 12 3 2 3 2 2 2" xfId="2897" xr:uid="{00000000-0005-0000-0000-0000520B0000}"/>
    <cellStyle name="Финансовый 12 3 2 3 2 3" xfId="2898" xr:uid="{00000000-0005-0000-0000-0000530B0000}"/>
    <cellStyle name="Финансовый 12 3 2 3 3" xfId="2899" xr:uid="{00000000-0005-0000-0000-0000540B0000}"/>
    <cellStyle name="Финансовый 12 3 2 3 3 2" xfId="2900" xr:uid="{00000000-0005-0000-0000-0000550B0000}"/>
    <cellStyle name="Финансовый 12 3 2 3 4" xfId="2901" xr:uid="{00000000-0005-0000-0000-0000560B0000}"/>
    <cellStyle name="Финансовый 12 3 2 4" xfId="2902" xr:uid="{00000000-0005-0000-0000-0000570B0000}"/>
    <cellStyle name="Финансовый 12 3 2 4 2" xfId="2903" xr:uid="{00000000-0005-0000-0000-0000580B0000}"/>
    <cellStyle name="Финансовый 12 3 2 4 2 2" xfId="2904" xr:uid="{00000000-0005-0000-0000-0000590B0000}"/>
    <cellStyle name="Финансовый 12 3 2 4 3" xfId="2905" xr:uid="{00000000-0005-0000-0000-00005A0B0000}"/>
    <cellStyle name="Финансовый 12 3 2 5" xfId="2906" xr:uid="{00000000-0005-0000-0000-00005B0B0000}"/>
    <cellStyle name="Финансовый 12 3 2 5 2" xfId="2907" xr:uid="{00000000-0005-0000-0000-00005C0B0000}"/>
    <cellStyle name="Финансовый 12 3 2 6" xfId="2908" xr:uid="{00000000-0005-0000-0000-00005D0B0000}"/>
    <cellStyle name="Финансовый 12 3 3" xfId="2909" xr:uid="{00000000-0005-0000-0000-00005E0B0000}"/>
    <cellStyle name="Финансовый 12 3 3 2" xfId="2910" xr:uid="{00000000-0005-0000-0000-00005F0B0000}"/>
    <cellStyle name="Финансовый 12 3 3 2 2" xfId="2911" xr:uid="{00000000-0005-0000-0000-0000600B0000}"/>
    <cellStyle name="Финансовый 12 3 3 2 2 2" xfId="2912" xr:uid="{00000000-0005-0000-0000-0000610B0000}"/>
    <cellStyle name="Финансовый 12 3 3 2 2 2 2" xfId="2913" xr:uid="{00000000-0005-0000-0000-0000620B0000}"/>
    <cellStyle name="Финансовый 12 3 3 2 2 3" xfId="2914" xr:uid="{00000000-0005-0000-0000-0000630B0000}"/>
    <cellStyle name="Финансовый 12 3 3 2 3" xfId="2915" xr:uid="{00000000-0005-0000-0000-0000640B0000}"/>
    <cellStyle name="Финансовый 12 3 3 2 3 2" xfId="2916" xr:uid="{00000000-0005-0000-0000-0000650B0000}"/>
    <cellStyle name="Финансовый 12 3 3 2 4" xfId="2917" xr:uid="{00000000-0005-0000-0000-0000660B0000}"/>
    <cellStyle name="Финансовый 12 3 3 3" xfId="2918" xr:uid="{00000000-0005-0000-0000-0000670B0000}"/>
    <cellStyle name="Финансовый 12 3 3 3 2" xfId="2919" xr:uid="{00000000-0005-0000-0000-0000680B0000}"/>
    <cellStyle name="Финансовый 12 3 3 3 2 2" xfId="2920" xr:uid="{00000000-0005-0000-0000-0000690B0000}"/>
    <cellStyle name="Финансовый 12 3 3 3 3" xfId="2921" xr:uid="{00000000-0005-0000-0000-00006A0B0000}"/>
    <cellStyle name="Финансовый 12 3 3 4" xfId="2922" xr:uid="{00000000-0005-0000-0000-00006B0B0000}"/>
    <cellStyle name="Финансовый 12 3 3 4 2" xfId="2923" xr:uid="{00000000-0005-0000-0000-00006C0B0000}"/>
    <cellStyle name="Финансовый 12 3 3 5" xfId="2924" xr:uid="{00000000-0005-0000-0000-00006D0B0000}"/>
    <cellStyle name="Финансовый 12 3 4" xfId="2925" xr:uid="{00000000-0005-0000-0000-00006E0B0000}"/>
    <cellStyle name="Финансовый 12 3 4 2" xfId="2926" xr:uid="{00000000-0005-0000-0000-00006F0B0000}"/>
    <cellStyle name="Финансовый 12 3 4 2 2" xfId="2927" xr:uid="{00000000-0005-0000-0000-0000700B0000}"/>
    <cellStyle name="Финансовый 12 3 4 2 2 2" xfId="2928" xr:uid="{00000000-0005-0000-0000-0000710B0000}"/>
    <cellStyle name="Финансовый 12 3 4 2 3" xfId="2929" xr:uid="{00000000-0005-0000-0000-0000720B0000}"/>
    <cellStyle name="Финансовый 12 3 4 3" xfId="2930" xr:uid="{00000000-0005-0000-0000-0000730B0000}"/>
    <cellStyle name="Финансовый 12 3 4 3 2" xfId="2931" xr:uid="{00000000-0005-0000-0000-0000740B0000}"/>
    <cellStyle name="Финансовый 12 3 4 4" xfId="2932" xr:uid="{00000000-0005-0000-0000-0000750B0000}"/>
    <cellStyle name="Финансовый 12 3 5" xfId="2933" xr:uid="{00000000-0005-0000-0000-0000760B0000}"/>
    <cellStyle name="Финансовый 12 3 5 2" xfId="2934" xr:uid="{00000000-0005-0000-0000-0000770B0000}"/>
    <cellStyle name="Финансовый 12 3 5 2 2" xfId="2935" xr:uid="{00000000-0005-0000-0000-0000780B0000}"/>
    <cellStyle name="Финансовый 12 3 5 3" xfId="2936" xr:uid="{00000000-0005-0000-0000-0000790B0000}"/>
    <cellStyle name="Финансовый 12 3 6" xfId="2937" xr:uid="{00000000-0005-0000-0000-00007A0B0000}"/>
    <cellStyle name="Финансовый 12 3 6 2" xfId="2938" xr:uid="{00000000-0005-0000-0000-00007B0B0000}"/>
    <cellStyle name="Финансовый 12 3 7" xfId="2939" xr:uid="{00000000-0005-0000-0000-00007C0B0000}"/>
    <cellStyle name="Финансовый 12 4" xfId="2940" xr:uid="{00000000-0005-0000-0000-00007D0B0000}"/>
    <cellStyle name="Финансовый 12 4 2" xfId="2941" xr:uid="{00000000-0005-0000-0000-00007E0B0000}"/>
    <cellStyle name="Финансовый 12 4 2 2" xfId="2942" xr:uid="{00000000-0005-0000-0000-00007F0B0000}"/>
    <cellStyle name="Финансовый 12 4 2 2 2" xfId="2943" xr:uid="{00000000-0005-0000-0000-0000800B0000}"/>
    <cellStyle name="Финансовый 12 4 2 2 2 2" xfId="2944" xr:uid="{00000000-0005-0000-0000-0000810B0000}"/>
    <cellStyle name="Финансовый 12 4 2 2 2 2 2" xfId="2945" xr:uid="{00000000-0005-0000-0000-0000820B0000}"/>
    <cellStyle name="Финансовый 12 4 2 2 2 3" xfId="2946" xr:uid="{00000000-0005-0000-0000-0000830B0000}"/>
    <cellStyle name="Финансовый 12 4 2 2 3" xfId="2947" xr:uid="{00000000-0005-0000-0000-0000840B0000}"/>
    <cellStyle name="Финансовый 12 4 2 2 3 2" xfId="2948" xr:uid="{00000000-0005-0000-0000-0000850B0000}"/>
    <cellStyle name="Финансовый 12 4 2 2 4" xfId="2949" xr:uid="{00000000-0005-0000-0000-0000860B0000}"/>
    <cellStyle name="Финансовый 12 4 2 3" xfId="2950" xr:uid="{00000000-0005-0000-0000-0000870B0000}"/>
    <cellStyle name="Финансовый 12 4 2 3 2" xfId="2951" xr:uid="{00000000-0005-0000-0000-0000880B0000}"/>
    <cellStyle name="Финансовый 12 4 2 3 2 2" xfId="2952" xr:uid="{00000000-0005-0000-0000-0000890B0000}"/>
    <cellStyle name="Финансовый 12 4 2 3 3" xfId="2953" xr:uid="{00000000-0005-0000-0000-00008A0B0000}"/>
    <cellStyle name="Финансовый 12 4 2 4" xfId="2954" xr:uid="{00000000-0005-0000-0000-00008B0B0000}"/>
    <cellStyle name="Финансовый 12 4 2 4 2" xfId="2955" xr:uid="{00000000-0005-0000-0000-00008C0B0000}"/>
    <cellStyle name="Финансовый 12 4 2 5" xfId="2956" xr:uid="{00000000-0005-0000-0000-00008D0B0000}"/>
    <cellStyle name="Финансовый 12 4 3" xfId="2957" xr:uid="{00000000-0005-0000-0000-00008E0B0000}"/>
    <cellStyle name="Финансовый 12 4 3 2" xfId="2958" xr:uid="{00000000-0005-0000-0000-00008F0B0000}"/>
    <cellStyle name="Финансовый 12 4 3 2 2" xfId="2959" xr:uid="{00000000-0005-0000-0000-0000900B0000}"/>
    <cellStyle name="Финансовый 12 4 3 2 2 2" xfId="2960" xr:uid="{00000000-0005-0000-0000-0000910B0000}"/>
    <cellStyle name="Финансовый 12 4 3 2 3" xfId="2961" xr:uid="{00000000-0005-0000-0000-0000920B0000}"/>
    <cellStyle name="Финансовый 12 4 3 3" xfId="2962" xr:uid="{00000000-0005-0000-0000-0000930B0000}"/>
    <cellStyle name="Финансовый 12 4 3 3 2" xfId="2963" xr:uid="{00000000-0005-0000-0000-0000940B0000}"/>
    <cellStyle name="Финансовый 12 4 3 4" xfId="2964" xr:uid="{00000000-0005-0000-0000-0000950B0000}"/>
    <cellStyle name="Финансовый 12 4 4" xfId="2965" xr:uid="{00000000-0005-0000-0000-0000960B0000}"/>
    <cellStyle name="Финансовый 12 4 4 2" xfId="2966" xr:uid="{00000000-0005-0000-0000-0000970B0000}"/>
    <cellStyle name="Финансовый 12 4 4 2 2" xfId="2967" xr:uid="{00000000-0005-0000-0000-0000980B0000}"/>
    <cellStyle name="Финансовый 12 4 4 3" xfId="2968" xr:uid="{00000000-0005-0000-0000-0000990B0000}"/>
    <cellStyle name="Финансовый 12 4 5" xfId="2969" xr:uid="{00000000-0005-0000-0000-00009A0B0000}"/>
    <cellStyle name="Финансовый 12 4 5 2" xfId="2970" xr:uid="{00000000-0005-0000-0000-00009B0B0000}"/>
    <cellStyle name="Финансовый 12 4 6" xfId="2971" xr:uid="{00000000-0005-0000-0000-00009C0B0000}"/>
    <cellStyle name="Финансовый 12 5" xfId="2972" xr:uid="{00000000-0005-0000-0000-00009D0B0000}"/>
    <cellStyle name="Финансовый 12 5 2" xfId="2973" xr:uid="{00000000-0005-0000-0000-00009E0B0000}"/>
    <cellStyle name="Финансовый 12 5 2 2" xfId="2974" xr:uid="{00000000-0005-0000-0000-00009F0B0000}"/>
    <cellStyle name="Финансовый 12 5 2 2 2" xfId="2975" xr:uid="{00000000-0005-0000-0000-0000A00B0000}"/>
    <cellStyle name="Финансовый 12 5 2 2 2 2" xfId="2976" xr:uid="{00000000-0005-0000-0000-0000A10B0000}"/>
    <cellStyle name="Финансовый 12 5 2 2 3" xfId="2977" xr:uid="{00000000-0005-0000-0000-0000A20B0000}"/>
    <cellStyle name="Финансовый 12 5 2 3" xfId="2978" xr:uid="{00000000-0005-0000-0000-0000A30B0000}"/>
    <cellStyle name="Финансовый 12 5 2 3 2" xfId="2979" xr:uid="{00000000-0005-0000-0000-0000A40B0000}"/>
    <cellStyle name="Финансовый 12 5 2 4" xfId="2980" xr:uid="{00000000-0005-0000-0000-0000A50B0000}"/>
    <cellStyle name="Финансовый 12 5 3" xfId="2981" xr:uid="{00000000-0005-0000-0000-0000A60B0000}"/>
    <cellStyle name="Финансовый 12 5 3 2" xfId="2982" xr:uid="{00000000-0005-0000-0000-0000A70B0000}"/>
    <cellStyle name="Финансовый 12 5 3 2 2" xfId="2983" xr:uid="{00000000-0005-0000-0000-0000A80B0000}"/>
    <cellStyle name="Финансовый 12 5 3 3" xfId="2984" xr:uid="{00000000-0005-0000-0000-0000A90B0000}"/>
    <cellStyle name="Финансовый 12 5 4" xfId="2985" xr:uid="{00000000-0005-0000-0000-0000AA0B0000}"/>
    <cellStyle name="Финансовый 12 5 4 2" xfId="2986" xr:uid="{00000000-0005-0000-0000-0000AB0B0000}"/>
    <cellStyle name="Финансовый 12 5 5" xfId="2987" xr:uid="{00000000-0005-0000-0000-0000AC0B0000}"/>
    <cellStyle name="Финансовый 12 6" xfId="2988" xr:uid="{00000000-0005-0000-0000-0000AD0B0000}"/>
    <cellStyle name="Финансовый 12 6 2" xfId="2989" xr:uid="{00000000-0005-0000-0000-0000AE0B0000}"/>
    <cellStyle name="Финансовый 12 6 2 2" xfId="2990" xr:uid="{00000000-0005-0000-0000-0000AF0B0000}"/>
    <cellStyle name="Финансовый 12 6 2 2 2" xfId="2991" xr:uid="{00000000-0005-0000-0000-0000B00B0000}"/>
    <cellStyle name="Финансовый 12 6 2 3" xfId="2992" xr:uid="{00000000-0005-0000-0000-0000B10B0000}"/>
    <cellStyle name="Финансовый 12 6 3" xfId="2993" xr:uid="{00000000-0005-0000-0000-0000B20B0000}"/>
    <cellStyle name="Финансовый 12 6 3 2" xfId="2994" xr:uid="{00000000-0005-0000-0000-0000B30B0000}"/>
    <cellStyle name="Финансовый 12 6 4" xfId="2995" xr:uid="{00000000-0005-0000-0000-0000B40B0000}"/>
    <cellStyle name="Финансовый 12 7" xfId="2996" xr:uid="{00000000-0005-0000-0000-0000B50B0000}"/>
    <cellStyle name="Финансовый 12 7 2" xfId="2997" xr:uid="{00000000-0005-0000-0000-0000B60B0000}"/>
    <cellStyle name="Финансовый 12 7 2 2" xfId="2998" xr:uid="{00000000-0005-0000-0000-0000B70B0000}"/>
    <cellStyle name="Финансовый 12 7 3" xfId="2999" xr:uid="{00000000-0005-0000-0000-0000B80B0000}"/>
    <cellStyle name="Финансовый 12 8" xfId="3000" xr:uid="{00000000-0005-0000-0000-0000B90B0000}"/>
    <cellStyle name="Финансовый 12 8 2" xfId="3001" xr:uid="{00000000-0005-0000-0000-0000BA0B0000}"/>
    <cellStyle name="Финансовый 12 9" xfId="3002" xr:uid="{00000000-0005-0000-0000-0000BB0B0000}"/>
    <cellStyle name="Финансовый 13" xfId="3003" xr:uid="{00000000-0005-0000-0000-0000BC0B0000}"/>
    <cellStyle name="Финансовый 13 2" xfId="3004" xr:uid="{00000000-0005-0000-0000-0000BD0B0000}"/>
    <cellStyle name="Финансовый 13 2 2" xfId="3005" xr:uid="{00000000-0005-0000-0000-0000BE0B0000}"/>
    <cellStyle name="Финансовый 13 2 2 2" xfId="3006" xr:uid="{00000000-0005-0000-0000-0000BF0B0000}"/>
    <cellStyle name="Финансовый 13 2 2 2 2" xfId="3007" xr:uid="{00000000-0005-0000-0000-0000C00B0000}"/>
    <cellStyle name="Финансовый 13 2 2 2 2 2" xfId="3008" xr:uid="{00000000-0005-0000-0000-0000C10B0000}"/>
    <cellStyle name="Финансовый 13 2 2 2 2 2 2" xfId="3009" xr:uid="{00000000-0005-0000-0000-0000C20B0000}"/>
    <cellStyle name="Финансовый 13 2 2 2 2 2 2 2" xfId="3010" xr:uid="{00000000-0005-0000-0000-0000C30B0000}"/>
    <cellStyle name="Финансовый 13 2 2 2 2 2 3" xfId="3011" xr:uid="{00000000-0005-0000-0000-0000C40B0000}"/>
    <cellStyle name="Финансовый 13 2 2 2 2 3" xfId="3012" xr:uid="{00000000-0005-0000-0000-0000C50B0000}"/>
    <cellStyle name="Финансовый 13 2 2 2 2 3 2" xfId="3013" xr:uid="{00000000-0005-0000-0000-0000C60B0000}"/>
    <cellStyle name="Финансовый 13 2 2 2 2 4" xfId="3014" xr:uid="{00000000-0005-0000-0000-0000C70B0000}"/>
    <cellStyle name="Финансовый 13 2 2 2 3" xfId="3015" xr:uid="{00000000-0005-0000-0000-0000C80B0000}"/>
    <cellStyle name="Финансовый 13 2 2 2 3 2" xfId="3016" xr:uid="{00000000-0005-0000-0000-0000C90B0000}"/>
    <cellStyle name="Финансовый 13 2 2 2 3 2 2" xfId="3017" xr:uid="{00000000-0005-0000-0000-0000CA0B0000}"/>
    <cellStyle name="Финансовый 13 2 2 2 3 3" xfId="3018" xr:uid="{00000000-0005-0000-0000-0000CB0B0000}"/>
    <cellStyle name="Финансовый 13 2 2 2 4" xfId="3019" xr:uid="{00000000-0005-0000-0000-0000CC0B0000}"/>
    <cellStyle name="Финансовый 13 2 2 2 4 2" xfId="3020" xr:uid="{00000000-0005-0000-0000-0000CD0B0000}"/>
    <cellStyle name="Финансовый 13 2 2 2 5" xfId="3021" xr:uid="{00000000-0005-0000-0000-0000CE0B0000}"/>
    <cellStyle name="Финансовый 13 2 2 3" xfId="3022" xr:uid="{00000000-0005-0000-0000-0000CF0B0000}"/>
    <cellStyle name="Финансовый 13 2 2 3 2" xfId="3023" xr:uid="{00000000-0005-0000-0000-0000D00B0000}"/>
    <cellStyle name="Финансовый 13 2 2 3 2 2" xfId="3024" xr:uid="{00000000-0005-0000-0000-0000D10B0000}"/>
    <cellStyle name="Финансовый 13 2 2 3 2 2 2" xfId="3025" xr:uid="{00000000-0005-0000-0000-0000D20B0000}"/>
    <cellStyle name="Финансовый 13 2 2 3 2 3" xfId="3026" xr:uid="{00000000-0005-0000-0000-0000D30B0000}"/>
    <cellStyle name="Финансовый 13 2 2 3 3" xfId="3027" xr:uid="{00000000-0005-0000-0000-0000D40B0000}"/>
    <cellStyle name="Финансовый 13 2 2 3 3 2" xfId="3028" xr:uid="{00000000-0005-0000-0000-0000D50B0000}"/>
    <cellStyle name="Финансовый 13 2 2 3 4" xfId="3029" xr:uid="{00000000-0005-0000-0000-0000D60B0000}"/>
    <cellStyle name="Финансовый 13 2 2 4" xfId="3030" xr:uid="{00000000-0005-0000-0000-0000D70B0000}"/>
    <cellStyle name="Финансовый 13 2 2 4 2" xfId="3031" xr:uid="{00000000-0005-0000-0000-0000D80B0000}"/>
    <cellStyle name="Финансовый 13 2 2 4 2 2" xfId="3032" xr:uid="{00000000-0005-0000-0000-0000D90B0000}"/>
    <cellStyle name="Финансовый 13 2 2 4 3" xfId="3033" xr:uid="{00000000-0005-0000-0000-0000DA0B0000}"/>
    <cellStyle name="Финансовый 13 2 2 5" xfId="3034" xr:uid="{00000000-0005-0000-0000-0000DB0B0000}"/>
    <cellStyle name="Финансовый 13 2 2 5 2" xfId="3035" xr:uid="{00000000-0005-0000-0000-0000DC0B0000}"/>
    <cellStyle name="Финансовый 13 2 2 6" xfId="3036" xr:uid="{00000000-0005-0000-0000-0000DD0B0000}"/>
    <cellStyle name="Финансовый 13 2 3" xfId="3037" xr:uid="{00000000-0005-0000-0000-0000DE0B0000}"/>
    <cellStyle name="Финансовый 13 2 3 2" xfId="3038" xr:uid="{00000000-0005-0000-0000-0000DF0B0000}"/>
    <cellStyle name="Финансовый 13 2 3 2 2" xfId="3039" xr:uid="{00000000-0005-0000-0000-0000E00B0000}"/>
    <cellStyle name="Финансовый 13 2 3 2 2 2" xfId="3040" xr:uid="{00000000-0005-0000-0000-0000E10B0000}"/>
    <cellStyle name="Финансовый 13 2 3 2 2 2 2" xfId="3041" xr:uid="{00000000-0005-0000-0000-0000E20B0000}"/>
    <cellStyle name="Финансовый 13 2 3 2 2 3" xfId="3042" xr:uid="{00000000-0005-0000-0000-0000E30B0000}"/>
    <cellStyle name="Финансовый 13 2 3 2 3" xfId="3043" xr:uid="{00000000-0005-0000-0000-0000E40B0000}"/>
    <cellStyle name="Финансовый 13 2 3 2 3 2" xfId="3044" xr:uid="{00000000-0005-0000-0000-0000E50B0000}"/>
    <cellStyle name="Финансовый 13 2 3 2 4" xfId="3045" xr:uid="{00000000-0005-0000-0000-0000E60B0000}"/>
    <cellStyle name="Финансовый 13 2 3 3" xfId="3046" xr:uid="{00000000-0005-0000-0000-0000E70B0000}"/>
    <cellStyle name="Финансовый 13 2 3 3 2" xfId="3047" xr:uid="{00000000-0005-0000-0000-0000E80B0000}"/>
    <cellStyle name="Финансовый 13 2 3 3 2 2" xfId="3048" xr:uid="{00000000-0005-0000-0000-0000E90B0000}"/>
    <cellStyle name="Финансовый 13 2 3 3 3" xfId="3049" xr:uid="{00000000-0005-0000-0000-0000EA0B0000}"/>
    <cellStyle name="Финансовый 13 2 3 4" xfId="3050" xr:uid="{00000000-0005-0000-0000-0000EB0B0000}"/>
    <cellStyle name="Финансовый 13 2 3 4 2" xfId="3051" xr:uid="{00000000-0005-0000-0000-0000EC0B0000}"/>
    <cellStyle name="Финансовый 13 2 3 5" xfId="3052" xr:uid="{00000000-0005-0000-0000-0000ED0B0000}"/>
    <cellStyle name="Финансовый 13 2 4" xfId="3053" xr:uid="{00000000-0005-0000-0000-0000EE0B0000}"/>
    <cellStyle name="Финансовый 13 2 4 2" xfId="3054" xr:uid="{00000000-0005-0000-0000-0000EF0B0000}"/>
    <cellStyle name="Финансовый 13 2 4 2 2" xfId="3055" xr:uid="{00000000-0005-0000-0000-0000F00B0000}"/>
    <cellStyle name="Финансовый 13 2 4 2 2 2" xfId="3056" xr:uid="{00000000-0005-0000-0000-0000F10B0000}"/>
    <cellStyle name="Финансовый 13 2 4 2 3" xfId="3057" xr:uid="{00000000-0005-0000-0000-0000F20B0000}"/>
    <cellStyle name="Финансовый 13 2 4 3" xfId="3058" xr:uid="{00000000-0005-0000-0000-0000F30B0000}"/>
    <cellStyle name="Финансовый 13 2 4 3 2" xfId="3059" xr:uid="{00000000-0005-0000-0000-0000F40B0000}"/>
    <cellStyle name="Финансовый 13 2 4 4" xfId="3060" xr:uid="{00000000-0005-0000-0000-0000F50B0000}"/>
    <cellStyle name="Финансовый 13 2 5" xfId="3061" xr:uid="{00000000-0005-0000-0000-0000F60B0000}"/>
    <cellStyle name="Финансовый 13 2 5 2" xfId="3062" xr:uid="{00000000-0005-0000-0000-0000F70B0000}"/>
    <cellStyle name="Финансовый 13 2 5 2 2" xfId="3063" xr:uid="{00000000-0005-0000-0000-0000F80B0000}"/>
    <cellStyle name="Финансовый 13 2 5 3" xfId="3064" xr:uid="{00000000-0005-0000-0000-0000F90B0000}"/>
    <cellStyle name="Финансовый 13 2 6" xfId="3065" xr:uid="{00000000-0005-0000-0000-0000FA0B0000}"/>
    <cellStyle name="Финансовый 13 2 6 2" xfId="3066" xr:uid="{00000000-0005-0000-0000-0000FB0B0000}"/>
    <cellStyle name="Финансовый 13 2 7" xfId="3067" xr:uid="{00000000-0005-0000-0000-0000FC0B0000}"/>
    <cellStyle name="Финансовый 13 3" xfId="3068" xr:uid="{00000000-0005-0000-0000-0000FD0B0000}"/>
    <cellStyle name="Финансовый 13 3 2" xfId="3069" xr:uid="{00000000-0005-0000-0000-0000FE0B0000}"/>
    <cellStyle name="Финансовый 13 3 2 2" xfId="3070" xr:uid="{00000000-0005-0000-0000-0000FF0B0000}"/>
    <cellStyle name="Финансовый 13 3 2 2 2" xfId="3071" xr:uid="{00000000-0005-0000-0000-0000000C0000}"/>
    <cellStyle name="Финансовый 13 3 2 2 2 2" xfId="3072" xr:uid="{00000000-0005-0000-0000-0000010C0000}"/>
    <cellStyle name="Финансовый 13 3 2 2 2 2 2" xfId="3073" xr:uid="{00000000-0005-0000-0000-0000020C0000}"/>
    <cellStyle name="Финансовый 13 3 2 2 2 3" xfId="3074" xr:uid="{00000000-0005-0000-0000-0000030C0000}"/>
    <cellStyle name="Финансовый 13 3 2 2 3" xfId="3075" xr:uid="{00000000-0005-0000-0000-0000040C0000}"/>
    <cellStyle name="Финансовый 13 3 2 2 3 2" xfId="3076" xr:uid="{00000000-0005-0000-0000-0000050C0000}"/>
    <cellStyle name="Финансовый 13 3 2 2 4" xfId="3077" xr:uid="{00000000-0005-0000-0000-0000060C0000}"/>
    <cellStyle name="Финансовый 13 3 2 3" xfId="3078" xr:uid="{00000000-0005-0000-0000-0000070C0000}"/>
    <cellStyle name="Финансовый 13 3 2 3 2" xfId="3079" xr:uid="{00000000-0005-0000-0000-0000080C0000}"/>
    <cellStyle name="Финансовый 13 3 2 3 2 2" xfId="3080" xr:uid="{00000000-0005-0000-0000-0000090C0000}"/>
    <cellStyle name="Финансовый 13 3 2 3 3" xfId="3081" xr:uid="{00000000-0005-0000-0000-00000A0C0000}"/>
    <cellStyle name="Финансовый 13 3 2 4" xfId="3082" xr:uid="{00000000-0005-0000-0000-00000B0C0000}"/>
    <cellStyle name="Финансовый 13 3 2 4 2" xfId="3083" xr:uid="{00000000-0005-0000-0000-00000C0C0000}"/>
    <cellStyle name="Финансовый 13 3 2 5" xfId="3084" xr:uid="{00000000-0005-0000-0000-00000D0C0000}"/>
    <cellStyle name="Финансовый 13 3 3" xfId="3085" xr:uid="{00000000-0005-0000-0000-00000E0C0000}"/>
    <cellStyle name="Финансовый 13 3 3 2" xfId="3086" xr:uid="{00000000-0005-0000-0000-00000F0C0000}"/>
    <cellStyle name="Финансовый 13 3 3 2 2" xfId="3087" xr:uid="{00000000-0005-0000-0000-0000100C0000}"/>
    <cellStyle name="Финансовый 13 3 3 2 2 2" xfId="3088" xr:uid="{00000000-0005-0000-0000-0000110C0000}"/>
    <cellStyle name="Финансовый 13 3 3 2 3" xfId="3089" xr:uid="{00000000-0005-0000-0000-0000120C0000}"/>
    <cellStyle name="Финансовый 13 3 3 3" xfId="3090" xr:uid="{00000000-0005-0000-0000-0000130C0000}"/>
    <cellStyle name="Финансовый 13 3 3 3 2" xfId="3091" xr:uid="{00000000-0005-0000-0000-0000140C0000}"/>
    <cellStyle name="Финансовый 13 3 3 4" xfId="3092" xr:uid="{00000000-0005-0000-0000-0000150C0000}"/>
    <cellStyle name="Финансовый 13 3 4" xfId="3093" xr:uid="{00000000-0005-0000-0000-0000160C0000}"/>
    <cellStyle name="Финансовый 13 3 4 2" xfId="3094" xr:uid="{00000000-0005-0000-0000-0000170C0000}"/>
    <cellStyle name="Финансовый 13 3 4 2 2" xfId="3095" xr:uid="{00000000-0005-0000-0000-0000180C0000}"/>
    <cellStyle name="Финансовый 13 3 4 3" xfId="3096" xr:uid="{00000000-0005-0000-0000-0000190C0000}"/>
    <cellStyle name="Финансовый 13 3 5" xfId="3097" xr:uid="{00000000-0005-0000-0000-00001A0C0000}"/>
    <cellStyle name="Финансовый 13 3 5 2" xfId="3098" xr:uid="{00000000-0005-0000-0000-00001B0C0000}"/>
    <cellStyle name="Финансовый 13 3 6" xfId="3099" xr:uid="{00000000-0005-0000-0000-00001C0C0000}"/>
    <cellStyle name="Финансовый 13 4" xfId="3100" xr:uid="{00000000-0005-0000-0000-00001D0C0000}"/>
    <cellStyle name="Финансовый 13 4 2" xfId="3101" xr:uid="{00000000-0005-0000-0000-00001E0C0000}"/>
    <cellStyle name="Финансовый 13 4 2 2" xfId="3102" xr:uid="{00000000-0005-0000-0000-00001F0C0000}"/>
    <cellStyle name="Финансовый 13 4 2 2 2" xfId="3103" xr:uid="{00000000-0005-0000-0000-0000200C0000}"/>
    <cellStyle name="Финансовый 13 4 2 2 2 2" xfId="3104" xr:uid="{00000000-0005-0000-0000-0000210C0000}"/>
    <cellStyle name="Финансовый 13 4 2 2 3" xfId="3105" xr:uid="{00000000-0005-0000-0000-0000220C0000}"/>
    <cellStyle name="Финансовый 13 4 2 3" xfId="3106" xr:uid="{00000000-0005-0000-0000-0000230C0000}"/>
    <cellStyle name="Финансовый 13 4 2 3 2" xfId="3107" xr:uid="{00000000-0005-0000-0000-0000240C0000}"/>
    <cellStyle name="Финансовый 13 4 2 4" xfId="3108" xr:uid="{00000000-0005-0000-0000-0000250C0000}"/>
    <cellStyle name="Финансовый 13 4 3" xfId="3109" xr:uid="{00000000-0005-0000-0000-0000260C0000}"/>
    <cellStyle name="Финансовый 13 4 3 2" xfId="3110" xr:uid="{00000000-0005-0000-0000-0000270C0000}"/>
    <cellStyle name="Финансовый 13 4 3 2 2" xfId="3111" xr:uid="{00000000-0005-0000-0000-0000280C0000}"/>
    <cellStyle name="Финансовый 13 4 3 3" xfId="3112" xr:uid="{00000000-0005-0000-0000-0000290C0000}"/>
    <cellStyle name="Финансовый 13 4 4" xfId="3113" xr:uid="{00000000-0005-0000-0000-00002A0C0000}"/>
    <cellStyle name="Финансовый 13 4 4 2" xfId="3114" xr:uid="{00000000-0005-0000-0000-00002B0C0000}"/>
    <cellStyle name="Финансовый 13 4 5" xfId="3115" xr:uid="{00000000-0005-0000-0000-00002C0C0000}"/>
    <cellStyle name="Финансовый 13 5" xfId="3116" xr:uid="{00000000-0005-0000-0000-00002D0C0000}"/>
    <cellStyle name="Финансовый 13 5 2" xfId="3117" xr:uid="{00000000-0005-0000-0000-00002E0C0000}"/>
    <cellStyle name="Финансовый 13 5 2 2" xfId="3118" xr:uid="{00000000-0005-0000-0000-00002F0C0000}"/>
    <cellStyle name="Финансовый 13 5 2 2 2" xfId="3119" xr:uid="{00000000-0005-0000-0000-0000300C0000}"/>
    <cellStyle name="Финансовый 13 5 2 3" xfId="3120" xr:uid="{00000000-0005-0000-0000-0000310C0000}"/>
    <cellStyle name="Финансовый 13 5 3" xfId="3121" xr:uid="{00000000-0005-0000-0000-0000320C0000}"/>
    <cellStyle name="Финансовый 13 5 3 2" xfId="3122" xr:uid="{00000000-0005-0000-0000-0000330C0000}"/>
    <cellStyle name="Финансовый 13 5 4" xfId="3123" xr:uid="{00000000-0005-0000-0000-0000340C0000}"/>
    <cellStyle name="Финансовый 13 6" xfId="3124" xr:uid="{00000000-0005-0000-0000-0000350C0000}"/>
    <cellStyle name="Финансовый 13 6 2" xfId="3125" xr:uid="{00000000-0005-0000-0000-0000360C0000}"/>
    <cellStyle name="Финансовый 13 6 2 2" xfId="3126" xr:uid="{00000000-0005-0000-0000-0000370C0000}"/>
    <cellStyle name="Финансовый 13 6 3" xfId="3127" xr:uid="{00000000-0005-0000-0000-0000380C0000}"/>
    <cellStyle name="Финансовый 13 7" xfId="3128" xr:uid="{00000000-0005-0000-0000-0000390C0000}"/>
    <cellStyle name="Финансовый 13 7 2" xfId="3129" xr:uid="{00000000-0005-0000-0000-00003A0C0000}"/>
    <cellStyle name="Финансовый 13 8" xfId="3130" xr:uid="{00000000-0005-0000-0000-00003B0C0000}"/>
    <cellStyle name="Финансовый 14" xfId="3131" xr:uid="{00000000-0005-0000-0000-00003C0C0000}"/>
    <cellStyle name="Финансовый 14 2" xfId="3132" xr:uid="{00000000-0005-0000-0000-00003D0C0000}"/>
    <cellStyle name="Финансовый 14 2 2" xfId="3133" xr:uid="{00000000-0005-0000-0000-00003E0C0000}"/>
    <cellStyle name="Финансовый 14 2 2 2" xfId="3134" xr:uid="{00000000-0005-0000-0000-00003F0C0000}"/>
    <cellStyle name="Финансовый 14 2 2 2 2" xfId="3135" xr:uid="{00000000-0005-0000-0000-0000400C0000}"/>
    <cellStyle name="Финансовый 14 2 2 2 2 2" xfId="3136" xr:uid="{00000000-0005-0000-0000-0000410C0000}"/>
    <cellStyle name="Финансовый 14 2 2 2 2 2 2" xfId="3137" xr:uid="{00000000-0005-0000-0000-0000420C0000}"/>
    <cellStyle name="Финансовый 14 2 2 2 2 3" xfId="3138" xr:uid="{00000000-0005-0000-0000-0000430C0000}"/>
    <cellStyle name="Финансовый 14 2 2 2 3" xfId="3139" xr:uid="{00000000-0005-0000-0000-0000440C0000}"/>
    <cellStyle name="Финансовый 14 2 2 2 3 2" xfId="3140" xr:uid="{00000000-0005-0000-0000-0000450C0000}"/>
    <cellStyle name="Финансовый 14 2 2 2 4" xfId="3141" xr:uid="{00000000-0005-0000-0000-0000460C0000}"/>
    <cellStyle name="Финансовый 14 2 2 3" xfId="3142" xr:uid="{00000000-0005-0000-0000-0000470C0000}"/>
    <cellStyle name="Финансовый 14 2 2 3 2" xfId="3143" xr:uid="{00000000-0005-0000-0000-0000480C0000}"/>
    <cellStyle name="Финансовый 14 2 2 3 2 2" xfId="3144" xr:uid="{00000000-0005-0000-0000-0000490C0000}"/>
    <cellStyle name="Финансовый 14 2 2 3 3" xfId="3145" xr:uid="{00000000-0005-0000-0000-00004A0C0000}"/>
    <cellStyle name="Финансовый 14 2 2 4" xfId="3146" xr:uid="{00000000-0005-0000-0000-00004B0C0000}"/>
    <cellStyle name="Финансовый 14 2 2 4 2" xfId="3147" xr:uid="{00000000-0005-0000-0000-00004C0C0000}"/>
    <cellStyle name="Финансовый 14 2 2 5" xfId="3148" xr:uid="{00000000-0005-0000-0000-00004D0C0000}"/>
    <cellStyle name="Финансовый 14 2 3" xfId="3149" xr:uid="{00000000-0005-0000-0000-00004E0C0000}"/>
    <cellStyle name="Финансовый 14 2 3 2" xfId="3150" xr:uid="{00000000-0005-0000-0000-00004F0C0000}"/>
    <cellStyle name="Финансовый 14 2 3 2 2" xfId="3151" xr:uid="{00000000-0005-0000-0000-0000500C0000}"/>
    <cellStyle name="Финансовый 14 2 3 2 2 2" xfId="3152" xr:uid="{00000000-0005-0000-0000-0000510C0000}"/>
    <cellStyle name="Финансовый 14 2 3 2 3" xfId="3153" xr:uid="{00000000-0005-0000-0000-0000520C0000}"/>
    <cellStyle name="Финансовый 14 2 3 3" xfId="3154" xr:uid="{00000000-0005-0000-0000-0000530C0000}"/>
    <cellStyle name="Финансовый 14 2 3 3 2" xfId="3155" xr:uid="{00000000-0005-0000-0000-0000540C0000}"/>
    <cellStyle name="Финансовый 14 2 3 4" xfId="3156" xr:uid="{00000000-0005-0000-0000-0000550C0000}"/>
    <cellStyle name="Финансовый 14 2 4" xfId="3157" xr:uid="{00000000-0005-0000-0000-0000560C0000}"/>
    <cellStyle name="Финансовый 14 2 4 2" xfId="3158" xr:uid="{00000000-0005-0000-0000-0000570C0000}"/>
    <cellStyle name="Финансовый 14 2 4 2 2" xfId="3159" xr:uid="{00000000-0005-0000-0000-0000580C0000}"/>
    <cellStyle name="Финансовый 14 2 4 3" xfId="3160" xr:uid="{00000000-0005-0000-0000-0000590C0000}"/>
    <cellStyle name="Финансовый 14 2 5" xfId="3161" xr:uid="{00000000-0005-0000-0000-00005A0C0000}"/>
    <cellStyle name="Финансовый 14 2 5 2" xfId="3162" xr:uid="{00000000-0005-0000-0000-00005B0C0000}"/>
    <cellStyle name="Финансовый 14 2 6" xfId="3163" xr:uid="{00000000-0005-0000-0000-00005C0C0000}"/>
    <cellStyle name="Финансовый 14 3" xfId="3164" xr:uid="{00000000-0005-0000-0000-00005D0C0000}"/>
    <cellStyle name="Финансовый 14 3 2" xfId="3165" xr:uid="{00000000-0005-0000-0000-00005E0C0000}"/>
    <cellStyle name="Финансовый 14 3 2 2" xfId="3166" xr:uid="{00000000-0005-0000-0000-00005F0C0000}"/>
    <cellStyle name="Финансовый 14 3 2 2 2" xfId="3167" xr:uid="{00000000-0005-0000-0000-0000600C0000}"/>
    <cellStyle name="Финансовый 14 3 2 2 2 2" xfId="3168" xr:uid="{00000000-0005-0000-0000-0000610C0000}"/>
    <cellStyle name="Финансовый 14 3 2 2 3" xfId="3169" xr:uid="{00000000-0005-0000-0000-0000620C0000}"/>
    <cellStyle name="Финансовый 14 3 2 3" xfId="3170" xr:uid="{00000000-0005-0000-0000-0000630C0000}"/>
    <cellStyle name="Финансовый 14 3 2 3 2" xfId="3171" xr:uid="{00000000-0005-0000-0000-0000640C0000}"/>
    <cellStyle name="Финансовый 14 3 2 4" xfId="3172" xr:uid="{00000000-0005-0000-0000-0000650C0000}"/>
    <cellStyle name="Финансовый 14 3 3" xfId="3173" xr:uid="{00000000-0005-0000-0000-0000660C0000}"/>
    <cellStyle name="Финансовый 14 3 3 2" xfId="3174" xr:uid="{00000000-0005-0000-0000-0000670C0000}"/>
    <cellStyle name="Финансовый 14 3 3 2 2" xfId="3175" xr:uid="{00000000-0005-0000-0000-0000680C0000}"/>
    <cellStyle name="Финансовый 14 3 3 3" xfId="3176" xr:uid="{00000000-0005-0000-0000-0000690C0000}"/>
    <cellStyle name="Финансовый 14 3 4" xfId="3177" xr:uid="{00000000-0005-0000-0000-00006A0C0000}"/>
    <cellStyle name="Финансовый 14 3 4 2" xfId="3178" xr:uid="{00000000-0005-0000-0000-00006B0C0000}"/>
    <cellStyle name="Финансовый 14 3 5" xfId="3179" xr:uid="{00000000-0005-0000-0000-00006C0C0000}"/>
    <cellStyle name="Финансовый 14 4" xfId="3180" xr:uid="{00000000-0005-0000-0000-00006D0C0000}"/>
    <cellStyle name="Финансовый 14 4 2" xfId="3181" xr:uid="{00000000-0005-0000-0000-00006E0C0000}"/>
    <cellStyle name="Финансовый 14 4 2 2" xfId="3182" xr:uid="{00000000-0005-0000-0000-00006F0C0000}"/>
    <cellStyle name="Финансовый 14 4 2 2 2" xfId="3183" xr:uid="{00000000-0005-0000-0000-0000700C0000}"/>
    <cellStyle name="Финансовый 14 4 2 3" xfId="3184" xr:uid="{00000000-0005-0000-0000-0000710C0000}"/>
    <cellStyle name="Финансовый 14 4 3" xfId="3185" xr:uid="{00000000-0005-0000-0000-0000720C0000}"/>
    <cellStyle name="Финансовый 14 4 3 2" xfId="3186" xr:uid="{00000000-0005-0000-0000-0000730C0000}"/>
    <cellStyle name="Финансовый 14 4 4" xfId="3187" xr:uid="{00000000-0005-0000-0000-0000740C0000}"/>
    <cellStyle name="Финансовый 14 5" xfId="3188" xr:uid="{00000000-0005-0000-0000-0000750C0000}"/>
    <cellStyle name="Финансовый 14 5 2" xfId="3189" xr:uid="{00000000-0005-0000-0000-0000760C0000}"/>
    <cellStyle name="Финансовый 14 5 2 2" xfId="3190" xr:uid="{00000000-0005-0000-0000-0000770C0000}"/>
    <cellStyle name="Финансовый 14 5 3" xfId="3191" xr:uid="{00000000-0005-0000-0000-0000780C0000}"/>
    <cellStyle name="Финансовый 14 6" xfId="3192" xr:uid="{00000000-0005-0000-0000-0000790C0000}"/>
    <cellStyle name="Финансовый 14 6 2" xfId="3193" xr:uid="{00000000-0005-0000-0000-00007A0C0000}"/>
    <cellStyle name="Финансовый 14 7" xfId="3194" xr:uid="{00000000-0005-0000-0000-00007B0C0000}"/>
    <cellStyle name="Финансовый 15" xfId="3195" xr:uid="{00000000-0005-0000-0000-00007C0C0000}"/>
    <cellStyle name="Финансовый 15 2" xfId="3196" xr:uid="{00000000-0005-0000-0000-00007D0C0000}"/>
    <cellStyle name="Финансовый 15 2 2" xfId="3197" xr:uid="{00000000-0005-0000-0000-00007E0C0000}"/>
    <cellStyle name="Финансовый 15 2 2 2" xfId="3198" xr:uid="{00000000-0005-0000-0000-00007F0C0000}"/>
    <cellStyle name="Финансовый 15 2 2 2 2" xfId="3199" xr:uid="{00000000-0005-0000-0000-0000800C0000}"/>
    <cellStyle name="Финансовый 15 2 2 2 2 2" xfId="3200" xr:uid="{00000000-0005-0000-0000-0000810C0000}"/>
    <cellStyle name="Финансовый 15 2 2 2 3" xfId="3201" xr:uid="{00000000-0005-0000-0000-0000820C0000}"/>
    <cellStyle name="Финансовый 15 2 2 3" xfId="3202" xr:uid="{00000000-0005-0000-0000-0000830C0000}"/>
    <cellStyle name="Финансовый 15 2 2 3 2" xfId="3203" xr:uid="{00000000-0005-0000-0000-0000840C0000}"/>
    <cellStyle name="Финансовый 15 2 2 4" xfId="3204" xr:uid="{00000000-0005-0000-0000-0000850C0000}"/>
    <cellStyle name="Финансовый 15 2 3" xfId="3205" xr:uid="{00000000-0005-0000-0000-0000860C0000}"/>
    <cellStyle name="Финансовый 15 2 3 2" xfId="3206" xr:uid="{00000000-0005-0000-0000-0000870C0000}"/>
    <cellStyle name="Финансовый 15 2 3 2 2" xfId="3207" xr:uid="{00000000-0005-0000-0000-0000880C0000}"/>
    <cellStyle name="Финансовый 15 2 3 3" xfId="3208" xr:uid="{00000000-0005-0000-0000-0000890C0000}"/>
    <cellStyle name="Финансовый 15 2 4" xfId="3209" xr:uid="{00000000-0005-0000-0000-00008A0C0000}"/>
    <cellStyle name="Финансовый 15 2 4 2" xfId="3210" xr:uid="{00000000-0005-0000-0000-00008B0C0000}"/>
    <cellStyle name="Финансовый 15 2 5" xfId="3211" xr:uid="{00000000-0005-0000-0000-00008C0C0000}"/>
    <cellStyle name="Финансовый 15 3" xfId="3212" xr:uid="{00000000-0005-0000-0000-00008D0C0000}"/>
    <cellStyle name="Финансовый 15 3 2" xfId="3213" xr:uid="{00000000-0005-0000-0000-00008E0C0000}"/>
    <cellStyle name="Финансовый 15 3 2 2" xfId="3214" xr:uid="{00000000-0005-0000-0000-00008F0C0000}"/>
    <cellStyle name="Финансовый 15 3 2 2 2" xfId="3215" xr:uid="{00000000-0005-0000-0000-0000900C0000}"/>
    <cellStyle name="Финансовый 15 3 2 3" xfId="3216" xr:uid="{00000000-0005-0000-0000-0000910C0000}"/>
    <cellStyle name="Финансовый 15 3 3" xfId="3217" xr:uid="{00000000-0005-0000-0000-0000920C0000}"/>
    <cellStyle name="Финансовый 15 3 3 2" xfId="3218" xr:uid="{00000000-0005-0000-0000-0000930C0000}"/>
    <cellStyle name="Финансовый 15 3 4" xfId="3219" xr:uid="{00000000-0005-0000-0000-0000940C0000}"/>
    <cellStyle name="Финансовый 15 4" xfId="3220" xr:uid="{00000000-0005-0000-0000-0000950C0000}"/>
    <cellStyle name="Финансовый 15 4 2" xfId="3221" xr:uid="{00000000-0005-0000-0000-0000960C0000}"/>
    <cellStyle name="Финансовый 15 4 2 2" xfId="3222" xr:uid="{00000000-0005-0000-0000-0000970C0000}"/>
    <cellStyle name="Финансовый 15 4 3" xfId="3223" xr:uid="{00000000-0005-0000-0000-0000980C0000}"/>
    <cellStyle name="Финансовый 15 5" xfId="3224" xr:uid="{00000000-0005-0000-0000-0000990C0000}"/>
    <cellStyle name="Финансовый 15 5 2" xfId="3225" xr:uid="{00000000-0005-0000-0000-00009A0C0000}"/>
    <cellStyle name="Финансовый 15 6" xfId="3226" xr:uid="{00000000-0005-0000-0000-00009B0C0000}"/>
    <cellStyle name="Финансовый 16" xfId="3227" xr:uid="{00000000-0005-0000-0000-00009C0C0000}"/>
    <cellStyle name="Финансовый 16 2" xfId="3228" xr:uid="{00000000-0005-0000-0000-00009D0C0000}"/>
    <cellStyle name="Финансовый 16 2 2" xfId="3229" xr:uid="{00000000-0005-0000-0000-00009E0C0000}"/>
    <cellStyle name="Финансовый 16 2 2 2" xfId="3230" xr:uid="{00000000-0005-0000-0000-00009F0C0000}"/>
    <cellStyle name="Финансовый 16 2 2 2 2" xfId="3231" xr:uid="{00000000-0005-0000-0000-0000A00C0000}"/>
    <cellStyle name="Финансовый 16 2 2 3" xfId="3232" xr:uid="{00000000-0005-0000-0000-0000A10C0000}"/>
    <cellStyle name="Финансовый 16 2 3" xfId="3233" xr:uid="{00000000-0005-0000-0000-0000A20C0000}"/>
    <cellStyle name="Финансовый 16 2 3 2" xfId="3234" xr:uid="{00000000-0005-0000-0000-0000A30C0000}"/>
    <cellStyle name="Финансовый 16 2 4" xfId="3235" xr:uid="{00000000-0005-0000-0000-0000A40C0000}"/>
    <cellStyle name="Финансовый 16 3" xfId="3236" xr:uid="{00000000-0005-0000-0000-0000A50C0000}"/>
    <cellStyle name="Финансовый 16 3 2" xfId="3237" xr:uid="{00000000-0005-0000-0000-0000A60C0000}"/>
    <cellStyle name="Финансовый 16 3 2 2" xfId="3238" xr:uid="{00000000-0005-0000-0000-0000A70C0000}"/>
    <cellStyle name="Финансовый 16 3 3" xfId="3239" xr:uid="{00000000-0005-0000-0000-0000A80C0000}"/>
    <cellStyle name="Финансовый 16 4" xfId="3240" xr:uid="{00000000-0005-0000-0000-0000A90C0000}"/>
    <cellStyle name="Финансовый 16 4 2" xfId="3241" xr:uid="{00000000-0005-0000-0000-0000AA0C0000}"/>
    <cellStyle name="Финансовый 16 5" xfId="3242" xr:uid="{00000000-0005-0000-0000-0000AB0C0000}"/>
    <cellStyle name="Финансовый 17" xfId="3243" xr:uid="{00000000-0005-0000-0000-0000AC0C0000}"/>
    <cellStyle name="Финансовый 17 2" xfId="3244" xr:uid="{00000000-0005-0000-0000-0000AD0C0000}"/>
    <cellStyle name="Финансовый 17 2 2" xfId="3245" xr:uid="{00000000-0005-0000-0000-0000AE0C0000}"/>
    <cellStyle name="Финансовый 17 2 2 2" xfId="3246" xr:uid="{00000000-0005-0000-0000-0000AF0C0000}"/>
    <cellStyle name="Финансовый 17 2 3" xfId="3247" xr:uid="{00000000-0005-0000-0000-0000B00C0000}"/>
    <cellStyle name="Финансовый 17 3" xfId="3248" xr:uid="{00000000-0005-0000-0000-0000B10C0000}"/>
    <cellStyle name="Финансовый 17 3 2" xfId="3249" xr:uid="{00000000-0005-0000-0000-0000B20C0000}"/>
    <cellStyle name="Финансовый 17 4" xfId="3250" xr:uid="{00000000-0005-0000-0000-0000B30C0000}"/>
    <cellStyle name="Финансовый 18" xfId="3251" xr:uid="{00000000-0005-0000-0000-0000B40C0000}"/>
    <cellStyle name="Финансовый 18 2" xfId="3252" xr:uid="{00000000-0005-0000-0000-0000B50C0000}"/>
    <cellStyle name="Финансовый 18 2 2" xfId="3253" xr:uid="{00000000-0005-0000-0000-0000B60C0000}"/>
    <cellStyle name="Финансовый 18 3" xfId="3254" xr:uid="{00000000-0005-0000-0000-0000B70C0000}"/>
    <cellStyle name="Финансовый 19" xfId="3255" xr:uid="{00000000-0005-0000-0000-0000B80C0000}"/>
    <cellStyle name="Финансовый 19 2" xfId="3256" xr:uid="{00000000-0005-0000-0000-0000B90C0000}"/>
    <cellStyle name="Финансовый 2" xfId="3257" xr:uid="{00000000-0005-0000-0000-0000BA0C0000}"/>
    <cellStyle name="Финансовый 2 10" xfId="3258" xr:uid="{00000000-0005-0000-0000-0000BB0C0000}"/>
    <cellStyle name="Финансовый 2 10 2" xfId="3259" xr:uid="{00000000-0005-0000-0000-0000BC0C0000}"/>
    <cellStyle name="Финансовый 2 11" xfId="3260" xr:uid="{00000000-0005-0000-0000-0000BD0C0000}"/>
    <cellStyle name="Финансовый 2 2" xfId="3261" xr:uid="{00000000-0005-0000-0000-0000BE0C0000}"/>
    <cellStyle name="Финансовый 2 2 10" xfId="3262" xr:uid="{00000000-0005-0000-0000-0000BF0C0000}"/>
    <cellStyle name="Финансовый 2 2 2" xfId="3263" xr:uid="{00000000-0005-0000-0000-0000C00C0000}"/>
    <cellStyle name="Финансовый 2 2 2 2" xfId="3264" xr:uid="{00000000-0005-0000-0000-0000C10C0000}"/>
    <cellStyle name="Финансовый 2 2 2 2 2" xfId="3265" xr:uid="{00000000-0005-0000-0000-0000C20C0000}"/>
    <cellStyle name="Финансовый 2 2 2 2 2 2" xfId="3266" xr:uid="{00000000-0005-0000-0000-0000C30C0000}"/>
    <cellStyle name="Финансовый 2 2 2 2 2 2 2" xfId="3267" xr:uid="{00000000-0005-0000-0000-0000C40C0000}"/>
    <cellStyle name="Финансовый 2 2 2 2 2 2 2 2" xfId="3268" xr:uid="{00000000-0005-0000-0000-0000C50C0000}"/>
    <cellStyle name="Финансовый 2 2 2 2 2 2 2 2 2" xfId="3269" xr:uid="{00000000-0005-0000-0000-0000C60C0000}"/>
    <cellStyle name="Финансовый 2 2 2 2 2 2 2 2 2 2" xfId="3270" xr:uid="{00000000-0005-0000-0000-0000C70C0000}"/>
    <cellStyle name="Финансовый 2 2 2 2 2 2 2 2 2 2 2" xfId="3271" xr:uid="{00000000-0005-0000-0000-0000C80C0000}"/>
    <cellStyle name="Финансовый 2 2 2 2 2 2 2 2 2 3" xfId="3272" xr:uid="{00000000-0005-0000-0000-0000C90C0000}"/>
    <cellStyle name="Финансовый 2 2 2 2 2 2 2 2 3" xfId="3273" xr:uid="{00000000-0005-0000-0000-0000CA0C0000}"/>
    <cellStyle name="Финансовый 2 2 2 2 2 2 2 2 3 2" xfId="3274" xr:uid="{00000000-0005-0000-0000-0000CB0C0000}"/>
    <cellStyle name="Финансовый 2 2 2 2 2 2 2 2 4" xfId="3275" xr:uid="{00000000-0005-0000-0000-0000CC0C0000}"/>
    <cellStyle name="Финансовый 2 2 2 2 2 2 2 3" xfId="3276" xr:uid="{00000000-0005-0000-0000-0000CD0C0000}"/>
    <cellStyle name="Финансовый 2 2 2 2 2 2 2 3 2" xfId="3277" xr:uid="{00000000-0005-0000-0000-0000CE0C0000}"/>
    <cellStyle name="Финансовый 2 2 2 2 2 2 2 3 2 2" xfId="3278" xr:uid="{00000000-0005-0000-0000-0000CF0C0000}"/>
    <cellStyle name="Финансовый 2 2 2 2 2 2 2 3 3" xfId="3279" xr:uid="{00000000-0005-0000-0000-0000D00C0000}"/>
    <cellStyle name="Финансовый 2 2 2 2 2 2 2 4" xfId="3280" xr:uid="{00000000-0005-0000-0000-0000D10C0000}"/>
    <cellStyle name="Финансовый 2 2 2 2 2 2 2 4 2" xfId="3281" xr:uid="{00000000-0005-0000-0000-0000D20C0000}"/>
    <cellStyle name="Финансовый 2 2 2 2 2 2 2 5" xfId="3282" xr:uid="{00000000-0005-0000-0000-0000D30C0000}"/>
    <cellStyle name="Финансовый 2 2 2 2 2 2 3" xfId="3283" xr:uid="{00000000-0005-0000-0000-0000D40C0000}"/>
    <cellStyle name="Финансовый 2 2 2 2 2 2 3 2" xfId="3284" xr:uid="{00000000-0005-0000-0000-0000D50C0000}"/>
    <cellStyle name="Финансовый 2 2 2 2 2 2 3 2 2" xfId="3285" xr:uid="{00000000-0005-0000-0000-0000D60C0000}"/>
    <cellStyle name="Финансовый 2 2 2 2 2 2 3 2 2 2" xfId="3286" xr:uid="{00000000-0005-0000-0000-0000D70C0000}"/>
    <cellStyle name="Финансовый 2 2 2 2 2 2 3 2 3" xfId="3287" xr:uid="{00000000-0005-0000-0000-0000D80C0000}"/>
    <cellStyle name="Финансовый 2 2 2 2 2 2 3 3" xfId="3288" xr:uid="{00000000-0005-0000-0000-0000D90C0000}"/>
    <cellStyle name="Финансовый 2 2 2 2 2 2 3 3 2" xfId="3289" xr:uid="{00000000-0005-0000-0000-0000DA0C0000}"/>
    <cellStyle name="Финансовый 2 2 2 2 2 2 3 4" xfId="3290" xr:uid="{00000000-0005-0000-0000-0000DB0C0000}"/>
    <cellStyle name="Финансовый 2 2 2 2 2 2 4" xfId="3291" xr:uid="{00000000-0005-0000-0000-0000DC0C0000}"/>
    <cellStyle name="Финансовый 2 2 2 2 2 2 4 2" xfId="3292" xr:uid="{00000000-0005-0000-0000-0000DD0C0000}"/>
    <cellStyle name="Финансовый 2 2 2 2 2 2 4 2 2" xfId="3293" xr:uid="{00000000-0005-0000-0000-0000DE0C0000}"/>
    <cellStyle name="Финансовый 2 2 2 2 2 2 4 3" xfId="3294" xr:uid="{00000000-0005-0000-0000-0000DF0C0000}"/>
    <cellStyle name="Финансовый 2 2 2 2 2 2 5" xfId="3295" xr:uid="{00000000-0005-0000-0000-0000E00C0000}"/>
    <cellStyle name="Финансовый 2 2 2 2 2 2 5 2" xfId="3296" xr:uid="{00000000-0005-0000-0000-0000E10C0000}"/>
    <cellStyle name="Финансовый 2 2 2 2 2 2 6" xfId="3297" xr:uid="{00000000-0005-0000-0000-0000E20C0000}"/>
    <cellStyle name="Финансовый 2 2 2 2 2 3" xfId="3298" xr:uid="{00000000-0005-0000-0000-0000E30C0000}"/>
    <cellStyle name="Финансовый 2 2 2 2 2 3 2" xfId="3299" xr:uid="{00000000-0005-0000-0000-0000E40C0000}"/>
    <cellStyle name="Финансовый 2 2 2 2 2 3 2 2" xfId="3300" xr:uid="{00000000-0005-0000-0000-0000E50C0000}"/>
    <cellStyle name="Финансовый 2 2 2 2 2 3 2 2 2" xfId="3301" xr:uid="{00000000-0005-0000-0000-0000E60C0000}"/>
    <cellStyle name="Финансовый 2 2 2 2 2 3 2 2 2 2" xfId="3302" xr:uid="{00000000-0005-0000-0000-0000E70C0000}"/>
    <cellStyle name="Финансовый 2 2 2 2 2 3 2 2 3" xfId="3303" xr:uid="{00000000-0005-0000-0000-0000E80C0000}"/>
    <cellStyle name="Финансовый 2 2 2 2 2 3 2 3" xfId="3304" xr:uid="{00000000-0005-0000-0000-0000E90C0000}"/>
    <cellStyle name="Финансовый 2 2 2 2 2 3 2 3 2" xfId="3305" xr:uid="{00000000-0005-0000-0000-0000EA0C0000}"/>
    <cellStyle name="Финансовый 2 2 2 2 2 3 2 4" xfId="3306" xr:uid="{00000000-0005-0000-0000-0000EB0C0000}"/>
    <cellStyle name="Финансовый 2 2 2 2 2 3 3" xfId="3307" xr:uid="{00000000-0005-0000-0000-0000EC0C0000}"/>
    <cellStyle name="Финансовый 2 2 2 2 2 3 3 2" xfId="3308" xr:uid="{00000000-0005-0000-0000-0000ED0C0000}"/>
    <cellStyle name="Финансовый 2 2 2 2 2 3 3 2 2" xfId="3309" xr:uid="{00000000-0005-0000-0000-0000EE0C0000}"/>
    <cellStyle name="Финансовый 2 2 2 2 2 3 3 3" xfId="3310" xr:uid="{00000000-0005-0000-0000-0000EF0C0000}"/>
    <cellStyle name="Финансовый 2 2 2 2 2 3 4" xfId="3311" xr:uid="{00000000-0005-0000-0000-0000F00C0000}"/>
    <cellStyle name="Финансовый 2 2 2 2 2 3 4 2" xfId="3312" xr:uid="{00000000-0005-0000-0000-0000F10C0000}"/>
    <cellStyle name="Финансовый 2 2 2 2 2 3 5" xfId="3313" xr:uid="{00000000-0005-0000-0000-0000F20C0000}"/>
    <cellStyle name="Финансовый 2 2 2 2 2 4" xfId="3314" xr:uid="{00000000-0005-0000-0000-0000F30C0000}"/>
    <cellStyle name="Финансовый 2 2 2 2 2 4 2" xfId="3315" xr:uid="{00000000-0005-0000-0000-0000F40C0000}"/>
    <cellStyle name="Финансовый 2 2 2 2 2 4 2 2" xfId="3316" xr:uid="{00000000-0005-0000-0000-0000F50C0000}"/>
    <cellStyle name="Финансовый 2 2 2 2 2 4 2 2 2" xfId="3317" xr:uid="{00000000-0005-0000-0000-0000F60C0000}"/>
    <cellStyle name="Финансовый 2 2 2 2 2 4 2 3" xfId="3318" xr:uid="{00000000-0005-0000-0000-0000F70C0000}"/>
    <cellStyle name="Финансовый 2 2 2 2 2 4 3" xfId="3319" xr:uid="{00000000-0005-0000-0000-0000F80C0000}"/>
    <cellStyle name="Финансовый 2 2 2 2 2 4 3 2" xfId="3320" xr:uid="{00000000-0005-0000-0000-0000F90C0000}"/>
    <cellStyle name="Финансовый 2 2 2 2 2 4 4" xfId="3321" xr:uid="{00000000-0005-0000-0000-0000FA0C0000}"/>
    <cellStyle name="Финансовый 2 2 2 2 2 5" xfId="3322" xr:uid="{00000000-0005-0000-0000-0000FB0C0000}"/>
    <cellStyle name="Финансовый 2 2 2 2 2 5 2" xfId="3323" xr:uid="{00000000-0005-0000-0000-0000FC0C0000}"/>
    <cellStyle name="Финансовый 2 2 2 2 2 5 2 2" xfId="3324" xr:uid="{00000000-0005-0000-0000-0000FD0C0000}"/>
    <cellStyle name="Финансовый 2 2 2 2 2 5 3" xfId="3325" xr:uid="{00000000-0005-0000-0000-0000FE0C0000}"/>
    <cellStyle name="Финансовый 2 2 2 2 2 6" xfId="3326" xr:uid="{00000000-0005-0000-0000-0000FF0C0000}"/>
    <cellStyle name="Финансовый 2 2 2 2 2 6 2" xfId="3327" xr:uid="{00000000-0005-0000-0000-0000000D0000}"/>
    <cellStyle name="Финансовый 2 2 2 2 2 7" xfId="3328" xr:uid="{00000000-0005-0000-0000-0000010D0000}"/>
    <cellStyle name="Финансовый 2 2 2 2 3" xfId="3329" xr:uid="{00000000-0005-0000-0000-0000020D0000}"/>
    <cellStyle name="Финансовый 2 2 2 2 3 2" xfId="3330" xr:uid="{00000000-0005-0000-0000-0000030D0000}"/>
    <cellStyle name="Финансовый 2 2 2 2 3 2 2" xfId="3331" xr:uid="{00000000-0005-0000-0000-0000040D0000}"/>
    <cellStyle name="Финансовый 2 2 2 2 3 2 2 2" xfId="3332" xr:uid="{00000000-0005-0000-0000-0000050D0000}"/>
    <cellStyle name="Финансовый 2 2 2 2 3 2 2 2 2" xfId="3333" xr:uid="{00000000-0005-0000-0000-0000060D0000}"/>
    <cellStyle name="Финансовый 2 2 2 2 3 2 2 2 2 2" xfId="3334" xr:uid="{00000000-0005-0000-0000-0000070D0000}"/>
    <cellStyle name="Финансовый 2 2 2 2 3 2 2 2 3" xfId="3335" xr:uid="{00000000-0005-0000-0000-0000080D0000}"/>
    <cellStyle name="Финансовый 2 2 2 2 3 2 2 3" xfId="3336" xr:uid="{00000000-0005-0000-0000-0000090D0000}"/>
    <cellStyle name="Финансовый 2 2 2 2 3 2 2 3 2" xfId="3337" xr:uid="{00000000-0005-0000-0000-00000A0D0000}"/>
    <cellStyle name="Финансовый 2 2 2 2 3 2 2 4" xfId="3338" xr:uid="{00000000-0005-0000-0000-00000B0D0000}"/>
    <cellStyle name="Финансовый 2 2 2 2 3 2 3" xfId="3339" xr:uid="{00000000-0005-0000-0000-00000C0D0000}"/>
    <cellStyle name="Финансовый 2 2 2 2 3 2 3 2" xfId="3340" xr:uid="{00000000-0005-0000-0000-00000D0D0000}"/>
    <cellStyle name="Финансовый 2 2 2 2 3 2 3 2 2" xfId="3341" xr:uid="{00000000-0005-0000-0000-00000E0D0000}"/>
    <cellStyle name="Финансовый 2 2 2 2 3 2 3 3" xfId="3342" xr:uid="{00000000-0005-0000-0000-00000F0D0000}"/>
    <cellStyle name="Финансовый 2 2 2 2 3 2 4" xfId="3343" xr:uid="{00000000-0005-0000-0000-0000100D0000}"/>
    <cellStyle name="Финансовый 2 2 2 2 3 2 4 2" xfId="3344" xr:uid="{00000000-0005-0000-0000-0000110D0000}"/>
    <cellStyle name="Финансовый 2 2 2 2 3 2 5" xfId="3345" xr:uid="{00000000-0005-0000-0000-0000120D0000}"/>
    <cellStyle name="Финансовый 2 2 2 2 3 3" xfId="3346" xr:uid="{00000000-0005-0000-0000-0000130D0000}"/>
    <cellStyle name="Финансовый 2 2 2 2 3 3 2" xfId="3347" xr:uid="{00000000-0005-0000-0000-0000140D0000}"/>
    <cellStyle name="Финансовый 2 2 2 2 3 3 2 2" xfId="3348" xr:uid="{00000000-0005-0000-0000-0000150D0000}"/>
    <cellStyle name="Финансовый 2 2 2 2 3 3 2 2 2" xfId="3349" xr:uid="{00000000-0005-0000-0000-0000160D0000}"/>
    <cellStyle name="Финансовый 2 2 2 2 3 3 2 3" xfId="3350" xr:uid="{00000000-0005-0000-0000-0000170D0000}"/>
    <cellStyle name="Финансовый 2 2 2 2 3 3 3" xfId="3351" xr:uid="{00000000-0005-0000-0000-0000180D0000}"/>
    <cellStyle name="Финансовый 2 2 2 2 3 3 3 2" xfId="3352" xr:uid="{00000000-0005-0000-0000-0000190D0000}"/>
    <cellStyle name="Финансовый 2 2 2 2 3 3 4" xfId="3353" xr:uid="{00000000-0005-0000-0000-00001A0D0000}"/>
    <cellStyle name="Финансовый 2 2 2 2 3 4" xfId="3354" xr:uid="{00000000-0005-0000-0000-00001B0D0000}"/>
    <cellStyle name="Финансовый 2 2 2 2 3 4 2" xfId="3355" xr:uid="{00000000-0005-0000-0000-00001C0D0000}"/>
    <cellStyle name="Финансовый 2 2 2 2 3 4 2 2" xfId="3356" xr:uid="{00000000-0005-0000-0000-00001D0D0000}"/>
    <cellStyle name="Финансовый 2 2 2 2 3 4 3" xfId="3357" xr:uid="{00000000-0005-0000-0000-00001E0D0000}"/>
    <cellStyle name="Финансовый 2 2 2 2 3 5" xfId="3358" xr:uid="{00000000-0005-0000-0000-00001F0D0000}"/>
    <cellStyle name="Финансовый 2 2 2 2 3 5 2" xfId="3359" xr:uid="{00000000-0005-0000-0000-0000200D0000}"/>
    <cellStyle name="Финансовый 2 2 2 2 3 6" xfId="3360" xr:uid="{00000000-0005-0000-0000-0000210D0000}"/>
    <cellStyle name="Финансовый 2 2 2 2 4" xfId="3361" xr:uid="{00000000-0005-0000-0000-0000220D0000}"/>
    <cellStyle name="Финансовый 2 2 2 2 4 2" xfId="3362" xr:uid="{00000000-0005-0000-0000-0000230D0000}"/>
    <cellStyle name="Финансовый 2 2 2 2 4 2 2" xfId="3363" xr:uid="{00000000-0005-0000-0000-0000240D0000}"/>
    <cellStyle name="Финансовый 2 2 2 2 4 2 2 2" xfId="3364" xr:uid="{00000000-0005-0000-0000-0000250D0000}"/>
    <cellStyle name="Финансовый 2 2 2 2 4 2 2 2 2" xfId="3365" xr:uid="{00000000-0005-0000-0000-0000260D0000}"/>
    <cellStyle name="Финансовый 2 2 2 2 4 2 2 3" xfId="3366" xr:uid="{00000000-0005-0000-0000-0000270D0000}"/>
    <cellStyle name="Финансовый 2 2 2 2 4 2 3" xfId="3367" xr:uid="{00000000-0005-0000-0000-0000280D0000}"/>
    <cellStyle name="Финансовый 2 2 2 2 4 2 3 2" xfId="3368" xr:uid="{00000000-0005-0000-0000-0000290D0000}"/>
    <cellStyle name="Финансовый 2 2 2 2 4 2 4" xfId="3369" xr:uid="{00000000-0005-0000-0000-00002A0D0000}"/>
    <cellStyle name="Финансовый 2 2 2 2 4 3" xfId="3370" xr:uid="{00000000-0005-0000-0000-00002B0D0000}"/>
    <cellStyle name="Финансовый 2 2 2 2 4 3 2" xfId="3371" xr:uid="{00000000-0005-0000-0000-00002C0D0000}"/>
    <cellStyle name="Финансовый 2 2 2 2 4 3 2 2" xfId="3372" xr:uid="{00000000-0005-0000-0000-00002D0D0000}"/>
    <cellStyle name="Финансовый 2 2 2 2 4 3 3" xfId="3373" xr:uid="{00000000-0005-0000-0000-00002E0D0000}"/>
    <cellStyle name="Финансовый 2 2 2 2 4 4" xfId="3374" xr:uid="{00000000-0005-0000-0000-00002F0D0000}"/>
    <cellStyle name="Финансовый 2 2 2 2 4 4 2" xfId="3375" xr:uid="{00000000-0005-0000-0000-0000300D0000}"/>
    <cellStyle name="Финансовый 2 2 2 2 4 5" xfId="3376" xr:uid="{00000000-0005-0000-0000-0000310D0000}"/>
    <cellStyle name="Финансовый 2 2 2 2 5" xfId="3377" xr:uid="{00000000-0005-0000-0000-0000320D0000}"/>
    <cellStyle name="Финансовый 2 2 2 2 5 2" xfId="3378" xr:uid="{00000000-0005-0000-0000-0000330D0000}"/>
    <cellStyle name="Финансовый 2 2 2 2 5 2 2" xfId="3379" xr:uid="{00000000-0005-0000-0000-0000340D0000}"/>
    <cellStyle name="Финансовый 2 2 2 2 5 2 2 2" xfId="3380" xr:uid="{00000000-0005-0000-0000-0000350D0000}"/>
    <cellStyle name="Финансовый 2 2 2 2 5 2 3" xfId="3381" xr:uid="{00000000-0005-0000-0000-0000360D0000}"/>
    <cellStyle name="Финансовый 2 2 2 2 5 3" xfId="3382" xr:uid="{00000000-0005-0000-0000-0000370D0000}"/>
    <cellStyle name="Финансовый 2 2 2 2 5 3 2" xfId="3383" xr:uid="{00000000-0005-0000-0000-0000380D0000}"/>
    <cellStyle name="Финансовый 2 2 2 2 5 4" xfId="3384" xr:uid="{00000000-0005-0000-0000-0000390D0000}"/>
    <cellStyle name="Финансовый 2 2 2 2 6" xfId="3385" xr:uid="{00000000-0005-0000-0000-00003A0D0000}"/>
    <cellStyle name="Финансовый 2 2 2 2 6 2" xfId="3386" xr:uid="{00000000-0005-0000-0000-00003B0D0000}"/>
    <cellStyle name="Финансовый 2 2 2 2 6 2 2" xfId="3387" xr:uid="{00000000-0005-0000-0000-00003C0D0000}"/>
    <cellStyle name="Финансовый 2 2 2 2 6 3" xfId="3388" xr:uid="{00000000-0005-0000-0000-00003D0D0000}"/>
    <cellStyle name="Финансовый 2 2 2 2 7" xfId="3389" xr:uid="{00000000-0005-0000-0000-00003E0D0000}"/>
    <cellStyle name="Финансовый 2 2 2 2 7 2" xfId="3390" xr:uid="{00000000-0005-0000-0000-00003F0D0000}"/>
    <cellStyle name="Финансовый 2 2 2 2 8" xfId="3391" xr:uid="{00000000-0005-0000-0000-0000400D0000}"/>
    <cellStyle name="Финансовый 2 2 2 3" xfId="3392" xr:uid="{00000000-0005-0000-0000-0000410D0000}"/>
    <cellStyle name="Финансовый 2 2 2 3 2" xfId="3393" xr:uid="{00000000-0005-0000-0000-0000420D0000}"/>
    <cellStyle name="Финансовый 2 2 2 3 2 2" xfId="3394" xr:uid="{00000000-0005-0000-0000-0000430D0000}"/>
    <cellStyle name="Финансовый 2 2 2 3 2 2 2" xfId="3395" xr:uid="{00000000-0005-0000-0000-0000440D0000}"/>
    <cellStyle name="Финансовый 2 2 2 3 2 2 2 2" xfId="3396" xr:uid="{00000000-0005-0000-0000-0000450D0000}"/>
    <cellStyle name="Финансовый 2 2 2 3 2 2 2 2 2" xfId="3397" xr:uid="{00000000-0005-0000-0000-0000460D0000}"/>
    <cellStyle name="Финансовый 2 2 2 3 2 2 2 2 2 2" xfId="3398" xr:uid="{00000000-0005-0000-0000-0000470D0000}"/>
    <cellStyle name="Финансовый 2 2 2 3 2 2 2 2 3" xfId="3399" xr:uid="{00000000-0005-0000-0000-0000480D0000}"/>
    <cellStyle name="Финансовый 2 2 2 3 2 2 2 3" xfId="3400" xr:uid="{00000000-0005-0000-0000-0000490D0000}"/>
    <cellStyle name="Финансовый 2 2 2 3 2 2 2 3 2" xfId="3401" xr:uid="{00000000-0005-0000-0000-00004A0D0000}"/>
    <cellStyle name="Финансовый 2 2 2 3 2 2 2 4" xfId="3402" xr:uid="{00000000-0005-0000-0000-00004B0D0000}"/>
    <cellStyle name="Финансовый 2 2 2 3 2 2 3" xfId="3403" xr:uid="{00000000-0005-0000-0000-00004C0D0000}"/>
    <cellStyle name="Финансовый 2 2 2 3 2 2 3 2" xfId="3404" xr:uid="{00000000-0005-0000-0000-00004D0D0000}"/>
    <cellStyle name="Финансовый 2 2 2 3 2 2 3 2 2" xfId="3405" xr:uid="{00000000-0005-0000-0000-00004E0D0000}"/>
    <cellStyle name="Финансовый 2 2 2 3 2 2 3 3" xfId="3406" xr:uid="{00000000-0005-0000-0000-00004F0D0000}"/>
    <cellStyle name="Финансовый 2 2 2 3 2 2 4" xfId="3407" xr:uid="{00000000-0005-0000-0000-0000500D0000}"/>
    <cellStyle name="Финансовый 2 2 2 3 2 2 4 2" xfId="3408" xr:uid="{00000000-0005-0000-0000-0000510D0000}"/>
    <cellStyle name="Финансовый 2 2 2 3 2 2 5" xfId="3409" xr:uid="{00000000-0005-0000-0000-0000520D0000}"/>
    <cellStyle name="Финансовый 2 2 2 3 2 3" xfId="3410" xr:uid="{00000000-0005-0000-0000-0000530D0000}"/>
    <cellStyle name="Финансовый 2 2 2 3 2 3 2" xfId="3411" xr:uid="{00000000-0005-0000-0000-0000540D0000}"/>
    <cellStyle name="Финансовый 2 2 2 3 2 3 2 2" xfId="3412" xr:uid="{00000000-0005-0000-0000-0000550D0000}"/>
    <cellStyle name="Финансовый 2 2 2 3 2 3 2 2 2" xfId="3413" xr:uid="{00000000-0005-0000-0000-0000560D0000}"/>
    <cellStyle name="Финансовый 2 2 2 3 2 3 2 3" xfId="3414" xr:uid="{00000000-0005-0000-0000-0000570D0000}"/>
    <cellStyle name="Финансовый 2 2 2 3 2 3 3" xfId="3415" xr:uid="{00000000-0005-0000-0000-0000580D0000}"/>
    <cellStyle name="Финансовый 2 2 2 3 2 3 3 2" xfId="3416" xr:uid="{00000000-0005-0000-0000-0000590D0000}"/>
    <cellStyle name="Финансовый 2 2 2 3 2 3 4" xfId="3417" xr:uid="{00000000-0005-0000-0000-00005A0D0000}"/>
    <cellStyle name="Финансовый 2 2 2 3 2 4" xfId="3418" xr:uid="{00000000-0005-0000-0000-00005B0D0000}"/>
    <cellStyle name="Финансовый 2 2 2 3 2 4 2" xfId="3419" xr:uid="{00000000-0005-0000-0000-00005C0D0000}"/>
    <cellStyle name="Финансовый 2 2 2 3 2 4 2 2" xfId="3420" xr:uid="{00000000-0005-0000-0000-00005D0D0000}"/>
    <cellStyle name="Финансовый 2 2 2 3 2 4 3" xfId="3421" xr:uid="{00000000-0005-0000-0000-00005E0D0000}"/>
    <cellStyle name="Финансовый 2 2 2 3 2 5" xfId="3422" xr:uid="{00000000-0005-0000-0000-00005F0D0000}"/>
    <cellStyle name="Финансовый 2 2 2 3 2 5 2" xfId="3423" xr:uid="{00000000-0005-0000-0000-0000600D0000}"/>
    <cellStyle name="Финансовый 2 2 2 3 2 6" xfId="3424" xr:uid="{00000000-0005-0000-0000-0000610D0000}"/>
    <cellStyle name="Финансовый 2 2 2 3 3" xfId="3425" xr:uid="{00000000-0005-0000-0000-0000620D0000}"/>
    <cellStyle name="Финансовый 2 2 2 3 3 2" xfId="3426" xr:uid="{00000000-0005-0000-0000-0000630D0000}"/>
    <cellStyle name="Финансовый 2 2 2 3 3 2 2" xfId="3427" xr:uid="{00000000-0005-0000-0000-0000640D0000}"/>
    <cellStyle name="Финансовый 2 2 2 3 3 2 2 2" xfId="3428" xr:uid="{00000000-0005-0000-0000-0000650D0000}"/>
    <cellStyle name="Финансовый 2 2 2 3 3 2 2 2 2" xfId="3429" xr:uid="{00000000-0005-0000-0000-0000660D0000}"/>
    <cellStyle name="Финансовый 2 2 2 3 3 2 2 3" xfId="3430" xr:uid="{00000000-0005-0000-0000-0000670D0000}"/>
    <cellStyle name="Финансовый 2 2 2 3 3 2 3" xfId="3431" xr:uid="{00000000-0005-0000-0000-0000680D0000}"/>
    <cellStyle name="Финансовый 2 2 2 3 3 2 3 2" xfId="3432" xr:uid="{00000000-0005-0000-0000-0000690D0000}"/>
    <cellStyle name="Финансовый 2 2 2 3 3 2 4" xfId="3433" xr:uid="{00000000-0005-0000-0000-00006A0D0000}"/>
    <cellStyle name="Финансовый 2 2 2 3 3 3" xfId="3434" xr:uid="{00000000-0005-0000-0000-00006B0D0000}"/>
    <cellStyle name="Финансовый 2 2 2 3 3 3 2" xfId="3435" xr:uid="{00000000-0005-0000-0000-00006C0D0000}"/>
    <cellStyle name="Финансовый 2 2 2 3 3 3 2 2" xfId="3436" xr:uid="{00000000-0005-0000-0000-00006D0D0000}"/>
    <cellStyle name="Финансовый 2 2 2 3 3 3 3" xfId="3437" xr:uid="{00000000-0005-0000-0000-00006E0D0000}"/>
    <cellStyle name="Финансовый 2 2 2 3 3 4" xfId="3438" xr:uid="{00000000-0005-0000-0000-00006F0D0000}"/>
    <cellStyle name="Финансовый 2 2 2 3 3 4 2" xfId="3439" xr:uid="{00000000-0005-0000-0000-0000700D0000}"/>
    <cellStyle name="Финансовый 2 2 2 3 3 5" xfId="3440" xr:uid="{00000000-0005-0000-0000-0000710D0000}"/>
    <cellStyle name="Финансовый 2 2 2 3 4" xfId="3441" xr:uid="{00000000-0005-0000-0000-0000720D0000}"/>
    <cellStyle name="Финансовый 2 2 2 3 4 2" xfId="3442" xr:uid="{00000000-0005-0000-0000-0000730D0000}"/>
    <cellStyle name="Финансовый 2 2 2 3 4 2 2" xfId="3443" xr:uid="{00000000-0005-0000-0000-0000740D0000}"/>
    <cellStyle name="Финансовый 2 2 2 3 4 2 2 2" xfId="3444" xr:uid="{00000000-0005-0000-0000-0000750D0000}"/>
    <cellStyle name="Финансовый 2 2 2 3 4 2 3" xfId="3445" xr:uid="{00000000-0005-0000-0000-0000760D0000}"/>
    <cellStyle name="Финансовый 2 2 2 3 4 3" xfId="3446" xr:uid="{00000000-0005-0000-0000-0000770D0000}"/>
    <cellStyle name="Финансовый 2 2 2 3 4 3 2" xfId="3447" xr:uid="{00000000-0005-0000-0000-0000780D0000}"/>
    <cellStyle name="Финансовый 2 2 2 3 4 4" xfId="3448" xr:uid="{00000000-0005-0000-0000-0000790D0000}"/>
    <cellStyle name="Финансовый 2 2 2 3 5" xfId="3449" xr:uid="{00000000-0005-0000-0000-00007A0D0000}"/>
    <cellStyle name="Финансовый 2 2 2 3 5 2" xfId="3450" xr:uid="{00000000-0005-0000-0000-00007B0D0000}"/>
    <cellStyle name="Финансовый 2 2 2 3 5 2 2" xfId="3451" xr:uid="{00000000-0005-0000-0000-00007C0D0000}"/>
    <cellStyle name="Финансовый 2 2 2 3 5 3" xfId="3452" xr:uid="{00000000-0005-0000-0000-00007D0D0000}"/>
    <cellStyle name="Финансовый 2 2 2 3 6" xfId="3453" xr:uid="{00000000-0005-0000-0000-00007E0D0000}"/>
    <cellStyle name="Финансовый 2 2 2 3 6 2" xfId="3454" xr:uid="{00000000-0005-0000-0000-00007F0D0000}"/>
    <cellStyle name="Финансовый 2 2 2 3 7" xfId="3455" xr:uid="{00000000-0005-0000-0000-0000800D0000}"/>
    <cellStyle name="Финансовый 2 2 2 4" xfId="3456" xr:uid="{00000000-0005-0000-0000-0000810D0000}"/>
    <cellStyle name="Финансовый 2 2 2 4 2" xfId="3457" xr:uid="{00000000-0005-0000-0000-0000820D0000}"/>
    <cellStyle name="Финансовый 2 2 2 4 2 2" xfId="3458" xr:uid="{00000000-0005-0000-0000-0000830D0000}"/>
    <cellStyle name="Финансовый 2 2 2 4 2 2 2" xfId="3459" xr:uid="{00000000-0005-0000-0000-0000840D0000}"/>
    <cellStyle name="Финансовый 2 2 2 4 2 2 2 2" xfId="3460" xr:uid="{00000000-0005-0000-0000-0000850D0000}"/>
    <cellStyle name="Финансовый 2 2 2 4 2 2 2 2 2" xfId="3461" xr:uid="{00000000-0005-0000-0000-0000860D0000}"/>
    <cellStyle name="Финансовый 2 2 2 4 2 2 2 3" xfId="3462" xr:uid="{00000000-0005-0000-0000-0000870D0000}"/>
    <cellStyle name="Финансовый 2 2 2 4 2 2 3" xfId="3463" xr:uid="{00000000-0005-0000-0000-0000880D0000}"/>
    <cellStyle name="Финансовый 2 2 2 4 2 2 3 2" xfId="3464" xr:uid="{00000000-0005-0000-0000-0000890D0000}"/>
    <cellStyle name="Финансовый 2 2 2 4 2 2 4" xfId="3465" xr:uid="{00000000-0005-0000-0000-00008A0D0000}"/>
    <cellStyle name="Финансовый 2 2 2 4 2 3" xfId="3466" xr:uid="{00000000-0005-0000-0000-00008B0D0000}"/>
    <cellStyle name="Финансовый 2 2 2 4 2 3 2" xfId="3467" xr:uid="{00000000-0005-0000-0000-00008C0D0000}"/>
    <cellStyle name="Финансовый 2 2 2 4 2 3 2 2" xfId="3468" xr:uid="{00000000-0005-0000-0000-00008D0D0000}"/>
    <cellStyle name="Финансовый 2 2 2 4 2 3 3" xfId="3469" xr:uid="{00000000-0005-0000-0000-00008E0D0000}"/>
    <cellStyle name="Финансовый 2 2 2 4 2 4" xfId="3470" xr:uid="{00000000-0005-0000-0000-00008F0D0000}"/>
    <cellStyle name="Финансовый 2 2 2 4 2 4 2" xfId="3471" xr:uid="{00000000-0005-0000-0000-0000900D0000}"/>
    <cellStyle name="Финансовый 2 2 2 4 2 5" xfId="3472" xr:uid="{00000000-0005-0000-0000-0000910D0000}"/>
    <cellStyle name="Финансовый 2 2 2 4 3" xfId="3473" xr:uid="{00000000-0005-0000-0000-0000920D0000}"/>
    <cellStyle name="Финансовый 2 2 2 4 3 2" xfId="3474" xr:uid="{00000000-0005-0000-0000-0000930D0000}"/>
    <cellStyle name="Финансовый 2 2 2 4 3 2 2" xfId="3475" xr:uid="{00000000-0005-0000-0000-0000940D0000}"/>
    <cellStyle name="Финансовый 2 2 2 4 3 2 2 2" xfId="3476" xr:uid="{00000000-0005-0000-0000-0000950D0000}"/>
    <cellStyle name="Финансовый 2 2 2 4 3 2 3" xfId="3477" xr:uid="{00000000-0005-0000-0000-0000960D0000}"/>
    <cellStyle name="Финансовый 2 2 2 4 3 3" xfId="3478" xr:uid="{00000000-0005-0000-0000-0000970D0000}"/>
    <cellStyle name="Финансовый 2 2 2 4 3 3 2" xfId="3479" xr:uid="{00000000-0005-0000-0000-0000980D0000}"/>
    <cellStyle name="Финансовый 2 2 2 4 3 4" xfId="3480" xr:uid="{00000000-0005-0000-0000-0000990D0000}"/>
    <cellStyle name="Финансовый 2 2 2 4 4" xfId="3481" xr:uid="{00000000-0005-0000-0000-00009A0D0000}"/>
    <cellStyle name="Финансовый 2 2 2 4 4 2" xfId="3482" xr:uid="{00000000-0005-0000-0000-00009B0D0000}"/>
    <cellStyle name="Финансовый 2 2 2 4 4 2 2" xfId="3483" xr:uid="{00000000-0005-0000-0000-00009C0D0000}"/>
    <cellStyle name="Финансовый 2 2 2 4 4 3" xfId="3484" xr:uid="{00000000-0005-0000-0000-00009D0D0000}"/>
    <cellStyle name="Финансовый 2 2 2 4 5" xfId="3485" xr:uid="{00000000-0005-0000-0000-00009E0D0000}"/>
    <cellStyle name="Финансовый 2 2 2 4 5 2" xfId="3486" xr:uid="{00000000-0005-0000-0000-00009F0D0000}"/>
    <cellStyle name="Финансовый 2 2 2 4 6" xfId="3487" xr:uid="{00000000-0005-0000-0000-0000A00D0000}"/>
    <cellStyle name="Финансовый 2 2 2 5" xfId="3488" xr:uid="{00000000-0005-0000-0000-0000A10D0000}"/>
    <cellStyle name="Финансовый 2 2 2 5 2" xfId="3489" xr:uid="{00000000-0005-0000-0000-0000A20D0000}"/>
    <cellStyle name="Финансовый 2 2 2 5 2 2" xfId="3490" xr:uid="{00000000-0005-0000-0000-0000A30D0000}"/>
    <cellStyle name="Финансовый 2 2 2 5 2 2 2" xfId="3491" xr:uid="{00000000-0005-0000-0000-0000A40D0000}"/>
    <cellStyle name="Финансовый 2 2 2 5 2 2 2 2" xfId="3492" xr:uid="{00000000-0005-0000-0000-0000A50D0000}"/>
    <cellStyle name="Финансовый 2 2 2 5 2 2 3" xfId="3493" xr:uid="{00000000-0005-0000-0000-0000A60D0000}"/>
    <cellStyle name="Финансовый 2 2 2 5 2 3" xfId="3494" xr:uid="{00000000-0005-0000-0000-0000A70D0000}"/>
    <cellStyle name="Финансовый 2 2 2 5 2 3 2" xfId="3495" xr:uid="{00000000-0005-0000-0000-0000A80D0000}"/>
    <cellStyle name="Финансовый 2 2 2 5 2 4" xfId="3496" xr:uid="{00000000-0005-0000-0000-0000A90D0000}"/>
    <cellStyle name="Финансовый 2 2 2 5 3" xfId="3497" xr:uid="{00000000-0005-0000-0000-0000AA0D0000}"/>
    <cellStyle name="Финансовый 2 2 2 5 3 2" xfId="3498" xr:uid="{00000000-0005-0000-0000-0000AB0D0000}"/>
    <cellStyle name="Финансовый 2 2 2 5 3 2 2" xfId="3499" xr:uid="{00000000-0005-0000-0000-0000AC0D0000}"/>
    <cellStyle name="Финансовый 2 2 2 5 3 3" xfId="3500" xr:uid="{00000000-0005-0000-0000-0000AD0D0000}"/>
    <cellStyle name="Финансовый 2 2 2 5 4" xfId="3501" xr:uid="{00000000-0005-0000-0000-0000AE0D0000}"/>
    <cellStyle name="Финансовый 2 2 2 5 4 2" xfId="3502" xr:uid="{00000000-0005-0000-0000-0000AF0D0000}"/>
    <cellStyle name="Финансовый 2 2 2 5 5" xfId="3503" xr:uid="{00000000-0005-0000-0000-0000B00D0000}"/>
    <cellStyle name="Финансовый 2 2 2 6" xfId="3504" xr:uid="{00000000-0005-0000-0000-0000B10D0000}"/>
    <cellStyle name="Финансовый 2 2 2 6 2" xfId="3505" xr:uid="{00000000-0005-0000-0000-0000B20D0000}"/>
    <cellStyle name="Финансовый 2 2 2 6 2 2" xfId="3506" xr:uid="{00000000-0005-0000-0000-0000B30D0000}"/>
    <cellStyle name="Финансовый 2 2 2 6 2 2 2" xfId="3507" xr:uid="{00000000-0005-0000-0000-0000B40D0000}"/>
    <cellStyle name="Финансовый 2 2 2 6 2 3" xfId="3508" xr:uid="{00000000-0005-0000-0000-0000B50D0000}"/>
    <cellStyle name="Финансовый 2 2 2 6 3" xfId="3509" xr:uid="{00000000-0005-0000-0000-0000B60D0000}"/>
    <cellStyle name="Финансовый 2 2 2 6 3 2" xfId="3510" xr:uid="{00000000-0005-0000-0000-0000B70D0000}"/>
    <cellStyle name="Финансовый 2 2 2 6 4" xfId="3511" xr:uid="{00000000-0005-0000-0000-0000B80D0000}"/>
    <cellStyle name="Финансовый 2 2 2 7" xfId="3512" xr:uid="{00000000-0005-0000-0000-0000B90D0000}"/>
    <cellStyle name="Финансовый 2 2 2 7 2" xfId="3513" xr:uid="{00000000-0005-0000-0000-0000BA0D0000}"/>
    <cellStyle name="Финансовый 2 2 2 7 2 2" xfId="3514" xr:uid="{00000000-0005-0000-0000-0000BB0D0000}"/>
    <cellStyle name="Финансовый 2 2 2 7 3" xfId="3515" xr:uid="{00000000-0005-0000-0000-0000BC0D0000}"/>
    <cellStyle name="Финансовый 2 2 2 8" xfId="3516" xr:uid="{00000000-0005-0000-0000-0000BD0D0000}"/>
    <cellStyle name="Финансовый 2 2 2 8 2" xfId="3517" xr:uid="{00000000-0005-0000-0000-0000BE0D0000}"/>
    <cellStyle name="Финансовый 2 2 2 9" xfId="3518" xr:uid="{00000000-0005-0000-0000-0000BF0D0000}"/>
    <cellStyle name="Финансовый 2 2 3" xfId="3519" xr:uid="{00000000-0005-0000-0000-0000C00D0000}"/>
    <cellStyle name="Финансовый 2 2 3 2" xfId="3520" xr:uid="{00000000-0005-0000-0000-0000C10D0000}"/>
    <cellStyle name="Финансовый 2 2 3 2 2" xfId="3521" xr:uid="{00000000-0005-0000-0000-0000C20D0000}"/>
    <cellStyle name="Финансовый 2 2 3 2 2 2" xfId="3522" xr:uid="{00000000-0005-0000-0000-0000C30D0000}"/>
    <cellStyle name="Финансовый 2 2 3 2 2 2 2" xfId="3523" xr:uid="{00000000-0005-0000-0000-0000C40D0000}"/>
    <cellStyle name="Финансовый 2 2 3 2 2 2 2 2" xfId="3524" xr:uid="{00000000-0005-0000-0000-0000C50D0000}"/>
    <cellStyle name="Финансовый 2 2 3 2 2 2 2 2 2" xfId="3525" xr:uid="{00000000-0005-0000-0000-0000C60D0000}"/>
    <cellStyle name="Финансовый 2 2 3 2 2 2 2 2 2 2" xfId="3526" xr:uid="{00000000-0005-0000-0000-0000C70D0000}"/>
    <cellStyle name="Финансовый 2 2 3 2 2 2 2 2 3" xfId="3527" xr:uid="{00000000-0005-0000-0000-0000C80D0000}"/>
    <cellStyle name="Финансовый 2 2 3 2 2 2 2 3" xfId="3528" xr:uid="{00000000-0005-0000-0000-0000C90D0000}"/>
    <cellStyle name="Финансовый 2 2 3 2 2 2 2 3 2" xfId="3529" xr:uid="{00000000-0005-0000-0000-0000CA0D0000}"/>
    <cellStyle name="Финансовый 2 2 3 2 2 2 2 4" xfId="3530" xr:uid="{00000000-0005-0000-0000-0000CB0D0000}"/>
    <cellStyle name="Финансовый 2 2 3 2 2 2 3" xfId="3531" xr:uid="{00000000-0005-0000-0000-0000CC0D0000}"/>
    <cellStyle name="Финансовый 2 2 3 2 2 2 3 2" xfId="3532" xr:uid="{00000000-0005-0000-0000-0000CD0D0000}"/>
    <cellStyle name="Финансовый 2 2 3 2 2 2 3 2 2" xfId="3533" xr:uid="{00000000-0005-0000-0000-0000CE0D0000}"/>
    <cellStyle name="Финансовый 2 2 3 2 2 2 3 3" xfId="3534" xr:uid="{00000000-0005-0000-0000-0000CF0D0000}"/>
    <cellStyle name="Финансовый 2 2 3 2 2 2 4" xfId="3535" xr:uid="{00000000-0005-0000-0000-0000D00D0000}"/>
    <cellStyle name="Финансовый 2 2 3 2 2 2 4 2" xfId="3536" xr:uid="{00000000-0005-0000-0000-0000D10D0000}"/>
    <cellStyle name="Финансовый 2 2 3 2 2 2 5" xfId="3537" xr:uid="{00000000-0005-0000-0000-0000D20D0000}"/>
    <cellStyle name="Финансовый 2 2 3 2 2 3" xfId="3538" xr:uid="{00000000-0005-0000-0000-0000D30D0000}"/>
    <cellStyle name="Финансовый 2 2 3 2 2 3 2" xfId="3539" xr:uid="{00000000-0005-0000-0000-0000D40D0000}"/>
    <cellStyle name="Финансовый 2 2 3 2 2 3 2 2" xfId="3540" xr:uid="{00000000-0005-0000-0000-0000D50D0000}"/>
    <cellStyle name="Финансовый 2 2 3 2 2 3 2 2 2" xfId="3541" xr:uid="{00000000-0005-0000-0000-0000D60D0000}"/>
    <cellStyle name="Финансовый 2 2 3 2 2 3 2 3" xfId="3542" xr:uid="{00000000-0005-0000-0000-0000D70D0000}"/>
    <cellStyle name="Финансовый 2 2 3 2 2 3 3" xfId="3543" xr:uid="{00000000-0005-0000-0000-0000D80D0000}"/>
    <cellStyle name="Финансовый 2 2 3 2 2 3 3 2" xfId="3544" xr:uid="{00000000-0005-0000-0000-0000D90D0000}"/>
    <cellStyle name="Финансовый 2 2 3 2 2 3 4" xfId="3545" xr:uid="{00000000-0005-0000-0000-0000DA0D0000}"/>
    <cellStyle name="Финансовый 2 2 3 2 2 4" xfId="3546" xr:uid="{00000000-0005-0000-0000-0000DB0D0000}"/>
    <cellStyle name="Финансовый 2 2 3 2 2 4 2" xfId="3547" xr:uid="{00000000-0005-0000-0000-0000DC0D0000}"/>
    <cellStyle name="Финансовый 2 2 3 2 2 4 2 2" xfId="3548" xr:uid="{00000000-0005-0000-0000-0000DD0D0000}"/>
    <cellStyle name="Финансовый 2 2 3 2 2 4 3" xfId="3549" xr:uid="{00000000-0005-0000-0000-0000DE0D0000}"/>
    <cellStyle name="Финансовый 2 2 3 2 2 5" xfId="3550" xr:uid="{00000000-0005-0000-0000-0000DF0D0000}"/>
    <cellStyle name="Финансовый 2 2 3 2 2 5 2" xfId="3551" xr:uid="{00000000-0005-0000-0000-0000E00D0000}"/>
    <cellStyle name="Финансовый 2 2 3 2 2 6" xfId="3552" xr:uid="{00000000-0005-0000-0000-0000E10D0000}"/>
    <cellStyle name="Финансовый 2 2 3 2 3" xfId="3553" xr:uid="{00000000-0005-0000-0000-0000E20D0000}"/>
    <cellStyle name="Финансовый 2 2 3 2 3 2" xfId="3554" xr:uid="{00000000-0005-0000-0000-0000E30D0000}"/>
    <cellStyle name="Финансовый 2 2 3 2 3 2 2" xfId="3555" xr:uid="{00000000-0005-0000-0000-0000E40D0000}"/>
    <cellStyle name="Финансовый 2 2 3 2 3 2 2 2" xfId="3556" xr:uid="{00000000-0005-0000-0000-0000E50D0000}"/>
    <cellStyle name="Финансовый 2 2 3 2 3 2 2 2 2" xfId="3557" xr:uid="{00000000-0005-0000-0000-0000E60D0000}"/>
    <cellStyle name="Финансовый 2 2 3 2 3 2 2 3" xfId="3558" xr:uid="{00000000-0005-0000-0000-0000E70D0000}"/>
    <cellStyle name="Финансовый 2 2 3 2 3 2 3" xfId="3559" xr:uid="{00000000-0005-0000-0000-0000E80D0000}"/>
    <cellStyle name="Финансовый 2 2 3 2 3 2 3 2" xfId="3560" xr:uid="{00000000-0005-0000-0000-0000E90D0000}"/>
    <cellStyle name="Финансовый 2 2 3 2 3 2 4" xfId="3561" xr:uid="{00000000-0005-0000-0000-0000EA0D0000}"/>
    <cellStyle name="Финансовый 2 2 3 2 3 3" xfId="3562" xr:uid="{00000000-0005-0000-0000-0000EB0D0000}"/>
    <cellStyle name="Финансовый 2 2 3 2 3 3 2" xfId="3563" xr:uid="{00000000-0005-0000-0000-0000EC0D0000}"/>
    <cellStyle name="Финансовый 2 2 3 2 3 3 2 2" xfId="3564" xr:uid="{00000000-0005-0000-0000-0000ED0D0000}"/>
    <cellStyle name="Финансовый 2 2 3 2 3 3 3" xfId="3565" xr:uid="{00000000-0005-0000-0000-0000EE0D0000}"/>
    <cellStyle name="Финансовый 2 2 3 2 3 4" xfId="3566" xr:uid="{00000000-0005-0000-0000-0000EF0D0000}"/>
    <cellStyle name="Финансовый 2 2 3 2 3 4 2" xfId="3567" xr:uid="{00000000-0005-0000-0000-0000F00D0000}"/>
    <cellStyle name="Финансовый 2 2 3 2 3 5" xfId="3568" xr:uid="{00000000-0005-0000-0000-0000F10D0000}"/>
    <cellStyle name="Финансовый 2 2 3 2 4" xfId="3569" xr:uid="{00000000-0005-0000-0000-0000F20D0000}"/>
    <cellStyle name="Финансовый 2 2 3 2 4 2" xfId="3570" xr:uid="{00000000-0005-0000-0000-0000F30D0000}"/>
    <cellStyle name="Финансовый 2 2 3 2 4 2 2" xfId="3571" xr:uid="{00000000-0005-0000-0000-0000F40D0000}"/>
    <cellStyle name="Финансовый 2 2 3 2 4 2 2 2" xfId="3572" xr:uid="{00000000-0005-0000-0000-0000F50D0000}"/>
    <cellStyle name="Финансовый 2 2 3 2 4 2 3" xfId="3573" xr:uid="{00000000-0005-0000-0000-0000F60D0000}"/>
    <cellStyle name="Финансовый 2 2 3 2 4 3" xfId="3574" xr:uid="{00000000-0005-0000-0000-0000F70D0000}"/>
    <cellStyle name="Финансовый 2 2 3 2 4 3 2" xfId="3575" xr:uid="{00000000-0005-0000-0000-0000F80D0000}"/>
    <cellStyle name="Финансовый 2 2 3 2 4 4" xfId="3576" xr:uid="{00000000-0005-0000-0000-0000F90D0000}"/>
    <cellStyle name="Финансовый 2 2 3 2 5" xfId="3577" xr:uid="{00000000-0005-0000-0000-0000FA0D0000}"/>
    <cellStyle name="Финансовый 2 2 3 2 5 2" xfId="3578" xr:uid="{00000000-0005-0000-0000-0000FB0D0000}"/>
    <cellStyle name="Финансовый 2 2 3 2 5 2 2" xfId="3579" xr:uid="{00000000-0005-0000-0000-0000FC0D0000}"/>
    <cellStyle name="Финансовый 2 2 3 2 5 3" xfId="3580" xr:uid="{00000000-0005-0000-0000-0000FD0D0000}"/>
    <cellStyle name="Финансовый 2 2 3 2 6" xfId="3581" xr:uid="{00000000-0005-0000-0000-0000FE0D0000}"/>
    <cellStyle name="Финансовый 2 2 3 2 6 2" xfId="3582" xr:uid="{00000000-0005-0000-0000-0000FF0D0000}"/>
    <cellStyle name="Финансовый 2 2 3 2 7" xfId="3583" xr:uid="{00000000-0005-0000-0000-0000000E0000}"/>
    <cellStyle name="Финансовый 2 2 3 3" xfId="3584" xr:uid="{00000000-0005-0000-0000-0000010E0000}"/>
    <cellStyle name="Финансовый 2 2 3 3 2" xfId="3585" xr:uid="{00000000-0005-0000-0000-0000020E0000}"/>
    <cellStyle name="Финансовый 2 2 3 3 2 2" xfId="3586" xr:uid="{00000000-0005-0000-0000-0000030E0000}"/>
    <cellStyle name="Финансовый 2 2 3 3 2 2 2" xfId="3587" xr:uid="{00000000-0005-0000-0000-0000040E0000}"/>
    <cellStyle name="Финансовый 2 2 3 3 2 2 2 2" xfId="3588" xr:uid="{00000000-0005-0000-0000-0000050E0000}"/>
    <cellStyle name="Финансовый 2 2 3 3 2 2 2 2 2" xfId="3589" xr:uid="{00000000-0005-0000-0000-0000060E0000}"/>
    <cellStyle name="Финансовый 2 2 3 3 2 2 2 3" xfId="3590" xr:uid="{00000000-0005-0000-0000-0000070E0000}"/>
    <cellStyle name="Финансовый 2 2 3 3 2 2 3" xfId="3591" xr:uid="{00000000-0005-0000-0000-0000080E0000}"/>
    <cellStyle name="Финансовый 2 2 3 3 2 2 3 2" xfId="3592" xr:uid="{00000000-0005-0000-0000-0000090E0000}"/>
    <cellStyle name="Финансовый 2 2 3 3 2 2 4" xfId="3593" xr:uid="{00000000-0005-0000-0000-00000A0E0000}"/>
    <cellStyle name="Финансовый 2 2 3 3 2 3" xfId="3594" xr:uid="{00000000-0005-0000-0000-00000B0E0000}"/>
    <cellStyle name="Финансовый 2 2 3 3 2 3 2" xfId="3595" xr:uid="{00000000-0005-0000-0000-00000C0E0000}"/>
    <cellStyle name="Финансовый 2 2 3 3 2 3 2 2" xfId="3596" xr:uid="{00000000-0005-0000-0000-00000D0E0000}"/>
    <cellStyle name="Финансовый 2 2 3 3 2 3 3" xfId="3597" xr:uid="{00000000-0005-0000-0000-00000E0E0000}"/>
    <cellStyle name="Финансовый 2 2 3 3 2 4" xfId="3598" xr:uid="{00000000-0005-0000-0000-00000F0E0000}"/>
    <cellStyle name="Финансовый 2 2 3 3 2 4 2" xfId="3599" xr:uid="{00000000-0005-0000-0000-0000100E0000}"/>
    <cellStyle name="Финансовый 2 2 3 3 2 5" xfId="3600" xr:uid="{00000000-0005-0000-0000-0000110E0000}"/>
    <cellStyle name="Финансовый 2 2 3 3 3" xfId="3601" xr:uid="{00000000-0005-0000-0000-0000120E0000}"/>
    <cellStyle name="Финансовый 2 2 3 3 3 2" xfId="3602" xr:uid="{00000000-0005-0000-0000-0000130E0000}"/>
    <cellStyle name="Финансовый 2 2 3 3 3 2 2" xfId="3603" xr:uid="{00000000-0005-0000-0000-0000140E0000}"/>
    <cellStyle name="Финансовый 2 2 3 3 3 2 2 2" xfId="3604" xr:uid="{00000000-0005-0000-0000-0000150E0000}"/>
    <cellStyle name="Финансовый 2 2 3 3 3 2 3" xfId="3605" xr:uid="{00000000-0005-0000-0000-0000160E0000}"/>
    <cellStyle name="Финансовый 2 2 3 3 3 3" xfId="3606" xr:uid="{00000000-0005-0000-0000-0000170E0000}"/>
    <cellStyle name="Финансовый 2 2 3 3 3 3 2" xfId="3607" xr:uid="{00000000-0005-0000-0000-0000180E0000}"/>
    <cellStyle name="Финансовый 2 2 3 3 3 4" xfId="3608" xr:uid="{00000000-0005-0000-0000-0000190E0000}"/>
    <cellStyle name="Финансовый 2 2 3 3 4" xfId="3609" xr:uid="{00000000-0005-0000-0000-00001A0E0000}"/>
    <cellStyle name="Финансовый 2 2 3 3 4 2" xfId="3610" xr:uid="{00000000-0005-0000-0000-00001B0E0000}"/>
    <cellStyle name="Финансовый 2 2 3 3 4 2 2" xfId="3611" xr:uid="{00000000-0005-0000-0000-00001C0E0000}"/>
    <cellStyle name="Финансовый 2 2 3 3 4 3" xfId="3612" xr:uid="{00000000-0005-0000-0000-00001D0E0000}"/>
    <cellStyle name="Финансовый 2 2 3 3 5" xfId="3613" xr:uid="{00000000-0005-0000-0000-00001E0E0000}"/>
    <cellStyle name="Финансовый 2 2 3 3 5 2" xfId="3614" xr:uid="{00000000-0005-0000-0000-00001F0E0000}"/>
    <cellStyle name="Финансовый 2 2 3 3 6" xfId="3615" xr:uid="{00000000-0005-0000-0000-0000200E0000}"/>
    <cellStyle name="Финансовый 2 2 3 4" xfId="3616" xr:uid="{00000000-0005-0000-0000-0000210E0000}"/>
    <cellStyle name="Финансовый 2 2 3 4 2" xfId="3617" xr:uid="{00000000-0005-0000-0000-0000220E0000}"/>
    <cellStyle name="Финансовый 2 2 3 4 2 2" xfId="3618" xr:uid="{00000000-0005-0000-0000-0000230E0000}"/>
    <cellStyle name="Финансовый 2 2 3 4 2 2 2" xfId="3619" xr:uid="{00000000-0005-0000-0000-0000240E0000}"/>
    <cellStyle name="Финансовый 2 2 3 4 2 2 2 2" xfId="3620" xr:uid="{00000000-0005-0000-0000-0000250E0000}"/>
    <cellStyle name="Финансовый 2 2 3 4 2 2 3" xfId="3621" xr:uid="{00000000-0005-0000-0000-0000260E0000}"/>
    <cellStyle name="Финансовый 2 2 3 4 2 3" xfId="3622" xr:uid="{00000000-0005-0000-0000-0000270E0000}"/>
    <cellStyle name="Финансовый 2 2 3 4 2 3 2" xfId="3623" xr:uid="{00000000-0005-0000-0000-0000280E0000}"/>
    <cellStyle name="Финансовый 2 2 3 4 2 4" xfId="3624" xr:uid="{00000000-0005-0000-0000-0000290E0000}"/>
    <cellStyle name="Финансовый 2 2 3 4 3" xfId="3625" xr:uid="{00000000-0005-0000-0000-00002A0E0000}"/>
    <cellStyle name="Финансовый 2 2 3 4 3 2" xfId="3626" xr:uid="{00000000-0005-0000-0000-00002B0E0000}"/>
    <cellStyle name="Финансовый 2 2 3 4 3 2 2" xfId="3627" xr:uid="{00000000-0005-0000-0000-00002C0E0000}"/>
    <cellStyle name="Финансовый 2 2 3 4 3 3" xfId="3628" xr:uid="{00000000-0005-0000-0000-00002D0E0000}"/>
    <cellStyle name="Финансовый 2 2 3 4 4" xfId="3629" xr:uid="{00000000-0005-0000-0000-00002E0E0000}"/>
    <cellStyle name="Финансовый 2 2 3 4 4 2" xfId="3630" xr:uid="{00000000-0005-0000-0000-00002F0E0000}"/>
    <cellStyle name="Финансовый 2 2 3 4 5" xfId="3631" xr:uid="{00000000-0005-0000-0000-0000300E0000}"/>
    <cellStyle name="Финансовый 2 2 3 5" xfId="3632" xr:uid="{00000000-0005-0000-0000-0000310E0000}"/>
    <cellStyle name="Финансовый 2 2 3 5 2" xfId="3633" xr:uid="{00000000-0005-0000-0000-0000320E0000}"/>
    <cellStyle name="Финансовый 2 2 3 5 2 2" xfId="3634" xr:uid="{00000000-0005-0000-0000-0000330E0000}"/>
    <cellStyle name="Финансовый 2 2 3 5 2 2 2" xfId="3635" xr:uid="{00000000-0005-0000-0000-0000340E0000}"/>
    <cellStyle name="Финансовый 2 2 3 5 2 3" xfId="3636" xr:uid="{00000000-0005-0000-0000-0000350E0000}"/>
    <cellStyle name="Финансовый 2 2 3 5 3" xfId="3637" xr:uid="{00000000-0005-0000-0000-0000360E0000}"/>
    <cellStyle name="Финансовый 2 2 3 5 3 2" xfId="3638" xr:uid="{00000000-0005-0000-0000-0000370E0000}"/>
    <cellStyle name="Финансовый 2 2 3 5 4" xfId="3639" xr:uid="{00000000-0005-0000-0000-0000380E0000}"/>
    <cellStyle name="Финансовый 2 2 3 6" xfId="3640" xr:uid="{00000000-0005-0000-0000-0000390E0000}"/>
    <cellStyle name="Финансовый 2 2 3 6 2" xfId="3641" xr:uid="{00000000-0005-0000-0000-00003A0E0000}"/>
    <cellStyle name="Финансовый 2 2 3 6 2 2" xfId="3642" xr:uid="{00000000-0005-0000-0000-00003B0E0000}"/>
    <cellStyle name="Финансовый 2 2 3 6 3" xfId="3643" xr:uid="{00000000-0005-0000-0000-00003C0E0000}"/>
    <cellStyle name="Финансовый 2 2 3 7" xfId="3644" xr:uid="{00000000-0005-0000-0000-00003D0E0000}"/>
    <cellStyle name="Финансовый 2 2 3 7 2" xfId="3645" xr:uid="{00000000-0005-0000-0000-00003E0E0000}"/>
    <cellStyle name="Финансовый 2 2 3 8" xfId="3646" xr:uid="{00000000-0005-0000-0000-00003F0E0000}"/>
    <cellStyle name="Финансовый 2 2 4" xfId="3647" xr:uid="{00000000-0005-0000-0000-0000400E0000}"/>
    <cellStyle name="Финансовый 2 2 4 2" xfId="3648" xr:uid="{00000000-0005-0000-0000-0000410E0000}"/>
    <cellStyle name="Финансовый 2 2 4 2 2" xfId="3649" xr:uid="{00000000-0005-0000-0000-0000420E0000}"/>
    <cellStyle name="Финансовый 2 2 4 2 2 2" xfId="3650" xr:uid="{00000000-0005-0000-0000-0000430E0000}"/>
    <cellStyle name="Финансовый 2 2 4 2 2 2 2" xfId="3651" xr:uid="{00000000-0005-0000-0000-0000440E0000}"/>
    <cellStyle name="Финансовый 2 2 4 2 2 2 2 2" xfId="3652" xr:uid="{00000000-0005-0000-0000-0000450E0000}"/>
    <cellStyle name="Финансовый 2 2 4 2 2 2 2 2 2" xfId="3653" xr:uid="{00000000-0005-0000-0000-0000460E0000}"/>
    <cellStyle name="Финансовый 2 2 4 2 2 2 2 3" xfId="3654" xr:uid="{00000000-0005-0000-0000-0000470E0000}"/>
    <cellStyle name="Финансовый 2 2 4 2 2 2 3" xfId="3655" xr:uid="{00000000-0005-0000-0000-0000480E0000}"/>
    <cellStyle name="Финансовый 2 2 4 2 2 2 3 2" xfId="3656" xr:uid="{00000000-0005-0000-0000-0000490E0000}"/>
    <cellStyle name="Финансовый 2 2 4 2 2 2 4" xfId="3657" xr:uid="{00000000-0005-0000-0000-00004A0E0000}"/>
    <cellStyle name="Финансовый 2 2 4 2 2 3" xfId="3658" xr:uid="{00000000-0005-0000-0000-00004B0E0000}"/>
    <cellStyle name="Финансовый 2 2 4 2 2 3 2" xfId="3659" xr:uid="{00000000-0005-0000-0000-00004C0E0000}"/>
    <cellStyle name="Финансовый 2 2 4 2 2 3 2 2" xfId="3660" xr:uid="{00000000-0005-0000-0000-00004D0E0000}"/>
    <cellStyle name="Финансовый 2 2 4 2 2 3 3" xfId="3661" xr:uid="{00000000-0005-0000-0000-00004E0E0000}"/>
    <cellStyle name="Финансовый 2 2 4 2 2 4" xfId="3662" xr:uid="{00000000-0005-0000-0000-00004F0E0000}"/>
    <cellStyle name="Финансовый 2 2 4 2 2 4 2" xfId="3663" xr:uid="{00000000-0005-0000-0000-0000500E0000}"/>
    <cellStyle name="Финансовый 2 2 4 2 2 5" xfId="3664" xr:uid="{00000000-0005-0000-0000-0000510E0000}"/>
    <cellStyle name="Финансовый 2 2 4 2 3" xfId="3665" xr:uid="{00000000-0005-0000-0000-0000520E0000}"/>
    <cellStyle name="Финансовый 2 2 4 2 3 2" xfId="3666" xr:uid="{00000000-0005-0000-0000-0000530E0000}"/>
    <cellStyle name="Финансовый 2 2 4 2 3 2 2" xfId="3667" xr:uid="{00000000-0005-0000-0000-0000540E0000}"/>
    <cellStyle name="Финансовый 2 2 4 2 3 2 2 2" xfId="3668" xr:uid="{00000000-0005-0000-0000-0000550E0000}"/>
    <cellStyle name="Финансовый 2 2 4 2 3 2 3" xfId="3669" xr:uid="{00000000-0005-0000-0000-0000560E0000}"/>
    <cellStyle name="Финансовый 2 2 4 2 3 3" xfId="3670" xr:uid="{00000000-0005-0000-0000-0000570E0000}"/>
    <cellStyle name="Финансовый 2 2 4 2 3 3 2" xfId="3671" xr:uid="{00000000-0005-0000-0000-0000580E0000}"/>
    <cellStyle name="Финансовый 2 2 4 2 3 4" xfId="3672" xr:uid="{00000000-0005-0000-0000-0000590E0000}"/>
    <cellStyle name="Финансовый 2 2 4 2 4" xfId="3673" xr:uid="{00000000-0005-0000-0000-00005A0E0000}"/>
    <cellStyle name="Финансовый 2 2 4 2 4 2" xfId="3674" xr:uid="{00000000-0005-0000-0000-00005B0E0000}"/>
    <cellStyle name="Финансовый 2 2 4 2 4 2 2" xfId="3675" xr:uid="{00000000-0005-0000-0000-00005C0E0000}"/>
    <cellStyle name="Финансовый 2 2 4 2 4 3" xfId="3676" xr:uid="{00000000-0005-0000-0000-00005D0E0000}"/>
    <cellStyle name="Финансовый 2 2 4 2 5" xfId="3677" xr:uid="{00000000-0005-0000-0000-00005E0E0000}"/>
    <cellStyle name="Финансовый 2 2 4 2 5 2" xfId="3678" xr:uid="{00000000-0005-0000-0000-00005F0E0000}"/>
    <cellStyle name="Финансовый 2 2 4 2 6" xfId="3679" xr:uid="{00000000-0005-0000-0000-0000600E0000}"/>
    <cellStyle name="Финансовый 2 2 4 3" xfId="3680" xr:uid="{00000000-0005-0000-0000-0000610E0000}"/>
    <cellStyle name="Финансовый 2 2 4 3 2" xfId="3681" xr:uid="{00000000-0005-0000-0000-0000620E0000}"/>
    <cellStyle name="Финансовый 2 2 4 3 2 2" xfId="3682" xr:uid="{00000000-0005-0000-0000-0000630E0000}"/>
    <cellStyle name="Финансовый 2 2 4 3 2 2 2" xfId="3683" xr:uid="{00000000-0005-0000-0000-0000640E0000}"/>
    <cellStyle name="Финансовый 2 2 4 3 2 2 2 2" xfId="3684" xr:uid="{00000000-0005-0000-0000-0000650E0000}"/>
    <cellStyle name="Финансовый 2 2 4 3 2 2 3" xfId="3685" xr:uid="{00000000-0005-0000-0000-0000660E0000}"/>
    <cellStyle name="Финансовый 2 2 4 3 2 3" xfId="3686" xr:uid="{00000000-0005-0000-0000-0000670E0000}"/>
    <cellStyle name="Финансовый 2 2 4 3 2 3 2" xfId="3687" xr:uid="{00000000-0005-0000-0000-0000680E0000}"/>
    <cellStyle name="Финансовый 2 2 4 3 2 4" xfId="3688" xr:uid="{00000000-0005-0000-0000-0000690E0000}"/>
    <cellStyle name="Финансовый 2 2 4 3 3" xfId="3689" xr:uid="{00000000-0005-0000-0000-00006A0E0000}"/>
    <cellStyle name="Финансовый 2 2 4 3 3 2" xfId="3690" xr:uid="{00000000-0005-0000-0000-00006B0E0000}"/>
    <cellStyle name="Финансовый 2 2 4 3 3 2 2" xfId="3691" xr:uid="{00000000-0005-0000-0000-00006C0E0000}"/>
    <cellStyle name="Финансовый 2 2 4 3 3 3" xfId="3692" xr:uid="{00000000-0005-0000-0000-00006D0E0000}"/>
    <cellStyle name="Финансовый 2 2 4 3 4" xfId="3693" xr:uid="{00000000-0005-0000-0000-00006E0E0000}"/>
    <cellStyle name="Финансовый 2 2 4 3 4 2" xfId="3694" xr:uid="{00000000-0005-0000-0000-00006F0E0000}"/>
    <cellStyle name="Финансовый 2 2 4 3 5" xfId="3695" xr:uid="{00000000-0005-0000-0000-0000700E0000}"/>
    <cellStyle name="Финансовый 2 2 4 4" xfId="3696" xr:uid="{00000000-0005-0000-0000-0000710E0000}"/>
    <cellStyle name="Финансовый 2 2 4 4 2" xfId="3697" xr:uid="{00000000-0005-0000-0000-0000720E0000}"/>
    <cellStyle name="Финансовый 2 2 4 4 2 2" xfId="3698" xr:uid="{00000000-0005-0000-0000-0000730E0000}"/>
    <cellStyle name="Финансовый 2 2 4 4 2 2 2" xfId="3699" xr:uid="{00000000-0005-0000-0000-0000740E0000}"/>
    <cellStyle name="Финансовый 2 2 4 4 2 3" xfId="3700" xr:uid="{00000000-0005-0000-0000-0000750E0000}"/>
    <cellStyle name="Финансовый 2 2 4 4 3" xfId="3701" xr:uid="{00000000-0005-0000-0000-0000760E0000}"/>
    <cellStyle name="Финансовый 2 2 4 4 3 2" xfId="3702" xr:uid="{00000000-0005-0000-0000-0000770E0000}"/>
    <cellStyle name="Финансовый 2 2 4 4 4" xfId="3703" xr:uid="{00000000-0005-0000-0000-0000780E0000}"/>
    <cellStyle name="Финансовый 2 2 4 5" xfId="3704" xr:uid="{00000000-0005-0000-0000-0000790E0000}"/>
    <cellStyle name="Финансовый 2 2 4 5 2" xfId="3705" xr:uid="{00000000-0005-0000-0000-00007A0E0000}"/>
    <cellStyle name="Финансовый 2 2 4 5 2 2" xfId="3706" xr:uid="{00000000-0005-0000-0000-00007B0E0000}"/>
    <cellStyle name="Финансовый 2 2 4 5 3" xfId="3707" xr:uid="{00000000-0005-0000-0000-00007C0E0000}"/>
    <cellStyle name="Финансовый 2 2 4 6" xfId="3708" xr:uid="{00000000-0005-0000-0000-00007D0E0000}"/>
    <cellStyle name="Финансовый 2 2 4 6 2" xfId="3709" xr:uid="{00000000-0005-0000-0000-00007E0E0000}"/>
    <cellStyle name="Финансовый 2 2 4 7" xfId="3710" xr:uid="{00000000-0005-0000-0000-00007F0E0000}"/>
    <cellStyle name="Финансовый 2 2 5" xfId="3711" xr:uid="{00000000-0005-0000-0000-0000800E0000}"/>
    <cellStyle name="Финансовый 2 2 5 2" xfId="3712" xr:uid="{00000000-0005-0000-0000-0000810E0000}"/>
    <cellStyle name="Финансовый 2 2 5 2 2" xfId="3713" xr:uid="{00000000-0005-0000-0000-0000820E0000}"/>
    <cellStyle name="Финансовый 2 2 5 2 2 2" xfId="3714" xr:uid="{00000000-0005-0000-0000-0000830E0000}"/>
    <cellStyle name="Финансовый 2 2 5 2 2 2 2" xfId="3715" xr:uid="{00000000-0005-0000-0000-0000840E0000}"/>
    <cellStyle name="Финансовый 2 2 5 2 2 2 2 2" xfId="3716" xr:uid="{00000000-0005-0000-0000-0000850E0000}"/>
    <cellStyle name="Финансовый 2 2 5 2 2 2 3" xfId="3717" xr:uid="{00000000-0005-0000-0000-0000860E0000}"/>
    <cellStyle name="Финансовый 2 2 5 2 2 3" xfId="3718" xr:uid="{00000000-0005-0000-0000-0000870E0000}"/>
    <cellStyle name="Финансовый 2 2 5 2 2 3 2" xfId="3719" xr:uid="{00000000-0005-0000-0000-0000880E0000}"/>
    <cellStyle name="Финансовый 2 2 5 2 2 4" xfId="3720" xr:uid="{00000000-0005-0000-0000-0000890E0000}"/>
    <cellStyle name="Финансовый 2 2 5 2 3" xfId="3721" xr:uid="{00000000-0005-0000-0000-00008A0E0000}"/>
    <cellStyle name="Финансовый 2 2 5 2 3 2" xfId="3722" xr:uid="{00000000-0005-0000-0000-00008B0E0000}"/>
    <cellStyle name="Финансовый 2 2 5 2 3 2 2" xfId="3723" xr:uid="{00000000-0005-0000-0000-00008C0E0000}"/>
    <cellStyle name="Финансовый 2 2 5 2 3 3" xfId="3724" xr:uid="{00000000-0005-0000-0000-00008D0E0000}"/>
    <cellStyle name="Финансовый 2 2 5 2 4" xfId="3725" xr:uid="{00000000-0005-0000-0000-00008E0E0000}"/>
    <cellStyle name="Финансовый 2 2 5 2 4 2" xfId="3726" xr:uid="{00000000-0005-0000-0000-00008F0E0000}"/>
    <cellStyle name="Финансовый 2 2 5 2 5" xfId="3727" xr:uid="{00000000-0005-0000-0000-0000900E0000}"/>
    <cellStyle name="Финансовый 2 2 5 3" xfId="3728" xr:uid="{00000000-0005-0000-0000-0000910E0000}"/>
    <cellStyle name="Финансовый 2 2 5 3 2" xfId="3729" xr:uid="{00000000-0005-0000-0000-0000920E0000}"/>
    <cellStyle name="Финансовый 2 2 5 3 2 2" xfId="3730" xr:uid="{00000000-0005-0000-0000-0000930E0000}"/>
    <cellStyle name="Финансовый 2 2 5 3 2 2 2" xfId="3731" xr:uid="{00000000-0005-0000-0000-0000940E0000}"/>
    <cellStyle name="Финансовый 2 2 5 3 2 3" xfId="3732" xr:uid="{00000000-0005-0000-0000-0000950E0000}"/>
    <cellStyle name="Финансовый 2 2 5 3 3" xfId="3733" xr:uid="{00000000-0005-0000-0000-0000960E0000}"/>
    <cellStyle name="Финансовый 2 2 5 3 3 2" xfId="3734" xr:uid="{00000000-0005-0000-0000-0000970E0000}"/>
    <cellStyle name="Финансовый 2 2 5 3 4" xfId="3735" xr:uid="{00000000-0005-0000-0000-0000980E0000}"/>
    <cellStyle name="Финансовый 2 2 5 4" xfId="3736" xr:uid="{00000000-0005-0000-0000-0000990E0000}"/>
    <cellStyle name="Финансовый 2 2 5 4 2" xfId="3737" xr:uid="{00000000-0005-0000-0000-00009A0E0000}"/>
    <cellStyle name="Финансовый 2 2 5 4 2 2" xfId="3738" xr:uid="{00000000-0005-0000-0000-00009B0E0000}"/>
    <cellStyle name="Финансовый 2 2 5 4 3" xfId="3739" xr:uid="{00000000-0005-0000-0000-00009C0E0000}"/>
    <cellStyle name="Финансовый 2 2 5 5" xfId="3740" xr:uid="{00000000-0005-0000-0000-00009D0E0000}"/>
    <cellStyle name="Финансовый 2 2 5 5 2" xfId="3741" xr:uid="{00000000-0005-0000-0000-00009E0E0000}"/>
    <cellStyle name="Финансовый 2 2 5 6" xfId="3742" xr:uid="{00000000-0005-0000-0000-00009F0E0000}"/>
    <cellStyle name="Финансовый 2 2 6" xfId="3743" xr:uid="{00000000-0005-0000-0000-0000A00E0000}"/>
    <cellStyle name="Финансовый 2 2 6 2" xfId="3744" xr:uid="{00000000-0005-0000-0000-0000A10E0000}"/>
    <cellStyle name="Финансовый 2 2 6 2 2" xfId="3745" xr:uid="{00000000-0005-0000-0000-0000A20E0000}"/>
    <cellStyle name="Финансовый 2 2 6 2 2 2" xfId="3746" xr:uid="{00000000-0005-0000-0000-0000A30E0000}"/>
    <cellStyle name="Финансовый 2 2 6 2 2 2 2" xfId="3747" xr:uid="{00000000-0005-0000-0000-0000A40E0000}"/>
    <cellStyle name="Финансовый 2 2 6 2 2 3" xfId="3748" xr:uid="{00000000-0005-0000-0000-0000A50E0000}"/>
    <cellStyle name="Финансовый 2 2 6 2 3" xfId="3749" xr:uid="{00000000-0005-0000-0000-0000A60E0000}"/>
    <cellStyle name="Финансовый 2 2 6 2 3 2" xfId="3750" xr:uid="{00000000-0005-0000-0000-0000A70E0000}"/>
    <cellStyle name="Финансовый 2 2 6 2 4" xfId="3751" xr:uid="{00000000-0005-0000-0000-0000A80E0000}"/>
    <cellStyle name="Финансовый 2 2 6 3" xfId="3752" xr:uid="{00000000-0005-0000-0000-0000A90E0000}"/>
    <cellStyle name="Финансовый 2 2 6 3 2" xfId="3753" xr:uid="{00000000-0005-0000-0000-0000AA0E0000}"/>
    <cellStyle name="Финансовый 2 2 6 3 2 2" xfId="3754" xr:uid="{00000000-0005-0000-0000-0000AB0E0000}"/>
    <cellStyle name="Финансовый 2 2 6 3 3" xfId="3755" xr:uid="{00000000-0005-0000-0000-0000AC0E0000}"/>
    <cellStyle name="Финансовый 2 2 6 4" xfId="3756" xr:uid="{00000000-0005-0000-0000-0000AD0E0000}"/>
    <cellStyle name="Финансовый 2 2 6 4 2" xfId="3757" xr:uid="{00000000-0005-0000-0000-0000AE0E0000}"/>
    <cellStyle name="Финансовый 2 2 6 5" xfId="3758" xr:uid="{00000000-0005-0000-0000-0000AF0E0000}"/>
    <cellStyle name="Финансовый 2 2 7" xfId="3759" xr:uid="{00000000-0005-0000-0000-0000B00E0000}"/>
    <cellStyle name="Финансовый 2 2 7 2" xfId="3760" xr:uid="{00000000-0005-0000-0000-0000B10E0000}"/>
    <cellStyle name="Финансовый 2 2 7 2 2" xfId="3761" xr:uid="{00000000-0005-0000-0000-0000B20E0000}"/>
    <cellStyle name="Финансовый 2 2 7 2 2 2" xfId="3762" xr:uid="{00000000-0005-0000-0000-0000B30E0000}"/>
    <cellStyle name="Финансовый 2 2 7 2 3" xfId="3763" xr:uid="{00000000-0005-0000-0000-0000B40E0000}"/>
    <cellStyle name="Финансовый 2 2 7 3" xfId="3764" xr:uid="{00000000-0005-0000-0000-0000B50E0000}"/>
    <cellStyle name="Финансовый 2 2 7 3 2" xfId="3765" xr:uid="{00000000-0005-0000-0000-0000B60E0000}"/>
    <cellStyle name="Финансовый 2 2 7 4" xfId="3766" xr:uid="{00000000-0005-0000-0000-0000B70E0000}"/>
    <cellStyle name="Финансовый 2 2 8" xfId="3767" xr:uid="{00000000-0005-0000-0000-0000B80E0000}"/>
    <cellStyle name="Финансовый 2 2 8 2" xfId="3768" xr:uid="{00000000-0005-0000-0000-0000B90E0000}"/>
    <cellStyle name="Финансовый 2 2 8 2 2" xfId="3769" xr:uid="{00000000-0005-0000-0000-0000BA0E0000}"/>
    <cellStyle name="Финансовый 2 2 8 3" xfId="3770" xr:uid="{00000000-0005-0000-0000-0000BB0E0000}"/>
    <cellStyle name="Финансовый 2 2 9" xfId="3771" xr:uid="{00000000-0005-0000-0000-0000BC0E0000}"/>
    <cellStyle name="Финансовый 2 2 9 2" xfId="3772" xr:uid="{00000000-0005-0000-0000-0000BD0E0000}"/>
    <cellStyle name="Финансовый 2 3" xfId="3773" xr:uid="{00000000-0005-0000-0000-0000BE0E0000}"/>
    <cellStyle name="Финансовый 2 3 2" xfId="3774" xr:uid="{00000000-0005-0000-0000-0000BF0E0000}"/>
    <cellStyle name="Финансовый 2 3 2 2" xfId="3775" xr:uid="{00000000-0005-0000-0000-0000C00E0000}"/>
    <cellStyle name="Финансовый 2 3 2 2 2" xfId="3776" xr:uid="{00000000-0005-0000-0000-0000C10E0000}"/>
    <cellStyle name="Финансовый 2 3 2 2 2 2" xfId="3777" xr:uid="{00000000-0005-0000-0000-0000C20E0000}"/>
    <cellStyle name="Финансовый 2 3 2 2 2 2 2" xfId="3778" xr:uid="{00000000-0005-0000-0000-0000C30E0000}"/>
    <cellStyle name="Финансовый 2 3 2 2 2 2 2 2" xfId="3779" xr:uid="{00000000-0005-0000-0000-0000C40E0000}"/>
    <cellStyle name="Финансовый 2 3 2 2 2 2 2 2 2" xfId="3780" xr:uid="{00000000-0005-0000-0000-0000C50E0000}"/>
    <cellStyle name="Финансовый 2 3 2 2 2 2 2 2 2 2" xfId="3781" xr:uid="{00000000-0005-0000-0000-0000C60E0000}"/>
    <cellStyle name="Финансовый 2 3 2 2 2 2 2 2 3" xfId="3782" xr:uid="{00000000-0005-0000-0000-0000C70E0000}"/>
    <cellStyle name="Финансовый 2 3 2 2 2 2 2 3" xfId="3783" xr:uid="{00000000-0005-0000-0000-0000C80E0000}"/>
    <cellStyle name="Финансовый 2 3 2 2 2 2 2 3 2" xfId="3784" xr:uid="{00000000-0005-0000-0000-0000C90E0000}"/>
    <cellStyle name="Финансовый 2 3 2 2 2 2 2 4" xfId="3785" xr:uid="{00000000-0005-0000-0000-0000CA0E0000}"/>
    <cellStyle name="Финансовый 2 3 2 2 2 2 3" xfId="3786" xr:uid="{00000000-0005-0000-0000-0000CB0E0000}"/>
    <cellStyle name="Финансовый 2 3 2 2 2 2 3 2" xfId="3787" xr:uid="{00000000-0005-0000-0000-0000CC0E0000}"/>
    <cellStyle name="Финансовый 2 3 2 2 2 2 3 2 2" xfId="3788" xr:uid="{00000000-0005-0000-0000-0000CD0E0000}"/>
    <cellStyle name="Финансовый 2 3 2 2 2 2 3 3" xfId="3789" xr:uid="{00000000-0005-0000-0000-0000CE0E0000}"/>
    <cellStyle name="Финансовый 2 3 2 2 2 2 4" xfId="3790" xr:uid="{00000000-0005-0000-0000-0000CF0E0000}"/>
    <cellStyle name="Финансовый 2 3 2 2 2 2 4 2" xfId="3791" xr:uid="{00000000-0005-0000-0000-0000D00E0000}"/>
    <cellStyle name="Финансовый 2 3 2 2 2 2 5" xfId="3792" xr:uid="{00000000-0005-0000-0000-0000D10E0000}"/>
    <cellStyle name="Финансовый 2 3 2 2 2 3" xfId="3793" xr:uid="{00000000-0005-0000-0000-0000D20E0000}"/>
    <cellStyle name="Финансовый 2 3 2 2 2 3 2" xfId="3794" xr:uid="{00000000-0005-0000-0000-0000D30E0000}"/>
    <cellStyle name="Финансовый 2 3 2 2 2 3 2 2" xfId="3795" xr:uid="{00000000-0005-0000-0000-0000D40E0000}"/>
    <cellStyle name="Финансовый 2 3 2 2 2 3 2 2 2" xfId="3796" xr:uid="{00000000-0005-0000-0000-0000D50E0000}"/>
    <cellStyle name="Финансовый 2 3 2 2 2 3 2 3" xfId="3797" xr:uid="{00000000-0005-0000-0000-0000D60E0000}"/>
    <cellStyle name="Финансовый 2 3 2 2 2 3 3" xfId="3798" xr:uid="{00000000-0005-0000-0000-0000D70E0000}"/>
    <cellStyle name="Финансовый 2 3 2 2 2 3 3 2" xfId="3799" xr:uid="{00000000-0005-0000-0000-0000D80E0000}"/>
    <cellStyle name="Финансовый 2 3 2 2 2 3 4" xfId="3800" xr:uid="{00000000-0005-0000-0000-0000D90E0000}"/>
    <cellStyle name="Финансовый 2 3 2 2 2 4" xfId="3801" xr:uid="{00000000-0005-0000-0000-0000DA0E0000}"/>
    <cellStyle name="Финансовый 2 3 2 2 2 4 2" xfId="3802" xr:uid="{00000000-0005-0000-0000-0000DB0E0000}"/>
    <cellStyle name="Финансовый 2 3 2 2 2 4 2 2" xfId="3803" xr:uid="{00000000-0005-0000-0000-0000DC0E0000}"/>
    <cellStyle name="Финансовый 2 3 2 2 2 4 3" xfId="3804" xr:uid="{00000000-0005-0000-0000-0000DD0E0000}"/>
    <cellStyle name="Финансовый 2 3 2 2 2 5" xfId="3805" xr:uid="{00000000-0005-0000-0000-0000DE0E0000}"/>
    <cellStyle name="Финансовый 2 3 2 2 2 5 2" xfId="3806" xr:uid="{00000000-0005-0000-0000-0000DF0E0000}"/>
    <cellStyle name="Финансовый 2 3 2 2 2 6" xfId="3807" xr:uid="{00000000-0005-0000-0000-0000E00E0000}"/>
    <cellStyle name="Финансовый 2 3 2 2 3" xfId="3808" xr:uid="{00000000-0005-0000-0000-0000E10E0000}"/>
    <cellStyle name="Финансовый 2 3 2 2 3 2" xfId="3809" xr:uid="{00000000-0005-0000-0000-0000E20E0000}"/>
    <cellStyle name="Финансовый 2 3 2 2 3 2 2" xfId="3810" xr:uid="{00000000-0005-0000-0000-0000E30E0000}"/>
    <cellStyle name="Финансовый 2 3 2 2 3 2 2 2" xfId="3811" xr:uid="{00000000-0005-0000-0000-0000E40E0000}"/>
    <cellStyle name="Финансовый 2 3 2 2 3 2 2 2 2" xfId="3812" xr:uid="{00000000-0005-0000-0000-0000E50E0000}"/>
    <cellStyle name="Финансовый 2 3 2 2 3 2 2 3" xfId="3813" xr:uid="{00000000-0005-0000-0000-0000E60E0000}"/>
    <cellStyle name="Финансовый 2 3 2 2 3 2 3" xfId="3814" xr:uid="{00000000-0005-0000-0000-0000E70E0000}"/>
    <cellStyle name="Финансовый 2 3 2 2 3 2 3 2" xfId="3815" xr:uid="{00000000-0005-0000-0000-0000E80E0000}"/>
    <cellStyle name="Финансовый 2 3 2 2 3 2 4" xfId="3816" xr:uid="{00000000-0005-0000-0000-0000E90E0000}"/>
    <cellStyle name="Финансовый 2 3 2 2 3 3" xfId="3817" xr:uid="{00000000-0005-0000-0000-0000EA0E0000}"/>
    <cellStyle name="Финансовый 2 3 2 2 3 3 2" xfId="3818" xr:uid="{00000000-0005-0000-0000-0000EB0E0000}"/>
    <cellStyle name="Финансовый 2 3 2 2 3 3 2 2" xfId="3819" xr:uid="{00000000-0005-0000-0000-0000EC0E0000}"/>
    <cellStyle name="Финансовый 2 3 2 2 3 3 3" xfId="3820" xr:uid="{00000000-0005-0000-0000-0000ED0E0000}"/>
    <cellStyle name="Финансовый 2 3 2 2 3 4" xfId="3821" xr:uid="{00000000-0005-0000-0000-0000EE0E0000}"/>
    <cellStyle name="Финансовый 2 3 2 2 3 4 2" xfId="3822" xr:uid="{00000000-0005-0000-0000-0000EF0E0000}"/>
    <cellStyle name="Финансовый 2 3 2 2 3 5" xfId="3823" xr:uid="{00000000-0005-0000-0000-0000F00E0000}"/>
    <cellStyle name="Финансовый 2 3 2 2 4" xfId="3824" xr:uid="{00000000-0005-0000-0000-0000F10E0000}"/>
    <cellStyle name="Финансовый 2 3 2 2 4 2" xfId="3825" xr:uid="{00000000-0005-0000-0000-0000F20E0000}"/>
    <cellStyle name="Финансовый 2 3 2 2 4 2 2" xfId="3826" xr:uid="{00000000-0005-0000-0000-0000F30E0000}"/>
    <cellStyle name="Финансовый 2 3 2 2 4 2 2 2" xfId="3827" xr:uid="{00000000-0005-0000-0000-0000F40E0000}"/>
    <cellStyle name="Финансовый 2 3 2 2 4 2 3" xfId="3828" xr:uid="{00000000-0005-0000-0000-0000F50E0000}"/>
    <cellStyle name="Финансовый 2 3 2 2 4 3" xfId="3829" xr:uid="{00000000-0005-0000-0000-0000F60E0000}"/>
    <cellStyle name="Финансовый 2 3 2 2 4 3 2" xfId="3830" xr:uid="{00000000-0005-0000-0000-0000F70E0000}"/>
    <cellStyle name="Финансовый 2 3 2 2 4 4" xfId="3831" xr:uid="{00000000-0005-0000-0000-0000F80E0000}"/>
    <cellStyle name="Финансовый 2 3 2 2 5" xfId="3832" xr:uid="{00000000-0005-0000-0000-0000F90E0000}"/>
    <cellStyle name="Финансовый 2 3 2 2 5 2" xfId="3833" xr:uid="{00000000-0005-0000-0000-0000FA0E0000}"/>
    <cellStyle name="Финансовый 2 3 2 2 5 2 2" xfId="3834" xr:uid="{00000000-0005-0000-0000-0000FB0E0000}"/>
    <cellStyle name="Финансовый 2 3 2 2 5 3" xfId="3835" xr:uid="{00000000-0005-0000-0000-0000FC0E0000}"/>
    <cellStyle name="Финансовый 2 3 2 2 6" xfId="3836" xr:uid="{00000000-0005-0000-0000-0000FD0E0000}"/>
    <cellStyle name="Финансовый 2 3 2 2 6 2" xfId="3837" xr:uid="{00000000-0005-0000-0000-0000FE0E0000}"/>
    <cellStyle name="Финансовый 2 3 2 2 7" xfId="3838" xr:uid="{00000000-0005-0000-0000-0000FF0E0000}"/>
    <cellStyle name="Финансовый 2 3 2 3" xfId="3839" xr:uid="{00000000-0005-0000-0000-0000000F0000}"/>
    <cellStyle name="Финансовый 2 3 2 3 2" xfId="3840" xr:uid="{00000000-0005-0000-0000-0000010F0000}"/>
    <cellStyle name="Финансовый 2 3 2 3 2 2" xfId="3841" xr:uid="{00000000-0005-0000-0000-0000020F0000}"/>
    <cellStyle name="Финансовый 2 3 2 3 2 2 2" xfId="3842" xr:uid="{00000000-0005-0000-0000-0000030F0000}"/>
    <cellStyle name="Финансовый 2 3 2 3 2 2 2 2" xfId="3843" xr:uid="{00000000-0005-0000-0000-0000040F0000}"/>
    <cellStyle name="Финансовый 2 3 2 3 2 2 2 2 2" xfId="3844" xr:uid="{00000000-0005-0000-0000-0000050F0000}"/>
    <cellStyle name="Финансовый 2 3 2 3 2 2 2 3" xfId="3845" xr:uid="{00000000-0005-0000-0000-0000060F0000}"/>
    <cellStyle name="Финансовый 2 3 2 3 2 2 3" xfId="3846" xr:uid="{00000000-0005-0000-0000-0000070F0000}"/>
    <cellStyle name="Финансовый 2 3 2 3 2 2 3 2" xfId="3847" xr:uid="{00000000-0005-0000-0000-0000080F0000}"/>
    <cellStyle name="Финансовый 2 3 2 3 2 2 4" xfId="3848" xr:uid="{00000000-0005-0000-0000-0000090F0000}"/>
    <cellStyle name="Финансовый 2 3 2 3 2 3" xfId="3849" xr:uid="{00000000-0005-0000-0000-00000A0F0000}"/>
    <cellStyle name="Финансовый 2 3 2 3 2 3 2" xfId="3850" xr:uid="{00000000-0005-0000-0000-00000B0F0000}"/>
    <cellStyle name="Финансовый 2 3 2 3 2 3 2 2" xfId="3851" xr:uid="{00000000-0005-0000-0000-00000C0F0000}"/>
    <cellStyle name="Финансовый 2 3 2 3 2 3 3" xfId="3852" xr:uid="{00000000-0005-0000-0000-00000D0F0000}"/>
    <cellStyle name="Финансовый 2 3 2 3 2 4" xfId="3853" xr:uid="{00000000-0005-0000-0000-00000E0F0000}"/>
    <cellStyle name="Финансовый 2 3 2 3 2 4 2" xfId="3854" xr:uid="{00000000-0005-0000-0000-00000F0F0000}"/>
    <cellStyle name="Финансовый 2 3 2 3 2 5" xfId="3855" xr:uid="{00000000-0005-0000-0000-0000100F0000}"/>
    <cellStyle name="Финансовый 2 3 2 3 3" xfId="3856" xr:uid="{00000000-0005-0000-0000-0000110F0000}"/>
    <cellStyle name="Финансовый 2 3 2 3 3 2" xfId="3857" xr:uid="{00000000-0005-0000-0000-0000120F0000}"/>
    <cellStyle name="Финансовый 2 3 2 3 3 2 2" xfId="3858" xr:uid="{00000000-0005-0000-0000-0000130F0000}"/>
    <cellStyle name="Финансовый 2 3 2 3 3 2 2 2" xfId="3859" xr:uid="{00000000-0005-0000-0000-0000140F0000}"/>
    <cellStyle name="Финансовый 2 3 2 3 3 2 3" xfId="3860" xr:uid="{00000000-0005-0000-0000-0000150F0000}"/>
    <cellStyle name="Финансовый 2 3 2 3 3 3" xfId="3861" xr:uid="{00000000-0005-0000-0000-0000160F0000}"/>
    <cellStyle name="Финансовый 2 3 2 3 3 3 2" xfId="3862" xr:uid="{00000000-0005-0000-0000-0000170F0000}"/>
    <cellStyle name="Финансовый 2 3 2 3 3 4" xfId="3863" xr:uid="{00000000-0005-0000-0000-0000180F0000}"/>
    <cellStyle name="Финансовый 2 3 2 3 4" xfId="3864" xr:uid="{00000000-0005-0000-0000-0000190F0000}"/>
    <cellStyle name="Финансовый 2 3 2 3 4 2" xfId="3865" xr:uid="{00000000-0005-0000-0000-00001A0F0000}"/>
    <cellStyle name="Финансовый 2 3 2 3 4 2 2" xfId="3866" xr:uid="{00000000-0005-0000-0000-00001B0F0000}"/>
    <cellStyle name="Финансовый 2 3 2 3 4 3" xfId="3867" xr:uid="{00000000-0005-0000-0000-00001C0F0000}"/>
    <cellStyle name="Финансовый 2 3 2 3 5" xfId="3868" xr:uid="{00000000-0005-0000-0000-00001D0F0000}"/>
    <cellStyle name="Финансовый 2 3 2 3 5 2" xfId="3869" xr:uid="{00000000-0005-0000-0000-00001E0F0000}"/>
    <cellStyle name="Финансовый 2 3 2 3 6" xfId="3870" xr:uid="{00000000-0005-0000-0000-00001F0F0000}"/>
    <cellStyle name="Финансовый 2 3 2 4" xfId="3871" xr:uid="{00000000-0005-0000-0000-0000200F0000}"/>
    <cellStyle name="Финансовый 2 3 2 4 2" xfId="3872" xr:uid="{00000000-0005-0000-0000-0000210F0000}"/>
    <cellStyle name="Финансовый 2 3 2 4 2 2" xfId="3873" xr:uid="{00000000-0005-0000-0000-0000220F0000}"/>
    <cellStyle name="Финансовый 2 3 2 4 2 2 2" xfId="3874" xr:uid="{00000000-0005-0000-0000-0000230F0000}"/>
    <cellStyle name="Финансовый 2 3 2 4 2 2 2 2" xfId="3875" xr:uid="{00000000-0005-0000-0000-0000240F0000}"/>
    <cellStyle name="Финансовый 2 3 2 4 2 2 3" xfId="3876" xr:uid="{00000000-0005-0000-0000-0000250F0000}"/>
    <cellStyle name="Финансовый 2 3 2 4 2 3" xfId="3877" xr:uid="{00000000-0005-0000-0000-0000260F0000}"/>
    <cellStyle name="Финансовый 2 3 2 4 2 3 2" xfId="3878" xr:uid="{00000000-0005-0000-0000-0000270F0000}"/>
    <cellStyle name="Финансовый 2 3 2 4 2 4" xfId="3879" xr:uid="{00000000-0005-0000-0000-0000280F0000}"/>
    <cellStyle name="Финансовый 2 3 2 4 3" xfId="3880" xr:uid="{00000000-0005-0000-0000-0000290F0000}"/>
    <cellStyle name="Финансовый 2 3 2 4 3 2" xfId="3881" xr:uid="{00000000-0005-0000-0000-00002A0F0000}"/>
    <cellStyle name="Финансовый 2 3 2 4 3 2 2" xfId="3882" xr:uid="{00000000-0005-0000-0000-00002B0F0000}"/>
    <cellStyle name="Финансовый 2 3 2 4 3 3" xfId="3883" xr:uid="{00000000-0005-0000-0000-00002C0F0000}"/>
    <cellStyle name="Финансовый 2 3 2 4 4" xfId="3884" xr:uid="{00000000-0005-0000-0000-00002D0F0000}"/>
    <cellStyle name="Финансовый 2 3 2 4 4 2" xfId="3885" xr:uid="{00000000-0005-0000-0000-00002E0F0000}"/>
    <cellStyle name="Финансовый 2 3 2 4 5" xfId="3886" xr:uid="{00000000-0005-0000-0000-00002F0F0000}"/>
    <cellStyle name="Финансовый 2 3 2 5" xfId="3887" xr:uid="{00000000-0005-0000-0000-0000300F0000}"/>
    <cellStyle name="Финансовый 2 3 2 5 2" xfId="3888" xr:uid="{00000000-0005-0000-0000-0000310F0000}"/>
    <cellStyle name="Финансовый 2 3 2 5 2 2" xfId="3889" xr:uid="{00000000-0005-0000-0000-0000320F0000}"/>
    <cellStyle name="Финансовый 2 3 2 5 2 2 2" xfId="3890" xr:uid="{00000000-0005-0000-0000-0000330F0000}"/>
    <cellStyle name="Финансовый 2 3 2 5 2 3" xfId="3891" xr:uid="{00000000-0005-0000-0000-0000340F0000}"/>
    <cellStyle name="Финансовый 2 3 2 5 3" xfId="3892" xr:uid="{00000000-0005-0000-0000-0000350F0000}"/>
    <cellStyle name="Финансовый 2 3 2 5 3 2" xfId="3893" xr:uid="{00000000-0005-0000-0000-0000360F0000}"/>
    <cellStyle name="Финансовый 2 3 2 5 4" xfId="3894" xr:uid="{00000000-0005-0000-0000-0000370F0000}"/>
    <cellStyle name="Финансовый 2 3 2 6" xfId="3895" xr:uid="{00000000-0005-0000-0000-0000380F0000}"/>
    <cellStyle name="Финансовый 2 3 2 6 2" xfId="3896" xr:uid="{00000000-0005-0000-0000-0000390F0000}"/>
    <cellStyle name="Финансовый 2 3 2 6 2 2" xfId="3897" xr:uid="{00000000-0005-0000-0000-00003A0F0000}"/>
    <cellStyle name="Финансовый 2 3 2 6 3" xfId="3898" xr:uid="{00000000-0005-0000-0000-00003B0F0000}"/>
    <cellStyle name="Финансовый 2 3 2 7" xfId="3899" xr:uid="{00000000-0005-0000-0000-00003C0F0000}"/>
    <cellStyle name="Финансовый 2 3 2 7 2" xfId="3900" xr:uid="{00000000-0005-0000-0000-00003D0F0000}"/>
    <cellStyle name="Финансовый 2 3 2 8" xfId="3901" xr:uid="{00000000-0005-0000-0000-00003E0F0000}"/>
    <cellStyle name="Финансовый 2 3 3" xfId="3902" xr:uid="{00000000-0005-0000-0000-00003F0F0000}"/>
    <cellStyle name="Финансовый 2 3 3 2" xfId="3903" xr:uid="{00000000-0005-0000-0000-0000400F0000}"/>
    <cellStyle name="Финансовый 2 3 3 2 2" xfId="3904" xr:uid="{00000000-0005-0000-0000-0000410F0000}"/>
    <cellStyle name="Финансовый 2 3 3 2 2 2" xfId="3905" xr:uid="{00000000-0005-0000-0000-0000420F0000}"/>
    <cellStyle name="Финансовый 2 3 3 2 2 2 2" xfId="3906" xr:uid="{00000000-0005-0000-0000-0000430F0000}"/>
    <cellStyle name="Финансовый 2 3 3 2 2 2 2 2" xfId="3907" xr:uid="{00000000-0005-0000-0000-0000440F0000}"/>
    <cellStyle name="Финансовый 2 3 3 2 2 2 2 2 2" xfId="3908" xr:uid="{00000000-0005-0000-0000-0000450F0000}"/>
    <cellStyle name="Финансовый 2 3 3 2 2 2 2 3" xfId="3909" xr:uid="{00000000-0005-0000-0000-0000460F0000}"/>
    <cellStyle name="Финансовый 2 3 3 2 2 2 3" xfId="3910" xr:uid="{00000000-0005-0000-0000-0000470F0000}"/>
    <cellStyle name="Финансовый 2 3 3 2 2 2 3 2" xfId="3911" xr:uid="{00000000-0005-0000-0000-0000480F0000}"/>
    <cellStyle name="Финансовый 2 3 3 2 2 2 4" xfId="3912" xr:uid="{00000000-0005-0000-0000-0000490F0000}"/>
    <cellStyle name="Финансовый 2 3 3 2 2 3" xfId="3913" xr:uid="{00000000-0005-0000-0000-00004A0F0000}"/>
    <cellStyle name="Финансовый 2 3 3 2 2 3 2" xfId="3914" xr:uid="{00000000-0005-0000-0000-00004B0F0000}"/>
    <cellStyle name="Финансовый 2 3 3 2 2 3 2 2" xfId="3915" xr:uid="{00000000-0005-0000-0000-00004C0F0000}"/>
    <cellStyle name="Финансовый 2 3 3 2 2 3 3" xfId="3916" xr:uid="{00000000-0005-0000-0000-00004D0F0000}"/>
    <cellStyle name="Финансовый 2 3 3 2 2 4" xfId="3917" xr:uid="{00000000-0005-0000-0000-00004E0F0000}"/>
    <cellStyle name="Финансовый 2 3 3 2 2 4 2" xfId="3918" xr:uid="{00000000-0005-0000-0000-00004F0F0000}"/>
    <cellStyle name="Финансовый 2 3 3 2 2 5" xfId="3919" xr:uid="{00000000-0005-0000-0000-0000500F0000}"/>
    <cellStyle name="Финансовый 2 3 3 2 3" xfId="3920" xr:uid="{00000000-0005-0000-0000-0000510F0000}"/>
    <cellStyle name="Финансовый 2 3 3 2 3 2" xfId="3921" xr:uid="{00000000-0005-0000-0000-0000520F0000}"/>
    <cellStyle name="Финансовый 2 3 3 2 3 2 2" xfId="3922" xr:uid="{00000000-0005-0000-0000-0000530F0000}"/>
    <cellStyle name="Финансовый 2 3 3 2 3 2 2 2" xfId="3923" xr:uid="{00000000-0005-0000-0000-0000540F0000}"/>
    <cellStyle name="Финансовый 2 3 3 2 3 2 3" xfId="3924" xr:uid="{00000000-0005-0000-0000-0000550F0000}"/>
    <cellStyle name="Финансовый 2 3 3 2 3 3" xfId="3925" xr:uid="{00000000-0005-0000-0000-0000560F0000}"/>
    <cellStyle name="Финансовый 2 3 3 2 3 3 2" xfId="3926" xr:uid="{00000000-0005-0000-0000-0000570F0000}"/>
    <cellStyle name="Финансовый 2 3 3 2 3 4" xfId="3927" xr:uid="{00000000-0005-0000-0000-0000580F0000}"/>
    <cellStyle name="Финансовый 2 3 3 2 4" xfId="3928" xr:uid="{00000000-0005-0000-0000-0000590F0000}"/>
    <cellStyle name="Финансовый 2 3 3 2 4 2" xfId="3929" xr:uid="{00000000-0005-0000-0000-00005A0F0000}"/>
    <cellStyle name="Финансовый 2 3 3 2 4 2 2" xfId="3930" xr:uid="{00000000-0005-0000-0000-00005B0F0000}"/>
    <cellStyle name="Финансовый 2 3 3 2 4 3" xfId="3931" xr:uid="{00000000-0005-0000-0000-00005C0F0000}"/>
    <cellStyle name="Финансовый 2 3 3 2 5" xfId="3932" xr:uid="{00000000-0005-0000-0000-00005D0F0000}"/>
    <cellStyle name="Финансовый 2 3 3 2 5 2" xfId="3933" xr:uid="{00000000-0005-0000-0000-00005E0F0000}"/>
    <cellStyle name="Финансовый 2 3 3 2 6" xfId="3934" xr:uid="{00000000-0005-0000-0000-00005F0F0000}"/>
    <cellStyle name="Финансовый 2 3 3 3" xfId="3935" xr:uid="{00000000-0005-0000-0000-0000600F0000}"/>
    <cellStyle name="Финансовый 2 3 3 3 2" xfId="3936" xr:uid="{00000000-0005-0000-0000-0000610F0000}"/>
    <cellStyle name="Финансовый 2 3 3 3 2 2" xfId="3937" xr:uid="{00000000-0005-0000-0000-0000620F0000}"/>
    <cellStyle name="Финансовый 2 3 3 3 2 2 2" xfId="3938" xr:uid="{00000000-0005-0000-0000-0000630F0000}"/>
    <cellStyle name="Финансовый 2 3 3 3 2 2 2 2" xfId="3939" xr:uid="{00000000-0005-0000-0000-0000640F0000}"/>
    <cellStyle name="Финансовый 2 3 3 3 2 2 3" xfId="3940" xr:uid="{00000000-0005-0000-0000-0000650F0000}"/>
    <cellStyle name="Финансовый 2 3 3 3 2 3" xfId="3941" xr:uid="{00000000-0005-0000-0000-0000660F0000}"/>
    <cellStyle name="Финансовый 2 3 3 3 2 3 2" xfId="3942" xr:uid="{00000000-0005-0000-0000-0000670F0000}"/>
    <cellStyle name="Финансовый 2 3 3 3 2 4" xfId="3943" xr:uid="{00000000-0005-0000-0000-0000680F0000}"/>
    <cellStyle name="Финансовый 2 3 3 3 3" xfId="3944" xr:uid="{00000000-0005-0000-0000-0000690F0000}"/>
    <cellStyle name="Финансовый 2 3 3 3 3 2" xfId="3945" xr:uid="{00000000-0005-0000-0000-00006A0F0000}"/>
    <cellStyle name="Финансовый 2 3 3 3 3 2 2" xfId="3946" xr:uid="{00000000-0005-0000-0000-00006B0F0000}"/>
    <cellStyle name="Финансовый 2 3 3 3 3 3" xfId="3947" xr:uid="{00000000-0005-0000-0000-00006C0F0000}"/>
    <cellStyle name="Финансовый 2 3 3 3 4" xfId="3948" xr:uid="{00000000-0005-0000-0000-00006D0F0000}"/>
    <cellStyle name="Финансовый 2 3 3 3 4 2" xfId="3949" xr:uid="{00000000-0005-0000-0000-00006E0F0000}"/>
    <cellStyle name="Финансовый 2 3 3 3 5" xfId="3950" xr:uid="{00000000-0005-0000-0000-00006F0F0000}"/>
    <cellStyle name="Финансовый 2 3 3 4" xfId="3951" xr:uid="{00000000-0005-0000-0000-0000700F0000}"/>
    <cellStyle name="Финансовый 2 3 3 4 2" xfId="3952" xr:uid="{00000000-0005-0000-0000-0000710F0000}"/>
    <cellStyle name="Финансовый 2 3 3 4 2 2" xfId="3953" xr:uid="{00000000-0005-0000-0000-0000720F0000}"/>
    <cellStyle name="Финансовый 2 3 3 4 2 2 2" xfId="3954" xr:uid="{00000000-0005-0000-0000-0000730F0000}"/>
    <cellStyle name="Финансовый 2 3 3 4 2 3" xfId="3955" xr:uid="{00000000-0005-0000-0000-0000740F0000}"/>
    <cellStyle name="Финансовый 2 3 3 4 3" xfId="3956" xr:uid="{00000000-0005-0000-0000-0000750F0000}"/>
    <cellStyle name="Финансовый 2 3 3 4 3 2" xfId="3957" xr:uid="{00000000-0005-0000-0000-0000760F0000}"/>
    <cellStyle name="Финансовый 2 3 3 4 4" xfId="3958" xr:uid="{00000000-0005-0000-0000-0000770F0000}"/>
    <cellStyle name="Финансовый 2 3 3 5" xfId="3959" xr:uid="{00000000-0005-0000-0000-0000780F0000}"/>
    <cellStyle name="Финансовый 2 3 3 5 2" xfId="3960" xr:uid="{00000000-0005-0000-0000-0000790F0000}"/>
    <cellStyle name="Финансовый 2 3 3 5 2 2" xfId="3961" xr:uid="{00000000-0005-0000-0000-00007A0F0000}"/>
    <cellStyle name="Финансовый 2 3 3 5 3" xfId="3962" xr:uid="{00000000-0005-0000-0000-00007B0F0000}"/>
    <cellStyle name="Финансовый 2 3 3 6" xfId="3963" xr:uid="{00000000-0005-0000-0000-00007C0F0000}"/>
    <cellStyle name="Финансовый 2 3 3 6 2" xfId="3964" xr:uid="{00000000-0005-0000-0000-00007D0F0000}"/>
    <cellStyle name="Финансовый 2 3 3 7" xfId="3965" xr:uid="{00000000-0005-0000-0000-00007E0F0000}"/>
    <cellStyle name="Финансовый 2 3 4" xfId="3966" xr:uid="{00000000-0005-0000-0000-00007F0F0000}"/>
    <cellStyle name="Финансовый 2 3 4 2" xfId="3967" xr:uid="{00000000-0005-0000-0000-0000800F0000}"/>
    <cellStyle name="Финансовый 2 3 4 2 2" xfId="3968" xr:uid="{00000000-0005-0000-0000-0000810F0000}"/>
    <cellStyle name="Финансовый 2 3 4 2 2 2" xfId="3969" xr:uid="{00000000-0005-0000-0000-0000820F0000}"/>
    <cellStyle name="Финансовый 2 3 4 2 2 2 2" xfId="3970" xr:uid="{00000000-0005-0000-0000-0000830F0000}"/>
    <cellStyle name="Финансовый 2 3 4 2 2 2 2 2" xfId="3971" xr:uid="{00000000-0005-0000-0000-0000840F0000}"/>
    <cellStyle name="Финансовый 2 3 4 2 2 2 3" xfId="3972" xr:uid="{00000000-0005-0000-0000-0000850F0000}"/>
    <cellStyle name="Финансовый 2 3 4 2 2 3" xfId="3973" xr:uid="{00000000-0005-0000-0000-0000860F0000}"/>
    <cellStyle name="Финансовый 2 3 4 2 2 3 2" xfId="3974" xr:uid="{00000000-0005-0000-0000-0000870F0000}"/>
    <cellStyle name="Финансовый 2 3 4 2 2 4" xfId="3975" xr:uid="{00000000-0005-0000-0000-0000880F0000}"/>
    <cellStyle name="Финансовый 2 3 4 2 3" xfId="3976" xr:uid="{00000000-0005-0000-0000-0000890F0000}"/>
    <cellStyle name="Финансовый 2 3 4 2 3 2" xfId="3977" xr:uid="{00000000-0005-0000-0000-00008A0F0000}"/>
    <cellStyle name="Финансовый 2 3 4 2 3 2 2" xfId="3978" xr:uid="{00000000-0005-0000-0000-00008B0F0000}"/>
    <cellStyle name="Финансовый 2 3 4 2 3 3" xfId="3979" xr:uid="{00000000-0005-0000-0000-00008C0F0000}"/>
    <cellStyle name="Финансовый 2 3 4 2 4" xfId="3980" xr:uid="{00000000-0005-0000-0000-00008D0F0000}"/>
    <cellStyle name="Финансовый 2 3 4 2 4 2" xfId="3981" xr:uid="{00000000-0005-0000-0000-00008E0F0000}"/>
    <cellStyle name="Финансовый 2 3 4 2 5" xfId="3982" xr:uid="{00000000-0005-0000-0000-00008F0F0000}"/>
    <cellStyle name="Финансовый 2 3 4 3" xfId="3983" xr:uid="{00000000-0005-0000-0000-0000900F0000}"/>
    <cellStyle name="Финансовый 2 3 4 3 2" xfId="3984" xr:uid="{00000000-0005-0000-0000-0000910F0000}"/>
    <cellStyle name="Финансовый 2 3 4 3 2 2" xfId="3985" xr:uid="{00000000-0005-0000-0000-0000920F0000}"/>
    <cellStyle name="Финансовый 2 3 4 3 2 2 2" xfId="3986" xr:uid="{00000000-0005-0000-0000-0000930F0000}"/>
    <cellStyle name="Финансовый 2 3 4 3 2 3" xfId="3987" xr:uid="{00000000-0005-0000-0000-0000940F0000}"/>
    <cellStyle name="Финансовый 2 3 4 3 3" xfId="3988" xr:uid="{00000000-0005-0000-0000-0000950F0000}"/>
    <cellStyle name="Финансовый 2 3 4 3 3 2" xfId="3989" xr:uid="{00000000-0005-0000-0000-0000960F0000}"/>
    <cellStyle name="Финансовый 2 3 4 3 4" xfId="3990" xr:uid="{00000000-0005-0000-0000-0000970F0000}"/>
    <cellStyle name="Финансовый 2 3 4 4" xfId="3991" xr:uid="{00000000-0005-0000-0000-0000980F0000}"/>
    <cellStyle name="Финансовый 2 3 4 4 2" xfId="3992" xr:uid="{00000000-0005-0000-0000-0000990F0000}"/>
    <cellStyle name="Финансовый 2 3 4 4 2 2" xfId="3993" xr:uid="{00000000-0005-0000-0000-00009A0F0000}"/>
    <cellStyle name="Финансовый 2 3 4 4 3" xfId="3994" xr:uid="{00000000-0005-0000-0000-00009B0F0000}"/>
    <cellStyle name="Финансовый 2 3 4 5" xfId="3995" xr:uid="{00000000-0005-0000-0000-00009C0F0000}"/>
    <cellStyle name="Финансовый 2 3 4 5 2" xfId="3996" xr:uid="{00000000-0005-0000-0000-00009D0F0000}"/>
    <cellStyle name="Финансовый 2 3 4 6" xfId="3997" xr:uid="{00000000-0005-0000-0000-00009E0F0000}"/>
    <cellStyle name="Финансовый 2 3 5" xfId="3998" xr:uid="{00000000-0005-0000-0000-00009F0F0000}"/>
    <cellStyle name="Финансовый 2 3 5 2" xfId="3999" xr:uid="{00000000-0005-0000-0000-0000A00F0000}"/>
    <cellStyle name="Финансовый 2 3 5 2 2" xfId="4000" xr:uid="{00000000-0005-0000-0000-0000A10F0000}"/>
    <cellStyle name="Финансовый 2 3 5 2 2 2" xfId="4001" xr:uid="{00000000-0005-0000-0000-0000A20F0000}"/>
    <cellStyle name="Финансовый 2 3 5 2 2 2 2" xfId="4002" xr:uid="{00000000-0005-0000-0000-0000A30F0000}"/>
    <cellStyle name="Финансовый 2 3 5 2 2 3" xfId="4003" xr:uid="{00000000-0005-0000-0000-0000A40F0000}"/>
    <cellStyle name="Финансовый 2 3 5 2 3" xfId="4004" xr:uid="{00000000-0005-0000-0000-0000A50F0000}"/>
    <cellStyle name="Финансовый 2 3 5 2 3 2" xfId="4005" xr:uid="{00000000-0005-0000-0000-0000A60F0000}"/>
    <cellStyle name="Финансовый 2 3 5 2 4" xfId="4006" xr:uid="{00000000-0005-0000-0000-0000A70F0000}"/>
    <cellStyle name="Финансовый 2 3 5 3" xfId="4007" xr:uid="{00000000-0005-0000-0000-0000A80F0000}"/>
    <cellStyle name="Финансовый 2 3 5 3 2" xfId="4008" xr:uid="{00000000-0005-0000-0000-0000A90F0000}"/>
    <cellStyle name="Финансовый 2 3 5 3 2 2" xfId="4009" xr:uid="{00000000-0005-0000-0000-0000AA0F0000}"/>
    <cellStyle name="Финансовый 2 3 5 3 3" xfId="4010" xr:uid="{00000000-0005-0000-0000-0000AB0F0000}"/>
    <cellStyle name="Финансовый 2 3 5 4" xfId="4011" xr:uid="{00000000-0005-0000-0000-0000AC0F0000}"/>
    <cellStyle name="Финансовый 2 3 5 4 2" xfId="4012" xr:uid="{00000000-0005-0000-0000-0000AD0F0000}"/>
    <cellStyle name="Финансовый 2 3 5 5" xfId="4013" xr:uid="{00000000-0005-0000-0000-0000AE0F0000}"/>
    <cellStyle name="Финансовый 2 3 6" xfId="4014" xr:uid="{00000000-0005-0000-0000-0000AF0F0000}"/>
    <cellStyle name="Финансовый 2 3 6 2" xfId="4015" xr:uid="{00000000-0005-0000-0000-0000B00F0000}"/>
    <cellStyle name="Финансовый 2 3 6 2 2" xfId="4016" xr:uid="{00000000-0005-0000-0000-0000B10F0000}"/>
    <cellStyle name="Финансовый 2 3 6 2 2 2" xfId="4017" xr:uid="{00000000-0005-0000-0000-0000B20F0000}"/>
    <cellStyle name="Финансовый 2 3 6 2 3" xfId="4018" xr:uid="{00000000-0005-0000-0000-0000B30F0000}"/>
    <cellStyle name="Финансовый 2 3 6 3" xfId="4019" xr:uid="{00000000-0005-0000-0000-0000B40F0000}"/>
    <cellStyle name="Финансовый 2 3 6 3 2" xfId="4020" xr:uid="{00000000-0005-0000-0000-0000B50F0000}"/>
    <cellStyle name="Финансовый 2 3 6 4" xfId="4021" xr:uid="{00000000-0005-0000-0000-0000B60F0000}"/>
    <cellStyle name="Финансовый 2 3 7" xfId="4022" xr:uid="{00000000-0005-0000-0000-0000B70F0000}"/>
    <cellStyle name="Финансовый 2 3 7 2" xfId="4023" xr:uid="{00000000-0005-0000-0000-0000B80F0000}"/>
    <cellStyle name="Финансовый 2 3 7 2 2" xfId="4024" xr:uid="{00000000-0005-0000-0000-0000B90F0000}"/>
    <cellStyle name="Финансовый 2 3 7 3" xfId="4025" xr:uid="{00000000-0005-0000-0000-0000BA0F0000}"/>
    <cellStyle name="Финансовый 2 3 8" xfId="4026" xr:uid="{00000000-0005-0000-0000-0000BB0F0000}"/>
    <cellStyle name="Финансовый 2 3 8 2" xfId="4027" xr:uid="{00000000-0005-0000-0000-0000BC0F0000}"/>
    <cellStyle name="Финансовый 2 3 9" xfId="4028" xr:uid="{00000000-0005-0000-0000-0000BD0F0000}"/>
    <cellStyle name="Финансовый 2 4" xfId="4029" xr:uid="{00000000-0005-0000-0000-0000BE0F0000}"/>
    <cellStyle name="Финансовый 2 4 2" xfId="4030" xr:uid="{00000000-0005-0000-0000-0000BF0F0000}"/>
    <cellStyle name="Финансовый 2 4 2 2" xfId="4031" xr:uid="{00000000-0005-0000-0000-0000C00F0000}"/>
    <cellStyle name="Финансовый 2 4 2 2 2" xfId="4032" xr:uid="{00000000-0005-0000-0000-0000C10F0000}"/>
    <cellStyle name="Финансовый 2 4 2 2 2 2" xfId="4033" xr:uid="{00000000-0005-0000-0000-0000C20F0000}"/>
    <cellStyle name="Финансовый 2 4 2 2 2 2 2" xfId="4034" xr:uid="{00000000-0005-0000-0000-0000C30F0000}"/>
    <cellStyle name="Финансовый 2 4 2 2 2 2 2 2" xfId="4035" xr:uid="{00000000-0005-0000-0000-0000C40F0000}"/>
    <cellStyle name="Финансовый 2 4 2 2 2 2 2 2 2" xfId="4036" xr:uid="{00000000-0005-0000-0000-0000C50F0000}"/>
    <cellStyle name="Финансовый 2 4 2 2 2 2 2 3" xfId="4037" xr:uid="{00000000-0005-0000-0000-0000C60F0000}"/>
    <cellStyle name="Финансовый 2 4 2 2 2 2 3" xfId="4038" xr:uid="{00000000-0005-0000-0000-0000C70F0000}"/>
    <cellStyle name="Финансовый 2 4 2 2 2 2 3 2" xfId="4039" xr:uid="{00000000-0005-0000-0000-0000C80F0000}"/>
    <cellStyle name="Финансовый 2 4 2 2 2 2 4" xfId="4040" xr:uid="{00000000-0005-0000-0000-0000C90F0000}"/>
    <cellStyle name="Финансовый 2 4 2 2 2 3" xfId="4041" xr:uid="{00000000-0005-0000-0000-0000CA0F0000}"/>
    <cellStyle name="Финансовый 2 4 2 2 2 3 2" xfId="4042" xr:uid="{00000000-0005-0000-0000-0000CB0F0000}"/>
    <cellStyle name="Финансовый 2 4 2 2 2 3 2 2" xfId="4043" xr:uid="{00000000-0005-0000-0000-0000CC0F0000}"/>
    <cellStyle name="Финансовый 2 4 2 2 2 3 3" xfId="4044" xr:uid="{00000000-0005-0000-0000-0000CD0F0000}"/>
    <cellStyle name="Финансовый 2 4 2 2 2 4" xfId="4045" xr:uid="{00000000-0005-0000-0000-0000CE0F0000}"/>
    <cellStyle name="Финансовый 2 4 2 2 2 4 2" xfId="4046" xr:uid="{00000000-0005-0000-0000-0000CF0F0000}"/>
    <cellStyle name="Финансовый 2 4 2 2 2 5" xfId="4047" xr:uid="{00000000-0005-0000-0000-0000D00F0000}"/>
    <cellStyle name="Финансовый 2 4 2 2 3" xfId="4048" xr:uid="{00000000-0005-0000-0000-0000D10F0000}"/>
    <cellStyle name="Финансовый 2 4 2 2 3 2" xfId="4049" xr:uid="{00000000-0005-0000-0000-0000D20F0000}"/>
    <cellStyle name="Финансовый 2 4 2 2 3 2 2" xfId="4050" xr:uid="{00000000-0005-0000-0000-0000D30F0000}"/>
    <cellStyle name="Финансовый 2 4 2 2 3 2 2 2" xfId="4051" xr:uid="{00000000-0005-0000-0000-0000D40F0000}"/>
    <cellStyle name="Финансовый 2 4 2 2 3 2 3" xfId="4052" xr:uid="{00000000-0005-0000-0000-0000D50F0000}"/>
    <cellStyle name="Финансовый 2 4 2 2 3 3" xfId="4053" xr:uid="{00000000-0005-0000-0000-0000D60F0000}"/>
    <cellStyle name="Финансовый 2 4 2 2 3 3 2" xfId="4054" xr:uid="{00000000-0005-0000-0000-0000D70F0000}"/>
    <cellStyle name="Финансовый 2 4 2 2 3 4" xfId="4055" xr:uid="{00000000-0005-0000-0000-0000D80F0000}"/>
    <cellStyle name="Финансовый 2 4 2 2 4" xfId="4056" xr:uid="{00000000-0005-0000-0000-0000D90F0000}"/>
    <cellStyle name="Финансовый 2 4 2 2 4 2" xfId="4057" xr:uid="{00000000-0005-0000-0000-0000DA0F0000}"/>
    <cellStyle name="Финансовый 2 4 2 2 4 2 2" xfId="4058" xr:uid="{00000000-0005-0000-0000-0000DB0F0000}"/>
    <cellStyle name="Финансовый 2 4 2 2 4 3" xfId="4059" xr:uid="{00000000-0005-0000-0000-0000DC0F0000}"/>
    <cellStyle name="Финансовый 2 4 2 2 5" xfId="4060" xr:uid="{00000000-0005-0000-0000-0000DD0F0000}"/>
    <cellStyle name="Финансовый 2 4 2 2 5 2" xfId="4061" xr:uid="{00000000-0005-0000-0000-0000DE0F0000}"/>
    <cellStyle name="Финансовый 2 4 2 2 6" xfId="4062" xr:uid="{00000000-0005-0000-0000-0000DF0F0000}"/>
    <cellStyle name="Финансовый 2 4 2 3" xfId="4063" xr:uid="{00000000-0005-0000-0000-0000E00F0000}"/>
    <cellStyle name="Финансовый 2 4 2 3 2" xfId="4064" xr:uid="{00000000-0005-0000-0000-0000E10F0000}"/>
    <cellStyle name="Финансовый 2 4 2 3 2 2" xfId="4065" xr:uid="{00000000-0005-0000-0000-0000E20F0000}"/>
    <cellStyle name="Финансовый 2 4 2 3 2 2 2" xfId="4066" xr:uid="{00000000-0005-0000-0000-0000E30F0000}"/>
    <cellStyle name="Финансовый 2 4 2 3 2 2 2 2" xfId="4067" xr:uid="{00000000-0005-0000-0000-0000E40F0000}"/>
    <cellStyle name="Финансовый 2 4 2 3 2 2 3" xfId="4068" xr:uid="{00000000-0005-0000-0000-0000E50F0000}"/>
    <cellStyle name="Финансовый 2 4 2 3 2 3" xfId="4069" xr:uid="{00000000-0005-0000-0000-0000E60F0000}"/>
    <cellStyle name="Финансовый 2 4 2 3 2 3 2" xfId="4070" xr:uid="{00000000-0005-0000-0000-0000E70F0000}"/>
    <cellStyle name="Финансовый 2 4 2 3 2 4" xfId="4071" xr:uid="{00000000-0005-0000-0000-0000E80F0000}"/>
    <cellStyle name="Финансовый 2 4 2 3 3" xfId="4072" xr:uid="{00000000-0005-0000-0000-0000E90F0000}"/>
    <cellStyle name="Финансовый 2 4 2 3 3 2" xfId="4073" xr:uid="{00000000-0005-0000-0000-0000EA0F0000}"/>
    <cellStyle name="Финансовый 2 4 2 3 3 2 2" xfId="4074" xr:uid="{00000000-0005-0000-0000-0000EB0F0000}"/>
    <cellStyle name="Финансовый 2 4 2 3 3 3" xfId="4075" xr:uid="{00000000-0005-0000-0000-0000EC0F0000}"/>
    <cellStyle name="Финансовый 2 4 2 3 4" xfId="4076" xr:uid="{00000000-0005-0000-0000-0000ED0F0000}"/>
    <cellStyle name="Финансовый 2 4 2 3 4 2" xfId="4077" xr:uid="{00000000-0005-0000-0000-0000EE0F0000}"/>
    <cellStyle name="Финансовый 2 4 2 3 5" xfId="4078" xr:uid="{00000000-0005-0000-0000-0000EF0F0000}"/>
    <cellStyle name="Финансовый 2 4 2 4" xfId="4079" xr:uid="{00000000-0005-0000-0000-0000F00F0000}"/>
    <cellStyle name="Финансовый 2 4 2 4 2" xfId="4080" xr:uid="{00000000-0005-0000-0000-0000F10F0000}"/>
    <cellStyle name="Финансовый 2 4 2 4 2 2" xfId="4081" xr:uid="{00000000-0005-0000-0000-0000F20F0000}"/>
    <cellStyle name="Финансовый 2 4 2 4 2 2 2" xfId="4082" xr:uid="{00000000-0005-0000-0000-0000F30F0000}"/>
    <cellStyle name="Финансовый 2 4 2 4 2 3" xfId="4083" xr:uid="{00000000-0005-0000-0000-0000F40F0000}"/>
    <cellStyle name="Финансовый 2 4 2 4 3" xfId="4084" xr:uid="{00000000-0005-0000-0000-0000F50F0000}"/>
    <cellStyle name="Финансовый 2 4 2 4 3 2" xfId="4085" xr:uid="{00000000-0005-0000-0000-0000F60F0000}"/>
    <cellStyle name="Финансовый 2 4 2 4 4" xfId="4086" xr:uid="{00000000-0005-0000-0000-0000F70F0000}"/>
    <cellStyle name="Финансовый 2 4 2 5" xfId="4087" xr:uid="{00000000-0005-0000-0000-0000F80F0000}"/>
    <cellStyle name="Финансовый 2 4 2 5 2" xfId="4088" xr:uid="{00000000-0005-0000-0000-0000F90F0000}"/>
    <cellStyle name="Финансовый 2 4 2 5 2 2" xfId="4089" xr:uid="{00000000-0005-0000-0000-0000FA0F0000}"/>
    <cellStyle name="Финансовый 2 4 2 5 3" xfId="4090" xr:uid="{00000000-0005-0000-0000-0000FB0F0000}"/>
    <cellStyle name="Финансовый 2 4 2 6" xfId="4091" xr:uid="{00000000-0005-0000-0000-0000FC0F0000}"/>
    <cellStyle name="Финансовый 2 4 2 6 2" xfId="4092" xr:uid="{00000000-0005-0000-0000-0000FD0F0000}"/>
    <cellStyle name="Финансовый 2 4 2 7" xfId="4093" xr:uid="{00000000-0005-0000-0000-0000FE0F0000}"/>
    <cellStyle name="Финансовый 2 4 3" xfId="4094" xr:uid="{00000000-0005-0000-0000-0000FF0F0000}"/>
    <cellStyle name="Финансовый 2 4 3 2" xfId="4095" xr:uid="{00000000-0005-0000-0000-000000100000}"/>
    <cellStyle name="Финансовый 2 4 3 2 2" xfId="4096" xr:uid="{00000000-0005-0000-0000-000001100000}"/>
    <cellStyle name="Финансовый 2 4 3 2 2 2" xfId="4097" xr:uid="{00000000-0005-0000-0000-000002100000}"/>
    <cellStyle name="Финансовый 2 4 3 2 2 2 2" xfId="4098" xr:uid="{00000000-0005-0000-0000-000003100000}"/>
    <cellStyle name="Финансовый 2 4 3 2 2 2 2 2" xfId="4099" xr:uid="{00000000-0005-0000-0000-000004100000}"/>
    <cellStyle name="Финансовый 2 4 3 2 2 2 3" xfId="4100" xr:uid="{00000000-0005-0000-0000-000005100000}"/>
    <cellStyle name="Финансовый 2 4 3 2 2 3" xfId="4101" xr:uid="{00000000-0005-0000-0000-000006100000}"/>
    <cellStyle name="Финансовый 2 4 3 2 2 3 2" xfId="4102" xr:uid="{00000000-0005-0000-0000-000007100000}"/>
    <cellStyle name="Финансовый 2 4 3 2 2 4" xfId="4103" xr:uid="{00000000-0005-0000-0000-000008100000}"/>
    <cellStyle name="Финансовый 2 4 3 2 3" xfId="4104" xr:uid="{00000000-0005-0000-0000-000009100000}"/>
    <cellStyle name="Финансовый 2 4 3 2 3 2" xfId="4105" xr:uid="{00000000-0005-0000-0000-00000A100000}"/>
    <cellStyle name="Финансовый 2 4 3 2 3 2 2" xfId="4106" xr:uid="{00000000-0005-0000-0000-00000B100000}"/>
    <cellStyle name="Финансовый 2 4 3 2 3 3" xfId="4107" xr:uid="{00000000-0005-0000-0000-00000C100000}"/>
    <cellStyle name="Финансовый 2 4 3 2 4" xfId="4108" xr:uid="{00000000-0005-0000-0000-00000D100000}"/>
    <cellStyle name="Финансовый 2 4 3 2 4 2" xfId="4109" xr:uid="{00000000-0005-0000-0000-00000E100000}"/>
    <cellStyle name="Финансовый 2 4 3 2 5" xfId="4110" xr:uid="{00000000-0005-0000-0000-00000F100000}"/>
    <cellStyle name="Финансовый 2 4 3 3" xfId="4111" xr:uid="{00000000-0005-0000-0000-000010100000}"/>
    <cellStyle name="Финансовый 2 4 3 3 2" xfId="4112" xr:uid="{00000000-0005-0000-0000-000011100000}"/>
    <cellStyle name="Финансовый 2 4 3 3 2 2" xfId="4113" xr:uid="{00000000-0005-0000-0000-000012100000}"/>
    <cellStyle name="Финансовый 2 4 3 3 2 2 2" xfId="4114" xr:uid="{00000000-0005-0000-0000-000013100000}"/>
    <cellStyle name="Финансовый 2 4 3 3 2 3" xfId="4115" xr:uid="{00000000-0005-0000-0000-000014100000}"/>
    <cellStyle name="Финансовый 2 4 3 3 3" xfId="4116" xr:uid="{00000000-0005-0000-0000-000015100000}"/>
    <cellStyle name="Финансовый 2 4 3 3 3 2" xfId="4117" xr:uid="{00000000-0005-0000-0000-000016100000}"/>
    <cellStyle name="Финансовый 2 4 3 3 4" xfId="4118" xr:uid="{00000000-0005-0000-0000-000017100000}"/>
    <cellStyle name="Финансовый 2 4 3 4" xfId="4119" xr:uid="{00000000-0005-0000-0000-000018100000}"/>
    <cellStyle name="Финансовый 2 4 3 4 2" xfId="4120" xr:uid="{00000000-0005-0000-0000-000019100000}"/>
    <cellStyle name="Финансовый 2 4 3 4 2 2" xfId="4121" xr:uid="{00000000-0005-0000-0000-00001A100000}"/>
    <cellStyle name="Финансовый 2 4 3 4 3" xfId="4122" xr:uid="{00000000-0005-0000-0000-00001B100000}"/>
    <cellStyle name="Финансовый 2 4 3 5" xfId="4123" xr:uid="{00000000-0005-0000-0000-00001C100000}"/>
    <cellStyle name="Финансовый 2 4 3 5 2" xfId="4124" xr:uid="{00000000-0005-0000-0000-00001D100000}"/>
    <cellStyle name="Финансовый 2 4 3 6" xfId="4125" xr:uid="{00000000-0005-0000-0000-00001E100000}"/>
    <cellStyle name="Финансовый 2 4 4" xfId="4126" xr:uid="{00000000-0005-0000-0000-00001F100000}"/>
    <cellStyle name="Финансовый 2 4 4 2" xfId="4127" xr:uid="{00000000-0005-0000-0000-000020100000}"/>
    <cellStyle name="Финансовый 2 4 4 2 2" xfId="4128" xr:uid="{00000000-0005-0000-0000-000021100000}"/>
    <cellStyle name="Финансовый 2 4 4 2 2 2" xfId="4129" xr:uid="{00000000-0005-0000-0000-000022100000}"/>
    <cellStyle name="Финансовый 2 4 4 2 2 2 2" xfId="4130" xr:uid="{00000000-0005-0000-0000-000023100000}"/>
    <cellStyle name="Финансовый 2 4 4 2 2 3" xfId="4131" xr:uid="{00000000-0005-0000-0000-000024100000}"/>
    <cellStyle name="Финансовый 2 4 4 2 3" xfId="4132" xr:uid="{00000000-0005-0000-0000-000025100000}"/>
    <cellStyle name="Финансовый 2 4 4 2 3 2" xfId="4133" xr:uid="{00000000-0005-0000-0000-000026100000}"/>
    <cellStyle name="Финансовый 2 4 4 2 4" xfId="4134" xr:uid="{00000000-0005-0000-0000-000027100000}"/>
    <cellStyle name="Финансовый 2 4 4 3" xfId="4135" xr:uid="{00000000-0005-0000-0000-000028100000}"/>
    <cellStyle name="Финансовый 2 4 4 3 2" xfId="4136" xr:uid="{00000000-0005-0000-0000-000029100000}"/>
    <cellStyle name="Финансовый 2 4 4 3 2 2" xfId="4137" xr:uid="{00000000-0005-0000-0000-00002A100000}"/>
    <cellStyle name="Финансовый 2 4 4 3 3" xfId="4138" xr:uid="{00000000-0005-0000-0000-00002B100000}"/>
    <cellStyle name="Финансовый 2 4 4 4" xfId="4139" xr:uid="{00000000-0005-0000-0000-00002C100000}"/>
    <cellStyle name="Финансовый 2 4 4 4 2" xfId="4140" xr:uid="{00000000-0005-0000-0000-00002D100000}"/>
    <cellStyle name="Финансовый 2 4 4 5" xfId="4141" xr:uid="{00000000-0005-0000-0000-00002E100000}"/>
    <cellStyle name="Финансовый 2 4 5" xfId="4142" xr:uid="{00000000-0005-0000-0000-00002F100000}"/>
    <cellStyle name="Финансовый 2 4 5 2" xfId="4143" xr:uid="{00000000-0005-0000-0000-000030100000}"/>
    <cellStyle name="Финансовый 2 4 5 2 2" xfId="4144" xr:uid="{00000000-0005-0000-0000-000031100000}"/>
    <cellStyle name="Финансовый 2 4 5 2 2 2" xfId="4145" xr:uid="{00000000-0005-0000-0000-000032100000}"/>
    <cellStyle name="Финансовый 2 4 5 2 3" xfId="4146" xr:uid="{00000000-0005-0000-0000-000033100000}"/>
    <cellStyle name="Финансовый 2 4 5 3" xfId="4147" xr:uid="{00000000-0005-0000-0000-000034100000}"/>
    <cellStyle name="Финансовый 2 4 5 3 2" xfId="4148" xr:uid="{00000000-0005-0000-0000-000035100000}"/>
    <cellStyle name="Финансовый 2 4 5 4" xfId="4149" xr:uid="{00000000-0005-0000-0000-000036100000}"/>
    <cellStyle name="Финансовый 2 4 6" xfId="4150" xr:uid="{00000000-0005-0000-0000-000037100000}"/>
    <cellStyle name="Финансовый 2 4 6 2" xfId="4151" xr:uid="{00000000-0005-0000-0000-000038100000}"/>
    <cellStyle name="Финансовый 2 4 6 2 2" xfId="4152" xr:uid="{00000000-0005-0000-0000-000039100000}"/>
    <cellStyle name="Финансовый 2 4 6 3" xfId="4153" xr:uid="{00000000-0005-0000-0000-00003A100000}"/>
    <cellStyle name="Финансовый 2 4 7" xfId="4154" xr:uid="{00000000-0005-0000-0000-00003B100000}"/>
    <cellStyle name="Финансовый 2 4 7 2" xfId="4155" xr:uid="{00000000-0005-0000-0000-00003C100000}"/>
    <cellStyle name="Финансовый 2 4 8" xfId="4156" xr:uid="{00000000-0005-0000-0000-00003D100000}"/>
    <cellStyle name="Финансовый 2 5" xfId="4157" xr:uid="{00000000-0005-0000-0000-00003E100000}"/>
    <cellStyle name="Финансовый 2 5 2" xfId="4158" xr:uid="{00000000-0005-0000-0000-00003F100000}"/>
    <cellStyle name="Финансовый 2 5 2 2" xfId="4159" xr:uid="{00000000-0005-0000-0000-000040100000}"/>
    <cellStyle name="Финансовый 2 5 2 2 2" xfId="4160" xr:uid="{00000000-0005-0000-0000-000041100000}"/>
    <cellStyle name="Финансовый 2 5 2 2 2 2" xfId="4161" xr:uid="{00000000-0005-0000-0000-000042100000}"/>
    <cellStyle name="Финансовый 2 5 2 2 2 2 2" xfId="4162" xr:uid="{00000000-0005-0000-0000-000043100000}"/>
    <cellStyle name="Финансовый 2 5 2 2 2 2 2 2" xfId="4163" xr:uid="{00000000-0005-0000-0000-000044100000}"/>
    <cellStyle name="Финансовый 2 5 2 2 2 2 3" xfId="4164" xr:uid="{00000000-0005-0000-0000-000045100000}"/>
    <cellStyle name="Финансовый 2 5 2 2 2 3" xfId="4165" xr:uid="{00000000-0005-0000-0000-000046100000}"/>
    <cellStyle name="Финансовый 2 5 2 2 2 3 2" xfId="4166" xr:uid="{00000000-0005-0000-0000-000047100000}"/>
    <cellStyle name="Финансовый 2 5 2 2 2 4" xfId="4167" xr:uid="{00000000-0005-0000-0000-000048100000}"/>
    <cellStyle name="Финансовый 2 5 2 2 3" xfId="4168" xr:uid="{00000000-0005-0000-0000-000049100000}"/>
    <cellStyle name="Финансовый 2 5 2 2 3 2" xfId="4169" xr:uid="{00000000-0005-0000-0000-00004A100000}"/>
    <cellStyle name="Финансовый 2 5 2 2 3 2 2" xfId="4170" xr:uid="{00000000-0005-0000-0000-00004B100000}"/>
    <cellStyle name="Финансовый 2 5 2 2 3 3" xfId="4171" xr:uid="{00000000-0005-0000-0000-00004C100000}"/>
    <cellStyle name="Финансовый 2 5 2 2 4" xfId="4172" xr:uid="{00000000-0005-0000-0000-00004D100000}"/>
    <cellStyle name="Финансовый 2 5 2 2 4 2" xfId="4173" xr:uid="{00000000-0005-0000-0000-00004E100000}"/>
    <cellStyle name="Финансовый 2 5 2 2 5" xfId="4174" xr:uid="{00000000-0005-0000-0000-00004F100000}"/>
    <cellStyle name="Финансовый 2 5 2 3" xfId="4175" xr:uid="{00000000-0005-0000-0000-000050100000}"/>
    <cellStyle name="Финансовый 2 5 2 3 2" xfId="4176" xr:uid="{00000000-0005-0000-0000-000051100000}"/>
    <cellStyle name="Финансовый 2 5 2 3 2 2" xfId="4177" xr:uid="{00000000-0005-0000-0000-000052100000}"/>
    <cellStyle name="Финансовый 2 5 2 3 2 2 2" xfId="4178" xr:uid="{00000000-0005-0000-0000-000053100000}"/>
    <cellStyle name="Финансовый 2 5 2 3 2 3" xfId="4179" xr:uid="{00000000-0005-0000-0000-000054100000}"/>
    <cellStyle name="Финансовый 2 5 2 3 3" xfId="4180" xr:uid="{00000000-0005-0000-0000-000055100000}"/>
    <cellStyle name="Финансовый 2 5 2 3 3 2" xfId="4181" xr:uid="{00000000-0005-0000-0000-000056100000}"/>
    <cellStyle name="Финансовый 2 5 2 3 4" xfId="4182" xr:uid="{00000000-0005-0000-0000-000057100000}"/>
    <cellStyle name="Финансовый 2 5 2 4" xfId="4183" xr:uid="{00000000-0005-0000-0000-000058100000}"/>
    <cellStyle name="Финансовый 2 5 2 4 2" xfId="4184" xr:uid="{00000000-0005-0000-0000-000059100000}"/>
    <cellStyle name="Финансовый 2 5 2 4 2 2" xfId="4185" xr:uid="{00000000-0005-0000-0000-00005A100000}"/>
    <cellStyle name="Финансовый 2 5 2 4 3" xfId="4186" xr:uid="{00000000-0005-0000-0000-00005B100000}"/>
    <cellStyle name="Финансовый 2 5 2 5" xfId="4187" xr:uid="{00000000-0005-0000-0000-00005C100000}"/>
    <cellStyle name="Финансовый 2 5 2 5 2" xfId="4188" xr:uid="{00000000-0005-0000-0000-00005D100000}"/>
    <cellStyle name="Финансовый 2 5 2 6" xfId="4189" xr:uid="{00000000-0005-0000-0000-00005E100000}"/>
    <cellStyle name="Финансовый 2 5 3" xfId="4190" xr:uid="{00000000-0005-0000-0000-00005F100000}"/>
    <cellStyle name="Финансовый 2 5 3 2" xfId="4191" xr:uid="{00000000-0005-0000-0000-000060100000}"/>
    <cellStyle name="Финансовый 2 5 3 2 2" xfId="4192" xr:uid="{00000000-0005-0000-0000-000061100000}"/>
    <cellStyle name="Финансовый 2 5 3 2 2 2" xfId="4193" xr:uid="{00000000-0005-0000-0000-000062100000}"/>
    <cellStyle name="Финансовый 2 5 3 2 2 2 2" xfId="4194" xr:uid="{00000000-0005-0000-0000-000063100000}"/>
    <cellStyle name="Финансовый 2 5 3 2 2 3" xfId="4195" xr:uid="{00000000-0005-0000-0000-000064100000}"/>
    <cellStyle name="Финансовый 2 5 3 2 3" xfId="4196" xr:uid="{00000000-0005-0000-0000-000065100000}"/>
    <cellStyle name="Финансовый 2 5 3 2 3 2" xfId="4197" xr:uid="{00000000-0005-0000-0000-000066100000}"/>
    <cellStyle name="Финансовый 2 5 3 2 4" xfId="4198" xr:uid="{00000000-0005-0000-0000-000067100000}"/>
    <cellStyle name="Финансовый 2 5 3 3" xfId="4199" xr:uid="{00000000-0005-0000-0000-000068100000}"/>
    <cellStyle name="Финансовый 2 5 3 3 2" xfId="4200" xr:uid="{00000000-0005-0000-0000-000069100000}"/>
    <cellStyle name="Финансовый 2 5 3 3 2 2" xfId="4201" xr:uid="{00000000-0005-0000-0000-00006A100000}"/>
    <cellStyle name="Финансовый 2 5 3 3 3" xfId="4202" xr:uid="{00000000-0005-0000-0000-00006B100000}"/>
    <cellStyle name="Финансовый 2 5 3 4" xfId="4203" xr:uid="{00000000-0005-0000-0000-00006C100000}"/>
    <cellStyle name="Финансовый 2 5 3 4 2" xfId="4204" xr:uid="{00000000-0005-0000-0000-00006D100000}"/>
    <cellStyle name="Финансовый 2 5 3 5" xfId="4205" xr:uid="{00000000-0005-0000-0000-00006E100000}"/>
    <cellStyle name="Финансовый 2 5 4" xfId="4206" xr:uid="{00000000-0005-0000-0000-00006F100000}"/>
    <cellStyle name="Финансовый 2 5 4 2" xfId="4207" xr:uid="{00000000-0005-0000-0000-000070100000}"/>
    <cellStyle name="Финансовый 2 5 4 2 2" xfId="4208" xr:uid="{00000000-0005-0000-0000-000071100000}"/>
    <cellStyle name="Финансовый 2 5 4 2 2 2" xfId="4209" xr:uid="{00000000-0005-0000-0000-000072100000}"/>
    <cellStyle name="Финансовый 2 5 4 2 3" xfId="4210" xr:uid="{00000000-0005-0000-0000-000073100000}"/>
    <cellStyle name="Финансовый 2 5 4 3" xfId="4211" xr:uid="{00000000-0005-0000-0000-000074100000}"/>
    <cellStyle name="Финансовый 2 5 4 3 2" xfId="4212" xr:uid="{00000000-0005-0000-0000-000075100000}"/>
    <cellStyle name="Финансовый 2 5 4 4" xfId="4213" xr:uid="{00000000-0005-0000-0000-000076100000}"/>
    <cellStyle name="Финансовый 2 5 5" xfId="4214" xr:uid="{00000000-0005-0000-0000-000077100000}"/>
    <cellStyle name="Финансовый 2 5 5 2" xfId="4215" xr:uid="{00000000-0005-0000-0000-000078100000}"/>
    <cellStyle name="Финансовый 2 5 5 2 2" xfId="4216" xr:uid="{00000000-0005-0000-0000-000079100000}"/>
    <cellStyle name="Финансовый 2 5 5 3" xfId="4217" xr:uid="{00000000-0005-0000-0000-00007A100000}"/>
    <cellStyle name="Финансовый 2 5 6" xfId="4218" xr:uid="{00000000-0005-0000-0000-00007B100000}"/>
    <cellStyle name="Финансовый 2 5 6 2" xfId="4219" xr:uid="{00000000-0005-0000-0000-00007C100000}"/>
    <cellStyle name="Финансовый 2 5 7" xfId="4220" xr:uid="{00000000-0005-0000-0000-00007D100000}"/>
    <cellStyle name="Финансовый 2 6" xfId="4221" xr:uid="{00000000-0005-0000-0000-00007E100000}"/>
    <cellStyle name="Финансовый 2 6 2" xfId="4222" xr:uid="{00000000-0005-0000-0000-00007F100000}"/>
    <cellStyle name="Финансовый 2 6 2 2" xfId="4223" xr:uid="{00000000-0005-0000-0000-000080100000}"/>
    <cellStyle name="Финансовый 2 6 2 2 2" xfId="4224" xr:uid="{00000000-0005-0000-0000-000081100000}"/>
    <cellStyle name="Финансовый 2 6 2 2 2 2" xfId="4225" xr:uid="{00000000-0005-0000-0000-000082100000}"/>
    <cellStyle name="Финансовый 2 6 2 2 2 2 2" xfId="4226" xr:uid="{00000000-0005-0000-0000-000083100000}"/>
    <cellStyle name="Финансовый 2 6 2 2 2 3" xfId="4227" xr:uid="{00000000-0005-0000-0000-000084100000}"/>
    <cellStyle name="Финансовый 2 6 2 2 3" xfId="4228" xr:uid="{00000000-0005-0000-0000-000085100000}"/>
    <cellStyle name="Финансовый 2 6 2 2 3 2" xfId="4229" xr:uid="{00000000-0005-0000-0000-000086100000}"/>
    <cellStyle name="Финансовый 2 6 2 2 4" xfId="4230" xr:uid="{00000000-0005-0000-0000-000087100000}"/>
    <cellStyle name="Финансовый 2 6 2 3" xfId="4231" xr:uid="{00000000-0005-0000-0000-000088100000}"/>
    <cellStyle name="Финансовый 2 6 2 3 2" xfId="4232" xr:uid="{00000000-0005-0000-0000-000089100000}"/>
    <cellStyle name="Финансовый 2 6 2 3 2 2" xfId="4233" xr:uid="{00000000-0005-0000-0000-00008A100000}"/>
    <cellStyle name="Финансовый 2 6 2 3 3" xfId="4234" xr:uid="{00000000-0005-0000-0000-00008B100000}"/>
    <cellStyle name="Финансовый 2 6 2 4" xfId="4235" xr:uid="{00000000-0005-0000-0000-00008C100000}"/>
    <cellStyle name="Финансовый 2 6 2 4 2" xfId="4236" xr:uid="{00000000-0005-0000-0000-00008D100000}"/>
    <cellStyle name="Финансовый 2 6 2 5" xfId="4237" xr:uid="{00000000-0005-0000-0000-00008E100000}"/>
    <cellStyle name="Финансовый 2 6 3" xfId="4238" xr:uid="{00000000-0005-0000-0000-00008F100000}"/>
    <cellStyle name="Финансовый 2 6 3 2" xfId="4239" xr:uid="{00000000-0005-0000-0000-000090100000}"/>
    <cellStyle name="Финансовый 2 6 3 2 2" xfId="4240" xr:uid="{00000000-0005-0000-0000-000091100000}"/>
    <cellStyle name="Финансовый 2 6 3 2 2 2" xfId="4241" xr:uid="{00000000-0005-0000-0000-000092100000}"/>
    <cellStyle name="Финансовый 2 6 3 2 3" xfId="4242" xr:uid="{00000000-0005-0000-0000-000093100000}"/>
    <cellStyle name="Финансовый 2 6 3 3" xfId="4243" xr:uid="{00000000-0005-0000-0000-000094100000}"/>
    <cellStyle name="Финансовый 2 6 3 3 2" xfId="4244" xr:uid="{00000000-0005-0000-0000-000095100000}"/>
    <cellStyle name="Финансовый 2 6 3 4" xfId="4245" xr:uid="{00000000-0005-0000-0000-000096100000}"/>
    <cellStyle name="Финансовый 2 6 4" xfId="4246" xr:uid="{00000000-0005-0000-0000-000097100000}"/>
    <cellStyle name="Финансовый 2 6 4 2" xfId="4247" xr:uid="{00000000-0005-0000-0000-000098100000}"/>
    <cellStyle name="Финансовый 2 6 4 2 2" xfId="4248" xr:uid="{00000000-0005-0000-0000-000099100000}"/>
    <cellStyle name="Финансовый 2 6 4 3" xfId="4249" xr:uid="{00000000-0005-0000-0000-00009A100000}"/>
    <cellStyle name="Финансовый 2 6 5" xfId="4250" xr:uid="{00000000-0005-0000-0000-00009B100000}"/>
    <cellStyle name="Финансовый 2 6 5 2" xfId="4251" xr:uid="{00000000-0005-0000-0000-00009C100000}"/>
    <cellStyle name="Финансовый 2 6 6" xfId="4252" xr:uid="{00000000-0005-0000-0000-00009D100000}"/>
    <cellStyle name="Финансовый 2 7" xfId="4253" xr:uid="{00000000-0005-0000-0000-00009E100000}"/>
    <cellStyle name="Финансовый 2 7 2" xfId="4254" xr:uid="{00000000-0005-0000-0000-00009F100000}"/>
    <cellStyle name="Финансовый 2 7 2 2" xfId="4255" xr:uid="{00000000-0005-0000-0000-0000A0100000}"/>
    <cellStyle name="Финансовый 2 7 2 2 2" xfId="4256" xr:uid="{00000000-0005-0000-0000-0000A1100000}"/>
    <cellStyle name="Финансовый 2 7 2 2 2 2" xfId="4257" xr:uid="{00000000-0005-0000-0000-0000A2100000}"/>
    <cellStyle name="Финансовый 2 7 2 2 3" xfId="4258" xr:uid="{00000000-0005-0000-0000-0000A3100000}"/>
    <cellStyle name="Финансовый 2 7 2 3" xfId="4259" xr:uid="{00000000-0005-0000-0000-0000A4100000}"/>
    <cellStyle name="Финансовый 2 7 2 3 2" xfId="4260" xr:uid="{00000000-0005-0000-0000-0000A5100000}"/>
    <cellStyle name="Финансовый 2 7 2 4" xfId="4261" xr:uid="{00000000-0005-0000-0000-0000A6100000}"/>
    <cellStyle name="Финансовый 2 7 3" xfId="4262" xr:uid="{00000000-0005-0000-0000-0000A7100000}"/>
    <cellStyle name="Финансовый 2 7 3 2" xfId="4263" xr:uid="{00000000-0005-0000-0000-0000A8100000}"/>
    <cellStyle name="Финансовый 2 7 3 2 2" xfId="4264" xr:uid="{00000000-0005-0000-0000-0000A9100000}"/>
    <cellStyle name="Финансовый 2 7 3 3" xfId="4265" xr:uid="{00000000-0005-0000-0000-0000AA100000}"/>
    <cellStyle name="Финансовый 2 7 4" xfId="4266" xr:uid="{00000000-0005-0000-0000-0000AB100000}"/>
    <cellStyle name="Финансовый 2 7 4 2" xfId="4267" xr:uid="{00000000-0005-0000-0000-0000AC100000}"/>
    <cellStyle name="Финансовый 2 7 5" xfId="4268" xr:uid="{00000000-0005-0000-0000-0000AD100000}"/>
    <cellStyle name="Финансовый 2 8" xfId="4269" xr:uid="{00000000-0005-0000-0000-0000AE100000}"/>
    <cellStyle name="Финансовый 2 8 2" xfId="4270" xr:uid="{00000000-0005-0000-0000-0000AF100000}"/>
    <cellStyle name="Финансовый 2 8 2 2" xfId="4271" xr:uid="{00000000-0005-0000-0000-0000B0100000}"/>
    <cellStyle name="Финансовый 2 8 2 2 2" xfId="4272" xr:uid="{00000000-0005-0000-0000-0000B1100000}"/>
    <cellStyle name="Финансовый 2 8 2 3" xfId="4273" xr:uid="{00000000-0005-0000-0000-0000B2100000}"/>
    <cellStyle name="Финансовый 2 8 3" xfId="4274" xr:uid="{00000000-0005-0000-0000-0000B3100000}"/>
    <cellStyle name="Финансовый 2 8 3 2" xfId="4275" xr:uid="{00000000-0005-0000-0000-0000B4100000}"/>
    <cellStyle name="Финансовый 2 8 4" xfId="4276" xr:uid="{00000000-0005-0000-0000-0000B5100000}"/>
    <cellStyle name="Финансовый 2 9" xfId="4277" xr:uid="{00000000-0005-0000-0000-0000B6100000}"/>
    <cellStyle name="Финансовый 2 9 2" xfId="4278" xr:uid="{00000000-0005-0000-0000-0000B7100000}"/>
    <cellStyle name="Финансовый 2 9 2 2" xfId="4279" xr:uid="{00000000-0005-0000-0000-0000B8100000}"/>
    <cellStyle name="Финансовый 2 9 3" xfId="4280" xr:uid="{00000000-0005-0000-0000-0000B9100000}"/>
    <cellStyle name="Финансовый 20" xfId="4281" xr:uid="{00000000-0005-0000-0000-0000BA100000}"/>
    <cellStyle name="Финансовый 20 2" xfId="4282" xr:uid="{00000000-0005-0000-0000-0000BB100000}"/>
    <cellStyle name="Финансовый 21" xfId="4283" xr:uid="{00000000-0005-0000-0000-0000BC100000}"/>
    <cellStyle name="Финансовый 22" xfId="4284" xr:uid="{00000000-0005-0000-0000-0000BD100000}"/>
    <cellStyle name="Финансовый 3" xfId="4285" xr:uid="{00000000-0005-0000-0000-0000BE100000}"/>
    <cellStyle name="Финансовый 3 10" xfId="4286" xr:uid="{00000000-0005-0000-0000-0000BF100000}"/>
    <cellStyle name="Финансовый 3 10 2" xfId="4287" xr:uid="{00000000-0005-0000-0000-0000C0100000}"/>
    <cellStyle name="Финансовый 3 11" xfId="4288" xr:uid="{00000000-0005-0000-0000-0000C1100000}"/>
    <cellStyle name="Финансовый 3 2" xfId="4289" xr:uid="{00000000-0005-0000-0000-0000C2100000}"/>
    <cellStyle name="Финансовый 3 2 10" xfId="4290" xr:uid="{00000000-0005-0000-0000-0000C3100000}"/>
    <cellStyle name="Финансовый 3 2 2" xfId="4291" xr:uid="{00000000-0005-0000-0000-0000C4100000}"/>
    <cellStyle name="Финансовый 3 2 2 2" xfId="4292" xr:uid="{00000000-0005-0000-0000-0000C5100000}"/>
    <cellStyle name="Финансовый 3 2 2 2 2" xfId="4293" xr:uid="{00000000-0005-0000-0000-0000C6100000}"/>
    <cellStyle name="Финансовый 3 2 2 2 2 2" xfId="4294" xr:uid="{00000000-0005-0000-0000-0000C7100000}"/>
    <cellStyle name="Финансовый 3 2 2 2 2 2 2" xfId="4295" xr:uid="{00000000-0005-0000-0000-0000C8100000}"/>
    <cellStyle name="Финансовый 3 2 2 2 2 2 2 2" xfId="4296" xr:uid="{00000000-0005-0000-0000-0000C9100000}"/>
    <cellStyle name="Финансовый 3 2 2 2 2 2 2 2 2" xfId="4297" xr:uid="{00000000-0005-0000-0000-0000CA100000}"/>
    <cellStyle name="Финансовый 3 2 2 2 2 2 2 2 2 2" xfId="4298" xr:uid="{00000000-0005-0000-0000-0000CB100000}"/>
    <cellStyle name="Финансовый 3 2 2 2 2 2 2 2 2 2 2" xfId="4299" xr:uid="{00000000-0005-0000-0000-0000CC100000}"/>
    <cellStyle name="Финансовый 3 2 2 2 2 2 2 2 2 3" xfId="4300" xr:uid="{00000000-0005-0000-0000-0000CD100000}"/>
    <cellStyle name="Финансовый 3 2 2 2 2 2 2 2 3" xfId="4301" xr:uid="{00000000-0005-0000-0000-0000CE100000}"/>
    <cellStyle name="Финансовый 3 2 2 2 2 2 2 2 3 2" xfId="4302" xr:uid="{00000000-0005-0000-0000-0000CF100000}"/>
    <cellStyle name="Финансовый 3 2 2 2 2 2 2 2 4" xfId="4303" xr:uid="{00000000-0005-0000-0000-0000D0100000}"/>
    <cellStyle name="Финансовый 3 2 2 2 2 2 2 3" xfId="4304" xr:uid="{00000000-0005-0000-0000-0000D1100000}"/>
    <cellStyle name="Финансовый 3 2 2 2 2 2 2 3 2" xfId="4305" xr:uid="{00000000-0005-0000-0000-0000D2100000}"/>
    <cellStyle name="Финансовый 3 2 2 2 2 2 2 3 2 2" xfId="4306" xr:uid="{00000000-0005-0000-0000-0000D3100000}"/>
    <cellStyle name="Финансовый 3 2 2 2 2 2 2 3 3" xfId="4307" xr:uid="{00000000-0005-0000-0000-0000D4100000}"/>
    <cellStyle name="Финансовый 3 2 2 2 2 2 2 4" xfId="4308" xr:uid="{00000000-0005-0000-0000-0000D5100000}"/>
    <cellStyle name="Финансовый 3 2 2 2 2 2 2 4 2" xfId="4309" xr:uid="{00000000-0005-0000-0000-0000D6100000}"/>
    <cellStyle name="Финансовый 3 2 2 2 2 2 2 5" xfId="4310" xr:uid="{00000000-0005-0000-0000-0000D7100000}"/>
    <cellStyle name="Финансовый 3 2 2 2 2 2 3" xfId="4311" xr:uid="{00000000-0005-0000-0000-0000D8100000}"/>
    <cellStyle name="Финансовый 3 2 2 2 2 2 3 2" xfId="4312" xr:uid="{00000000-0005-0000-0000-0000D9100000}"/>
    <cellStyle name="Финансовый 3 2 2 2 2 2 3 2 2" xfId="4313" xr:uid="{00000000-0005-0000-0000-0000DA100000}"/>
    <cellStyle name="Финансовый 3 2 2 2 2 2 3 2 2 2" xfId="4314" xr:uid="{00000000-0005-0000-0000-0000DB100000}"/>
    <cellStyle name="Финансовый 3 2 2 2 2 2 3 2 3" xfId="4315" xr:uid="{00000000-0005-0000-0000-0000DC100000}"/>
    <cellStyle name="Финансовый 3 2 2 2 2 2 3 3" xfId="4316" xr:uid="{00000000-0005-0000-0000-0000DD100000}"/>
    <cellStyle name="Финансовый 3 2 2 2 2 2 3 3 2" xfId="4317" xr:uid="{00000000-0005-0000-0000-0000DE100000}"/>
    <cellStyle name="Финансовый 3 2 2 2 2 2 3 4" xfId="4318" xr:uid="{00000000-0005-0000-0000-0000DF100000}"/>
    <cellStyle name="Финансовый 3 2 2 2 2 2 4" xfId="4319" xr:uid="{00000000-0005-0000-0000-0000E0100000}"/>
    <cellStyle name="Финансовый 3 2 2 2 2 2 4 2" xfId="4320" xr:uid="{00000000-0005-0000-0000-0000E1100000}"/>
    <cellStyle name="Финансовый 3 2 2 2 2 2 4 2 2" xfId="4321" xr:uid="{00000000-0005-0000-0000-0000E2100000}"/>
    <cellStyle name="Финансовый 3 2 2 2 2 2 4 3" xfId="4322" xr:uid="{00000000-0005-0000-0000-0000E3100000}"/>
    <cellStyle name="Финансовый 3 2 2 2 2 2 5" xfId="4323" xr:uid="{00000000-0005-0000-0000-0000E4100000}"/>
    <cellStyle name="Финансовый 3 2 2 2 2 2 5 2" xfId="4324" xr:uid="{00000000-0005-0000-0000-0000E5100000}"/>
    <cellStyle name="Финансовый 3 2 2 2 2 2 6" xfId="4325" xr:uid="{00000000-0005-0000-0000-0000E6100000}"/>
    <cellStyle name="Финансовый 3 2 2 2 2 3" xfId="4326" xr:uid="{00000000-0005-0000-0000-0000E7100000}"/>
    <cellStyle name="Финансовый 3 2 2 2 2 3 2" xfId="4327" xr:uid="{00000000-0005-0000-0000-0000E8100000}"/>
    <cellStyle name="Финансовый 3 2 2 2 2 3 2 2" xfId="4328" xr:uid="{00000000-0005-0000-0000-0000E9100000}"/>
    <cellStyle name="Финансовый 3 2 2 2 2 3 2 2 2" xfId="4329" xr:uid="{00000000-0005-0000-0000-0000EA100000}"/>
    <cellStyle name="Финансовый 3 2 2 2 2 3 2 2 2 2" xfId="4330" xr:uid="{00000000-0005-0000-0000-0000EB100000}"/>
    <cellStyle name="Финансовый 3 2 2 2 2 3 2 2 3" xfId="4331" xr:uid="{00000000-0005-0000-0000-0000EC100000}"/>
    <cellStyle name="Финансовый 3 2 2 2 2 3 2 3" xfId="4332" xr:uid="{00000000-0005-0000-0000-0000ED100000}"/>
    <cellStyle name="Финансовый 3 2 2 2 2 3 2 3 2" xfId="4333" xr:uid="{00000000-0005-0000-0000-0000EE100000}"/>
    <cellStyle name="Финансовый 3 2 2 2 2 3 2 4" xfId="4334" xr:uid="{00000000-0005-0000-0000-0000EF100000}"/>
    <cellStyle name="Финансовый 3 2 2 2 2 3 3" xfId="4335" xr:uid="{00000000-0005-0000-0000-0000F0100000}"/>
    <cellStyle name="Финансовый 3 2 2 2 2 3 3 2" xfId="4336" xr:uid="{00000000-0005-0000-0000-0000F1100000}"/>
    <cellStyle name="Финансовый 3 2 2 2 2 3 3 2 2" xfId="4337" xr:uid="{00000000-0005-0000-0000-0000F2100000}"/>
    <cellStyle name="Финансовый 3 2 2 2 2 3 3 3" xfId="4338" xr:uid="{00000000-0005-0000-0000-0000F3100000}"/>
    <cellStyle name="Финансовый 3 2 2 2 2 3 4" xfId="4339" xr:uid="{00000000-0005-0000-0000-0000F4100000}"/>
    <cellStyle name="Финансовый 3 2 2 2 2 3 4 2" xfId="4340" xr:uid="{00000000-0005-0000-0000-0000F5100000}"/>
    <cellStyle name="Финансовый 3 2 2 2 2 3 5" xfId="4341" xr:uid="{00000000-0005-0000-0000-0000F6100000}"/>
    <cellStyle name="Финансовый 3 2 2 2 2 4" xfId="4342" xr:uid="{00000000-0005-0000-0000-0000F7100000}"/>
    <cellStyle name="Финансовый 3 2 2 2 2 4 2" xfId="4343" xr:uid="{00000000-0005-0000-0000-0000F8100000}"/>
    <cellStyle name="Финансовый 3 2 2 2 2 4 2 2" xfId="4344" xr:uid="{00000000-0005-0000-0000-0000F9100000}"/>
    <cellStyle name="Финансовый 3 2 2 2 2 4 2 2 2" xfId="4345" xr:uid="{00000000-0005-0000-0000-0000FA100000}"/>
    <cellStyle name="Финансовый 3 2 2 2 2 4 2 3" xfId="4346" xr:uid="{00000000-0005-0000-0000-0000FB100000}"/>
    <cellStyle name="Финансовый 3 2 2 2 2 4 3" xfId="4347" xr:uid="{00000000-0005-0000-0000-0000FC100000}"/>
    <cellStyle name="Финансовый 3 2 2 2 2 4 3 2" xfId="4348" xr:uid="{00000000-0005-0000-0000-0000FD100000}"/>
    <cellStyle name="Финансовый 3 2 2 2 2 4 4" xfId="4349" xr:uid="{00000000-0005-0000-0000-0000FE100000}"/>
    <cellStyle name="Финансовый 3 2 2 2 2 5" xfId="4350" xr:uid="{00000000-0005-0000-0000-0000FF100000}"/>
    <cellStyle name="Финансовый 3 2 2 2 2 5 2" xfId="4351" xr:uid="{00000000-0005-0000-0000-000000110000}"/>
    <cellStyle name="Финансовый 3 2 2 2 2 5 2 2" xfId="4352" xr:uid="{00000000-0005-0000-0000-000001110000}"/>
    <cellStyle name="Финансовый 3 2 2 2 2 5 3" xfId="4353" xr:uid="{00000000-0005-0000-0000-000002110000}"/>
    <cellStyle name="Финансовый 3 2 2 2 2 6" xfId="4354" xr:uid="{00000000-0005-0000-0000-000003110000}"/>
    <cellStyle name="Финансовый 3 2 2 2 2 6 2" xfId="4355" xr:uid="{00000000-0005-0000-0000-000004110000}"/>
    <cellStyle name="Финансовый 3 2 2 2 2 7" xfId="4356" xr:uid="{00000000-0005-0000-0000-000005110000}"/>
    <cellStyle name="Финансовый 3 2 2 2 3" xfId="4357" xr:uid="{00000000-0005-0000-0000-000006110000}"/>
    <cellStyle name="Финансовый 3 2 2 2 3 2" xfId="4358" xr:uid="{00000000-0005-0000-0000-000007110000}"/>
    <cellStyle name="Финансовый 3 2 2 2 3 2 2" xfId="4359" xr:uid="{00000000-0005-0000-0000-000008110000}"/>
    <cellStyle name="Финансовый 3 2 2 2 3 2 2 2" xfId="4360" xr:uid="{00000000-0005-0000-0000-000009110000}"/>
    <cellStyle name="Финансовый 3 2 2 2 3 2 2 2 2" xfId="4361" xr:uid="{00000000-0005-0000-0000-00000A110000}"/>
    <cellStyle name="Финансовый 3 2 2 2 3 2 2 2 2 2" xfId="4362" xr:uid="{00000000-0005-0000-0000-00000B110000}"/>
    <cellStyle name="Финансовый 3 2 2 2 3 2 2 2 3" xfId="4363" xr:uid="{00000000-0005-0000-0000-00000C110000}"/>
    <cellStyle name="Финансовый 3 2 2 2 3 2 2 3" xfId="4364" xr:uid="{00000000-0005-0000-0000-00000D110000}"/>
    <cellStyle name="Финансовый 3 2 2 2 3 2 2 3 2" xfId="4365" xr:uid="{00000000-0005-0000-0000-00000E110000}"/>
    <cellStyle name="Финансовый 3 2 2 2 3 2 2 4" xfId="4366" xr:uid="{00000000-0005-0000-0000-00000F110000}"/>
    <cellStyle name="Финансовый 3 2 2 2 3 2 3" xfId="4367" xr:uid="{00000000-0005-0000-0000-000010110000}"/>
    <cellStyle name="Финансовый 3 2 2 2 3 2 3 2" xfId="4368" xr:uid="{00000000-0005-0000-0000-000011110000}"/>
    <cellStyle name="Финансовый 3 2 2 2 3 2 3 2 2" xfId="4369" xr:uid="{00000000-0005-0000-0000-000012110000}"/>
    <cellStyle name="Финансовый 3 2 2 2 3 2 3 3" xfId="4370" xr:uid="{00000000-0005-0000-0000-000013110000}"/>
    <cellStyle name="Финансовый 3 2 2 2 3 2 4" xfId="4371" xr:uid="{00000000-0005-0000-0000-000014110000}"/>
    <cellStyle name="Финансовый 3 2 2 2 3 2 4 2" xfId="4372" xr:uid="{00000000-0005-0000-0000-000015110000}"/>
    <cellStyle name="Финансовый 3 2 2 2 3 2 5" xfId="4373" xr:uid="{00000000-0005-0000-0000-000016110000}"/>
    <cellStyle name="Финансовый 3 2 2 2 3 3" xfId="4374" xr:uid="{00000000-0005-0000-0000-000017110000}"/>
    <cellStyle name="Финансовый 3 2 2 2 3 3 2" xfId="4375" xr:uid="{00000000-0005-0000-0000-000018110000}"/>
    <cellStyle name="Финансовый 3 2 2 2 3 3 2 2" xfId="4376" xr:uid="{00000000-0005-0000-0000-000019110000}"/>
    <cellStyle name="Финансовый 3 2 2 2 3 3 2 2 2" xfId="4377" xr:uid="{00000000-0005-0000-0000-00001A110000}"/>
    <cellStyle name="Финансовый 3 2 2 2 3 3 2 3" xfId="4378" xr:uid="{00000000-0005-0000-0000-00001B110000}"/>
    <cellStyle name="Финансовый 3 2 2 2 3 3 3" xfId="4379" xr:uid="{00000000-0005-0000-0000-00001C110000}"/>
    <cellStyle name="Финансовый 3 2 2 2 3 3 3 2" xfId="4380" xr:uid="{00000000-0005-0000-0000-00001D110000}"/>
    <cellStyle name="Финансовый 3 2 2 2 3 3 4" xfId="4381" xr:uid="{00000000-0005-0000-0000-00001E110000}"/>
    <cellStyle name="Финансовый 3 2 2 2 3 4" xfId="4382" xr:uid="{00000000-0005-0000-0000-00001F110000}"/>
    <cellStyle name="Финансовый 3 2 2 2 3 4 2" xfId="4383" xr:uid="{00000000-0005-0000-0000-000020110000}"/>
    <cellStyle name="Финансовый 3 2 2 2 3 4 2 2" xfId="4384" xr:uid="{00000000-0005-0000-0000-000021110000}"/>
    <cellStyle name="Финансовый 3 2 2 2 3 4 3" xfId="4385" xr:uid="{00000000-0005-0000-0000-000022110000}"/>
    <cellStyle name="Финансовый 3 2 2 2 3 5" xfId="4386" xr:uid="{00000000-0005-0000-0000-000023110000}"/>
    <cellStyle name="Финансовый 3 2 2 2 3 5 2" xfId="4387" xr:uid="{00000000-0005-0000-0000-000024110000}"/>
    <cellStyle name="Финансовый 3 2 2 2 3 6" xfId="4388" xr:uid="{00000000-0005-0000-0000-000025110000}"/>
    <cellStyle name="Финансовый 3 2 2 2 4" xfId="4389" xr:uid="{00000000-0005-0000-0000-000026110000}"/>
    <cellStyle name="Финансовый 3 2 2 2 4 2" xfId="4390" xr:uid="{00000000-0005-0000-0000-000027110000}"/>
    <cellStyle name="Финансовый 3 2 2 2 4 2 2" xfId="4391" xr:uid="{00000000-0005-0000-0000-000028110000}"/>
    <cellStyle name="Финансовый 3 2 2 2 4 2 2 2" xfId="4392" xr:uid="{00000000-0005-0000-0000-000029110000}"/>
    <cellStyle name="Финансовый 3 2 2 2 4 2 2 2 2" xfId="4393" xr:uid="{00000000-0005-0000-0000-00002A110000}"/>
    <cellStyle name="Финансовый 3 2 2 2 4 2 2 3" xfId="4394" xr:uid="{00000000-0005-0000-0000-00002B110000}"/>
    <cellStyle name="Финансовый 3 2 2 2 4 2 3" xfId="4395" xr:uid="{00000000-0005-0000-0000-00002C110000}"/>
    <cellStyle name="Финансовый 3 2 2 2 4 2 3 2" xfId="4396" xr:uid="{00000000-0005-0000-0000-00002D110000}"/>
    <cellStyle name="Финансовый 3 2 2 2 4 2 4" xfId="4397" xr:uid="{00000000-0005-0000-0000-00002E110000}"/>
    <cellStyle name="Финансовый 3 2 2 2 4 3" xfId="4398" xr:uid="{00000000-0005-0000-0000-00002F110000}"/>
    <cellStyle name="Финансовый 3 2 2 2 4 3 2" xfId="4399" xr:uid="{00000000-0005-0000-0000-000030110000}"/>
    <cellStyle name="Финансовый 3 2 2 2 4 3 2 2" xfId="4400" xr:uid="{00000000-0005-0000-0000-000031110000}"/>
    <cellStyle name="Финансовый 3 2 2 2 4 3 3" xfId="4401" xr:uid="{00000000-0005-0000-0000-000032110000}"/>
    <cellStyle name="Финансовый 3 2 2 2 4 4" xfId="4402" xr:uid="{00000000-0005-0000-0000-000033110000}"/>
    <cellStyle name="Финансовый 3 2 2 2 4 4 2" xfId="4403" xr:uid="{00000000-0005-0000-0000-000034110000}"/>
    <cellStyle name="Финансовый 3 2 2 2 4 5" xfId="4404" xr:uid="{00000000-0005-0000-0000-000035110000}"/>
    <cellStyle name="Финансовый 3 2 2 2 5" xfId="4405" xr:uid="{00000000-0005-0000-0000-000036110000}"/>
    <cellStyle name="Финансовый 3 2 2 2 5 2" xfId="4406" xr:uid="{00000000-0005-0000-0000-000037110000}"/>
    <cellStyle name="Финансовый 3 2 2 2 5 2 2" xfId="4407" xr:uid="{00000000-0005-0000-0000-000038110000}"/>
    <cellStyle name="Финансовый 3 2 2 2 5 2 2 2" xfId="4408" xr:uid="{00000000-0005-0000-0000-000039110000}"/>
    <cellStyle name="Финансовый 3 2 2 2 5 2 3" xfId="4409" xr:uid="{00000000-0005-0000-0000-00003A110000}"/>
    <cellStyle name="Финансовый 3 2 2 2 5 3" xfId="4410" xr:uid="{00000000-0005-0000-0000-00003B110000}"/>
    <cellStyle name="Финансовый 3 2 2 2 5 3 2" xfId="4411" xr:uid="{00000000-0005-0000-0000-00003C110000}"/>
    <cellStyle name="Финансовый 3 2 2 2 5 4" xfId="4412" xr:uid="{00000000-0005-0000-0000-00003D110000}"/>
    <cellStyle name="Финансовый 3 2 2 2 6" xfId="4413" xr:uid="{00000000-0005-0000-0000-00003E110000}"/>
    <cellStyle name="Финансовый 3 2 2 2 6 2" xfId="4414" xr:uid="{00000000-0005-0000-0000-00003F110000}"/>
    <cellStyle name="Финансовый 3 2 2 2 6 2 2" xfId="4415" xr:uid="{00000000-0005-0000-0000-000040110000}"/>
    <cellStyle name="Финансовый 3 2 2 2 6 3" xfId="4416" xr:uid="{00000000-0005-0000-0000-000041110000}"/>
    <cellStyle name="Финансовый 3 2 2 2 7" xfId="4417" xr:uid="{00000000-0005-0000-0000-000042110000}"/>
    <cellStyle name="Финансовый 3 2 2 2 7 2" xfId="4418" xr:uid="{00000000-0005-0000-0000-000043110000}"/>
    <cellStyle name="Финансовый 3 2 2 2 8" xfId="4419" xr:uid="{00000000-0005-0000-0000-000044110000}"/>
    <cellStyle name="Финансовый 3 2 2 3" xfId="4420" xr:uid="{00000000-0005-0000-0000-000045110000}"/>
    <cellStyle name="Финансовый 3 2 2 3 2" xfId="4421" xr:uid="{00000000-0005-0000-0000-000046110000}"/>
    <cellStyle name="Финансовый 3 2 2 3 2 2" xfId="4422" xr:uid="{00000000-0005-0000-0000-000047110000}"/>
    <cellStyle name="Финансовый 3 2 2 3 2 2 2" xfId="4423" xr:uid="{00000000-0005-0000-0000-000048110000}"/>
    <cellStyle name="Финансовый 3 2 2 3 2 2 2 2" xfId="4424" xr:uid="{00000000-0005-0000-0000-000049110000}"/>
    <cellStyle name="Финансовый 3 2 2 3 2 2 2 2 2" xfId="4425" xr:uid="{00000000-0005-0000-0000-00004A110000}"/>
    <cellStyle name="Финансовый 3 2 2 3 2 2 2 2 2 2" xfId="4426" xr:uid="{00000000-0005-0000-0000-00004B110000}"/>
    <cellStyle name="Финансовый 3 2 2 3 2 2 2 2 3" xfId="4427" xr:uid="{00000000-0005-0000-0000-00004C110000}"/>
    <cellStyle name="Финансовый 3 2 2 3 2 2 2 3" xfId="4428" xr:uid="{00000000-0005-0000-0000-00004D110000}"/>
    <cellStyle name="Финансовый 3 2 2 3 2 2 2 3 2" xfId="4429" xr:uid="{00000000-0005-0000-0000-00004E110000}"/>
    <cellStyle name="Финансовый 3 2 2 3 2 2 2 4" xfId="4430" xr:uid="{00000000-0005-0000-0000-00004F110000}"/>
    <cellStyle name="Финансовый 3 2 2 3 2 2 3" xfId="4431" xr:uid="{00000000-0005-0000-0000-000050110000}"/>
    <cellStyle name="Финансовый 3 2 2 3 2 2 3 2" xfId="4432" xr:uid="{00000000-0005-0000-0000-000051110000}"/>
    <cellStyle name="Финансовый 3 2 2 3 2 2 3 2 2" xfId="4433" xr:uid="{00000000-0005-0000-0000-000052110000}"/>
    <cellStyle name="Финансовый 3 2 2 3 2 2 3 3" xfId="4434" xr:uid="{00000000-0005-0000-0000-000053110000}"/>
    <cellStyle name="Финансовый 3 2 2 3 2 2 4" xfId="4435" xr:uid="{00000000-0005-0000-0000-000054110000}"/>
    <cellStyle name="Финансовый 3 2 2 3 2 2 4 2" xfId="4436" xr:uid="{00000000-0005-0000-0000-000055110000}"/>
    <cellStyle name="Финансовый 3 2 2 3 2 2 5" xfId="4437" xr:uid="{00000000-0005-0000-0000-000056110000}"/>
    <cellStyle name="Финансовый 3 2 2 3 2 3" xfId="4438" xr:uid="{00000000-0005-0000-0000-000057110000}"/>
    <cellStyle name="Финансовый 3 2 2 3 2 3 2" xfId="4439" xr:uid="{00000000-0005-0000-0000-000058110000}"/>
    <cellStyle name="Финансовый 3 2 2 3 2 3 2 2" xfId="4440" xr:uid="{00000000-0005-0000-0000-000059110000}"/>
    <cellStyle name="Финансовый 3 2 2 3 2 3 2 2 2" xfId="4441" xr:uid="{00000000-0005-0000-0000-00005A110000}"/>
    <cellStyle name="Финансовый 3 2 2 3 2 3 2 3" xfId="4442" xr:uid="{00000000-0005-0000-0000-00005B110000}"/>
    <cellStyle name="Финансовый 3 2 2 3 2 3 3" xfId="4443" xr:uid="{00000000-0005-0000-0000-00005C110000}"/>
    <cellStyle name="Финансовый 3 2 2 3 2 3 3 2" xfId="4444" xr:uid="{00000000-0005-0000-0000-00005D110000}"/>
    <cellStyle name="Финансовый 3 2 2 3 2 3 4" xfId="4445" xr:uid="{00000000-0005-0000-0000-00005E110000}"/>
    <cellStyle name="Финансовый 3 2 2 3 2 4" xfId="4446" xr:uid="{00000000-0005-0000-0000-00005F110000}"/>
    <cellStyle name="Финансовый 3 2 2 3 2 4 2" xfId="4447" xr:uid="{00000000-0005-0000-0000-000060110000}"/>
    <cellStyle name="Финансовый 3 2 2 3 2 4 2 2" xfId="4448" xr:uid="{00000000-0005-0000-0000-000061110000}"/>
    <cellStyle name="Финансовый 3 2 2 3 2 4 3" xfId="4449" xr:uid="{00000000-0005-0000-0000-000062110000}"/>
    <cellStyle name="Финансовый 3 2 2 3 2 5" xfId="4450" xr:uid="{00000000-0005-0000-0000-000063110000}"/>
    <cellStyle name="Финансовый 3 2 2 3 2 5 2" xfId="4451" xr:uid="{00000000-0005-0000-0000-000064110000}"/>
    <cellStyle name="Финансовый 3 2 2 3 2 6" xfId="4452" xr:uid="{00000000-0005-0000-0000-000065110000}"/>
    <cellStyle name="Финансовый 3 2 2 3 3" xfId="4453" xr:uid="{00000000-0005-0000-0000-000066110000}"/>
    <cellStyle name="Финансовый 3 2 2 3 3 2" xfId="4454" xr:uid="{00000000-0005-0000-0000-000067110000}"/>
    <cellStyle name="Финансовый 3 2 2 3 3 2 2" xfId="4455" xr:uid="{00000000-0005-0000-0000-000068110000}"/>
    <cellStyle name="Финансовый 3 2 2 3 3 2 2 2" xfId="4456" xr:uid="{00000000-0005-0000-0000-000069110000}"/>
    <cellStyle name="Финансовый 3 2 2 3 3 2 2 2 2" xfId="4457" xr:uid="{00000000-0005-0000-0000-00006A110000}"/>
    <cellStyle name="Финансовый 3 2 2 3 3 2 2 3" xfId="4458" xr:uid="{00000000-0005-0000-0000-00006B110000}"/>
    <cellStyle name="Финансовый 3 2 2 3 3 2 3" xfId="4459" xr:uid="{00000000-0005-0000-0000-00006C110000}"/>
    <cellStyle name="Финансовый 3 2 2 3 3 2 3 2" xfId="4460" xr:uid="{00000000-0005-0000-0000-00006D110000}"/>
    <cellStyle name="Финансовый 3 2 2 3 3 2 4" xfId="4461" xr:uid="{00000000-0005-0000-0000-00006E110000}"/>
    <cellStyle name="Финансовый 3 2 2 3 3 3" xfId="4462" xr:uid="{00000000-0005-0000-0000-00006F110000}"/>
    <cellStyle name="Финансовый 3 2 2 3 3 3 2" xfId="4463" xr:uid="{00000000-0005-0000-0000-000070110000}"/>
    <cellStyle name="Финансовый 3 2 2 3 3 3 2 2" xfId="4464" xr:uid="{00000000-0005-0000-0000-000071110000}"/>
    <cellStyle name="Финансовый 3 2 2 3 3 3 3" xfId="4465" xr:uid="{00000000-0005-0000-0000-000072110000}"/>
    <cellStyle name="Финансовый 3 2 2 3 3 4" xfId="4466" xr:uid="{00000000-0005-0000-0000-000073110000}"/>
    <cellStyle name="Финансовый 3 2 2 3 3 4 2" xfId="4467" xr:uid="{00000000-0005-0000-0000-000074110000}"/>
    <cellStyle name="Финансовый 3 2 2 3 3 5" xfId="4468" xr:uid="{00000000-0005-0000-0000-000075110000}"/>
    <cellStyle name="Финансовый 3 2 2 3 4" xfId="4469" xr:uid="{00000000-0005-0000-0000-000076110000}"/>
    <cellStyle name="Финансовый 3 2 2 3 4 2" xfId="4470" xr:uid="{00000000-0005-0000-0000-000077110000}"/>
    <cellStyle name="Финансовый 3 2 2 3 4 2 2" xfId="4471" xr:uid="{00000000-0005-0000-0000-000078110000}"/>
    <cellStyle name="Финансовый 3 2 2 3 4 2 2 2" xfId="4472" xr:uid="{00000000-0005-0000-0000-000079110000}"/>
    <cellStyle name="Финансовый 3 2 2 3 4 2 3" xfId="4473" xr:uid="{00000000-0005-0000-0000-00007A110000}"/>
    <cellStyle name="Финансовый 3 2 2 3 4 3" xfId="4474" xr:uid="{00000000-0005-0000-0000-00007B110000}"/>
    <cellStyle name="Финансовый 3 2 2 3 4 3 2" xfId="4475" xr:uid="{00000000-0005-0000-0000-00007C110000}"/>
    <cellStyle name="Финансовый 3 2 2 3 4 4" xfId="4476" xr:uid="{00000000-0005-0000-0000-00007D110000}"/>
    <cellStyle name="Финансовый 3 2 2 3 5" xfId="4477" xr:uid="{00000000-0005-0000-0000-00007E110000}"/>
    <cellStyle name="Финансовый 3 2 2 3 5 2" xfId="4478" xr:uid="{00000000-0005-0000-0000-00007F110000}"/>
    <cellStyle name="Финансовый 3 2 2 3 5 2 2" xfId="4479" xr:uid="{00000000-0005-0000-0000-000080110000}"/>
    <cellStyle name="Финансовый 3 2 2 3 5 3" xfId="4480" xr:uid="{00000000-0005-0000-0000-000081110000}"/>
    <cellStyle name="Финансовый 3 2 2 3 6" xfId="4481" xr:uid="{00000000-0005-0000-0000-000082110000}"/>
    <cellStyle name="Финансовый 3 2 2 3 6 2" xfId="4482" xr:uid="{00000000-0005-0000-0000-000083110000}"/>
    <cellStyle name="Финансовый 3 2 2 3 7" xfId="4483" xr:uid="{00000000-0005-0000-0000-000084110000}"/>
    <cellStyle name="Финансовый 3 2 2 4" xfId="4484" xr:uid="{00000000-0005-0000-0000-000085110000}"/>
    <cellStyle name="Финансовый 3 2 2 4 2" xfId="4485" xr:uid="{00000000-0005-0000-0000-000086110000}"/>
    <cellStyle name="Финансовый 3 2 2 4 2 2" xfId="4486" xr:uid="{00000000-0005-0000-0000-000087110000}"/>
    <cellStyle name="Финансовый 3 2 2 4 2 2 2" xfId="4487" xr:uid="{00000000-0005-0000-0000-000088110000}"/>
    <cellStyle name="Финансовый 3 2 2 4 2 2 2 2" xfId="4488" xr:uid="{00000000-0005-0000-0000-000089110000}"/>
    <cellStyle name="Финансовый 3 2 2 4 2 2 2 2 2" xfId="4489" xr:uid="{00000000-0005-0000-0000-00008A110000}"/>
    <cellStyle name="Финансовый 3 2 2 4 2 2 2 3" xfId="4490" xr:uid="{00000000-0005-0000-0000-00008B110000}"/>
    <cellStyle name="Финансовый 3 2 2 4 2 2 3" xfId="4491" xr:uid="{00000000-0005-0000-0000-00008C110000}"/>
    <cellStyle name="Финансовый 3 2 2 4 2 2 3 2" xfId="4492" xr:uid="{00000000-0005-0000-0000-00008D110000}"/>
    <cellStyle name="Финансовый 3 2 2 4 2 2 4" xfId="4493" xr:uid="{00000000-0005-0000-0000-00008E110000}"/>
    <cellStyle name="Финансовый 3 2 2 4 2 3" xfId="4494" xr:uid="{00000000-0005-0000-0000-00008F110000}"/>
    <cellStyle name="Финансовый 3 2 2 4 2 3 2" xfId="4495" xr:uid="{00000000-0005-0000-0000-000090110000}"/>
    <cellStyle name="Финансовый 3 2 2 4 2 3 2 2" xfId="4496" xr:uid="{00000000-0005-0000-0000-000091110000}"/>
    <cellStyle name="Финансовый 3 2 2 4 2 3 3" xfId="4497" xr:uid="{00000000-0005-0000-0000-000092110000}"/>
    <cellStyle name="Финансовый 3 2 2 4 2 4" xfId="4498" xr:uid="{00000000-0005-0000-0000-000093110000}"/>
    <cellStyle name="Финансовый 3 2 2 4 2 4 2" xfId="4499" xr:uid="{00000000-0005-0000-0000-000094110000}"/>
    <cellStyle name="Финансовый 3 2 2 4 2 5" xfId="4500" xr:uid="{00000000-0005-0000-0000-000095110000}"/>
    <cellStyle name="Финансовый 3 2 2 4 3" xfId="4501" xr:uid="{00000000-0005-0000-0000-000096110000}"/>
    <cellStyle name="Финансовый 3 2 2 4 3 2" xfId="4502" xr:uid="{00000000-0005-0000-0000-000097110000}"/>
    <cellStyle name="Финансовый 3 2 2 4 3 2 2" xfId="4503" xr:uid="{00000000-0005-0000-0000-000098110000}"/>
    <cellStyle name="Финансовый 3 2 2 4 3 2 2 2" xfId="4504" xr:uid="{00000000-0005-0000-0000-000099110000}"/>
    <cellStyle name="Финансовый 3 2 2 4 3 2 3" xfId="4505" xr:uid="{00000000-0005-0000-0000-00009A110000}"/>
    <cellStyle name="Финансовый 3 2 2 4 3 3" xfId="4506" xr:uid="{00000000-0005-0000-0000-00009B110000}"/>
    <cellStyle name="Финансовый 3 2 2 4 3 3 2" xfId="4507" xr:uid="{00000000-0005-0000-0000-00009C110000}"/>
    <cellStyle name="Финансовый 3 2 2 4 3 4" xfId="4508" xr:uid="{00000000-0005-0000-0000-00009D110000}"/>
    <cellStyle name="Финансовый 3 2 2 4 4" xfId="4509" xr:uid="{00000000-0005-0000-0000-00009E110000}"/>
    <cellStyle name="Финансовый 3 2 2 4 4 2" xfId="4510" xr:uid="{00000000-0005-0000-0000-00009F110000}"/>
    <cellStyle name="Финансовый 3 2 2 4 4 2 2" xfId="4511" xr:uid="{00000000-0005-0000-0000-0000A0110000}"/>
    <cellStyle name="Финансовый 3 2 2 4 4 3" xfId="4512" xr:uid="{00000000-0005-0000-0000-0000A1110000}"/>
    <cellStyle name="Финансовый 3 2 2 4 5" xfId="4513" xr:uid="{00000000-0005-0000-0000-0000A2110000}"/>
    <cellStyle name="Финансовый 3 2 2 4 5 2" xfId="4514" xr:uid="{00000000-0005-0000-0000-0000A3110000}"/>
    <cellStyle name="Финансовый 3 2 2 4 6" xfId="4515" xr:uid="{00000000-0005-0000-0000-0000A4110000}"/>
    <cellStyle name="Финансовый 3 2 2 5" xfId="4516" xr:uid="{00000000-0005-0000-0000-0000A5110000}"/>
    <cellStyle name="Финансовый 3 2 2 5 2" xfId="4517" xr:uid="{00000000-0005-0000-0000-0000A6110000}"/>
    <cellStyle name="Финансовый 3 2 2 5 2 2" xfId="4518" xr:uid="{00000000-0005-0000-0000-0000A7110000}"/>
    <cellStyle name="Финансовый 3 2 2 5 2 2 2" xfId="4519" xr:uid="{00000000-0005-0000-0000-0000A8110000}"/>
    <cellStyle name="Финансовый 3 2 2 5 2 2 2 2" xfId="4520" xr:uid="{00000000-0005-0000-0000-0000A9110000}"/>
    <cellStyle name="Финансовый 3 2 2 5 2 2 3" xfId="4521" xr:uid="{00000000-0005-0000-0000-0000AA110000}"/>
    <cellStyle name="Финансовый 3 2 2 5 2 3" xfId="4522" xr:uid="{00000000-0005-0000-0000-0000AB110000}"/>
    <cellStyle name="Финансовый 3 2 2 5 2 3 2" xfId="4523" xr:uid="{00000000-0005-0000-0000-0000AC110000}"/>
    <cellStyle name="Финансовый 3 2 2 5 2 4" xfId="4524" xr:uid="{00000000-0005-0000-0000-0000AD110000}"/>
    <cellStyle name="Финансовый 3 2 2 5 3" xfId="4525" xr:uid="{00000000-0005-0000-0000-0000AE110000}"/>
    <cellStyle name="Финансовый 3 2 2 5 3 2" xfId="4526" xr:uid="{00000000-0005-0000-0000-0000AF110000}"/>
    <cellStyle name="Финансовый 3 2 2 5 3 2 2" xfId="4527" xr:uid="{00000000-0005-0000-0000-0000B0110000}"/>
    <cellStyle name="Финансовый 3 2 2 5 3 3" xfId="4528" xr:uid="{00000000-0005-0000-0000-0000B1110000}"/>
    <cellStyle name="Финансовый 3 2 2 5 4" xfId="4529" xr:uid="{00000000-0005-0000-0000-0000B2110000}"/>
    <cellStyle name="Финансовый 3 2 2 5 4 2" xfId="4530" xr:uid="{00000000-0005-0000-0000-0000B3110000}"/>
    <cellStyle name="Финансовый 3 2 2 5 5" xfId="4531" xr:uid="{00000000-0005-0000-0000-0000B4110000}"/>
    <cellStyle name="Финансовый 3 2 2 6" xfId="4532" xr:uid="{00000000-0005-0000-0000-0000B5110000}"/>
    <cellStyle name="Финансовый 3 2 2 6 2" xfId="4533" xr:uid="{00000000-0005-0000-0000-0000B6110000}"/>
    <cellStyle name="Финансовый 3 2 2 6 2 2" xfId="4534" xr:uid="{00000000-0005-0000-0000-0000B7110000}"/>
    <cellStyle name="Финансовый 3 2 2 6 2 2 2" xfId="4535" xr:uid="{00000000-0005-0000-0000-0000B8110000}"/>
    <cellStyle name="Финансовый 3 2 2 6 2 3" xfId="4536" xr:uid="{00000000-0005-0000-0000-0000B9110000}"/>
    <cellStyle name="Финансовый 3 2 2 6 3" xfId="4537" xr:uid="{00000000-0005-0000-0000-0000BA110000}"/>
    <cellStyle name="Финансовый 3 2 2 6 3 2" xfId="4538" xr:uid="{00000000-0005-0000-0000-0000BB110000}"/>
    <cellStyle name="Финансовый 3 2 2 6 4" xfId="4539" xr:uid="{00000000-0005-0000-0000-0000BC110000}"/>
    <cellStyle name="Финансовый 3 2 2 7" xfId="4540" xr:uid="{00000000-0005-0000-0000-0000BD110000}"/>
    <cellStyle name="Финансовый 3 2 2 7 2" xfId="4541" xr:uid="{00000000-0005-0000-0000-0000BE110000}"/>
    <cellStyle name="Финансовый 3 2 2 7 2 2" xfId="4542" xr:uid="{00000000-0005-0000-0000-0000BF110000}"/>
    <cellStyle name="Финансовый 3 2 2 7 3" xfId="4543" xr:uid="{00000000-0005-0000-0000-0000C0110000}"/>
    <cellStyle name="Финансовый 3 2 2 8" xfId="4544" xr:uid="{00000000-0005-0000-0000-0000C1110000}"/>
    <cellStyle name="Финансовый 3 2 2 8 2" xfId="4545" xr:uid="{00000000-0005-0000-0000-0000C2110000}"/>
    <cellStyle name="Финансовый 3 2 2 9" xfId="4546" xr:uid="{00000000-0005-0000-0000-0000C3110000}"/>
    <cellStyle name="Финансовый 3 2 3" xfId="4547" xr:uid="{00000000-0005-0000-0000-0000C4110000}"/>
    <cellStyle name="Финансовый 3 2 3 2" xfId="4548" xr:uid="{00000000-0005-0000-0000-0000C5110000}"/>
    <cellStyle name="Финансовый 3 2 3 2 2" xfId="4549" xr:uid="{00000000-0005-0000-0000-0000C6110000}"/>
    <cellStyle name="Финансовый 3 2 3 2 2 2" xfId="4550" xr:uid="{00000000-0005-0000-0000-0000C7110000}"/>
    <cellStyle name="Финансовый 3 2 3 2 2 2 2" xfId="4551" xr:uid="{00000000-0005-0000-0000-0000C8110000}"/>
    <cellStyle name="Финансовый 3 2 3 2 2 2 2 2" xfId="4552" xr:uid="{00000000-0005-0000-0000-0000C9110000}"/>
    <cellStyle name="Финансовый 3 2 3 2 2 2 2 2 2" xfId="4553" xr:uid="{00000000-0005-0000-0000-0000CA110000}"/>
    <cellStyle name="Финансовый 3 2 3 2 2 2 2 2 2 2" xfId="4554" xr:uid="{00000000-0005-0000-0000-0000CB110000}"/>
    <cellStyle name="Финансовый 3 2 3 2 2 2 2 2 3" xfId="4555" xr:uid="{00000000-0005-0000-0000-0000CC110000}"/>
    <cellStyle name="Финансовый 3 2 3 2 2 2 2 3" xfId="4556" xr:uid="{00000000-0005-0000-0000-0000CD110000}"/>
    <cellStyle name="Финансовый 3 2 3 2 2 2 2 3 2" xfId="4557" xr:uid="{00000000-0005-0000-0000-0000CE110000}"/>
    <cellStyle name="Финансовый 3 2 3 2 2 2 2 4" xfId="4558" xr:uid="{00000000-0005-0000-0000-0000CF110000}"/>
    <cellStyle name="Финансовый 3 2 3 2 2 2 3" xfId="4559" xr:uid="{00000000-0005-0000-0000-0000D0110000}"/>
    <cellStyle name="Финансовый 3 2 3 2 2 2 3 2" xfId="4560" xr:uid="{00000000-0005-0000-0000-0000D1110000}"/>
    <cellStyle name="Финансовый 3 2 3 2 2 2 3 2 2" xfId="4561" xr:uid="{00000000-0005-0000-0000-0000D2110000}"/>
    <cellStyle name="Финансовый 3 2 3 2 2 2 3 3" xfId="4562" xr:uid="{00000000-0005-0000-0000-0000D3110000}"/>
    <cellStyle name="Финансовый 3 2 3 2 2 2 4" xfId="4563" xr:uid="{00000000-0005-0000-0000-0000D4110000}"/>
    <cellStyle name="Финансовый 3 2 3 2 2 2 4 2" xfId="4564" xr:uid="{00000000-0005-0000-0000-0000D5110000}"/>
    <cellStyle name="Финансовый 3 2 3 2 2 2 5" xfId="4565" xr:uid="{00000000-0005-0000-0000-0000D6110000}"/>
    <cellStyle name="Финансовый 3 2 3 2 2 3" xfId="4566" xr:uid="{00000000-0005-0000-0000-0000D7110000}"/>
    <cellStyle name="Финансовый 3 2 3 2 2 3 2" xfId="4567" xr:uid="{00000000-0005-0000-0000-0000D8110000}"/>
    <cellStyle name="Финансовый 3 2 3 2 2 3 2 2" xfId="4568" xr:uid="{00000000-0005-0000-0000-0000D9110000}"/>
    <cellStyle name="Финансовый 3 2 3 2 2 3 2 2 2" xfId="4569" xr:uid="{00000000-0005-0000-0000-0000DA110000}"/>
    <cellStyle name="Финансовый 3 2 3 2 2 3 2 3" xfId="4570" xr:uid="{00000000-0005-0000-0000-0000DB110000}"/>
    <cellStyle name="Финансовый 3 2 3 2 2 3 3" xfId="4571" xr:uid="{00000000-0005-0000-0000-0000DC110000}"/>
    <cellStyle name="Финансовый 3 2 3 2 2 3 3 2" xfId="4572" xr:uid="{00000000-0005-0000-0000-0000DD110000}"/>
    <cellStyle name="Финансовый 3 2 3 2 2 3 4" xfId="4573" xr:uid="{00000000-0005-0000-0000-0000DE110000}"/>
    <cellStyle name="Финансовый 3 2 3 2 2 4" xfId="4574" xr:uid="{00000000-0005-0000-0000-0000DF110000}"/>
    <cellStyle name="Финансовый 3 2 3 2 2 4 2" xfId="4575" xr:uid="{00000000-0005-0000-0000-0000E0110000}"/>
    <cellStyle name="Финансовый 3 2 3 2 2 4 2 2" xfId="4576" xr:uid="{00000000-0005-0000-0000-0000E1110000}"/>
    <cellStyle name="Финансовый 3 2 3 2 2 4 3" xfId="4577" xr:uid="{00000000-0005-0000-0000-0000E2110000}"/>
    <cellStyle name="Финансовый 3 2 3 2 2 5" xfId="4578" xr:uid="{00000000-0005-0000-0000-0000E3110000}"/>
    <cellStyle name="Финансовый 3 2 3 2 2 5 2" xfId="4579" xr:uid="{00000000-0005-0000-0000-0000E4110000}"/>
    <cellStyle name="Финансовый 3 2 3 2 2 6" xfId="4580" xr:uid="{00000000-0005-0000-0000-0000E5110000}"/>
    <cellStyle name="Финансовый 3 2 3 2 3" xfId="4581" xr:uid="{00000000-0005-0000-0000-0000E6110000}"/>
    <cellStyle name="Финансовый 3 2 3 2 3 2" xfId="4582" xr:uid="{00000000-0005-0000-0000-0000E7110000}"/>
    <cellStyle name="Финансовый 3 2 3 2 3 2 2" xfId="4583" xr:uid="{00000000-0005-0000-0000-0000E8110000}"/>
    <cellStyle name="Финансовый 3 2 3 2 3 2 2 2" xfId="4584" xr:uid="{00000000-0005-0000-0000-0000E9110000}"/>
    <cellStyle name="Финансовый 3 2 3 2 3 2 2 2 2" xfId="4585" xr:uid="{00000000-0005-0000-0000-0000EA110000}"/>
    <cellStyle name="Финансовый 3 2 3 2 3 2 2 3" xfId="4586" xr:uid="{00000000-0005-0000-0000-0000EB110000}"/>
    <cellStyle name="Финансовый 3 2 3 2 3 2 3" xfId="4587" xr:uid="{00000000-0005-0000-0000-0000EC110000}"/>
    <cellStyle name="Финансовый 3 2 3 2 3 2 3 2" xfId="4588" xr:uid="{00000000-0005-0000-0000-0000ED110000}"/>
    <cellStyle name="Финансовый 3 2 3 2 3 2 4" xfId="4589" xr:uid="{00000000-0005-0000-0000-0000EE110000}"/>
    <cellStyle name="Финансовый 3 2 3 2 3 3" xfId="4590" xr:uid="{00000000-0005-0000-0000-0000EF110000}"/>
    <cellStyle name="Финансовый 3 2 3 2 3 3 2" xfId="4591" xr:uid="{00000000-0005-0000-0000-0000F0110000}"/>
    <cellStyle name="Финансовый 3 2 3 2 3 3 2 2" xfId="4592" xr:uid="{00000000-0005-0000-0000-0000F1110000}"/>
    <cellStyle name="Финансовый 3 2 3 2 3 3 3" xfId="4593" xr:uid="{00000000-0005-0000-0000-0000F2110000}"/>
    <cellStyle name="Финансовый 3 2 3 2 3 4" xfId="4594" xr:uid="{00000000-0005-0000-0000-0000F3110000}"/>
    <cellStyle name="Финансовый 3 2 3 2 3 4 2" xfId="4595" xr:uid="{00000000-0005-0000-0000-0000F4110000}"/>
    <cellStyle name="Финансовый 3 2 3 2 3 5" xfId="4596" xr:uid="{00000000-0005-0000-0000-0000F5110000}"/>
    <cellStyle name="Финансовый 3 2 3 2 4" xfId="4597" xr:uid="{00000000-0005-0000-0000-0000F6110000}"/>
    <cellStyle name="Финансовый 3 2 3 2 4 2" xfId="4598" xr:uid="{00000000-0005-0000-0000-0000F7110000}"/>
    <cellStyle name="Финансовый 3 2 3 2 4 2 2" xfId="4599" xr:uid="{00000000-0005-0000-0000-0000F8110000}"/>
    <cellStyle name="Финансовый 3 2 3 2 4 2 2 2" xfId="4600" xr:uid="{00000000-0005-0000-0000-0000F9110000}"/>
    <cellStyle name="Финансовый 3 2 3 2 4 2 3" xfId="4601" xr:uid="{00000000-0005-0000-0000-0000FA110000}"/>
    <cellStyle name="Финансовый 3 2 3 2 4 3" xfId="4602" xr:uid="{00000000-0005-0000-0000-0000FB110000}"/>
    <cellStyle name="Финансовый 3 2 3 2 4 3 2" xfId="4603" xr:uid="{00000000-0005-0000-0000-0000FC110000}"/>
    <cellStyle name="Финансовый 3 2 3 2 4 4" xfId="4604" xr:uid="{00000000-0005-0000-0000-0000FD110000}"/>
    <cellStyle name="Финансовый 3 2 3 2 5" xfId="4605" xr:uid="{00000000-0005-0000-0000-0000FE110000}"/>
    <cellStyle name="Финансовый 3 2 3 2 5 2" xfId="4606" xr:uid="{00000000-0005-0000-0000-0000FF110000}"/>
    <cellStyle name="Финансовый 3 2 3 2 5 2 2" xfId="4607" xr:uid="{00000000-0005-0000-0000-000000120000}"/>
    <cellStyle name="Финансовый 3 2 3 2 5 3" xfId="4608" xr:uid="{00000000-0005-0000-0000-000001120000}"/>
    <cellStyle name="Финансовый 3 2 3 2 6" xfId="4609" xr:uid="{00000000-0005-0000-0000-000002120000}"/>
    <cellStyle name="Финансовый 3 2 3 2 6 2" xfId="4610" xr:uid="{00000000-0005-0000-0000-000003120000}"/>
    <cellStyle name="Финансовый 3 2 3 2 7" xfId="4611" xr:uid="{00000000-0005-0000-0000-000004120000}"/>
    <cellStyle name="Финансовый 3 2 3 3" xfId="4612" xr:uid="{00000000-0005-0000-0000-000005120000}"/>
    <cellStyle name="Финансовый 3 2 3 3 2" xfId="4613" xr:uid="{00000000-0005-0000-0000-000006120000}"/>
    <cellStyle name="Финансовый 3 2 3 3 2 2" xfId="4614" xr:uid="{00000000-0005-0000-0000-000007120000}"/>
    <cellStyle name="Финансовый 3 2 3 3 2 2 2" xfId="4615" xr:uid="{00000000-0005-0000-0000-000008120000}"/>
    <cellStyle name="Финансовый 3 2 3 3 2 2 2 2" xfId="4616" xr:uid="{00000000-0005-0000-0000-000009120000}"/>
    <cellStyle name="Финансовый 3 2 3 3 2 2 2 2 2" xfId="4617" xr:uid="{00000000-0005-0000-0000-00000A120000}"/>
    <cellStyle name="Финансовый 3 2 3 3 2 2 2 3" xfId="4618" xr:uid="{00000000-0005-0000-0000-00000B120000}"/>
    <cellStyle name="Финансовый 3 2 3 3 2 2 3" xfId="4619" xr:uid="{00000000-0005-0000-0000-00000C120000}"/>
    <cellStyle name="Финансовый 3 2 3 3 2 2 3 2" xfId="4620" xr:uid="{00000000-0005-0000-0000-00000D120000}"/>
    <cellStyle name="Финансовый 3 2 3 3 2 2 4" xfId="4621" xr:uid="{00000000-0005-0000-0000-00000E120000}"/>
    <cellStyle name="Финансовый 3 2 3 3 2 3" xfId="4622" xr:uid="{00000000-0005-0000-0000-00000F120000}"/>
    <cellStyle name="Финансовый 3 2 3 3 2 3 2" xfId="4623" xr:uid="{00000000-0005-0000-0000-000010120000}"/>
    <cellStyle name="Финансовый 3 2 3 3 2 3 2 2" xfId="4624" xr:uid="{00000000-0005-0000-0000-000011120000}"/>
    <cellStyle name="Финансовый 3 2 3 3 2 3 3" xfId="4625" xr:uid="{00000000-0005-0000-0000-000012120000}"/>
    <cellStyle name="Финансовый 3 2 3 3 2 4" xfId="4626" xr:uid="{00000000-0005-0000-0000-000013120000}"/>
    <cellStyle name="Финансовый 3 2 3 3 2 4 2" xfId="4627" xr:uid="{00000000-0005-0000-0000-000014120000}"/>
    <cellStyle name="Финансовый 3 2 3 3 2 5" xfId="4628" xr:uid="{00000000-0005-0000-0000-000015120000}"/>
    <cellStyle name="Финансовый 3 2 3 3 3" xfId="4629" xr:uid="{00000000-0005-0000-0000-000016120000}"/>
    <cellStyle name="Финансовый 3 2 3 3 3 2" xfId="4630" xr:uid="{00000000-0005-0000-0000-000017120000}"/>
    <cellStyle name="Финансовый 3 2 3 3 3 2 2" xfId="4631" xr:uid="{00000000-0005-0000-0000-000018120000}"/>
    <cellStyle name="Финансовый 3 2 3 3 3 2 2 2" xfId="4632" xr:uid="{00000000-0005-0000-0000-000019120000}"/>
    <cellStyle name="Финансовый 3 2 3 3 3 2 3" xfId="4633" xr:uid="{00000000-0005-0000-0000-00001A120000}"/>
    <cellStyle name="Финансовый 3 2 3 3 3 3" xfId="4634" xr:uid="{00000000-0005-0000-0000-00001B120000}"/>
    <cellStyle name="Финансовый 3 2 3 3 3 3 2" xfId="4635" xr:uid="{00000000-0005-0000-0000-00001C120000}"/>
    <cellStyle name="Финансовый 3 2 3 3 3 4" xfId="4636" xr:uid="{00000000-0005-0000-0000-00001D120000}"/>
    <cellStyle name="Финансовый 3 2 3 3 4" xfId="4637" xr:uid="{00000000-0005-0000-0000-00001E120000}"/>
    <cellStyle name="Финансовый 3 2 3 3 4 2" xfId="4638" xr:uid="{00000000-0005-0000-0000-00001F120000}"/>
    <cellStyle name="Финансовый 3 2 3 3 4 2 2" xfId="4639" xr:uid="{00000000-0005-0000-0000-000020120000}"/>
    <cellStyle name="Финансовый 3 2 3 3 4 3" xfId="4640" xr:uid="{00000000-0005-0000-0000-000021120000}"/>
    <cellStyle name="Финансовый 3 2 3 3 5" xfId="4641" xr:uid="{00000000-0005-0000-0000-000022120000}"/>
    <cellStyle name="Финансовый 3 2 3 3 5 2" xfId="4642" xr:uid="{00000000-0005-0000-0000-000023120000}"/>
    <cellStyle name="Финансовый 3 2 3 3 6" xfId="4643" xr:uid="{00000000-0005-0000-0000-000024120000}"/>
    <cellStyle name="Финансовый 3 2 3 4" xfId="4644" xr:uid="{00000000-0005-0000-0000-000025120000}"/>
    <cellStyle name="Финансовый 3 2 3 4 2" xfId="4645" xr:uid="{00000000-0005-0000-0000-000026120000}"/>
    <cellStyle name="Финансовый 3 2 3 4 2 2" xfId="4646" xr:uid="{00000000-0005-0000-0000-000027120000}"/>
    <cellStyle name="Финансовый 3 2 3 4 2 2 2" xfId="4647" xr:uid="{00000000-0005-0000-0000-000028120000}"/>
    <cellStyle name="Финансовый 3 2 3 4 2 2 2 2" xfId="4648" xr:uid="{00000000-0005-0000-0000-000029120000}"/>
    <cellStyle name="Финансовый 3 2 3 4 2 2 3" xfId="4649" xr:uid="{00000000-0005-0000-0000-00002A120000}"/>
    <cellStyle name="Финансовый 3 2 3 4 2 3" xfId="4650" xr:uid="{00000000-0005-0000-0000-00002B120000}"/>
    <cellStyle name="Финансовый 3 2 3 4 2 3 2" xfId="4651" xr:uid="{00000000-0005-0000-0000-00002C120000}"/>
    <cellStyle name="Финансовый 3 2 3 4 2 4" xfId="4652" xr:uid="{00000000-0005-0000-0000-00002D120000}"/>
    <cellStyle name="Финансовый 3 2 3 4 3" xfId="4653" xr:uid="{00000000-0005-0000-0000-00002E120000}"/>
    <cellStyle name="Финансовый 3 2 3 4 3 2" xfId="4654" xr:uid="{00000000-0005-0000-0000-00002F120000}"/>
    <cellStyle name="Финансовый 3 2 3 4 3 2 2" xfId="4655" xr:uid="{00000000-0005-0000-0000-000030120000}"/>
    <cellStyle name="Финансовый 3 2 3 4 3 3" xfId="4656" xr:uid="{00000000-0005-0000-0000-000031120000}"/>
    <cellStyle name="Финансовый 3 2 3 4 4" xfId="4657" xr:uid="{00000000-0005-0000-0000-000032120000}"/>
    <cellStyle name="Финансовый 3 2 3 4 4 2" xfId="4658" xr:uid="{00000000-0005-0000-0000-000033120000}"/>
    <cellStyle name="Финансовый 3 2 3 4 5" xfId="4659" xr:uid="{00000000-0005-0000-0000-000034120000}"/>
    <cellStyle name="Финансовый 3 2 3 5" xfId="4660" xr:uid="{00000000-0005-0000-0000-000035120000}"/>
    <cellStyle name="Финансовый 3 2 3 5 2" xfId="4661" xr:uid="{00000000-0005-0000-0000-000036120000}"/>
    <cellStyle name="Финансовый 3 2 3 5 2 2" xfId="4662" xr:uid="{00000000-0005-0000-0000-000037120000}"/>
    <cellStyle name="Финансовый 3 2 3 5 2 2 2" xfId="4663" xr:uid="{00000000-0005-0000-0000-000038120000}"/>
    <cellStyle name="Финансовый 3 2 3 5 2 3" xfId="4664" xr:uid="{00000000-0005-0000-0000-000039120000}"/>
    <cellStyle name="Финансовый 3 2 3 5 3" xfId="4665" xr:uid="{00000000-0005-0000-0000-00003A120000}"/>
    <cellStyle name="Финансовый 3 2 3 5 3 2" xfId="4666" xr:uid="{00000000-0005-0000-0000-00003B120000}"/>
    <cellStyle name="Финансовый 3 2 3 5 4" xfId="4667" xr:uid="{00000000-0005-0000-0000-00003C120000}"/>
    <cellStyle name="Финансовый 3 2 3 6" xfId="4668" xr:uid="{00000000-0005-0000-0000-00003D120000}"/>
    <cellStyle name="Финансовый 3 2 3 6 2" xfId="4669" xr:uid="{00000000-0005-0000-0000-00003E120000}"/>
    <cellStyle name="Финансовый 3 2 3 6 2 2" xfId="4670" xr:uid="{00000000-0005-0000-0000-00003F120000}"/>
    <cellStyle name="Финансовый 3 2 3 6 3" xfId="4671" xr:uid="{00000000-0005-0000-0000-000040120000}"/>
    <cellStyle name="Финансовый 3 2 3 7" xfId="4672" xr:uid="{00000000-0005-0000-0000-000041120000}"/>
    <cellStyle name="Финансовый 3 2 3 7 2" xfId="4673" xr:uid="{00000000-0005-0000-0000-000042120000}"/>
    <cellStyle name="Финансовый 3 2 3 8" xfId="4674" xr:uid="{00000000-0005-0000-0000-000043120000}"/>
    <cellStyle name="Финансовый 3 2 4" xfId="4675" xr:uid="{00000000-0005-0000-0000-000044120000}"/>
    <cellStyle name="Финансовый 3 2 4 2" xfId="4676" xr:uid="{00000000-0005-0000-0000-000045120000}"/>
    <cellStyle name="Финансовый 3 2 4 2 2" xfId="4677" xr:uid="{00000000-0005-0000-0000-000046120000}"/>
    <cellStyle name="Финансовый 3 2 4 2 2 2" xfId="4678" xr:uid="{00000000-0005-0000-0000-000047120000}"/>
    <cellStyle name="Финансовый 3 2 4 2 2 2 2" xfId="4679" xr:uid="{00000000-0005-0000-0000-000048120000}"/>
    <cellStyle name="Финансовый 3 2 4 2 2 2 2 2" xfId="4680" xr:uid="{00000000-0005-0000-0000-000049120000}"/>
    <cellStyle name="Финансовый 3 2 4 2 2 2 2 2 2" xfId="4681" xr:uid="{00000000-0005-0000-0000-00004A120000}"/>
    <cellStyle name="Финансовый 3 2 4 2 2 2 2 3" xfId="4682" xr:uid="{00000000-0005-0000-0000-00004B120000}"/>
    <cellStyle name="Финансовый 3 2 4 2 2 2 3" xfId="4683" xr:uid="{00000000-0005-0000-0000-00004C120000}"/>
    <cellStyle name="Финансовый 3 2 4 2 2 2 3 2" xfId="4684" xr:uid="{00000000-0005-0000-0000-00004D120000}"/>
    <cellStyle name="Финансовый 3 2 4 2 2 2 4" xfId="4685" xr:uid="{00000000-0005-0000-0000-00004E120000}"/>
    <cellStyle name="Финансовый 3 2 4 2 2 3" xfId="4686" xr:uid="{00000000-0005-0000-0000-00004F120000}"/>
    <cellStyle name="Финансовый 3 2 4 2 2 3 2" xfId="4687" xr:uid="{00000000-0005-0000-0000-000050120000}"/>
    <cellStyle name="Финансовый 3 2 4 2 2 3 2 2" xfId="4688" xr:uid="{00000000-0005-0000-0000-000051120000}"/>
    <cellStyle name="Финансовый 3 2 4 2 2 3 3" xfId="4689" xr:uid="{00000000-0005-0000-0000-000052120000}"/>
    <cellStyle name="Финансовый 3 2 4 2 2 4" xfId="4690" xr:uid="{00000000-0005-0000-0000-000053120000}"/>
    <cellStyle name="Финансовый 3 2 4 2 2 4 2" xfId="4691" xr:uid="{00000000-0005-0000-0000-000054120000}"/>
    <cellStyle name="Финансовый 3 2 4 2 2 5" xfId="4692" xr:uid="{00000000-0005-0000-0000-000055120000}"/>
    <cellStyle name="Финансовый 3 2 4 2 3" xfId="4693" xr:uid="{00000000-0005-0000-0000-000056120000}"/>
    <cellStyle name="Финансовый 3 2 4 2 3 2" xfId="4694" xr:uid="{00000000-0005-0000-0000-000057120000}"/>
    <cellStyle name="Финансовый 3 2 4 2 3 2 2" xfId="4695" xr:uid="{00000000-0005-0000-0000-000058120000}"/>
    <cellStyle name="Финансовый 3 2 4 2 3 2 2 2" xfId="4696" xr:uid="{00000000-0005-0000-0000-000059120000}"/>
    <cellStyle name="Финансовый 3 2 4 2 3 2 3" xfId="4697" xr:uid="{00000000-0005-0000-0000-00005A120000}"/>
    <cellStyle name="Финансовый 3 2 4 2 3 3" xfId="4698" xr:uid="{00000000-0005-0000-0000-00005B120000}"/>
    <cellStyle name="Финансовый 3 2 4 2 3 3 2" xfId="4699" xr:uid="{00000000-0005-0000-0000-00005C120000}"/>
    <cellStyle name="Финансовый 3 2 4 2 3 4" xfId="4700" xr:uid="{00000000-0005-0000-0000-00005D120000}"/>
    <cellStyle name="Финансовый 3 2 4 2 4" xfId="4701" xr:uid="{00000000-0005-0000-0000-00005E120000}"/>
    <cellStyle name="Финансовый 3 2 4 2 4 2" xfId="4702" xr:uid="{00000000-0005-0000-0000-00005F120000}"/>
    <cellStyle name="Финансовый 3 2 4 2 4 2 2" xfId="4703" xr:uid="{00000000-0005-0000-0000-000060120000}"/>
    <cellStyle name="Финансовый 3 2 4 2 4 3" xfId="4704" xr:uid="{00000000-0005-0000-0000-000061120000}"/>
    <cellStyle name="Финансовый 3 2 4 2 5" xfId="4705" xr:uid="{00000000-0005-0000-0000-000062120000}"/>
    <cellStyle name="Финансовый 3 2 4 2 5 2" xfId="4706" xr:uid="{00000000-0005-0000-0000-000063120000}"/>
    <cellStyle name="Финансовый 3 2 4 2 6" xfId="4707" xr:uid="{00000000-0005-0000-0000-000064120000}"/>
    <cellStyle name="Финансовый 3 2 4 3" xfId="4708" xr:uid="{00000000-0005-0000-0000-000065120000}"/>
    <cellStyle name="Финансовый 3 2 4 3 2" xfId="4709" xr:uid="{00000000-0005-0000-0000-000066120000}"/>
    <cellStyle name="Финансовый 3 2 4 3 2 2" xfId="4710" xr:uid="{00000000-0005-0000-0000-000067120000}"/>
    <cellStyle name="Финансовый 3 2 4 3 2 2 2" xfId="4711" xr:uid="{00000000-0005-0000-0000-000068120000}"/>
    <cellStyle name="Финансовый 3 2 4 3 2 2 2 2" xfId="4712" xr:uid="{00000000-0005-0000-0000-000069120000}"/>
    <cellStyle name="Финансовый 3 2 4 3 2 2 3" xfId="4713" xr:uid="{00000000-0005-0000-0000-00006A120000}"/>
    <cellStyle name="Финансовый 3 2 4 3 2 3" xfId="4714" xr:uid="{00000000-0005-0000-0000-00006B120000}"/>
    <cellStyle name="Финансовый 3 2 4 3 2 3 2" xfId="4715" xr:uid="{00000000-0005-0000-0000-00006C120000}"/>
    <cellStyle name="Финансовый 3 2 4 3 2 4" xfId="4716" xr:uid="{00000000-0005-0000-0000-00006D120000}"/>
    <cellStyle name="Финансовый 3 2 4 3 3" xfId="4717" xr:uid="{00000000-0005-0000-0000-00006E120000}"/>
    <cellStyle name="Финансовый 3 2 4 3 3 2" xfId="4718" xr:uid="{00000000-0005-0000-0000-00006F120000}"/>
    <cellStyle name="Финансовый 3 2 4 3 3 2 2" xfId="4719" xr:uid="{00000000-0005-0000-0000-000070120000}"/>
    <cellStyle name="Финансовый 3 2 4 3 3 3" xfId="4720" xr:uid="{00000000-0005-0000-0000-000071120000}"/>
    <cellStyle name="Финансовый 3 2 4 3 4" xfId="4721" xr:uid="{00000000-0005-0000-0000-000072120000}"/>
    <cellStyle name="Финансовый 3 2 4 3 4 2" xfId="4722" xr:uid="{00000000-0005-0000-0000-000073120000}"/>
    <cellStyle name="Финансовый 3 2 4 3 5" xfId="4723" xr:uid="{00000000-0005-0000-0000-000074120000}"/>
    <cellStyle name="Финансовый 3 2 4 4" xfId="4724" xr:uid="{00000000-0005-0000-0000-000075120000}"/>
    <cellStyle name="Финансовый 3 2 4 4 2" xfId="4725" xr:uid="{00000000-0005-0000-0000-000076120000}"/>
    <cellStyle name="Финансовый 3 2 4 4 2 2" xfId="4726" xr:uid="{00000000-0005-0000-0000-000077120000}"/>
    <cellStyle name="Финансовый 3 2 4 4 2 2 2" xfId="4727" xr:uid="{00000000-0005-0000-0000-000078120000}"/>
    <cellStyle name="Финансовый 3 2 4 4 2 3" xfId="4728" xr:uid="{00000000-0005-0000-0000-000079120000}"/>
    <cellStyle name="Финансовый 3 2 4 4 3" xfId="4729" xr:uid="{00000000-0005-0000-0000-00007A120000}"/>
    <cellStyle name="Финансовый 3 2 4 4 3 2" xfId="4730" xr:uid="{00000000-0005-0000-0000-00007B120000}"/>
    <cellStyle name="Финансовый 3 2 4 4 4" xfId="4731" xr:uid="{00000000-0005-0000-0000-00007C120000}"/>
    <cellStyle name="Финансовый 3 2 4 5" xfId="4732" xr:uid="{00000000-0005-0000-0000-00007D120000}"/>
    <cellStyle name="Финансовый 3 2 4 5 2" xfId="4733" xr:uid="{00000000-0005-0000-0000-00007E120000}"/>
    <cellStyle name="Финансовый 3 2 4 5 2 2" xfId="4734" xr:uid="{00000000-0005-0000-0000-00007F120000}"/>
    <cellStyle name="Финансовый 3 2 4 5 3" xfId="4735" xr:uid="{00000000-0005-0000-0000-000080120000}"/>
    <cellStyle name="Финансовый 3 2 4 6" xfId="4736" xr:uid="{00000000-0005-0000-0000-000081120000}"/>
    <cellStyle name="Финансовый 3 2 4 6 2" xfId="4737" xr:uid="{00000000-0005-0000-0000-000082120000}"/>
    <cellStyle name="Финансовый 3 2 4 7" xfId="4738" xr:uid="{00000000-0005-0000-0000-000083120000}"/>
    <cellStyle name="Финансовый 3 2 5" xfId="4739" xr:uid="{00000000-0005-0000-0000-000084120000}"/>
    <cellStyle name="Финансовый 3 2 5 2" xfId="4740" xr:uid="{00000000-0005-0000-0000-000085120000}"/>
    <cellStyle name="Финансовый 3 2 5 2 2" xfId="4741" xr:uid="{00000000-0005-0000-0000-000086120000}"/>
    <cellStyle name="Финансовый 3 2 5 2 2 2" xfId="4742" xr:uid="{00000000-0005-0000-0000-000087120000}"/>
    <cellStyle name="Финансовый 3 2 5 2 2 2 2" xfId="4743" xr:uid="{00000000-0005-0000-0000-000088120000}"/>
    <cellStyle name="Финансовый 3 2 5 2 2 2 2 2" xfId="4744" xr:uid="{00000000-0005-0000-0000-000089120000}"/>
    <cellStyle name="Финансовый 3 2 5 2 2 2 3" xfId="4745" xr:uid="{00000000-0005-0000-0000-00008A120000}"/>
    <cellStyle name="Финансовый 3 2 5 2 2 3" xfId="4746" xr:uid="{00000000-0005-0000-0000-00008B120000}"/>
    <cellStyle name="Финансовый 3 2 5 2 2 3 2" xfId="4747" xr:uid="{00000000-0005-0000-0000-00008C120000}"/>
    <cellStyle name="Финансовый 3 2 5 2 2 4" xfId="4748" xr:uid="{00000000-0005-0000-0000-00008D120000}"/>
    <cellStyle name="Финансовый 3 2 5 2 3" xfId="4749" xr:uid="{00000000-0005-0000-0000-00008E120000}"/>
    <cellStyle name="Финансовый 3 2 5 2 3 2" xfId="4750" xr:uid="{00000000-0005-0000-0000-00008F120000}"/>
    <cellStyle name="Финансовый 3 2 5 2 3 2 2" xfId="4751" xr:uid="{00000000-0005-0000-0000-000090120000}"/>
    <cellStyle name="Финансовый 3 2 5 2 3 3" xfId="4752" xr:uid="{00000000-0005-0000-0000-000091120000}"/>
    <cellStyle name="Финансовый 3 2 5 2 4" xfId="4753" xr:uid="{00000000-0005-0000-0000-000092120000}"/>
    <cellStyle name="Финансовый 3 2 5 2 4 2" xfId="4754" xr:uid="{00000000-0005-0000-0000-000093120000}"/>
    <cellStyle name="Финансовый 3 2 5 2 5" xfId="4755" xr:uid="{00000000-0005-0000-0000-000094120000}"/>
    <cellStyle name="Финансовый 3 2 5 3" xfId="4756" xr:uid="{00000000-0005-0000-0000-000095120000}"/>
    <cellStyle name="Финансовый 3 2 5 3 2" xfId="4757" xr:uid="{00000000-0005-0000-0000-000096120000}"/>
    <cellStyle name="Финансовый 3 2 5 3 2 2" xfId="4758" xr:uid="{00000000-0005-0000-0000-000097120000}"/>
    <cellStyle name="Финансовый 3 2 5 3 2 2 2" xfId="4759" xr:uid="{00000000-0005-0000-0000-000098120000}"/>
    <cellStyle name="Финансовый 3 2 5 3 2 3" xfId="4760" xr:uid="{00000000-0005-0000-0000-000099120000}"/>
    <cellStyle name="Финансовый 3 2 5 3 3" xfId="4761" xr:uid="{00000000-0005-0000-0000-00009A120000}"/>
    <cellStyle name="Финансовый 3 2 5 3 3 2" xfId="4762" xr:uid="{00000000-0005-0000-0000-00009B120000}"/>
    <cellStyle name="Финансовый 3 2 5 3 4" xfId="4763" xr:uid="{00000000-0005-0000-0000-00009C120000}"/>
    <cellStyle name="Финансовый 3 2 5 4" xfId="4764" xr:uid="{00000000-0005-0000-0000-00009D120000}"/>
    <cellStyle name="Финансовый 3 2 5 4 2" xfId="4765" xr:uid="{00000000-0005-0000-0000-00009E120000}"/>
    <cellStyle name="Финансовый 3 2 5 4 2 2" xfId="4766" xr:uid="{00000000-0005-0000-0000-00009F120000}"/>
    <cellStyle name="Финансовый 3 2 5 4 3" xfId="4767" xr:uid="{00000000-0005-0000-0000-0000A0120000}"/>
    <cellStyle name="Финансовый 3 2 5 5" xfId="4768" xr:uid="{00000000-0005-0000-0000-0000A1120000}"/>
    <cellStyle name="Финансовый 3 2 5 5 2" xfId="4769" xr:uid="{00000000-0005-0000-0000-0000A2120000}"/>
    <cellStyle name="Финансовый 3 2 5 6" xfId="4770" xr:uid="{00000000-0005-0000-0000-0000A3120000}"/>
    <cellStyle name="Финансовый 3 2 6" xfId="4771" xr:uid="{00000000-0005-0000-0000-0000A4120000}"/>
    <cellStyle name="Финансовый 3 2 6 2" xfId="4772" xr:uid="{00000000-0005-0000-0000-0000A5120000}"/>
    <cellStyle name="Финансовый 3 2 6 2 2" xfId="4773" xr:uid="{00000000-0005-0000-0000-0000A6120000}"/>
    <cellStyle name="Финансовый 3 2 6 2 2 2" xfId="4774" xr:uid="{00000000-0005-0000-0000-0000A7120000}"/>
    <cellStyle name="Финансовый 3 2 6 2 2 2 2" xfId="4775" xr:uid="{00000000-0005-0000-0000-0000A8120000}"/>
    <cellStyle name="Финансовый 3 2 6 2 2 3" xfId="4776" xr:uid="{00000000-0005-0000-0000-0000A9120000}"/>
    <cellStyle name="Финансовый 3 2 6 2 3" xfId="4777" xr:uid="{00000000-0005-0000-0000-0000AA120000}"/>
    <cellStyle name="Финансовый 3 2 6 2 3 2" xfId="4778" xr:uid="{00000000-0005-0000-0000-0000AB120000}"/>
    <cellStyle name="Финансовый 3 2 6 2 4" xfId="4779" xr:uid="{00000000-0005-0000-0000-0000AC120000}"/>
    <cellStyle name="Финансовый 3 2 6 3" xfId="4780" xr:uid="{00000000-0005-0000-0000-0000AD120000}"/>
    <cellStyle name="Финансовый 3 2 6 3 2" xfId="4781" xr:uid="{00000000-0005-0000-0000-0000AE120000}"/>
    <cellStyle name="Финансовый 3 2 6 3 2 2" xfId="4782" xr:uid="{00000000-0005-0000-0000-0000AF120000}"/>
    <cellStyle name="Финансовый 3 2 6 3 3" xfId="4783" xr:uid="{00000000-0005-0000-0000-0000B0120000}"/>
    <cellStyle name="Финансовый 3 2 6 4" xfId="4784" xr:uid="{00000000-0005-0000-0000-0000B1120000}"/>
    <cellStyle name="Финансовый 3 2 6 4 2" xfId="4785" xr:uid="{00000000-0005-0000-0000-0000B2120000}"/>
    <cellStyle name="Финансовый 3 2 6 5" xfId="4786" xr:uid="{00000000-0005-0000-0000-0000B3120000}"/>
    <cellStyle name="Финансовый 3 2 7" xfId="4787" xr:uid="{00000000-0005-0000-0000-0000B4120000}"/>
    <cellStyle name="Финансовый 3 2 7 2" xfId="4788" xr:uid="{00000000-0005-0000-0000-0000B5120000}"/>
    <cellStyle name="Финансовый 3 2 7 2 2" xfId="4789" xr:uid="{00000000-0005-0000-0000-0000B6120000}"/>
    <cellStyle name="Финансовый 3 2 7 2 2 2" xfId="4790" xr:uid="{00000000-0005-0000-0000-0000B7120000}"/>
    <cellStyle name="Финансовый 3 2 7 2 3" xfId="4791" xr:uid="{00000000-0005-0000-0000-0000B8120000}"/>
    <cellStyle name="Финансовый 3 2 7 3" xfId="4792" xr:uid="{00000000-0005-0000-0000-0000B9120000}"/>
    <cellStyle name="Финансовый 3 2 7 3 2" xfId="4793" xr:uid="{00000000-0005-0000-0000-0000BA120000}"/>
    <cellStyle name="Финансовый 3 2 7 4" xfId="4794" xr:uid="{00000000-0005-0000-0000-0000BB120000}"/>
    <cellStyle name="Финансовый 3 2 8" xfId="4795" xr:uid="{00000000-0005-0000-0000-0000BC120000}"/>
    <cellStyle name="Финансовый 3 2 8 2" xfId="4796" xr:uid="{00000000-0005-0000-0000-0000BD120000}"/>
    <cellStyle name="Финансовый 3 2 8 2 2" xfId="4797" xr:uid="{00000000-0005-0000-0000-0000BE120000}"/>
    <cellStyle name="Финансовый 3 2 8 3" xfId="4798" xr:uid="{00000000-0005-0000-0000-0000BF120000}"/>
    <cellStyle name="Финансовый 3 2 9" xfId="4799" xr:uid="{00000000-0005-0000-0000-0000C0120000}"/>
    <cellStyle name="Финансовый 3 2 9 2" xfId="4800" xr:uid="{00000000-0005-0000-0000-0000C1120000}"/>
    <cellStyle name="Финансовый 3 3" xfId="4801" xr:uid="{00000000-0005-0000-0000-0000C2120000}"/>
    <cellStyle name="Финансовый 3 3 2" xfId="4802" xr:uid="{00000000-0005-0000-0000-0000C3120000}"/>
    <cellStyle name="Финансовый 3 3 2 2" xfId="4803" xr:uid="{00000000-0005-0000-0000-0000C4120000}"/>
    <cellStyle name="Финансовый 3 3 2 2 2" xfId="4804" xr:uid="{00000000-0005-0000-0000-0000C5120000}"/>
    <cellStyle name="Финансовый 3 3 2 2 2 2" xfId="4805" xr:uid="{00000000-0005-0000-0000-0000C6120000}"/>
    <cellStyle name="Финансовый 3 3 2 2 2 2 2" xfId="4806" xr:uid="{00000000-0005-0000-0000-0000C7120000}"/>
    <cellStyle name="Финансовый 3 3 2 2 2 2 2 2" xfId="4807" xr:uid="{00000000-0005-0000-0000-0000C8120000}"/>
    <cellStyle name="Финансовый 3 3 2 2 2 2 2 2 2" xfId="4808" xr:uid="{00000000-0005-0000-0000-0000C9120000}"/>
    <cellStyle name="Финансовый 3 3 2 2 2 2 2 2 2 2" xfId="4809" xr:uid="{00000000-0005-0000-0000-0000CA120000}"/>
    <cellStyle name="Финансовый 3 3 2 2 2 2 2 2 3" xfId="4810" xr:uid="{00000000-0005-0000-0000-0000CB120000}"/>
    <cellStyle name="Финансовый 3 3 2 2 2 2 2 3" xfId="4811" xr:uid="{00000000-0005-0000-0000-0000CC120000}"/>
    <cellStyle name="Финансовый 3 3 2 2 2 2 2 3 2" xfId="4812" xr:uid="{00000000-0005-0000-0000-0000CD120000}"/>
    <cellStyle name="Финансовый 3 3 2 2 2 2 2 4" xfId="4813" xr:uid="{00000000-0005-0000-0000-0000CE120000}"/>
    <cellStyle name="Финансовый 3 3 2 2 2 2 3" xfId="4814" xr:uid="{00000000-0005-0000-0000-0000CF120000}"/>
    <cellStyle name="Финансовый 3 3 2 2 2 2 3 2" xfId="4815" xr:uid="{00000000-0005-0000-0000-0000D0120000}"/>
    <cellStyle name="Финансовый 3 3 2 2 2 2 3 2 2" xfId="4816" xr:uid="{00000000-0005-0000-0000-0000D1120000}"/>
    <cellStyle name="Финансовый 3 3 2 2 2 2 3 3" xfId="4817" xr:uid="{00000000-0005-0000-0000-0000D2120000}"/>
    <cellStyle name="Финансовый 3 3 2 2 2 2 4" xfId="4818" xr:uid="{00000000-0005-0000-0000-0000D3120000}"/>
    <cellStyle name="Финансовый 3 3 2 2 2 2 4 2" xfId="4819" xr:uid="{00000000-0005-0000-0000-0000D4120000}"/>
    <cellStyle name="Финансовый 3 3 2 2 2 2 5" xfId="4820" xr:uid="{00000000-0005-0000-0000-0000D5120000}"/>
    <cellStyle name="Финансовый 3 3 2 2 2 3" xfId="4821" xr:uid="{00000000-0005-0000-0000-0000D6120000}"/>
    <cellStyle name="Финансовый 3 3 2 2 2 3 2" xfId="4822" xr:uid="{00000000-0005-0000-0000-0000D7120000}"/>
    <cellStyle name="Финансовый 3 3 2 2 2 3 2 2" xfId="4823" xr:uid="{00000000-0005-0000-0000-0000D8120000}"/>
    <cellStyle name="Финансовый 3 3 2 2 2 3 2 2 2" xfId="4824" xr:uid="{00000000-0005-0000-0000-0000D9120000}"/>
    <cellStyle name="Финансовый 3 3 2 2 2 3 2 3" xfId="4825" xr:uid="{00000000-0005-0000-0000-0000DA120000}"/>
    <cellStyle name="Финансовый 3 3 2 2 2 3 3" xfId="4826" xr:uid="{00000000-0005-0000-0000-0000DB120000}"/>
    <cellStyle name="Финансовый 3 3 2 2 2 3 3 2" xfId="4827" xr:uid="{00000000-0005-0000-0000-0000DC120000}"/>
    <cellStyle name="Финансовый 3 3 2 2 2 3 4" xfId="4828" xr:uid="{00000000-0005-0000-0000-0000DD120000}"/>
    <cellStyle name="Финансовый 3 3 2 2 2 4" xfId="4829" xr:uid="{00000000-0005-0000-0000-0000DE120000}"/>
    <cellStyle name="Финансовый 3 3 2 2 2 4 2" xfId="4830" xr:uid="{00000000-0005-0000-0000-0000DF120000}"/>
    <cellStyle name="Финансовый 3 3 2 2 2 4 2 2" xfId="4831" xr:uid="{00000000-0005-0000-0000-0000E0120000}"/>
    <cellStyle name="Финансовый 3 3 2 2 2 4 3" xfId="4832" xr:uid="{00000000-0005-0000-0000-0000E1120000}"/>
    <cellStyle name="Финансовый 3 3 2 2 2 5" xfId="4833" xr:uid="{00000000-0005-0000-0000-0000E2120000}"/>
    <cellStyle name="Финансовый 3 3 2 2 2 5 2" xfId="4834" xr:uid="{00000000-0005-0000-0000-0000E3120000}"/>
    <cellStyle name="Финансовый 3 3 2 2 2 6" xfId="4835" xr:uid="{00000000-0005-0000-0000-0000E4120000}"/>
    <cellStyle name="Финансовый 3 3 2 2 3" xfId="4836" xr:uid="{00000000-0005-0000-0000-0000E5120000}"/>
    <cellStyle name="Финансовый 3 3 2 2 3 2" xfId="4837" xr:uid="{00000000-0005-0000-0000-0000E6120000}"/>
    <cellStyle name="Финансовый 3 3 2 2 3 2 2" xfId="4838" xr:uid="{00000000-0005-0000-0000-0000E7120000}"/>
    <cellStyle name="Финансовый 3 3 2 2 3 2 2 2" xfId="4839" xr:uid="{00000000-0005-0000-0000-0000E8120000}"/>
    <cellStyle name="Финансовый 3 3 2 2 3 2 2 2 2" xfId="4840" xr:uid="{00000000-0005-0000-0000-0000E9120000}"/>
    <cellStyle name="Финансовый 3 3 2 2 3 2 2 3" xfId="4841" xr:uid="{00000000-0005-0000-0000-0000EA120000}"/>
    <cellStyle name="Финансовый 3 3 2 2 3 2 3" xfId="4842" xr:uid="{00000000-0005-0000-0000-0000EB120000}"/>
    <cellStyle name="Финансовый 3 3 2 2 3 2 3 2" xfId="4843" xr:uid="{00000000-0005-0000-0000-0000EC120000}"/>
    <cellStyle name="Финансовый 3 3 2 2 3 2 4" xfId="4844" xr:uid="{00000000-0005-0000-0000-0000ED120000}"/>
    <cellStyle name="Финансовый 3 3 2 2 3 3" xfId="4845" xr:uid="{00000000-0005-0000-0000-0000EE120000}"/>
    <cellStyle name="Финансовый 3 3 2 2 3 3 2" xfId="4846" xr:uid="{00000000-0005-0000-0000-0000EF120000}"/>
    <cellStyle name="Финансовый 3 3 2 2 3 3 2 2" xfId="4847" xr:uid="{00000000-0005-0000-0000-0000F0120000}"/>
    <cellStyle name="Финансовый 3 3 2 2 3 3 3" xfId="4848" xr:uid="{00000000-0005-0000-0000-0000F1120000}"/>
    <cellStyle name="Финансовый 3 3 2 2 3 4" xfId="4849" xr:uid="{00000000-0005-0000-0000-0000F2120000}"/>
    <cellStyle name="Финансовый 3 3 2 2 3 4 2" xfId="4850" xr:uid="{00000000-0005-0000-0000-0000F3120000}"/>
    <cellStyle name="Финансовый 3 3 2 2 3 5" xfId="4851" xr:uid="{00000000-0005-0000-0000-0000F4120000}"/>
    <cellStyle name="Финансовый 3 3 2 2 4" xfId="4852" xr:uid="{00000000-0005-0000-0000-0000F5120000}"/>
    <cellStyle name="Финансовый 3 3 2 2 4 2" xfId="4853" xr:uid="{00000000-0005-0000-0000-0000F6120000}"/>
    <cellStyle name="Финансовый 3 3 2 2 4 2 2" xfId="4854" xr:uid="{00000000-0005-0000-0000-0000F7120000}"/>
    <cellStyle name="Финансовый 3 3 2 2 4 2 2 2" xfId="4855" xr:uid="{00000000-0005-0000-0000-0000F8120000}"/>
    <cellStyle name="Финансовый 3 3 2 2 4 2 3" xfId="4856" xr:uid="{00000000-0005-0000-0000-0000F9120000}"/>
    <cellStyle name="Финансовый 3 3 2 2 4 3" xfId="4857" xr:uid="{00000000-0005-0000-0000-0000FA120000}"/>
    <cellStyle name="Финансовый 3 3 2 2 4 3 2" xfId="4858" xr:uid="{00000000-0005-0000-0000-0000FB120000}"/>
    <cellStyle name="Финансовый 3 3 2 2 4 4" xfId="4859" xr:uid="{00000000-0005-0000-0000-0000FC120000}"/>
    <cellStyle name="Финансовый 3 3 2 2 5" xfId="4860" xr:uid="{00000000-0005-0000-0000-0000FD120000}"/>
    <cellStyle name="Финансовый 3 3 2 2 5 2" xfId="4861" xr:uid="{00000000-0005-0000-0000-0000FE120000}"/>
    <cellStyle name="Финансовый 3 3 2 2 5 2 2" xfId="4862" xr:uid="{00000000-0005-0000-0000-0000FF120000}"/>
    <cellStyle name="Финансовый 3 3 2 2 5 3" xfId="4863" xr:uid="{00000000-0005-0000-0000-000000130000}"/>
    <cellStyle name="Финансовый 3 3 2 2 6" xfId="4864" xr:uid="{00000000-0005-0000-0000-000001130000}"/>
    <cellStyle name="Финансовый 3 3 2 2 6 2" xfId="4865" xr:uid="{00000000-0005-0000-0000-000002130000}"/>
    <cellStyle name="Финансовый 3 3 2 2 7" xfId="4866" xr:uid="{00000000-0005-0000-0000-000003130000}"/>
    <cellStyle name="Финансовый 3 3 2 3" xfId="4867" xr:uid="{00000000-0005-0000-0000-000004130000}"/>
    <cellStyle name="Финансовый 3 3 2 3 2" xfId="4868" xr:uid="{00000000-0005-0000-0000-000005130000}"/>
    <cellStyle name="Финансовый 3 3 2 3 2 2" xfId="4869" xr:uid="{00000000-0005-0000-0000-000006130000}"/>
    <cellStyle name="Финансовый 3 3 2 3 2 2 2" xfId="4870" xr:uid="{00000000-0005-0000-0000-000007130000}"/>
    <cellStyle name="Финансовый 3 3 2 3 2 2 2 2" xfId="4871" xr:uid="{00000000-0005-0000-0000-000008130000}"/>
    <cellStyle name="Финансовый 3 3 2 3 2 2 2 2 2" xfId="4872" xr:uid="{00000000-0005-0000-0000-000009130000}"/>
    <cellStyle name="Финансовый 3 3 2 3 2 2 2 3" xfId="4873" xr:uid="{00000000-0005-0000-0000-00000A130000}"/>
    <cellStyle name="Финансовый 3 3 2 3 2 2 3" xfId="4874" xr:uid="{00000000-0005-0000-0000-00000B130000}"/>
    <cellStyle name="Финансовый 3 3 2 3 2 2 3 2" xfId="4875" xr:uid="{00000000-0005-0000-0000-00000C130000}"/>
    <cellStyle name="Финансовый 3 3 2 3 2 2 4" xfId="4876" xr:uid="{00000000-0005-0000-0000-00000D130000}"/>
    <cellStyle name="Финансовый 3 3 2 3 2 3" xfId="4877" xr:uid="{00000000-0005-0000-0000-00000E130000}"/>
    <cellStyle name="Финансовый 3 3 2 3 2 3 2" xfId="4878" xr:uid="{00000000-0005-0000-0000-00000F130000}"/>
    <cellStyle name="Финансовый 3 3 2 3 2 3 2 2" xfId="4879" xr:uid="{00000000-0005-0000-0000-000010130000}"/>
    <cellStyle name="Финансовый 3 3 2 3 2 3 3" xfId="4880" xr:uid="{00000000-0005-0000-0000-000011130000}"/>
    <cellStyle name="Финансовый 3 3 2 3 2 4" xfId="4881" xr:uid="{00000000-0005-0000-0000-000012130000}"/>
    <cellStyle name="Финансовый 3 3 2 3 2 4 2" xfId="4882" xr:uid="{00000000-0005-0000-0000-000013130000}"/>
    <cellStyle name="Финансовый 3 3 2 3 2 5" xfId="4883" xr:uid="{00000000-0005-0000-0000-000014130000}"/>
    <cellStyle name="Финансовый 3 3 2 3 3" xfId="4884" xr:uid="{00000000-0005-0000-0000-000015130000}"/>
    <cellStyle name="Финансовый 3 3 2 3 3 2" xfId="4885" xr:uid="{00000000-0005-0000-0000-000016130000}"/>
    <cellStyle name="Финансовый 3 3 2 3 3 2 2" xfId="4886" xr:uid="{00000000-0005-0000-0000-000017130000}"/>
    <cellStyle name="Финансовый 3 3 2 3 3 2 2 2" xfId="4887" xr:uid="{00000000-0005-0000-0000-000018130000}"/>
    <cellStyle name="Финансовый 3 3 2 3 3 2 3" xfId="4888" xr:uid="{00000000-0005-0000-0000-000019130000}"/>
    <cellStyle name="Финансовый 3 3 2 3 3 3" xfId="4889" xr:uid="{00000000-0005-0000-0000-00001A130000}"/>
    <cellStyle name="Финансовый 3 3 2 3 3 3 2" xfId="4890" xr:uid="{00000000-0005-0000-0000-00001B130000}"/>
    <cellStyle name="Финансовый 3 3 2 3 3 4" xfId="4891" xr:uid="{00000000-0005-0000-0000-00001C130000}"/>
    <cellStyle name="Финансовый 3 3 2 3 4" xfId="4892" xr:uid="{00000000-0005-0000-0000-00001D130000}"/>
    <cellStyle name="Финансовый 3 3 2 3 4 2" xfId="4893" xr:uid="{00000000-0005-0000-0000-00001E130000}"/>
    <cellStyle name="Финансовый 3 3 2 3 4 2 2" xfId="4894" xr:uid="{00000000-0005-0000-0000-00001F130000}"/>
    <cellStyle name="Финансовый 3 3 2 3 4 3" xfId="4895" xr:uid="{00000000-0005-0000-0000-000020130000}"/>
    <cellStyle name="Финансовый 3 3 2 3 5" xfId="4896" xr:uid="{00000000-0005-0000-0000-000021130000}"/>
    <cellStyle name="Финансовый 3 3 2 3 5 2" xfId="4897" xr:uid="{00000000-0005-0000-0000-000022130000}"/>
    <cellStyle name="Финансовый 3 3 2 3 6" xfId="4898" xr:uid="{00000000-0005-0000-0000-000023130000}"/>
    <cellStyle name="Финансовый 3 3 2 4" xfId="4899" xr:uid="{00000000-0005-0000-0000-000024130000}"/>
    <cellStyle name="Финансовый 3 3 2 4 2" xfId="4900" xr:uid="{00000000-0005-0000-0000-000025130000}"/>
    <cellStyle name="Финансовый 3 3 2 4 2 2" xfId="4901" xr:uid="{00000000-0005-0000-0000-000026130000}"/>
    <cellStyle name="Финансовый 3 3 2 4 2 2 2" xfId="4902" xr:uid="{00000000-0005-0000-0000-000027130000}"/>
    <cellStyle name="Финансовый 3 3 2 4 2 2 2 2" xfId="4903" xr:uid="{00000000-0005-0000-0000-000028130000}"/>
    <cellStyle name="Финансовый 3 3 2 4 2 2 3" xfId="4904" xr:uid="{00000000-0005-0000-0000-000029130000}"/>
    <cellStyle name="Финансовый 3 3 2 4 2 3" xfId="4905" xr:uid="{00000000-0005-0000-0000-00002A130000}"/>
    <cellStyle name="Финансовый 3 3 2 4 2 3 2" xfId="4906" xr:uid="{00000000-0005-0000-0000-00002B130000}"/>
    <cellStyle name="Финансовый 3 3 2 4 2 4" xfId="4907" xr:uid="{00000000-0005-0000-0000-00002C130000}"/>
    <cellStyle name="Финансовый 3 3 2 4 3" xfId="4908" xr:uid="{00000000-0005-0000-0000-00002D130000}"/>
    <cellStyle name="Финансовый 3 3 2 4 3 2" xfId="4909" xr:uid="{00000000-0005-0000-0000-00002E130000}"/>
    <cellStyle name="Финансовый 3 3 2 4 3 2 2" xfId="4910" xr:uid="{00000000-0005-0000-0000-00002F130000}"/>
    <cellStyle name="Финансовый 3 3 2 4 3 3" xfId="4911" xr:uid="{00000000-0005-0000-0000-000030130000}"/>
    <cellStyle name="Финансовый 3 3 2 4 4" xfId="4912" xr:uid="{00000000-0005-0000-0000-000031130000}"/>
    <cellStyle name="Финансовый 3 3 2 4 4 2" xfId="4913" xr:uid="{00000000-0005-0000-0000-000032130000}"/>
    <cellStyle name="Финансовый 3 3 2 4 5" xfId="4914" xr:uid="{00000000-0005-0000-0000-000033130000}"/>
    <cellStyle name="Финансовый 3 3 2 5" xfId="4915" xr:uid="{00000000-0005-0000-0000-000034130000}"/>
    <cellStyle name="Финансовый 3 3 2 5 2" xfId="4916" xr:uid="{00000000-0005-0000-0000-000035130000}"/>
    <cellStyle name="Финансовый 3 3 2 5 2 2" xfId="4917" xr:uid="{00000000-0005-0000-0000-000036130000}"/>
    <cellStyle name="Финансовый 3 3 2 5 2 2 2" xfId="4918" xr:uid="{00000000-0005-0000-0000-000037130000}"/>
    <cellStyle name="Финансовый 3 3 2 5 2 3" xfId="4919" xr:uid="{00000000-0005-0000-0000-000038130000}"/>
    <cellStyle name="Финансовый 3 3 2 5 3" xfId="4920" xr:uid="{00000000-0005-0000-0000-000039130000}"/>
    <cellStyle name="Финансовый 3 3 2 5 3 2" xfId="4921" xr:uid="{00000000-0005-0000-0000-00003A130000}"/>
    <cellStyle name="Финансовый 3 3 2 5 4" xfId="4922" xr:uid="{00000000-0005-0000-0000-00003B130000}"/>
    <cellStyle name="Финансовый 3 3 2 6" xfId="4923" xr:uid="{00000000-0005-0000-0000-00003C130000}"/>
    <cellStyle name="Финансовый 3 3 2 6 2" xfId="4924" xr:uid="{00000000-0005-0000-0000-00003D130000}"/>
    <cellStyle name="Финансовый 3 3 2 6 2 2" xfId="4925" xr:uid="{00000000-0005-0000-0000-00003E130000}"/>
    <cellStyle name="Финансовый 3 3 2 6 3" xfId="4926" xr:uid="{00000000-0005-0000-0000-00003F130000}"/>
    <cellStyle name="Финансовый 3 3 2 7" xfId="4927" xr:uid="{00000000-0005-0000-0000-000040130000}"/>
    <cellStyle name="Финансовый 3 3 2 7 2" xfId="4928" xr:uid="{00000000-0005-0000-0000-000041130000}"/>
    <cellStyle name="Финансовый 3 3 2 8" xfId="4929" xr:uid="{00000000-0005-0000-0000-000042130000}"/>
    <cellStyle name="Финансовый 3 3 3" xfId="4930" xr:uid="{00000000-0005-0000-0000-000043130000}"/>
    <cellStyle name="Финансовый 3 3 3 2" xfId="4931" xr:uid="{00000000-0005-0000-0000-000044130000}"/>
    <cellStyle name="Финансовый 3 3 3 2 2" xfId="4932" xr:uid="{00000000-0005-0000-0000-000045130000}"/>
    <cellStyle name="Финансовый 3 3 3 2 2 2" xfId="4933" xr:uid="{00000000-0005-0000-0000-000046130000}"/>
    <cellStyle name="Финансовый 3 3 3 2 2 2 2" xfId="4934" xr:uid="{00000000-0005-0000-0000-000047130000}"/>
    <cellStyle name="Финансовый 3 3 3 2 2 2 2 2" xfId="4935" xr:uid="{00000000-0005-0000-0000-000048130000}"/>
    <cellStyle name="Финансовый 3 3 3 2 2 2 2 2 2" xfId="4936" xr:uid="{00000000-0005-0000-0000-000049130000}"/>
    <cellStyle name="Финансовый 3 3 3 2 2 2 2 3" xfId="4937" xr:uid="{00000000-0005-0000-0000-00004A130000}"/>
    <cellStyle name="Финансовый 3 3 3 2 2 2 3" xfId="4938" xr:uid="{00000000-0005-0000-0000-00004B130000}"/>
    <cellStyle name="Финансовый 3 3 3 2 2 2 3 2" xfId="4939" xr:uid="{00000000-0005-0000-0000-00004C130000}"/>
    <cellStyle name="Финансовый 3 3 3 2 2 2 4" xfId="4940" xr:uid="{00000000-0005-0000-0000-00004D130000}"/>
    <cellStyle name="Финансовый 3 3 3 2 2 3" xfId="4941" xr:uid="{00000000-0005-0000-0000-00004E130000}"/>
    <cellStyle name="Финансовый 3 3 3 2 2 3 2" xfId="4942" xr:uid="{00000000-0005-0000-0000-00004F130000}"/>
    <cellStyle name="Финансовый 3 3 3 2 2 3 2 2" xfId="4943" xr:uid="{00000000-0005-0000-0000-000050130000}"/>
    <cellStyle name="Финансовый 3 3 3 2 2 3 3" xfId="4944" xr:uid="{00000000-0005-0000-0000-000051130000}"/>
    <cellStyle name="Финансовый 3 3 3 2 2 4" xfId="4945" xr:uid="{00000000-0005-0000-0000-000052130000}"/>
    <cellStyle name="Финансовый 3 3 3 2 2 4 2" xfId="4946" xr:uid="{00000000-0005-0000-0000-000053130000}"/>
    <cellStyle name="Финансовый 3 3 3 2 2 5" xfId="4947" xr:uid="{00000000-0005-0000-0000-000054130000}"/>
    <cellStyle name="Финансовый 3 3 3 2 3" xfId="4948" xr:uid="{00000000-0005-0000-0000-000055130000}"/>
    <cellStyle name="Финансовый 3 3 3 2 3 2" xfId="4949" xr:uid="{00000000-0005-0000-0000-000056130000}"/>
    <cellStyle name="Финансовый 3 3 3 2 3 2 2" xfId="4950" xr:uid="{00000000-0005-0000-0000-000057130000}"/>
    <cellStyle name="Финансовый 3 3 3 2 3 2 2 2" xfId="4951" xr:uid="{00000000-0005-0000-0000-000058130000}"/>
    <cellStyle name="Финансовый 3 3 3 2 3 2 3" xfId="4952" xr:uid="{00000000-0005-0000-0000-000059130000}"/>
    <cellStyle name="Финансовый 3 3 3 2 3 3" xfId="4953" xr:uid="{00000000-0005-0000-0000-00005A130000}"/>
    <cellStyle name="Финансовый 3 3 3 2 3 3 2" xfId="4954" xr:uid="{00000000-0005-0000-0000-00005B130000}"/>
    <cellStyle name="Финансовый 3 3 3 2 3 4" xfId="4955" xr:uid="{00000000-0005-0000-0000-00005C130000}"/>
    <cellStyle name="Финансовый 3 3 3 2 4" xfId="4956" xr:uid="{00000000-0005-0000-0000-00005D130000}"/>
    <cellStyle name="Финансовый 3 3 3 2 4 2" xfId="4957" xr:uid="{00000000-0005-0000-0000-00005E130000}"/>
    <cellStyle name="Финансовый 3 3 3 2 4 2 2" xfId="4958" xr:uid="{00000000-0005-0000-0000-00005F130000}"/>
    <cellStyle name="Финансовый 3 3 3 2 4 3" xfId="4959" xr:uid="{00000000-0005-0000-0000-000060130000}"/>
    <cellStyle name="Финансовый 3 3 3 2 5" xfId="4960" xr:uid="{00000000-0005-0000-0000-000061130000}"/>
    <cellStyle name="Финансовый 3 3 3 2 5 2" xfId="4961" xr:uid="{00000000-0005-0000-0000-000062130000}"/>
    <cellStyle name="Финансовый 3 3 3 2 6" xfId="4962" xr:uid="{00000000-0005-0000-0000-000063130000}"/>
    <cellStyle name="Финансовый 3 3 3 3" xfId="4963" xr:uid="{00000000-0005-0000-0000-000064130000}"/>
    <cellStyle name="Финансовый 3 3 3 3 2" xfId="4964" xr:uid="{00000000-0005-0000-0000-000065130000}"/>
    <cellStyle name="Финансовый 3 3 3 3 2 2" xfId="4965" xr:uid="{00000000-0005-0000-0000-000066130000}"/>
    <cellStyle name="Финансовый 3 3 3 3 2 2 2" xfId="4966" xr:uid="{00000000-0005-0000-0000-000067130000}"/>
    <cellStyle name="Финансовый 3 3 3 3 2 2 2 2" xfId="4967" xr:uid="{00000000-0005-0000-0000-000068130000}"/>
    <cellStyle name="Финансовый 3 3 3 3 2 2 3" xfId="4968" xr:uid="{00000000-0005-0000-0000-000069130000}"/>
    <cellStyle name="Финансовый 3 3 3 3 2 3" xfId="4969" xr:uid="{00000000-0005-0000-0000-00006A130000}"/>
    <cellStyle name="Финансовый 3 3 3 3 2 3 2" xfId="4970" xr:uid="{00000000-0005-0000-0000-00006B130000}"/>
    <cellStyle name="Финансовый 3 3 3 3 2 4" xfId="4971" xr:uid="{00000000-0005-0000-0000-00006C130000}"/>
    <cellStyle name="Финансовый 3 3 3 3 3" xfId="4972" xr:uid="{00000000-0005-0000-0000-00006D130000}"/>
    <cellStyle name="Финансовый 3 3 3 3 3 2" xfId="4973" xr:uid="{00000000-0005-0000-0000-00006E130000}"/>
    <cellStyle name="Финансовый 3 3 3 3 3 2 2" xfId="4974" xr:uid="{00000000-0005-0000-0000-00006F130000}"/>
    <cellStyle name="Финансовый 3 3 3 3 3 3" xfId="4975" xr:uid="{00000000-0005-0000-0000-000070130000}"/>
    <cellStyle name="Финансовый 3 3 3 3 4" xfId="4976" xr:uid="{00000000-0005-0000-0000-000071130000}"/>
    <cellStyle name="Финансовый 3 3 3 3 4 2" xfId="4977" xr:uid="{00000000-0005-0000-0000-000072130000}"/>
    <cellStyle name="Финансовый 3 3 3 3 5" xfId="4978" xr:uid="{00000000-0005-0000-0000-000073130000}"/>
    <cellStyle name="Финансовый 3 3 3 4" xfId="4979" xr:uid="{00000000-0005-0000-0000-000074130000}"/>
    <cellStyle name="Финансовый 3 3 3 4 2" xfId="4980" xr:uid="{00000000-0005-0000-0000-000075130000}"/>
    <cellStyle name="Финансовый 3 3 3 4 2 2" xfId="4981" xr:uid="{00000000-0005-0000-0000-000076130000}"/>
    <cellStyle name="Финансовый 3 3 3 4 2 2 2" xfId="4982" xr:uid="{00000000-0005-0000-0000-000077130000}"/>
    <cellStyle name="Финансовый 3 3 3 4 2 3" xfId="4983" xr:uid="{00000000-0005-0000-0000-000078130000}"/>
    <cellStyle name="Финансовый 3 3 3 4 3" xfId="4984" xr:uid="{00000000-0005-0000-0000-000079130000}"/>
    <cellStyle name="Финансовый 3 3 3 4 3 2" xfId="4985" xr:uid="{00000000-0005-0000-0000-00007A130000}"/>
    <cellStyle name="Финансовый 3 3 3 4 4" xfId="4986" xr:uid="{00000000-0005-0000-0000-00007B130000}"/>
    <cellStyle name="Финансовый 3 3 3 5" xfId="4987" xr:uid="{00000000-0005-0000-0000-00007C130000}"/>
    <cellStyle name="Финансовый 3 3 3 5 2" xfId="4988" xr:uid="{00000000-0005-0000-0000-00007D130000}"/>
    <cellStyle name="Финансовый 3 3 3 5 2 2" xfId="4989" xr:uid="{00000000-0005-0000-0000-00007E130000}"/>
    <cellStyle name="Финансовый 3 3 3 5 3" xfId="4990" xr:uid="{00000000-0005-0000-0000-00007F130000}"/>
    <cellStyle name="Финансовый 3 3 3 6" xfId="4991" xr:uid="{00000000-0005-0000-0000-000080130000}"/>
    <cellStyle name="Финансовый 3 3 3 6 2" xfId="4992" xr:uid="{00000000-0005-0000-0000-000081130000}"/>
    <cellStyle name="Финансовый 3 3 3 7" xfId="4993" xr:uid="{00000000-0005-0000-0000-000082130000}"/>
    <cellStyle name="Финансовый 3 3 4" xfId="4994" xr:uid="{00000000-0005-0000-0000-000083130000}"/>
    <cellStyle name="Финансовый 3 3 4 2" xfId="4995" xr:uid="{00000000-0005-0000-0000-000084130000}"/>
    <cellStyle name="Финансовый 3 3 4 2 2" xfId="4996" xr:uid="{00000000-0005-0000-0000-000085130000}"/>
    <cellStyle name="Финансовый 3 3 4 2 2 2" xfId="4997" xr:uid="{00000000-0005-0000-0000-000086130000}"/>
    <cellStyle name="Финансовый 3 3 4 2 2 2 2" xfId="4998" xr:uid="{00000000-0005-0000-0000-000087130000}"/>
    <cellStyle name="Финансовый 3 3 4 2 2 2 2 2" xfId="4999" xr:uid="{00000000-0005-0000-0000-000088130000}"/>
    <cellStyle name="Финансовый 3 3 4 2 2 2 3" xfId="5000" xr:uid="{00000000-0005-0000-0000-000089130000}"/>
    <cellStyle name="Финансовый 3 3 4 2 2 3" xfId="5001" xr:uid="{00000000-0005-0000-0000-00008A130000}"/>
    <cellStyle name="Финансовый 3 3 4 2 2 3 2" xfId="5002" xr:uid="{00000000-0005-0000-0000-00008B130000}"/>
    <cellStyle name="Финансовый 3 3 4 2 2 4" xfId="5003" xr:uid="{00000000-0005-0000-0000-00008C130000}"/>
    <cellStyle name="Финансовый 3 3 4 2 3" xfId="5004" xr:uid="{00000000-0005-0000-0000-00008D130000}"/>
    <cellStyle name="Финансовый 3 3 4 2 3 2" xfId="5005" xr:uid="{00000000-0005-0000-0000-00008E130000}"/>
    <cellStyle name="Финансовый 3 3 4 2 3 2 2" xfId="5006" xr:uid="{00000000-0005-0000-0000-00008F130000}"/>
    <cellStyle name="Финансовый 3 3 4 2 3 3" xfId="5007" xr:uid="{00000000-0005-0000-0000-000090130000}"/>
    <cellStyle name="Финансовый 3 3 4 2 4" xfId="5008" xr:uid="{00000000-0005-0000-0000-000091130000}"/>
    <cellStyle name="Финансовый 3 3 4 2 4 2" xfId="5009" xr:uid="{00000000-0005-0000-0000-000092130000}"/>
    <cellStyle name="Финансовый 3 3 4 2 5" xfId="5010" xr:uid="{00000000-0005-0000-0000-000093130000}"/>
    <cellStyle name="Финансовый 3 3 4 3" xfId="5011" xr:uid="{00000000-0005-0000-0000-000094130000}"/>
    <cellStyle name="Финансовый 3 3 4 3 2" xfId="5012" xr:uid="{00000000-0005-0000-0000-000095130000}"/>
    <cellStyle name="Финансовый 3 3 4 3 2 2" xfId="5013" xr:uid="{00000000-0005-0000-0000-000096130000}"/>
    <cellStyle name="Финансовый 3 3 4 3 2 2 2" xfId="5014" xr:uid="{00000000-0005-0000-0000-000097130000}"/>
    <cellStyle name="Финансовый 3 3 4 3 2 3" xfId="5015" xr:uid="{00000000-0005-0000-0000-000098130000}"/>
    <cellStyle name="Финансовый 3 3 4 3 3" xfId="5016" xr:uid="{00000000-0005-0000-0000-000099130000}"/>
    <cellStyle name="Финансовый 3 3 4 3 3 2" xfId="5017" xr:uid="{00000000-0005-0000-0000-00009A130000}"/>
    <cellStyle name="Финансовый 3 3 4 3 4" xfId="5018" xr:uid="{00000000-0005-0000-0000-00009B130000}"/>
    <cellStyle name="Финансовый 3 3 4 4" xfId="5019" xr:uid="{00000000-0005-0000-0000-00009C130000}"/>
    <cellStyle name="Финансовый 3 3 4 4 2" xfId="5020" xr:uid="{00000000-0005-0000-0000-00009D130000}"/>
    <cellStyle name="Финансовый 3 3 4 4 2 2" xfId="5021" xr:uid="{00000000-0005-0000-0000-00009E130000}"/>
    <cellStyle name="Финансовый 3 3 4 4 3" xfId="5022" xr:uid="{00000000-0005-0000-0000-00009F130000}"/>
    <cellStyle name="Финансовый 3 3 4 5" xfId="5023" xr:uid="{00000000-0005-0000-0000-0000A0130000}"/>
    <cellStyle name="Финансовый 3 3 4 5 2" xfId="5024" xr:uid="{00000000-0005-0000-0000-0000A1130000}"/>
    <cellStyle name="Финансовый 3 3 4 6" xfId="5025" xr:uid="{00000000-0005-0000-0000-0000A2130000}"/>
    <cellStyle name="Финансовый 3 3 5" xfId="5026" xr:uid="{00000000-0005-0000-0000-0000A3130000}"/>
    <cellStyle name="Финансовый 3 3 5 2" xfId="5027" xr:uid="{00000000-0005-0000-0000-0000A4130000}"/>
    <cellStyle name="Финансовый 3 3 5 2 2" xfId="5028" xr:uid="{00000000-0005-0000-0000-0000A5130000}"/>
    <cellStyle name="Финансовый 3 3 5 2 2 2" xfId="5029" xr:uid="{00000000-0005-0000-0000-0000A6130000}"/>
    <cellStyle name="Финансовый 3 3 5 2 2 2 2" xfId="5030" xr:uid="{00000000-0005-0000-0000-0000A7130000}"/>
    <cellStyle name="Финансовый 3 3 5 2 2 3" xfId="5031" xr:uid="{00000000-0005-0000-0000-0000A8130000}"/>
    <cellStyle name="Финансовый 3 3 5 2 3" xfId="5032" xr:uid="{00000000-0005-0000-0000-0000A9130000}"/>
    <cellStyle name="Финансовый 3 3 5 2 3 2" xfId="5033" xr:uid="{00000000-0005-0000-0000-0000AA130000}"/>
    <cellStyle name="Финансовый 3 3 5 2 4" xfId="5034" xr:uid="{00000000-0005-0000-0000-0000AB130000}"/>
    <cellStyle name="Финансовый 3 3 5 3" xfId="5035" xr:uid="{00000000-0005-0000-0000-0000AC130000}"/>
    <cellStyle name="Финансовый 3 3 5 3 2" xfId="5036" xr:uid="{00000000-0005-0000-0000-0000AD130000}"/>
    <cellStyle name="Финансовый 3 3 5 3 2 2" xfId="5037" xr:uid="{00000000-0005-0000-0000-0000AE130000}"/>
    <cellStyle name="Финансовый 3 3 5 3 3" xfId="5038" xr:uid="{00000000-0005-0000-0000-0000AF130000}"/>
    <cellStyle name="Финансовый 3 3 5 4" xfId="5039" xr:uid="{00000000-0005-0000-0000-0000B0130000}"/>
    <cellStyle name="Финансовый 3 3 5 4 2" xfId="5040" xr:uid="{00000000-0005-0000-0000-0000B1130000}"/>
    <cellStyle name="Финансовый 3 3 5 5" xfId="5041" xr:uid="{00000000-0005-0000-0000-0000B2130000}"/>
    <cellStyle name="Финансовый 3 3 6" xfId="5042" xr:uid="{00000000-0005-0000-0000-0000B3130000}"/>
    <cellStyle name="Финансовый 3 3 6 2" xfId="5043" xr:uid="{00000000-0005-0000-0000-0000B4130000}"/>
    <cellStyle name="Финансовый 3 3 6 2 2" xfId="5044" xr:uid="{00000000-0005-0000-0000-0000B5130000}"/>
    <cellStyle name="Финансовый 3 3 6 2 2 2" xfId="5045" xr:uid="{00000000-0005-0000-0000-0000B6130000}"/>
    <cellStyle name="Финансовый 3 3 6 2 3" xfId="5046" xr:uid="{00000000-0005-0000-0000-0000B7130000}"/>
    <cellStyle name="Финансовый 3 3 6 3" xfId="5047" xr:uid="{00000000-0005-0000-0000-0000B8130000}"/>
    <cellStyle name="Финансовый 3 3 6 3 2" xfId="5048" xr:uid="{00000000-0005-0000-0000-0000B9130000}"/>
    <cellStyle name="Финансовый 3 3 6 4" xfId="5049" xr:uid="{00000000-0005-0000-0000-0000BA130000}"/>
    <cellStyle name="Финансовый 3 3 7" xfId="5050" xr:uid="{00000000-0005-0000-0000-0000BB130000}"/>
    <cellStyle name="Финансовый 3 3 7 2" xfId="5051" xr:uid="{00000000-0005-0000-0000-0000BC130000}"/>
    <cellStyle name="Финансовый 3 3 7 2 2" xfId="5052" xr:uid="{00000000-0005-0000-0000-0000BD130000}"/>
    <cellStyle name="Финансовый 3 3 7 3" xfId="5053" xr:uid="{00000000-0005-0000-0000-0000BE130000}"/>
    <cellStyle name="Финансовый 3 3 8" xfId="5054" xr:uid="{00000000-0005-0000-0000-0000BF130000}"/>
    <cellStyle name="Финансовый 3 3 8 2" xfId="5055" xr:uid="{00000000-0005-0000-0000-0000C0130000}"/>
    <cellStyle name="Финансовый 3 3 9" xfId="5056" xr:uid="{00000000-0005-0000-0000-0000C1130000}"/>
    <cellStyle name="Финансовый 3 4" xfId="5057" xr:uid="{00000000-0005-0000-0000-0000C2130000}"/>
    <cellStyle name="Финансовый 3 4 2" xfId="5058" xr:uid="{00000000-0005-0000-0000-0000C3130000}"/>
    <cellStyle name="Финансовый 3 4 2 2" xfId="5059" xr:uid="{00000000-0005-0000-0000-0000C4130000}"/>
    <cellStyle name="Финансовый 3 4 2 2 2" xfId="5060" xr:uid="{00000000-0005-0000-0000-0000C5130000}"/>
    <cellStyle name="Финансовый 3 4 2 2 2 2" xfId="5061" xr:uid="{00000000-0005-0000-0000-0000C6130000}"/>
    <cellStyle name="Финансовый 3 4 2 2 2 2 2" xfId="5062" xr:uid="{00000000-0005-0000-0000-0000C7130000}"/>
    <cellStyle name="Финансовый 3 4 2 2 2 2 2 2" xfId="5063" xr:uid="{00000000-0005-0000-0000-0000C8130000}"/>
    <cellStyle name="Финансовый 3 4 2 2 2 2 2 2 2" xfId="5064" xr:uid="{00000000-0005-0000-0000-0000C9130000}"/>
    <cellStyle name="Финансовый 3 4 2 2 2 2 2 3" xfId="5065" xr:uid="{00000000-0005-0000-0000-0000CA130000}"/>
    <cellStyle name="Финансовый 3 4 2 2 2 2 3" xfId="5066" xr:uid="{00000000-0005-0000-0000-0000CB130000}"/>
    <cellStyle name="Финансовый 3 4 2 2 2 2 3 2" xfId="5067" xr:uid="{00000000-0005-0000-0000-0000CC130000}"/>
    <cellStyle name="Финансовый 3 4 2 2 2 2 4" xfId="5068" xr:uid="{00000000-0005-0000-0000-0000CD130000}"/>
    <cellStyle name="Финансовый 3 4 2 2 2 3" xfId="5069" xr:uid="{00000000-0005-0000-0000-0000CE130000}"/>
    <cellStyle name="Финансовый 3 4 2 2 2 3 2" xfId="5070" xr:uid="{00000000-0005-0000-0000-0000CF130000}"/>
    <cellStyle name="Финансовый 3 4 2 2 2 3 2 2" xfId="5071" xr:uid="{00000000-0005-0000-0000-0000D0130000}"/>
    <cellStyle name="Финансовый 3 4 2 2 2 3 3" xfId="5072" xr:uid="{00000000-0005-0000-0000-0000D1130000}"/>
    <cellStyle name="Финансовый 3 4 2 2 2 4" xfId="5073" xr:uid="{00000000-0005-0000-0000-0000D2130000}"/>
    <cellStyle name="Финансовый 3 4 2 2 2 4 2" xfId="5074" xr:uid="{00000000-0005-0000-0000-0000D3130000}"/>
    <cellStyle name="Финансовый 3 4 2 2 2 5" xfId="5075" xr:uid="{00000000-0005-0000-0000-0000D4130000}"/>
    <cellStyle name="Финансовый 3 4 2 2 3" xfId="5076" xr:uid="{00000000-0005-0000-0000-0000D5130000}"/>
    <cellStyle name="Финансовый 3 4 2 2 3 2" xfId="5077" xr:uid="{00000000-0005-0000-0000-0000D6130000}"/>
    <cellStyle name="Финансовый 3 4 2 2 3 2 2" xfId="5078" xr:uid="{00000000-0005-0000-0000-0000D7130000}"/>
    <cellStyle name="Финансовый 3 4 2 2 3 2 2 2" xfId="5079" xr:uid="{00000000-0005-0000-0000-0000D8130000}"/>
    <cellStyle name="Финансовый 3 4 2 2 3 2 3" xfId="5080" xr:uid="{00000000-0005-0000-0000-0000D9130000}"/>
    <cellStyle name="Финансовый 3 4 2 2 3 3" xfId="5081" xr:uid="{00000000-0005-0000-0000-0000DA130000}"/>
    <cellStyle name="Финансовый 3 4 2 2 3 3 2" xfId="5082" xr:uid="{00000000-0005-0000-0000-0000DB130000}"/>
    <cellStyle name="Финансовый 3 4 2 2 3 4" xfId="5083" xr:uid="{00000000-0005-0000-0000-0000DC130000}"/>
    <cellStyle name="Финансовый 3 4 2 2 4" xfId="5084" xr:uid="{00000000-0005-0000-0000-0000DD130000}"/>
    <cellStyle name="Финансовый 3 4 2 2 4 2" xfId="5085" xr:uid="{00000000-0005-0000-0000-0000DE130000}"/>
    <cellStyle name="Финансовый 3 4 2 2 4 2 2" xfId="5086" xr:uid="{00000000-0005-0000-0000-0000DF130000}"/>
    <cellStyle name="Финансовый 3 4 2 2 4 3" xfId="5087" xr:uid="{00000000-0005-0000-0000-0000E0130000}"/>
    <cellStyle name="Финансовый 3 4 2 2 5" xfId="5088" xr:uid="{00000000-0005-0000-0000-0000E1130000}"/>
    <cellStyle name="Финансовый 3 4 2 2 5 2" xfId="5089" xr:uid="{00000000-0005-0000-0000-0000E2130000}"/>
    <cellStyle name="Финансовый 3 4 2 2 6" xfId="5090" xr:uid="{00000000-0005-0000-0000-0000E3130000}"/>
    <cellStyle name="Финансовый 3 4 2 3" xfId="5091" xr:uid="{00000000-0005-0000-0000-0000E4130000}"/>
    <cellStyle name="Финансовый 3 4 2 3 2" xfId="5092" xr:uid="{00000000-0005-0000-0000-0000E5130000}"/>
    <cellStyle name="Финансовый 3 4 2 3 2 2" xfId="5093" xr:uid="{00000000-0005-0000-0000-0000E6130000}"/>
    <cellStyle name="Финансовый 3 4 2 3 2 2 2" xfId="5094" xr:uid="{00000000-0005-0000-0000-0000E7130000}"/>
    <cellStyle name="Финансовый 3 4 2 3 2 2 2 2" xfId="5095" xr:uid="{00000000-0005-0000-0000-0000E8130000}"/>
    <cellStyle name="Финансовый 3 4 2 3 2 2 3" xfId="5096" xr:uid="{00000000-0005-0000-0000-0000E9130000}"/>
    <cellStyle name="Финансовый 3 4 2 3 2 3" xfId="5097" xr:uid="{00000000-0005-0000-0000-0000EA130000}"/>
    <cellStyle name="Финансовый 3 4 2 3 2 3 2" xfId="5098" xr:uid="{00000000-0005-0000-0000-0000EB130000}"/>
    <cellStyle name="Финансовый 3 4 2 3 2 4" xfId="5099" xr:uid="{00000000-0005-0000-0000-0000EC130000}"/>
    <cellStyle name="Финансовый 3 4 2 3 3" xfId="5100" xr:uid="{00000000-0005-0000-0000-0000ED130000}"/>
    <cellStyle name="Финансовый 3 4 2 3 3 2" xfId="5101" xr:uid="{00000000-0005-0000-0000-0000EE130000}"/>
    <cellStyle name="Финансовый 3 4 2 3 3 2 2" xfId="5102" xr:uid="{00000000-0005-0000-0000-0000EF130000}"/>
    <cellStyle name="Финансовый 3 4 2 3 3 3" xfId="5103" xr:uid="{00000000-0005-0000-0000-0000F0130000}"/>
    <cellStyle name="Финансовый 3 4 2 3 4" xfId="5104" xr:uid="{00000000-0005-0000-0000-0000F1130000}"/>
    <cellStyle name="Финансовый 3 4 2 3 4 2" xfId="5105" xr:uid="{00000000-0005-0000-0000-0000F2130000}"/>
    <cellStyle name="Финансовый 3 4 2 3 5" xfId="5106" xr:uid="{00000000-0005-0000-0000-0000F3130000}"/>
    <cellStyle name="Финансовый 3 4 2 4" xfId="5107" xr:uid="{00000000-0005-0000-0000-0000F4130000}"/>
    <cellStyle name="Финансовый 3 4 2 4 2" xfId="5108" xr:uid="{00000000-0005-0000-0000-0000F5130000}"/>
    <cellStyle name="Финансовый 3 4 2 4 2 2" xfId="5109" xr:uid="{00000000-0005-0000-0000-0000F6130000}"/>
    <cellStyle name="Финансовый 3 4 2 4 2 2 2" xfId="5110" xr:uid="{00000000-0005-0000-0000-0000F7130000}"/>
    <cellStyle name="Финансовый 3 4 2 4 2 3" xfId="5111" xr:uid="{00000000-0005-0000-0000-0000F8130000}"/>
    <cellStyle name="Финансовый 3 4 2 4 3" xfId="5112" xr:uid="{00000000-0005-0000-0000-0000F9130000}"/>
    <cellStyle name="Финансовый 3 4 2 4 3 2" xfId="5113" xr:uid="{00000000-0005-0000-0000-0000FA130000}"/>
    <cellStyle name="Финансовый 3 4 2 4 4" xfId="5114" xr:uid="{00000000-0005-0000-0000-0000FB130000}"/>
    <cellStyle name="Финансовый 3 4 2 5" xfId="5115" xr:uid="{00000000-0005-0000-0000-0000FC130000}"/>
    <cellStyle name="Финансовый 3 4 2 5 2" xfId="5116" xr:uid="{00000000-0005-0000-0000-0000FD130000}"/>
    <cellStyle name="Финансовый 3 4 2 5 2 2" xfId="5117" xr:uid="{00000000-0005-0000-0000-0000FE130000}"/>
    <cellStyle name="Финансовый 3 4 2 5 3" xfId="5118" xr:uid="{00000000-0005-0000-0000-0000FF130000}"/>
    <cellStyle name="Финансовый 3 4 2 6" xfId="5119" xr:uid="{00000000-0005-0000-0000-000000140000}"/>
    <cellStyle name="Финансовый 3 4 2 6 2" xfId="5120" xr:uid="{00000000-0005-0000-0000-000001140000}"/>
    <cellStyle name="Финансовый 3 4 2 7" xfId="5121" xr:uid="{00000000-0005-0000-0000-000002140000}"/>
    <cellStyle name="Финансовый 3 4 3" xfId="5122" xr:uid="{00000000-0005-0000-0000-000003140000}"/>
    <cellStyle name="Финансовый 3 4 3 2" xfId="5123" xr:uid="{00000000-0005-0000-0000-000004140000}"/>
    <cellStyle name="Финансовый 3 4 3 2 2" xfId="5124" xr:uid="{00000000-0005-0000-0000-000005140000}"/>
    <cellStyle name="Финансовый 3 4 3 2 2 2" xfId="5125" xr:uid="{00000000-0005-0000-0000-000006140000}"/>
    <cellStyle name="Финансовый 3 4 3 2 2 2 2" xfId="5126" xr:uid="{00000000-0005-0000-0000-000007140000}"/>
    <cellStyle name="Финансовый 3 4 3 2 2 2 2 2" xfId="5127" xr:uid="{00000000-0005-0000-0000-000008140000}"/>
    <cellStyle name="Финансовый 3 4 3 2 2 2 3" xfId="5128" xr:uid="{00000000-0005-0000-0000-000009140000}"/>
    <cellStyle name="Финансовый 3 4 3 2 2 3" xfId="5129" xr:uid="{00000000-0005-0000-0000-00000A140000}"/>
    <cellStyle name="Финансовый 3 4 3 2 2 3 2" xfId="5130" xr:uid="{00000000-0005-0000-0000-00000B140000}"/>
    <cellStyle name="Финансовый 3 4 3 2 2 4" xfId="5131" xr:uid="{00000000-0005-0000-0000-00000C140000}"/>
    <cellStyle name="Финансовый 3 4 3 2 3" xfId="5132" xr:uid="{00000000-0005-0000-0000-00000D140000}"/>
    <cellStyle name="Финансовый 3 4 3 2 3 2" xfId="5133" xr:uid="{00000000-0005-0000-0000-00000E140000}"/>
    <cellStyle name="Финансовый 3 4 3 2 3 2 2" xfId="5134" xr:uid="{00000000-0005-0000-0000-00000F140000}"/>
    <cellStyle name="Финансовый 3 4 3 2 3 3" xfId="5135" xr:uid="{00000000-0005-0000-0000-000010140000}"/>
    <cellStyle name="Финансовый 3 4 3 2 4" xfId="5136" xr:uid="{00000000-0005-0000-0000-000011140000}"/>
    <cellStyle name="Финансовый 3 4 3 2 4 2" xfId="5137" xr:uid="{00000000-0005-0000-0000-000012140000}"/>
    <cellStyle name="Финансовый 3 4 3 2 5" xfId="5138" xr:uid="{00000000-0005-0000-0000-000013140000}"/>
    <cellStyle name="Финансовый 3 4 3 3" xfId="5139" xr:uid="{00000000-0005-0000-0000-000014140000}"/>
    <cellStyle name="Финансовый 3 4 3 3 2" xfId="5140" xr:uid="{00000000-0005-0000-0000-000015140000}"/>
    <cellStyle name="Финансовый 3 4 3 3 2 2" xfId="5141" xr:uid="{00000000-0005-0000-0000-000016140000}"/>
    <cellStyle name="Финансовый 3 4 3 3 2 2 2" xfId="5142" xr:uid="{00000000-0005-0000-0000-000017140000}"/>
    <cellStyle name="Финансовый 3 4 3 3 2 3" xfId="5143" xr:uid="{00000000-0005-0000-0000-000018140000}"/>
    <cellStyle name="Финансовый 3 4 3 3 3" xfId="5144" xr:uid="{00000000-0005-0000-0000-000019140000}"/>
    <cellStyle name="Финансовый 3 4 3 3 3 2" xfId="5145" xr:uid="{00000000-0005-0000-0000-00001A140000}"/>
    <cellStyle name="Финансовый 3 4 3 3 4" xfId="5146" xr:uid="{00000000-0005-0000-0000-00001B140000}"/>
    <cellStyle name="Финансовый 3 4 3 4" xfId="5147" xr:uid="{00000000-0005-0000-0000-00001C140000}"/>
    <cellStyle name="Финансовый 3 4 3 4 2" xfId="5148" xr:uid="{00000000-0005-0000-0000-00001D140000}"/>
    <cellStyle name="Финансовый 3 4 3 4 2 2" xfId="5149" xr:uid="{00000000-0005-0000-0000-00001E140000}"/>
    <cellStyle name="Финансовый 3 4 3 4 3" xfId="5150" xr:uid="{00000000-0005-0000-0000-00001F140000}"/>
    <cellStyle name="Финансовый 3 4 3 5" xfId="5151" xr:uid="{00000000-0005-0000-0000-000020140000}"/>
    <cellStyle name="Финансовый 3 4 3 5 2" xfId="5152" xr:uid="{00000000-0005-0000-0000-000021140000}"/>
    <cellStyle name="Финансовый 3 4 3 6" xfId="5153" xr:uid="{00000000-0005-0000-0000-000022140000}"/>
    <cellStyle name="Финансовый 3 4 4" xfId="5154" xr:uid="{00000000-0005-0000-0000-000023140000}"/>
    <cellStyle name="Финансовый 3 4 4 2" xfId="5155" xr:uid="{00000000-0005-0000-0000-000024140000}"/>
    <cellStyle name="Финансовый 3 4 4 2 2" xfId="5156" xr:uid="{00000000-0005-0000-0000-000025140000}"/>
    <cellStyle name="Финансовый 3 4 4 2 2 2" xfId="5157" xr:uid="{00000000-0005-0000-0000-000026140000}"/>
    <cellStyle name="Финансовый 3 4 4 2 2 2 2" xfId="5158" xr:uid="{00000000-0005-0000-0000-000027140000}"/>
    <cellStyle name="Финансовый 3 4 4 2 2 3" xfId="5159" xr:uid="{00000000-0005-0000-0000-000028140000}"/>
    <cellStyle name="Финансовый 3 4 4 2 3" xfId="5160" xr:uid="{00000000-0005-0000-0000-000029140000}"/>
    <cellStyle name="Финансовый 3 4 4 2 3 2" xfId="5161" xr:uid="{00000000-0005-0000-0000-00002A140000}"/>
    <cellStyle name="Финансовый 3 4 4 2 4" xfId="5162" xr:uid="{00000000-0005-0000-0000-00002B140000}"/>
    <cellStyle name="Финансовый 3 4 4 3" xfId="5163" xr:uid="{00000000-0005-0000-0000-00002C140000}"/>
    <cellStyle name="Финансовый 3 4 4 3 2" xfId="5164" xr:uid="{00000000-0005-0000-0000-00002D140000}"/>
    <cellStyle name="Финансовый 3 4 4 3 2 2" xfId="5165" xr:uid="{00000000-0005-0000-0000-00002E140000}"/>
    <cellStyle name="Финансовый 3 4 4 3 3" xfId="5166" xr:uid="{00000000-0005-0000-0000-00002F140000}"/>
    <cellStyle name="Финансовый 3 4 4 4" xfId="5167" xr:uid="{00000000-0005-0000-0000-000030140000}"/>
    <cellStyle name="Финансовый 3 4 4 4 2" xfId="5168" xr:uid="{00000000-0005-0000-0000-000031140000}"/>
    <cellStyle name="Финансовый 3 4 4 5" xfId="5169" xr:uid="{00000000-0005-0000-0000-000032140000}"/>
    <cellStyle name="Финансовый 3 4 5" xfId="5170" xr:uid="{00000000-0005-0000-0000-000033140000}"/>
    <cellStyle name="Финансовый 3 4 5 2" xfId="5171" xr:uid="{00000000-0005-0000-0000-000034140000}"/>
    <cellStyle name="Финансовый 3 4 5 2 2" xfId="5172" xr:uid="{00000000-0005-0000-0000-000035140000}"/>
    <cellStyle name="Финансовый 3 4 5 2 2 2" xfId="5173" xr:uid="{00000000-0005-0000-0000-000036140000}"/>
    <cellStyle name="Финансовый 3 4 5 2 3" xfId="5174" xr:uid="{00000000-0005-0000-0000-000037140000}"/>
    <cellStyle name="Финансовый 3 4 5 3" xfId="5175" xr:uid="{00000000-0005-0000-0000-000038140000}"/>
    <cellStyle name="Финансовый 3 4 5 3 2" xfId="5176" xr:uid="{00000000-0005-0000-0000-000039140000}"/>
    <cellStyle name="Финансовый 3 4 5 4" xfId="5177" xr:uid="{00000000-0005-0000-0000-00003A140000}"/>
    <cellStyle name="Финансовый 3 4 6" xfId="5178" xr:uid="{00000000-0005-0000-0000-00003B140000}"/>
    <cellStyle name="Финансовый 3 4 6 2" xfId="5179" xr:uid="{00000000-0005-0000-0000-00003C140000}"/>
    <cellStyle name="Финансовый 3 4 6 2 2" xfId="5180" xr:uid="{00000000-0005-0000-0000-00003D140000}"/>
    <cellStyle name="Финансовый 3 4 6 3" xfId="5181" xr:uid="{00000000-0005-0000-0000-00003E140000}"/>
    <cellStyle name="Финансовый 3 4 7" xfId="5182" xr:uid="{00000000-0005-0000-0000-00003F140000}"/>
    <cellStyle name="Финансовый 3 4 7 2" xfId="5183" xr:uid="{00000000-0005-0000-0000-000040140000}"/>
    <cellStyle name="Финансовый 3 4 8" xfId="5184" xr:uid="{00000000-0005-0000-0000-000041140000}"/>
    <cellStyle name="Финансовый 3 5" xfId="5185" xr:uid="{00000000-0005-0000-0000-000042140000}"/>
    <cellStyle name="Финансовый 3 5 2" xfId="5186" xr:uid="{00000000-0005-0000-0000-000043140000}"/>
    <cellStyle name="Финансовый 3 5 2 2" xfId="5187" xr:uid="{00000000-0005-0000-0000-000044140000}"/>
    <cellStyle name="Финансовый 3 5 2 2 2" xfId="5188" xr:uid="{00000000-0005-0000-0000-000045140000}"/>
    <cellStyle name="Финансовый 3 5 2 2 2 2" xfId="5189" xr:uid="{00000000-0005-0000-0000-000046140000}"/>
    <cellStyle name="Финансовый 3 5 2 2 2 2 2" xfId="5190" xr:uid="{00000000-0005-0000-0000-000047140000}"/>
    <cellStyle name="Финансовый 3 5 2 2 2 2 2 2" xfId="5191" xr:uid="{00000000-0005-0000-0000-000048140000}"/>
    <cellStyle name="Финансовый 3 5 2 2 2 2 3" xfId="5192" xr:uid="{00000000-0005-0000-0000-000049140000}"/>
    <cellStyle name="Финансовый 3 5 2 2 2 3" xfId="5193" xr:uid="{00000000-0005-0000-0000-00004A140000}"/>
    <cellStyle name="Финансовый 3 5 2 2 2 3 2" xfId="5194" xr:uid="{00000000-0005-0000-0000-00004B140000}"/>
    <cellStyle name="Финансовый 3 5 2 2 2 4" xfId="5195" xr:uid="{00000000-0005-0000-0000-00004C140000}"/>
    <cellStyle name="Финансовый 3 5 2 2 3" xfId="5196" xr:uid="{00000000-0005-0000-0000-00004D140000}"/>
    <cellStyle name="Финансовый 3 5 2 2 3 2" xfId="5197" xr:uid="{00000000-0005-0000-0000-00004E140000}"/>
    <cellStyle name="Финансовый 3 5 2 2 3 2 2" xfId="5198" xr:uid="{00000000-0005-0000-0000-00004F140000}"/>
    <cellStyle name="Финансовый 3 5 2 2 3 3" xfId="5199" xr:uid="{00000000-0005-0000-0000-000050140000}"/>
    <cellStyle name="Финансовый 3 5 2 2 4" xfId="5200" xr:uid="{00000000-0005-0000-0000-000051140000}"/>
    <cellStyle name="Финансовый 3 5 2 2 4 2" xfId="5201" xr:uid="{00000000-0005-0000-0000-000052140000}"/>
    <cellStyle name="Финансовый 3 5 2 2 5" xfId="5202" xr:uid="{00000000-0005-0000-0000-000053140000}"/>
    <cellStyle name="Финансовый 3 5 2 3" xfId="5203" xr:uid="{00000000-0005-0000-0000-000054140000}"/>
    <cellStyle name="Финансовый 3 5 2 3 2" xfId="5204" xr:uid="{00000000-0005-0000-0000-000055140000}"/>
    <cellStyle name="Финансовый 3 5 2 3 2 2" xfId="5205" xr:uid="{00000000-0005-0000-0000-000056140000}"/>
    <cellStyle name="Финансовый 3 5 2 3 2 2 2" xfId="5206" xr:uid="{00000000-0005-0000-0000-000057140000}"/>
    <cellStyle name="Финансовый 3 5 2 3 2 3" xfId="5207" xr:uid="{00000000-0005-0000-0000-000058140000}"/>
    <cellStyle name="Финансовый 3 5 2 3 3" xfId="5208" xr:uid="{00000000-0005-0000-0000-000059140000}"/>
    <cellStyle name="Финансовый 3 5 2 3 3 2" xfId="5209" xr:uid="{00000000-0005-0000-0000-00005A140000}"/>
    <cellStyle name="Финансовый 3 5 2 3 4" xfId="5210" xr:uid="{00000000-0005-0000-0000-00005B140000}"/>
    <cellStyle name="Финансовый 3 5 2 4" xfId="5211" xr:uid="{00000000-0005-0000-0000-00005C140000}"/>
    <cellStyle name="Финансовый 3 5 2 4 2" xfId="5212" xr:uid="{00000000-0005-0000-0000-00005D140000}"/>
    <cellStyle name="Финансовый 3 5 2 4 2 2" xfId="5213" xr:uid="{00000000-0005-0000-0000-00005E140000}"/>
    <cellStyle name="Финансовый 3 5 2 4 3" xfId="5214" xr:uid="{00000000-0005-0000-0000-00005F140000}"/>
    <cellStyle name="Финансовый 3 5 2 5" xfId="5215" xr:uid="{00000000-0005-0000-0000-000060140000}"/>
    <cellStyle name="Финансовый 3 5 2 5 2" xfId="5216" xr:uid="{00000000-0005-0000-0000-000061140000}"/>
    <cellStyle name="Финансовый 3 5 2 6" xfId="5217" xr:uid="{00000000-0005-0000-0000-000062140000}"/>
    <cellStyle name="Финансовый 3 5 3" xfId="5218" xr:uid="{00000000-0005-0000-0000-000063140000}"/>
    <cellStyle name="Финансовый 3 5 3 2" xfId="5219" xr:uid="{00000000-0005-0000-0000-000064140000}"/>
    <cellStyle name="Финансовый 3 5 3 2 2" xfId="5220" xr:uid="{00000000-0005-0000-0000-000065140000}"/>
    <cellStyle name="Финансовый 3 5 3 2 2 2" xfId="5221" xr:uid="{00000000-0005-0000-0000-000066140000}"/>
    <cellStyle name="Финансовый 3 5 3 2 2 2 2" xfId="5222" xr:uid="{00000000-0005-0000-0000-000067140000}"/>
    <cellStyle name="Финансовый 3 5 3 2 2 3" xfId="5223" xr:uid="{00000000-0005-0000-0000-000068140000}"/>
    <cellStyle name="Финансовый 3 5 3 2 3" xfId="5224" xr:uid="{00000000-0005-0000-0000-000069140000}"/>
    <cellStyle name="Финансовый 3 5 3 2 3 2" xfId="5225" xr:uid="{00000000-0005-0000-0000-00006A140000}"/>
    <cellStyle name="Финансовый 3 5 3 2 4" xfId="5226" xr:uid="{00000000-0005-0000-0000-00006B140000}"/>
    <cellStyle name="Финансовый 3 5 3 3" xfId="5227" xr:uid="{00000000-0005-0000-0000-00006C140000}"/>
    <cellStyle name="Финансовый 3 5 3 3 2" xfId="5228" xr:uid="{00000000-0005-0000-0000-00006D140000}"/>
    <cellStyle name="Финансовый 3 5 3 3 2 2" xfId="5229" xr:uid="{00000000-0005-0000-0000-00006E140000}"/>
    <cellStyle name="Финансовый 3 5 3 3 3" xfId="5230" xr:uid="{00000000-0005-0000-0000-00006F140000}"/>
    <cellStyle name="Финансовый 3 5 3 4" xfId="5231" xr:uid="{00000000-0005-0000-0000-000070140000}"/>
    <cellStyle name="Финансовый 3 5 3 4 2" xfId="5232" xr:uid="{00000000-0005-0000-0000-000071140000}"/>
    <cellStyle name="Финансовый 3 5 3 5" xfId="5233" xr:uid="{00000000-0005-0000-0000-000072140000}"/>
    <cellStyle name="Финансовый 3 5 4" xfId="5234" xr:uid="{00000000-0005-0000-0000-000073140000}"/>
    <cellStyle name="Финансовый 3 5 4 2" xfId="5235" xr:uid="{00000000-0005-0000-0000-000074140000}"/>
    <cellStyle name="Финансовый 3 5 4 2 2" xfId="5236" xr:uid="{00000000-0005-0000-0000-000075140000}"/>
    <cellStyle name="Финансовый 3 5 4 2 2 2" xfId="5237" xr:uid="{00000000-0005-0000-0000-000076140000}"/>
    <cellStyle name="Финансовый 3 5 4 2 3" xfId="5238" xr:uid="{00000000-0005-0000-0000-000077140000}"/>
    <cellStyle name="Финансовый 3 5 4 3" xfId="5239" xr:uid="{00000000-0005-0000-0000-000078140000}"/>
    <cellStyle name="Финансовый 3 5 4 3 2" xfId="5240" xr:uid="{00000000-0005-0000-0000-000079140000}"/>
    <cellStyle name="Финансовый 3 5 4 4" xfId="5241" xr:uid="{00000000-0005-0000-0000-00007A140000}"/>
    <cellStyle name="Финансовый 3 5 5" xfId="5242" xr:uid="{00000000-0005-0000-0000-00007B140000}"/>
    <cellStyle name="Финансовый 3 5 5 2" xfId="5243" xr:uid="{00000000-0005-0000-0000-00007C140000}"/>
    <cellStyle name="Финансовый 3 5 5 2 2" xfId="5244" xr:uid="{00000000-0005-0000-0000-00007D140000}"/>
    <cellStyle name="Финансовый 3 5 5 3" xfId="5245" xr:uid="{00000000-0005-0000-0000-00007E140000}"/>
    <cellStyle name="Финансовый 3 5 6" xfId="5246" xr:uid="{00000000-0005-0000-0000-00007F140000}"/>
    <cellStyle name="Финансовый 3 5 6 2" xfId="5247" xr:uid="{00000000-0005-0000-0000-000080140000}"/>
    <cellStyle name="Финансовый 3 5 7" xfId="5248" xr:uid="{00000000-0005-0000-0000-000081140000}"/>
    <cellStyle name="Финансовый 3 6" xfId="5249" xr:uid="{00000000-0005-0000-0000-000082140000}"/>
    <cellStyle name="Финансовый 3 6 2" xfId="5250" xr:uid="{00000000-0005-0000-0000-000083140000}"/>
    <cellStyle name="Финансовый 3 6 2 2" xfId="5251" xr:uid="{00000000-0005-0000-0000-000084140000}"/>
    <cellStyle name="Финансовый 3 6 2 2 2" xfId="5252" xr:uid="{00000000-0005-0000-0000-000085140000}"/>
    <cellStyle name="Финансовый 3 6 2 2 2 2" xfId="5253" xr:uid="{00000000-0005-0000-0000-000086140000}"/>
    <cellStyle name="Финансовый 3 6 2 2 2 2 2" xfId="5254" xr:uid="{00000000-0005-0000-0000-000087140000}"/>
    <cellStyle name="Финансовый 3 6 2 2 2 3" xfId="5255" xr:uid="{00000000-0005-0000-0000-000088140000}"/>
    <cellStyle name="Финансовый 3 6 2 2 3" xfId="5256" xr:uid="{00000000-0005-0000-0000-000089140000}"/>
    <cellStyle name="Финансовый 3 6 2 2 3 2" xfId="5257" xr:uid="{00000000-0005-0000-0000-00008A140000}"/>
    <cellStyle name="Финансовый 3 6 2 2 4" xfId="5258" xr:uid="{00000000-0005-0000-0000-00008B140000}"/>
    <cellStyle name="Финансовый 3 6 2 3" xfId="5259" xr:uid="{00000000-0005-0000-0000-00008C140000}"/>
    <cellStyle name="Финансовый 3 6 2 3 2" xfId="5260" xr:uid="{00000000-0005-0000-0000-00008D140000}"/>
    <cellStyle name="Финансовый 3 6 2 3 2 2" xfId="5261" xr:uid="{00000000-0005-0000-0000-00008E140000}"/>
    <cellStyle name="Финансовый 3 6 2 3 3" xfId="5262" xr:uid="{00000000-0005-0000-0000-00008F140000}"/>
    <cellStyle name="Финансовый 3 6 2 4" xfId="5263" xr:uid="{00000000-0005-0000-0000-000090140000}"/>
    <cellStyle name="Финансовый 3 6 2 4 2" xfId="5264" xr:uid="{00000000-0005-0000-0000-000091140000}"/>
    <cellStyle name="Финансовый 3 6 2 5" xfId="5265" xr:uid="{00000000-0005-0000-0000-000092140000}"/>
    <cellStyle name="Финансовый 3 6 3" xfId="5266" xr:uid="{00000000-0005-0000-0000-000093140000}"/>
    <cellStyle name="Финансовый 3 6 3 2" xfId="5267" xr:uid="{00000000-0005-0000-0000-000094140000}"/>
    <cellStyle name="Финансовый 3 6 3 2 2" xfId="5268" xr:uid="{00000000-0005-0000-0000-000095140000}"/>
    <cellStyle name="Финансовый 3 6 3 2 2 2" xfId="5269" xr:uid="{00000000-0005-0000-0000-000096140000}"/>
    <cellStyle name="Финансовый 3 6 3 2 3" xfId="5270" xr:uid="{00000000-0005-0000-0000-000097140000}"/>
    <cellStyle name="Финансовый 3 6 3 3" xfId="5271" xr:uid="{00000000-0005-0000-0000-000098140000}"/>
    <cellStyle name="Финансовый 3 6 3 3 2" xfId="5272" xr:uid="{00000000-0005-0000-0000-000099140000}"/>
    <cellStyle name="Финансовый 3 6 3 4" xfId="5273" xr:uid="{00000000-0005-0000-0000-00009A140000}"/>
    <cellStyle name="Финансовый 3 6 4" xfId="5274" xr:uid="{00000000-0005-0000-0000-00009B140000}"/>
    <cellStyle name="Финансовый 3 6 4 2" xfId="5275" xr:uid="{00000000-0005-0000-0000-00009C140000}"/>
    <cellStyle name="Финансовый 3 6 4 2 2" xfId="5276" xr:uid="{00000000-0005-0000-0000-00009D140000}"/>
    <cellStyle name="Финансовый 3 6 4 3" xfId="5277" xr:uid="{00000000-0005-0000-0000-00009E140000}"/>
    <cellStyle name="Финансовый 3 6 5" xfId="5278" xr:uid="{00000000-0005-0000-0000-00009F140000}"/>
    <cellStyle name="Финансовый 3 6 5 2" xfId="5279" xr:uid="{00000000-0005-0000-0000-0000A0140000}"/>
    <cellStyle name="Финансовый 3 6 6" xfId="5280" xr:uid="{00000000-0005-0000-0000-0000A1140000}"/>
    <cellStyle name="Финансовый 3 7" xfId="5281" xr:uid="{00000000-0005-0000-0000-0000A2140000}"/>
    <cellStyle name="Финансовый 3 7 2" xfId="5282" xr:uid="{00000000-0005-0000-0000-0000A3140000}"/>
    <cellStyle name="Финансовый 3 7 2 2" xfId="5283" xr:uid="{00000000-0005-0000-0000-0000A4140000}"/>
    <cellStyle name="Финансовый 3 7 2 2 2" xfId="5284" xr:uid="{00000000-0005-0000-0000-0000A5140000}"/>
    <cellStyle name="Финансовый 3 7 2 2 2 2" xfId="5285" xr:uid="{00000000-0005-0000-0000-0000A6140000}"/>
    <cellStyle name="Финансовый 3 7 2 2 3" xfId="5286" xr:uid="{00000000-0005-0000-0000-0000A7140000}"/>
    <cellStyle name="Финансовый 3 7 2 3" xfId="5287" xr:uid="{00000000-0005-0000-0000-0000A8140000}"/>
    <cellStyle name="Финансовый 3 7 2 3 2" xfId="5288" xr:uid="{00000000-0005-0000-0000-0000A9140000}"/>
    <cellStyle name="Финансовый 3 7 2 4" xfId="5289" xr:uid="{00000000-0005-0000-0000-0000AA140000}"/>
    <cellStyle name="Финансовый 3 7 3" xfId="5290" xr:uid="{00000000-0005-0000-0000-0000AB140000}"/>
    <cellStyle name="Финансовый 3 7 3 2" xfId="5291" xr:uid="{00000000-0005-0000-0000-0000AC140000}"/>
    <cellStyle name="Финансовый 3 7 3 2 2" xfId="5292" xr:uid="{00000000-0005-0000-0000-0000AD140000}"/>
    <cellStyle name="Финансовый 3 7 3 3" xfId="5293" xr:uid="{00000000-0005-0000-0000-0000AE140000}"/>
    <cellStyle name="Финансовый 3 7 4" xfId="5294" xr:uid="{00000000-0005-0000-0000-0000AF140000}"/>
    <cellStyle name="Финансовый 3 7 4 2" xfId="5295" xr:uid="{00000000-0005-0000-0000-0000B0140000}"/>
    <cellStyle name="Финансовый 3 7 5" xfId="5296" xr:uid="{00000000-0005-0000-0000-0000B1140000}"/>
    <cellStyle name="Финансовый 3 8" xfId="5297" xr:uid="{00000000-0005-0000-0000-0000B2140000}"/>
    <cellStyle name="Финансовый 3 8 2" xfId="5298" xr:uid="{00000000-0005-0000-0000-0000B3140000}"/>
    <cellStyle name="Финансовый 3 8 2 2" xfId="5299" xr:uid="{00000000-0005-0000-0000-0000B4140000}"/>
    <cellStyle name="Финансовый 3 8 2 2 2" xfId="5300" xr:uid="{00000000-0005-0000-0000-0000B5140000}"/>
    <cellStyle name="Финансовый 3 8 2 3" xfId="5301" xr:uid="{00000000-0005-0000-0000-0000B6140000}"/>
    <cellStyle name="Финансовый 3 8 3" xfId="5302" xr:uid="{00000000-0005-0000-0000-0000B7140000}"/>
    <cellStyle name="Финансовый 3 8 3 2" xfId="5303" xr:uid="{00000000-0005-0000-0000-0000B8140000}"/>
    <cellStyle name="Финансовый 3 8 4" xfId="5304" xr:uid="{00000000-0005-0000-0000-0000B9140000}"/>
    <cellStyle name="Финансовый 3 9" xfId="5305" xr:uid="{00000000-0005-0000-0000-0000BA140000}"/>
    <cellStyle name="Финансовый 3 9 2" xfId="5306" xr:uid="{00000000-0005-0000-0000-0000BB140000}"/>
    <cellStyle name="Финансовый 3 9 2 2" xfId="5307" xr:uid="{00000000-0005-0000-0000-0000BC140000}"/>
    <cellStyle name="Финансовый 3 9 3" xfId="5308" xr:uid="{00000000-0005-0000-0000-0000BD140000}"/>
    <cellStyle name="Финансовый 4" xfId="5309" xr:uid="{00000000-0005-0000-0000-0000BE140000}"/>
    <cellStyle name="Финансовый 4 10" xfId="5310" xr:uid="{00000000-0005-0000-0000-0000BF140000}"/>
    <cellStyle name="Финансовый 4 10 2" xfId="5311" xr:uid="{00000000-0005-0000-0000-0000C0140000}"/>
    <cellStyle name="Финансовый 4 11" xfId="5312" xr:uid="{00000000-0005-0000-0000-0000C1140000}"/>
    <cellStyle name="Финансовый 4 2" xfId="5313" xr:uid="{00000000-0005-0000-0000-0000C2140000}"/>
    <cellStyle name="Финансовый 4 2 10" xfId="5314" xr:uid="{00000000-0005-0000-0000-0000C3140000}"/>
    <cellStyle name="Финансовый 4 2 2" xfId="5315" xr:uid="{00000000-0005-0000-0000-0000C4140000}"/>
    <cellStyle name="Финансовый 4 2 2 2" xfId="5316" xr:uid="{00000000-0005-0000-0000-0000C5140000}"/>
    <cellStyle name="Финансовый 4 2 2 2 2" xfId="5317" xr:uid="{00000000-0005-0000-0000-0000C6140000}"/>
    <cellStyle name="Финансовый 4 2 2 2 2 2" xfId="5318" xr:uid="{00000000-0005-0000-0000-0000C7140000}"/>
    <cellStyle name="Финансовый 4 2 2 2 2 2 2" xfId="5319" xr:uid="{00000000-0005-0000-0000-0000C8140000}"/>
    <cellStyle name="Финансовый 4 2 2 2 2 2 2 2" xfId="5320" xr:uid="{00000000-0005-0000-0000-0000C9140000}"/>
    <cellStyle name="Финансовый 4 2 2 2 2 2 2 2 2" xfId="5321" xr:uid="{00000000-0005-0000-0000-0000CA140000}"/>
    <cellStyle name="Финансовый 4 2 2 2 2 2 2 2 2 2" xfId="5322" xr:uid="{00000000-0005-0000-0000-0000CB140000}"/>
    <cellStyle name="Финансовый 4 2 2 2 2 2 2 2 2 2 2" xfId="5323" xr:uid="{00000000-0005-0000-0000-0000CC140000}"/>
    <cellStyle name="Финансовый 4 2 2 2 2 2 2 2 2 3" xfId="5324" xr:uid="{00000000-0005-0000-0000-0000CD140000}"/>
    <cellStyle name="Финансовый 4 2 2 2 2 2 2 2 3" xfId="5325" xr:uid="{00000000-0005-0000-0000-0000CE140000}"/>
    <cellStyle name="Финансовый 4 2 2 2 2 2 2 2 3 2" xfId="5326" xr:uid="{00000000-0005-0000-0000-0000CF140000}"/>
    <cellStyle name="Финансовый 4 2 2 2 2 2 2 2 4" xfId="5327" xr:uid="{00000000-0005-0000-0000-0000D0140000}"/>
    <cellStyle name="Финансовый 4 2 2 2 2 2 2 3" xfId="5328" xr:uid="{00000000-0005-0000-0000-0000D1140000}"/>
    <cellStyle name="Финансовый 4 2 2 2 2 2 2 3 2" xfId="5329" xr:uid="{00000000-0005-0000-0000-0000D2140000}"/>
    <cellStyle name="Финансовый 4 2 2 2 2 2 2 3 2 2" xfId="5330" xr:uid="{00000000-0005-0000-0000-0000D3140000}"/>
    <cellStyle name="Финансовый 4 2 2 2 2 2 2 3 3" xfId="5331" xr:uid="{00000000-0005-0000-0000-0000D4140000}"/>
    <cellStyle name="Финансовый 4 2 2 2 2 2 2 4" xfId="5332" xr:uid="{00000000-0005-0000-0000-0000D5140000}"/>
    <cellStyle name="Финансовый 4 2 2 2 2 2 2 4 2" xfId="5333" xr:uid="{00000000-0005-0000-0000-0000D6140000}"/>
    <cellStyle name="Финансовый 4 2 2 2 2 2 2 5" xfId="5334" xr:uid="{00000000-0005-0000-0000-0000D7140000}"/>
    <cellStyle name="Финансовый 4 2 2 2 2 2 3" xfId="5335" xr:uid="{00000000-0005-0000-0000-0000D8140000}"/>
    <cellStyle name="Финансовый 4 2 2 2 2 2 3 2" xfId="5336" xr:uid="{00000000-0005-0000-0000-0000D9140000}"/>
    <cellStyle name="Финансовый 4 2 2 2 2 2 3 2 2" xfId="5337" xr:uid="{00000000-0005-0000-0000-0000DA140000}"/>
    <cellStyle name="Финансовый 4 2 2 2 2 2 3 2 2 2" xfId="5338" xr:uid="{00000000-0005-0000-0000-0000DB140000}"/>
    <cellStyle name="Финансовый 4 2 2 2 2 2 3 2 3" xfId="5339" xr:uid="{00000000-0005-0000-0000-0000DC140000}"/>
    <cellStyle name="Финансовый 4 2 2 2 2 2 3 3" xfId="5340" xr:uid="{00000000-0005-0000-0000-0000DD140000}"/>
    <cellStyle name="Финансовый 4 2 2 2 2 2 3 3 2" xfId="5341" xr:uid="{00000000-0005-0000-0000-0000DE140000}"/>
    <cellStyle name="Финансовый 4 2 2 2 2 2 3 4" xfId="5342" xr:uid="{00000000-0005-0000-0000-0000DF140000}"/>
    <cellStyle name="Финансовый 4 2 2 2 2 2 4" xfId="5343" xr:uid="{00000000-0005-0000-0000-0000E0140000}"/>
    <cellStyle name="Финансовый 4 2 2 2 2 2 4 2" xfId="5344" xr:uid="{00000000-0005-0000-0000-0000E1140000}"/>
    <cellStyle name="Финансовый 4 2 2 2 2 2 4 2 2" xfId="5345" xr:uid="{00000000-0005-0000-0000-0000E2140000}"/>
    <cellStyle name="Финансовый 4 2 2 2 2 2 4 3" xfId="5346" xr:uid="{00000000-0005-0000-0000-0000E3140000}"/>
    <cellStyle name="Финансовый 4 2 2 2 2 2 5" xfId="5347" xr:uid="{00000000-0005-0000-0000-0000E4140000}"/>
    <cellStyle name="Финансовый 4 2 2 2 2 2 5 2" xfId="5348" xr:uid="{00000000-0005-0000-0000-0000E5140000}"/>
    <cellStyle name="Финансовый 4 2 2 2 2 2 6" xfId="5349" xr:uid="{00000000-0005-0000-0000-0000E6140000}"/>
    <cellStyle name="Финансовый 4 2 2 2 2 3" xfId="5350" xr:uid="{00000000-0005-0000-0000-0000E7140000}"/>
    <cellStyle name="Финансовый 4 2 2 2 2 3 2" xfId="5351" xr:uid="{00000000-0005-0000-0000-0000E8140000}"/>
    <cellStyle name="Финансовый 4 2 2 2 2 3 2 2" xfId="5352" xr:uid="{00000000-0005-0000-0000-0000E9140000}"/>
    <cellStyle name="Финансовый 4 2 2 2 2 3 2 2 2" xfId="5353" xr:uid="{00000000-0005-0000-0000-0000EA140000}"/>
    <cellStyle name="Финансовый 4 2 2 2 2 3 2 2 2 2" xfId="5354" xr:uid="{00000000-0005-0000-0000-0000EB140000}"/>
    <cellStyle name="Финансовый 4 2 2 2 2 3 2 2 3" xfId="5355" xr:uid="{00000000-0005-0000-0000-0000EC140000}"/>
    <cellStyle name="Финансовый 4 2 2 2 2 3 2 3" xfId="5356" xr:uid="{00000000-0005-0000-0000-0000ED140000}"/>
    <cellStyle name="Финансовый 4 2 2 2 2 3 2 3 2" xfId="5357" xr:uid="{00000000-0005-0000-0000-0000EE140000}"/>
    <cellStyle name="Финансовый 4 2 2 2 2 3 2 4" xfId="5358" xr:uid="{00000000-0005-0000-0000-0000EF140000}"/>
    <cellStyle name="Финансовый 4 2 2 2 2 3 3" xfId="5359" xr:uid="{00000000-0005-0000-0000-0000F0140000}"/>
    <cellStyle name="Финансовый 4 2 2 2 2 3 3 2" xfId="5360" xr:uid="{00000000-0005-0000-0000-0000F1140000}"/>
    <cellStyle name="Финансовый 4 2 2 2 2 3 3 2 2" xfId="5361" xr:uid="{00000000-0005-0000-0000-0000F2140000}"/>
    <cellStyle name="Финансовый 4 2 2 2 2 3 3 3" xfId="5362" xr:uid="{00000000-0005-0000-0000-0000F3140000}"/>
    <cellStyle name="Финансовый 4 2 2 2 2 3 4" xfId="5363" xr:uid="{00000000-0005-0000-0000-0000F4140000}"/>
    <cellStyle name="Финансовый 4 2 2 2 2 3 4 2" xfId="5364" xr:uid="{00000000-0005-0000-0000-0000F5140000}"/>
    <cellStyle name="Финансовый 4 2 2 2 2 3 5" xfId="5365" xr:uid="{00000000-0005-0000-0000-0000F6140000}"/>
    <cellStyle name="Финансовый 4 2 2 2 2 4" xfId="5366" xr:uid="{00000000-0005-0000-0000-0000F7140000}"/>
    <cellStyle name="Финансовый 4 2 2 2 2 4 2" xfId="5367" xr:uid="{00000000-0005-0000-0000-0000F8140000}"/>
    <cellStyle name="Финансовый 4 2 2 2 2 4 2 2" xfId="5368" xr:uid="{00000000-0005-0000-0000-0000F9140000}"/>
    <cellStyle name="Финансовый 4 2 2 2 2 4 2 2 2" xfId="5369" xr:uid="{00000000-0005-0000-0000-0000FA140000}"/>
    <cellStyle name="Финансовый 4 2 2 2 2 4 2 3" xfId="5370" xr:uid="{00000000-0005-0000-0000-0000FB140000}"/>
    <cellStyle name="Финансовый 4 2 2 2 2 4 3" xfId="5371" xr:uid="{00000000-0005-0000-0000-0000FC140000}"/>
    <cellStyle name="Финансовый 4 2 2 2 2 4 3 2" xfId="5372" xr:uid="{00000000-0005-0000-0000-0000FD140000}"/>
    <cellStyle name="Финансовый 4 2 2 2 2 4 4" xfId="5373" xr:uid="{00000000-0005-0000-0000-0000FE140000}"/>
    <cellStyle name="Финансовый 4 2 2 2 2 5" xfId="5374" xr:uid="{00000000-0005-0000-0000-0000FF140000}"/>
    <cellStyle name="Финансовый 4 2 2 2 2 5 2" xfId="5375" xr:uid="{00000000-0005-0000-0000-000000150000}"/>
    <cellStyle name="Финансовый 4 2 2 2 2 5 2 2" xfId="5376" xr:uid="{00000000-0005-0000-0000-000001150000}"/>
    <cellStyle name="Финансовый 4 2 2 2 2 5 3" xfId="5377" xr:uid="{00000000-0005-0000-0000-000002150000}"/>
    <cellStyle name="Финансовый 4 2 2 2 2 6" xfId="5378" xr:uid="{00000000-0005-0000-0000-000003150000}"/>
    <cellStyle name="Финансовый 4 2 2 2 2 6 2" xfId="5379" xr:uid="{00000000-0005-0000-0000-000004150000}"/>
    <cellStyle name="Финансовый 4 2 2 2 2 7" xfId="5380" xr:uid="{00000000-0005-0000-0000-000005150000}"/>
    <cellStyle name="Финансовый 4 2 2 2 3" xfId="5381" xr:uid="{00000000-0005-0000-0000-000006150000}"/>
    <cellStyle name="Финансовый 4 2 2 2 3 2" xfId="5382" xr:uid="{00000000-0005-0000-0000-000007150000}"/>
    <cellStyle name="Финансовый 4 2 2 2 3 2 2" xfId="5383" xr:uid="{00000000-0005-0000-0000-000008150000}"/>
    <cellStyle name="Финансовый 4 2 2 2 3 2 2 2" xfId="5384" xr:uid="{00000000-0005-0000-0000-000009150000}"/>
    <cellStyle name="Финансовый 4 2 2 2 3 2 2 2 2" xfId="5385" xr:uid="{00000000-0005-0000-0000-00000A150000}"/>
    <cellStyle name="Финансовый 4 2 2 2 3 2 2 2 2 2" xfId="5386" xr:uid="{00000000-0005-0000-0000-00000B150000}"/>
    <cellStyle name="Финансовый 4 2 2 2 3 2 2 2 3" xfId="5387" xr:uid="{00000000-0005-0000-0000-00000C150000}"/>
    <cellStyle name="Финансовый 4 2 2 2 3 2 2 3" xfId="5388" xr:uid="{00000000-0005-0000-0000-00000D150000}"/>
    <cellStyle name="Финансовый 4 2 2 2 3 2 2 3 2" xfId="5389" xr:uid="{00000000-0005-0000-0000-00000E150000}"/>
    <cellStyle name="Финансовый 4 2 2 2 3 2 2 4" xfId="5390" xr:uid="{00000000-0005-0000-0000-00000F150000}"/>
    <cellStyle name="Финансовый 4 2 2 2 3 2 3" xfId="5391" xr:uid="{00000000-0005-0000-0000-000010150000}"/>
    <cellStyle name="Финансовый 4 2 2 2 3 2 3 2" xfId="5392" xr:uid="{00000000-0005-0000-0000-000011150000}"/>
    <cellStyle name="Финансовый 4 2 2 2 3 2 3 2 2" xfId="5393" xr:uid="{00000000-0005-0000-0000-000012150000}"/>
    <cellStyle name="Финансовый 4 2 2 2 3 2 3 3" xfId="5394" xr:uid="{00000000-0005-0000-0000-000013150000}"/>
    <cellStyle name="Финансовый 4 2 2 2 3 2 4" xfId="5395" xr:uid="{00000000-0005-0000-0000-000014150000}"/>
    <cellStyle name="Финансовый 4 2 2 2 3 2 4 2" xfId="5396" xr:uid="{00000000-0005-0000-0000-000015150000}"/>
    <cellStyle name="Финансовый 4 2 2 2 3 2 5" xfId="5397" xr:uid="{00000000-0005-0000-0000-000016150000}"/>
    <cellStyle name="Финансовый 4 2 2 2 3 3" xfId="5398" xr:uid="{00000000-0005-0000-0000-000017150000}"/>
    <cellStyle name="Финансовый 4 2 2 2 3 3 2" xfId="5399" xr:uid="{00000000-0005-0000-0000-000018150000}"/>
    <cellStyle name="Финансовый 4 2 2 2 3 3 2 2" xfId="5400" xr:uid="{00000000-0005-0000-0000-000019150000}"/>
    <cellStyle name="Финансовый 4 2 2 2 3 3 2 2 2" xfId="5401" xr:uid="{00000000-0005-0000-0000-00001A150000}"/>
    <cellStyle name="Финансовый 4 2 2 2 3 3 2 3" xfId="5402" xr:uid="{00000000-0005-0000-0000-00001B150000}"/>
    <cellStyle name="Финансовый 4 2 2 2 3 3 3" xfId="5403" xr:uid="{00000000-0005-0000-0000-00001C150000}"/>
    <cellStyle name="Финансовый 4 2 2 2 3 3 3 2" xfId="5404" xr:uid="{00000000-0005-0000-0000-00001D150000}"/>
    <cellStyle name="Финансовый 4 2 2 2 3 3 4" xfId="5405" xr:uid="{00000000-0005-0000-0000-00001E150000}"/>
    <cellStyle name="Финансовый 4 2 2 2 3 4" xfId="5406" xr:uid="{00000000-0005-0000-0000-00001F150000}"/>
    <cellStyle name="Финансовый 4 2 2 2 3 4 2" xfId="5407" xr:uid="{00000000-0005-0000-0000-000020150000}"/>
    <cellStyle name="Финансовый 4 2 2 2 3 4 2 2" xfId="5408" xr:uid="{00000000-0005-0000-0000-000021150000}"/>
    <cellStyle name="Финансовый 4 2 2 2 3 4 3" xfId="5409" xr:uid="{00000000-0005-0000-0000-000022150000}"/>
    <cellStyle name="Финансовый 4 2 2 2 3 5" xfId="5410" xr:uid="{00000000-0005-0000-0000-000023150000}"/>
    <cellStyle name="Финансовый 4 2 2 2 3 5 2" xfId="5411" xr:uid="{00000000-0005-0000-0000-000024150000}"/>
    <cellStyle name="Финансовый 4 2 2 2 3 6" xfId="5412" xr:uid="{00000000-0005-0000-0000-000025150000}"/>
    <cellStyle name="Финансовый 4 2 2 2 4" xfId="5413" xr:uid="{00000000-0005-0000-0000-000026150000}"/>
    <cellStyle name="Финансовый 4 2 2 2 4 2" xfId="5414" xr:uid="{00000000-0005-0000-0000-000027150000}"/>
    <cellStyle name="Финансовый 4 2 2 2 4 2 2" xfId="5415" xr:uid="{00000000-0005-0000-0000-000028150000}"/>
    <cellStyle name="Финансовый 4 2 2 2 4 2 2 2" xfId="5416" xr:uid="{00000000-0005-0000-0000-000029150000}"/>
    <cellStyle name="Финансовый 4 2 2 2 4 2 2 2 2" xfId="5417" xr:uid="{00000000-0005-0000-0000-00002A150000}"/>
    <cellStyle name="Финансовый 4 2 2 2 4 2 2 3" xfId="5418" xr:uid="{00000000-0005-0000-0000-00002B150000}"/>
    <cellStyle name="Финансовый 4 2 2 2 4 2 3" xfId="5419" xr:uid="{00000000-0005-0000-0000-00002C150000}"/>
    <cellStyle name="Финансовый 4 2 2 2 4 2 3 2" xfId="5420" xr:uid="{00000000-0005-0000-0000-00002D150000}"/>
    <cellStyle name="Финансовый 4 2 2 2 4 2 4" xfId="5421" xr:uid="{00000000-0005-0000-0000-00002E150000}"/>
    <cellStyle name="Финансовый 4 2 2 2 4 3" xfId="5422" xr:uid="{00000000-0005-0000-0000-00002F150000}"/>
    <cellStyle name="Финансовый 4 2 2 2 4 3 2" xfId="5423" xr:uid="{00000000-0005-0000-0000-000030150000}"/>
    <cellStyle name="Финансовый 4 2 2 2 4 3 2 2" xfId="5424" xr:uid="{00000000-0005-0000-0000-000031150000}"/>
    <cellStyle name="Финансовый 4 2 2 2 4 3 3" xfId="5425" xr:uid="{00000000-0005-0000-0000-000032150000}"/>
    <cellStyle name="Финансовый 4 2 2 2 4 4" xfId="5426" xr:uid="{00000000-0005-0000-0000-000033150000}"/>
    <cellStyle name="Финансовый 4 2 2 2 4 4 2" xfId="5427" xr:uid="{00000000-0005-0000-0000-000034150000}"/>
    <cellStyle name="Финансовый 4 2 2 2 4 5" xfId="5428" xr:uid="{00000000-0005-0000-0000-000035150000}"/>
    <cellStyle name="Финансовый 4 2 2 2 5" xfId="5429" xr:uid="{00000000-0005-0000-0000-000036150000}"/>
    <cellStyle name="Финансовый 4 2 2 2 5 2" xfId="5430" xr:uid="{00000000-0005-0000-0000-000037150000}"/>
    <cellStyle name="Финансовый 4 2 2 2 5 2 2" xfId="5431" xr:uid="{00000000-0005-0000-0000-000038150000}"/>
    <cellStyle name="Финансовый 4 2 2 2 5 2 2 2" xfId="5432" xr:uid="{00000000-0005-0000-0000-000039150000}"/>
    <cellStyle name="Финансовый 4 2 2 2 5 2 3" xfId="5433" xr:uid="{00000000-0005-0000-0000-00003A150000}"/>
    <cellStyle name="Финансовый 4 2 2 2 5 3" xfId="5434" xr:uid="{00000000-0005-0000-0000-00003B150000}"/>
    <cellStyle name="Финансовый 4 2 2 2 5 3 2" xfId="5435" xr:uid="{00000000-0005-0000-0000-00003C150000}"/>
    <cellStyle name="Финансовый 4 2 2 2 5 4" xfId="5436" xr:uid="{00000000-0005-0000-0000-00003D150000}"/>
    <cellStyle name="Финансовый 4 2 2 2 6" xfId="5437" xr:uid="{00000000-0005-0000-0000-00003E150000}"/>
    <cellStyle name="Финансовый 4 2 2 2 6 2" xfId="5438" xr:uid="{00000000-0005-0000-0000-00003F150000}"/>
    <cellStyle name="Финансовый 4 2 2 2 6 2 2" xfId="5439" xr:uid="{00000000-0005-0000-0000-000040150000}"/>
    <cellStyle name="Финансовый 4 2 2 2 6 3" xfId="5440" xr:uid="{00000000-0005-0000-0000-000041150000}"/>
    <cellStyle name="Финансовый 4 2 2 2 7" xfId="5441" xr:uid="{00000000-0005-0000-0000-000042150000}"/>
    <cellStyle name="Финансовый 4 2 2 2 7 2" xfId="5442" xr:uid="{00000000-0005-0000-0000-000043150000}"/>
    <cellStyle name="Финансовый 4 2 2 2 8" xfId="5443" xr:uid="{00000000-0005-0000-0000-000044150000}"/>
    <cellStyle name="Финансовый 4 2 2 3" xfId="5444" xr:uid="{00000000-0005-0000-0000-000045150000}"/>
    <cellStyle name="Финансовый 4 2 2 3 2" xfId="5445" xr:uid="{00000000-0005-0000-0000-000046150000}"/>
    <cellStyle name="Финансовый 4 2 2 3 2 2" xfId="5446" xr:uid="{00000000-0005-0000-0000-000047150000}"/>
    <cellStyle name="Финансовый 4 2 2 3 2 2 2" xfId="5447" xr:uid="{00000000-0005-0000-0000-000048150000}"/>
    <cellStyle name="Финансовый 4 2 2 3 2 2 2 2" xfId="5448" xr:uid="{00000000-0005-0000-0000-000049150000}"/>
    <cellStyle name="Финансовый 4 2 2 3 2 2 2 2 2" xfId="5449" xr:uid="{00000000-0005-0000-0000-00004A150000}"/>
    <cellStyle name="Финансовый 4 2 2 3 2 2 2 2 2 2" xfId="5450" xr:uid="{00000000-0005-0000-0000-00004B150000}"/>
    <cellStyle name="Финансовый 4 2 2 3 2 2 2 2 3" xfId="5451" xr:uid="{00000000-0005-0000-0000-00004C150000}"/>
    <cellStyle name="Финансовый 4 2 2 3 2 2 2 3" xfId="5452" xr:uid="{00000000-0005-0000-0000-00004D150000}"/>
    <cellStyle name="Финансовый 4 2 2 3 2 2 2 3 2" xfId="5453" xr:uid="{00000000-0005-0000-0000-00004E150000}"/>
    <cellStyle name="Финансовый 4 2 2 3 2 2 2 4" xfId="5454" xr:uid="{00000000-0005-0000-0000-00004F150000}"/>
    <cellStyle name="Финансовый 4 2 2 3 2 2 3" xfId="5455" xr:uid="{00000000-0005-0000-0000-000050150000}"/>
    <cellStyle name="Финансовый 4 2 2 3 2 2 3 2" xfId="5456" xr:uid="{00000000-0005-0000-0000-000051150000}"/>
    <cellStyle name="Финансовый 4 2 2 3 2 2 3 2 2" xfId="5457" xr:uid="{00000000-0005-0000-0000-000052150000}"/>
    <cellStyle name="Финансовый 4 2 2 3 2 2 3 3" xfId="5458" xr:uid="{00000000-0005-0000-0000-000053150000}"/>
    <cellStyle name="Финансовый 4 2 2 3 2 2 4" xfId="5459" xr:uid="{00000000-0005-0000-0000-000054150000}"/>
    <cellStyle name="Финансовый 4 2 2 3 2 2 4 2" xfId="5460" xr:uid="{00000000-0005-0000-0000-000055150000}"/>
    <cellStyle name="Финансовый 4 2 2 3 2 2 5" xfId="5461" xr:uid="{00000000-0005-0000-0000-000056150000}"/>
    <cellStyle name="Финансовый 4 2 2 3 2 3" xfId="5462" xr:uid="{00000000-0005-0000-0000-000057150000}"/>
    <cellStyle name="Финансовый 4 2 2 3 2 3 2" xfId="5463" xr:uid="{00000000-0005-0000-0000-000058150000}"/>
    <cellStyle name="Финансовый 4 2 2 3 2 3 2 2" xfId="5464" xr:uid="{00000000-0005-0000-0000-000059150000}"/>
    <cellStyle name="Финансовый 4 2 2 3 2 3 2 2 2" xfId="5465" xr:uid="{00000000-0005-0000-0000-00005A150000}"/>
    <cellStyle name="Финансовый 4 2 2 3 2 3 2 3" xfId="5466" xr:uid="{00000000-0005-0000-0000-00005B150000}"/>
    <cellStyle name="Финансовый 4 2 2 3 2 3 3" xfId="5467" xr:uid="{00000000-0005-0000-0000-00005C150000}"/>
    <cellStyle name="Финансовый 4 2 2 3 2 3 3 2" xfId="5468" xr:uid="{00000000-0005-0000-0000-00005D150000}"/>
    <cellStyle name="Финансовый 4 2 2 3 2 3 4" xfId="5469" xr:uid="{00000000-0005-0000-0000-00005E150000}"/>
    <cellStyle name="Финансовый 4 2 2 3 2 4" xfId="5470" xr:uid="{00000000-0005-0000-0000-00005F150000}"/>
    <cellStyle name="Финансовый 4 2 2 3 2 4 2" xfId="5471" xr:uid="{00000000-0005-0000-0000-000060150000}"/>
    <cellStyle name="Финансовый 4 2 2 3 2 4 2 2" xfId="5472" xr:uid="{00000000-0005-0000-0000-000061150000}"/>
    <cellStyle name="Финансовый 4 2 2 3 2 4 3" xfId="5473" xr:uid="{00000000-0005-0000-0000-000062150000}"/>
    <cellStyle name="Финансовый 4 2 2 3 2 5" xfId="5474" xr:uid="{00000000-0005-0000-0000-000063150000}"/>
    <cellStyle name="Финансовый 4 2 2 3 2 5 2" xfId="5475" xr:uid="{00000000-0005-0000-0000-000064150000}"/>
    <cellStyle name="Финансовый 4 2 2 3 2 6" xfId="5476" xr:uid="{00000000-0005-0000-0000-000065150000}"/>
    <cellStyle name="Финансовый 4 2 2 3 3" xfId="5477" xr:uid="{00000000-0005-0000-0000-000066150000}"/>
    <cellStyle name="Финансовый 4 2 2 3 3 2" xfId="5478" xr:uid="{00000000-0005-0000-0000-000067150000}"/>
    <cellStyle name="Финансовый 4 2 2 3 3 2 2" xfId="5479" xr:uid="{00000000-0005-0000-0000-000068150000}"/>
    <cellStyle name="Финансовый 4 2 2 3 3 2 2 2" xfId="5480" xr:uid="{00000000-0005-0000-0000-000069150000}"/>
    <cellStyle name="Финансовый 4 2 2 3 3 2 2 2 2" xfId="5481" xr:uid="{00000000-0005-0000-0000-00006A150000}"/>
    <cellStyle name="Финансовый 4 2 2 3 3 2 2 3" xfId="5482" xr:uid="{00000000-0005-0000-0000-00006B150000}"/>
    <cellStyle name="Финансовый 4 2 2 3 3 2 3" xfId="5483" xr:uid="{00000000-0005-0000-0000-00006C150000}"/>
    <cellStyle name="Финансовый 4 2 2 3 3 2 3 2" xfId="5484" xr:uid="{00000000-0005-0000-0000-00006D150000}"/>
    <cellStyle name="Финансовый 4 2 2 3 3 2 4" xfId="5485" xr:uid="{00000000-0005-0000-0000-00006E150000}"/>
    <cellStyle name="Финансовый 4 2 2 3 3 3" xfId="5486" xr:uid="{00000000-0005-0000-0000-00006F150000}"/>
    <cellStyle name="Финансовый 4 2 2 3 3 3 2" xfId="5487" xr:uid="{00000000-0005-0000-0000-000070150000}"/>
    <cellStyle name="Финансовый 4 2 2 3 3 3 2 2" xfId="5488" xr:uid="{00000000-0005-0000-0000-000071150000}"/>
    <cellStyle name="Финансовый 4 2 2 3 3 3 3" xfId="5489" xr:uid="{00000000-0005-0000-0000-000072150000}"/>
    <cellStyle name="Финансовый 4 2 2 3 3 4" xfId="5490" xr:uid="{00000000-0005-0000-0000-000073150000}"/>
    <cellStyle name="Финансовый 4 2 2 3 3 4 2" xfId="5491" xr:uid="{00000000-0005-0000-0000-000074150000}"/>
    <cellStyle name="Финансовый 4 2 2 3 3 5" xfId="5492" xr:uid="{00000000-0005-0000-0000-000075150000}"/>
    <cellStyle name="Финансовый 4 2 2 3 4" xfId="5493" xr:uid="{00000000-0005-0000-0000-000076150000}"/>
    <cellStyle name="Финансовый 4 2 2 3 4 2" xfId="5494" xr:uid="{00000000-0005-0000-0000-000077150000}"/>
    <cellStyle name="Финансовый 4 2 2 3 4 2 2" xfId="5495" xr:uid="{00000000-0005-0000-0000-000078150000}"/>
    <cellStyle name="Финансовый 4 2 2 3 4 2 2 2" xfId="5496" xr:uid="{00000000-0005-0000-0000-000079150000}"/>
    <cellStyle name="Финансовый 4 2 2 3 4 2 3" xfId="5497" xr:uid="{00000000-0005-0000-0000-00007A150000}"/>
    <cellStyle name="Финансовый 4 2 2 3 4 3" xfId="5498" xr:uid="{00000000-0005-0000-0000-00007B150000}"/>
    <cellStyle name="Финансовый 4 2 2 3 4 3 2" xfId="5499" xr:uid="{00000000-0005-0000-0000-00007C150000}"/>
    <cellStyle name="Финансовый 4 2 2 3 4 4" xfId="5500" xr:uid="{00000000-0005-0000-0000-00007D150000}"/>
    <cellStyle name="Финансовый 4 2 2 3 5" xfId="5501" xr:uid="{00000000-0005-0000-0000-00007E150000}"/>
    <cellStyle name="Финансовый 4 2 2 3 5 2" xfId="5502" xr:uid="{00000000-0005-0000-0000-00007F150000}"/>
    <cellStyle name="Финансовый 4 2 2 3 5 2 2" xfId="5503" xr:uid="{00000000-0005-0000-0000-000080150000}"/>
    <cellStyle name="Финансовый 4 2 2 3 5 3" xfId="5504" xr:uid="{00000000-0005-0000-0000-000081150000}"/>
    <cellStyle name="Финансовый 4 2 2 3 6" xfId="5505" xr:uid="{00000000-0005-0000-0000-000082150000}"/>
    <cellStyle name="Финансовый 4 2 2 3 6 2" xfId="5506" xr:uid="{00000000-0005-0000-0000-000083150000}"/>
    <cellStyle name="Финансовый 4 2 2 3 7" xfId="5507" xr:uid="{00000000-0005-0000-0000-000084150000}"/>
    <cellStyle name="Финансовый 4 2 2 4" xfId="5508" xr:uid="{00000000-0005-0000-0000-000085150000}"/>
    <cellStyle name="Финансовый 4 2 2 4 2" xfId="5509" xr:uid="{00000000-0005-0000-0000-000086150000}"/>
    <cellStyle name="Финансовый 4 2 2 4 2 2" xfId="5510" xr:uid="{00000000-0005-0000-0000-000087150000}"/>
    <cellStyle name="Финансовый 4 2 2 4 2 2 2" xfId="5511" xr:uid="{00000000-0005-0000-0000-000088150000}"/>
    <cellStyle name="Финансовый 4 2 2 4 2 2 2 2" xfId="5512" xr:uid="{00000000-0005-0000-0000-000089150000}"/>
    <cellStyle name="Финансовый 4 2 2 4 2 2 2 2 2" xfId="5513" xr:uid="{00000000-0005-0000-0000-00008A150000}"/>
    <cellStyle name="Финансовый 4 2 2 4 2 2 2 3" xfId="5514" xr:uid="{00000000-0005-0000-0000-00008B150000}"/>
    <cellStyle name="Финансовый 4 2 2 4 2 2 3" xfId="5515" xr:uid="{00000000-0005-0000-0000-00008C150000}"/>
    <cellStyle name="Финансовый 4 2 2 4 2 2 3 2" xfId="5516" xr:uid="{00000000-0005-0000-0000-00008D150000}"/>
    <cellStyle name="Финансовый 4 2 2 4 2 2 4" xfId="5517" xr:uid="{00000000-0005-0000-0000-00008E150000}"/>
    <cellStyle name="Финансовый 4 2 2 4 2 3" xfId="5518" xr:uid="{00000000-0005-0000-0000-00008F150000}"/>
    <cellStyle name="Финансовый 4 2 2 4 2 3 2" xfId="5519" xr:uid="{00000000-0005-0000-0000-000090150000}"/>
    <cellStyle name="Финансовый 4 2 2 4 2 3 2 2" xfId="5520" xr:uid="{00000000-0005-0000-0000-000091150000}"/>
    <cellStyle name="Финансовый 4 2 2 4 2 3 3" xfId="5521" xr:uid="{00000000-0005-0000-0000-000092150000}"/>
    <cellStyle name="Финансовый 4 2 2 4 2 4" xfId="5522" xr:uid="{00000000-0005-0000-0000-000093150000}"/>
    <cellStyle name="Финансовый 4 2 2 4 2 4 2" xfId="5523" xr:uid="{00000000-0005-0000-0000-000094150000}"/>
    <cellStyle name="Финансовый 4 2 2 4 2 5" xfId="5524" xr:uid="{00000000-0005-0000-0000-000095150000}"/>
    <cellStyle name="Финансовый 4 2 2 4 3" xfId="5525" xr:uid="{00000000-0005-0000-0000-000096150000}"/>
    <cellStyle name="Финансовый 4 2 2 4 3 2" xfId="5526" xr:uid="{00000000-0005-0000-0000-000097150000}"/>
    <cellStyle name="Финансовый 4 2 2 4 3 2 2" xfId="5527" xr:uid="{00000000-0005-0000-0000-000098150000}"/>
    <cellStyle name="Финансовый 4 2 2 4 3 2 2 2" xfId="5528" xr:uid="{00000000-0005-0000-0000-000099150000}"/>
    <cellStyle name="Финансовый 4 2 2 4 3 2 3" xfId="5529" xr:uid="{00000000-0005-0000-0000-00009A150000}"/>
    <cellStyle name="Финансовый 4 2 2 4 3 3" xfId="5530" xr:uid="{00000000-0005-0000-0000-00009B150000}"/>
    <cellStyle name="Финансовый 4 2 2 4 3 3 2" xfId="5531" xr:uid="{00000000-0005-0000-0000-00009C150000}"/>
    <cellStyle name="Финансовый 4 2 2 4 3 4" xfId="5532" xr:uid="{00000000-0005-0000-0000-00009D150000}"/>
    <cellStyle name="Финансовый 4 2 2 4 4" xfId="5533" xr:uid="{00000000-0005-0000-0000-00009E150000}"/>
    <cellStyle name="Финансовый 4 2 2 4 4 2" xfId="5534" xr:uid="{00000000-0005-0000-0000-00009F150000}"/>
    <cellStyle name="Финансовый 4 2 2 4 4 2 2" xfId="5535" xr:uid="{00000000-0005-0000-0000-0000A0150000}"/>
    <cellStyle name="Финансовый 4 2 2 4 4 3" xfId="5536" xr:uid="{00000000-0005-0000-0000-0000A1150000}"/>
    <cellStyle name="Финансовый 4 2 2 4 5" xfId="5537" xr:uid="{00000000-0005-0000-0000-0000A2150000}"/>
    <cellStyle name="Финансовый 4 2 2 4 5 2" xfId="5538" xr:uid="{00000000-0005-0000-0000-0000A3150000}"/>
    <cellStyle name="Финансовый 4 2 2 4 6" xfId="5539" xr:uid="{00000000-0005-0000-0000-0000A4150000}"/>
    <cellStyle name="Финансовый 4 2 2 5" xfId="5540" xr:uid="{00000000-0005-0000-0000-0000A5150000}"/>
    <cellStyle name="Финансовый 4 2 2 5 2" xfId="5541" xr:uid="{00000000-0005-0000-0000-0000A6150000}"/>
    <cellStyle name="Финансовый 4 2 2 5 2 2" xfId="5542" xr:uid="{00000000-0005-0000-0000-0000A7150000}"/>
    <cellStyle name="Финансовый 4 2 2 5 2 2 2" xfId="5543" xr:uid="{00000000-0005-0000-0000-0000A8150000}"/>
    <cellStyle name="Финансовый 4 2 2 5 2 2 2 2" xfId="5544" xr:uid="{00000000-0005-0000-0000-0000A9150000}"/>
    <cellStyle name="Финансовый 4 2 2 5 2 2 3" xfId="5545" xr:uid="{00000000-0005-0000-0000-0000AA150000}"/>
    <cellStyle name="Финансовый 4 2 2 5 2 3" xfId="5546" xr:uid="{00000000-0005-0000-0000-0000AB150000}"/>
    <cellStyle name="Финансовый 4 2 2 5 2 3 2" xfId="5547" xr:uid="{00000000-0005-0000-0000-0000AC150000}"/>
    <cellStyle name="Финансовый 4 2 2 5 2 4" xfId="5548" xr:uid="{00000000-0005-0000-0000-0000AD150000}"/>
    <cellStyle name="Финансовый 4 2 2 5 3" xfId="5549" xr:uid="{00000000-0005-0000-0000-0000AE150000}"/>
    <cellStyle name="Финансовый 4 2 2 5 3 2" xfId="5550" xr:uid="{00000000-0005-0000-0000-0000AF150000}"/>
    <cellStyle name="Финансовый 4 2 2 5 3 2 2" xfId="5551" xr:uid="{00000000-0005-0000-0000-0000B0150000}"/>
    <cellStyle name="Финансовый 4 2 2 5 3 3" xfId="5552" xr:uid="{00000000-0005-0000-0000-0000B1150000}"/>
    <cellStyle name="Финансовый 4 2 2 5 4" xfId="5553" xr:uid="{00000000-0005-0000-0000-0000B2150000}"/>
    <cellStyle name="Финансовый 4 2 2 5 4 2" xfId="5554" xr:uid="{00000000-0005-0000-0000-0000B3150000}"/>
    <cellStyle name="Финансовый 4 2 2 5 5" xfId="5555" xr:uid="{00000000-0005-0000-0000-0000B4150000}"/>
    <cellStyle name="Финансовый 4 2 2 6" xfId="5556" xr:uid="{00000000-0005-0000-0000-0000B5150000}"/>
    <cellStyle name="Финансовый 4 2 2 6 2" xfId="5557" xr:uid="{00000000-0005-0000-0000-0000B6150000}"/>
    <cellStyle name="Финансовый 4 2 2 6 2 2" xfId="5558" xr:uid="{00000000-0005-0000-0000-0000B7150000}"/>
    <cellStyle name="Финансовый 4 2 2 6 2 2 2" xfId="5559" xr:uid="{00000000-0005-0000-0000-0000B8150000}"/>
    <cellStyle name="Финансовый 4 2 2 6 2 3" xfId="5560" xr:uid="{00000000-0005-0000-0000-0000B9150000}"/>
    <cellStyle name="Финансовый 4 2 2 6 3" xfId="5561" xr:uid="{00000000-0005-0000-0000-0000BA150000}"/>
    <cellStyle name="Финансовый 4 2 2 6 3 2" xfId="5562" xr:uid="{00000000-0005-0000-0000-0000BB150000}"/>
    <cellStyle name="Финансовый 4 2 2 6 4" xfId="5563" xr:uid="{00000000-0005-0000-0000-0000BC150000}"/>
    <cellStyle name="Финансовый 4 2 2 7" xfId="5564" xr:uid="{00000000-0005-0000-0000-0000BD150000}"/>
    <cellStyle name="Финансовый 4 2 2 7 2" xfId="5565" xr:uid="{00000000-0005-0000-0000-0000BE150000}"/>
    <cellStyle name="Финансовый 4 2 2 7 2 2" xfId="5566" xr:uid="{00000000-0005-0000-0000-0000BF150000}"/>
    <cellStyle name="Финансовый 4 2 2 7 3" xfId="5567" xr:uid="{00000000-0005-0000-0000-0000C0150000}"/>
    <cellStyle name="Финансовый 4 2 2 8" xfId="5568" xr:uid="{00000000-0005-0000-0000-0000C1150000}"/>
    <cellStyle name="Финансовый 4 2 2 8 2" xfId="5569" xr:uid="{00000000-0005-0000-0000-0000C2150000}"/>
    <cellStyle name="Финансовый 4 2 2 9" xfId="5570" xr:uid="{00000000-0005-0000-0000-0000C3150000}"/>
    <cellStyle name="Финансовый 4 2 3" xfId="5571" xr:uid="{00000000-0005-0000-0000-0000C4150000}"/>
    <cellStyle name="Финансовый 4 2 3 2" xfId="5572" xr:uid="{00000000-0005-0000-0000-0000C5150000}"/>
    <cellStyle name="Финансовый 4 2 3 2 2" xfId="5573" xr:uid="{00000000-0005-0000-0000-0000C6150000}"/>
    <cellStyle name="Финансовый 4 2 3 2 2 2" xfId="5574" xr:uid="{00000000-0005-0000-0000-0000C7150000}"/>
    <cellStyle name="Финансовый 4 2 3 2 2 2 2" xfId="5575" xr:uid="{00000000-0005-0000-0000-0000C8150000}"/>
    <cellStyle name="Финансовый 4 2 3 2 2 2 2 2" xfId="5576" xr:uid="{00000000-0005-0000-0000-0000C9150000}"/>
    <cellStyle name="Финансовый 4 2 3 2 2 2 2 2 2" xfId="5577" xr:uid="{00000000-0005-0000-0000-0000CA150000}"/>
    <cellStyle name="Финансовый 4 2 3 2 2 2 2 2 2 2" xfId="5578" xr:uid="{00000000-0005-0000-0000-0000CB150000}"/>
    <cellStyle name="Финансовый 4 2 3 2 2 2 2 2 3" xfId="5579" xr:uid="{00000000-0005-0000-0000-0000CC150000}"/>
    <cellStyle name="Финансовый 4 2 3 2 2 2 2 3" xfId="5580" xr:uid="{00000000-0005-0000-0000-0000CD150000}"/>
    <cellStyle name="Финансовый 4 2 3 2 2 2 2 3 2" xfId="5581" xr:uid="{00000000-0005-0000-0000-0000CE150000}"/>
    <cellStyle name="Финансовый 4 2 3 2 2 2 2 4" xfId="5582" xr:uid="{00000000-0005-0000-0000-0000CF150000}"/>
    <cellStyle name="Финансовый 4 2 3 2 2 2 3" xfId="5583" xr:uid="{00000000-0005-0000-0000-0000D0150000}"/>
    <cellStyle name="Финансовый 4 2 3 2 2 2 3 2" xfId="5584" xr:uid="{00000000-0005-0000-0000-0000D1150000}"/>
    <cellStyle name="Финансовый 4 2 3 2 2 2 3 2 2" xfId="5585" xr:uid="{00000000-0005-0000-0000-0000D2150000}"/>
    <cellStyle name="Финансовый 4 2 3 2 2 2 3 3" xfId="5586" xr:uid="{00000000-0005-0000-0000-0000D3150000}"/>
    <cellStyle name="Финансовый 4 2 3 2 2 2 4" xfId="5587" xr:uid="{00000000-0005-0000-0000-0000D4150000}"/>
    <cellStyle name="Финансовый 4 2 3 2 2 2 4 2" xfId="5588" xr:uid="{00000000-0005-0000-0000-0000D5150000}"/>
    <cellStyle name="Финансовый 4 2 3 2 2 2 5" xfId="5589" xr:uid="{00000000-0005-0000-0000-0000D6150000}"/>
    <cellStyle name="Финансовый 4 2 3 2 2 3" xfId="5590" xr:uid="{00000000-0005-0000-0000-0000D7150000}"/>
    <cellStyle name="Финансовый 4 2 3 2 2 3 2" xfId="5591" xr:uid="{00000000-0005-0000-0000-0000D8150000}"/>
    <cellStyle name="Финансовый 4 2 3 2 2 3 2 2" xfId="5592" xr:uid="{00000000-0005-0000-0000-0000D9150000}"/>
    <cellStyle name="Финансовый 4 2 3 2 2 3 2 2 2" xfId="5593" xr:uid="{00000000-0005-0000-0000-0000DA150000}"/>
    <cellStyle name="Финансовый 4 2 3 2 2 3 2 3" xfId="5594" xr:uid="{00000000-0005-0000-0000-0000DB150000}"/>
    <cellStyle name="Финансовый 4 2 3 2 2 3 3" xfId="5595" xr:uid="{00000000-0005-0000-0000-0000DC150000}"/>
    <cellStyle name="Финансовый 4 2 3 2 2 3 3 2" xfId="5596" xr:uid="{00000000-0005-0000-0000-0000DD150000}"/>
    <cellStyle name="Финансовый 4 2 3 2 2 3 4" xfId="5597" xr:uid="{00000000-0005-0000-0000-0000DE150000}"/>
    <cellStyle name="Финансовый 4 2 3 2 2 4" xfId="5598" xr:uid="{00000000-0005-0000-0000-0000DF150000}"/>
    <cellStyle name="Финансовый 4 2 3 2 2 4 2" xfId="5599" xr:uid="{00000000-0005-0000-0000-0000E0150000}"/>
    <cellStyle name="Финансовый 4 2 3 2 2 4 2 2" xfId="5600" xr:uid="{00000000-0005-0000-0000-0000E1150000}"/>
    <cellStyle name="Финансовый 4 2 3 2 2 4 3" xfId="5601" xr:uid="{00000000-0005-0000-0000-0000E2150000}"/>
    <cellStyle name="Финансовый 4 2 3 2 2 5" xfId="5602" xr:uid="{00000000-0005-0000-0000-0000E3150000}"/>
    <cellStyle name="Финансовый 4 2 3 2 2 5 2" xfId="5603" xr:uid="{00000000-0005-0000-0000-0000E4150000}"/>
    <cellStyle name="Финансовый 4 2 3 2 2 6" xfId="5604" xr:uid="{00000000-0005-0000-0000-0000E5150000}"/>
    <cellStyle name="Финансовый 4 2 3 2 3" xfId="5605" xr:uid="{00000000-0005-0000-0000-0000E6150000}"/>
    <cellStyle name="Финансовый 4 2 3 2 3 2" xfId="5606" xr:uid="{00000000-0005-0000-0000-0000E7150000}"/>
    <cellStyle name="Финансовый 4 2 3 2 3 2 2" xfId="5607" xr:uid="{00000000-0005-0000-0000-0000E8150000}"/>
    <cellStyle name="Финансовый 4 2 3 2 3 2 2 2" xfId="5608" xr:uid="{00000000-0005-0000-0000-0000E9150000}"/>
    <cellStyle name="Финансовый 4 2 3 2 3 2 2 2 2" xfId="5609" xr:uid="{00000000-0005-0000-0000-0000EA150000}"/>
    <cellStyle name="Финансовый 4 2 3 2 3 2 2 3" xfId="5610" xr:uid="{00000000-0005-0000-0000-0000EB150000}"/>
    <cellStyle name="Финансовый 4 2 3 2 3 2 3" xfId="5611" xr:uid="{00000000-0005-0000-0000-0000EC150000}"/>
    <cellStyle name="Финансовый 4 2 3 2 3 2 3 2" xfId="5612" xr:uid="{00000000-0005-0000-0000-0000ED150000}"/>
    <cellStyle name="Финансовый 4 2 3 2 3 2 4" xfId="5613" xr:uid="{00000000-0005-0000-0000-0000EE150000}"/>
    <cellStyle name="Финансовый 4 2 3 2 3 3" xfId="5614" xr:uid="{00000000-0005-0000-0000-0000EF150000}"/>
    <cellStyle name="Финансовый 4 2 3 2 3 3 2" xfId="5615" xr:uid="{00000000-0005-0000-0000-0000F0150000}"/>
    <cellStyle name="Финансовый 4 2 3 2 3 3 2 2" xfId="5616" xr:uid="{00000000-0005-0000-0000-0000F1150000}"/>
    <cellStyle name="Финансовый 4 2 3 2 3 3 3" xfId="5617" xr:uid="{00000000-0005-0000-0000-0000F2150000}"/>
    <cellStyle name="Финансовый 4 2 3 2 3 4" xfId="5618" xr:uid="{00000000-0005-0000-0000-0000F3150000}"/>
    <cellStyle name="Финансовый 4 2 3 2 3 4 2" xfId="5619" xr:uid="{00000000-0005-0000-0000-0000F4150000}"/>
    <cellStyle name="Финансовый 4 2 3 2 3 5" xfId="5620" xr:uid="{00000000-0005-0000-0000-0000F5150000}"/>
    <cellStyle name="Финансовый 4 2 3 2 4" xfId="5621" xr:uid="{00000000-0005-0000-0000-0000F6150000}"/>
    <cellStyle name="Финансовый 4 2 3 2 4 2" xfId="5622" xr:uid="{00000000-0005-0000-0000-0000F7150000}"/>
    <cellStyle name="Финансовый 4 2 3 2 4 2 2" xfId="5623" xr:uid="{00000000-0005-0000-0000-0000F8150000}"/>
    <cellStyle name="Финансовый 4 2 3 2 4 2 2 2" xfId="5624" xr:uid="{00000000-0005-0000-0000-0000F9150000}"/>
    <cellStyle name="Финансовый 4 2 3 2 4 2 3" xfId="5625" xr:uid="{00000000-0005-0000-0000-0000FA150000}"/>
    <cellStyle name="Финансовый 4 2 3 2 4 3" xfId="5626" xr:uid="{00000000-0005-0000-0000-0000FB150000}"/>
    <cellStyle name="Финансовый 4 2 3 2 4 3 2" xfId="5627" xr:uid="{00000000-0005-0000-0000-0000FC150000}"/>
    <cellStyle name="Финансовый 4 2 3 2 4 4" xfId="5628" xr:uid="{00000000-0005-0000-0000-0000FD150000}"/>
    <cellStyle name="Финансовый 4 2 3 2 5" xfId="5629" xr:uid="{00000000-0005-0000-0000-0000FE150000}"/>
    <cellStyle name="Финансовый 4 2 3 2 5 2" xfId="5630" xr:uid="{00000000-0005-0000-0000-0000FF150000}"/>
    <cellStyle name="Финансовый 4 2 3 2 5 2 2" xfId="5631" xr:uid="{00000000-0005-0000-0000-000000160000}"/>
    <cellStyle name="Финансовый 4 2 3 2 5 3" xfId="5632" xr:uid="{00000000-0005-0000-0000-000001160000}"/>
    <cellStyle name="Финансовый 4 2 3 2 6" xfId="5633" xr:uid="{00000000-0005-0000-0000-000002160000}"/>
    <cellStyle name="Финансовый 4 2 3 2 6 2" xfId="5634" xr:uid="{00000000-0005-0000-0000-000003160000}"/>
    <cellStyle name="Финансовый 4 2 3 2 7" xfId="5635" xr:uid="{00000000-0005-0000-0000-000004160000}"/>
    <cellStyle name="Финансовый 4 2 3 3" xfId="5636" xr:uid="{00000000-0005-0000-0000-000005160000}"/>
    <cellStyle name="Финансовый 4 2 3 3 2" xfId="5637" xr:uid="{00000000-0005-0000-0000-000006160000}"/>
    <cellStyle name="Финансовый 4 2 3 3 2 2" xfId="5638" xr:uid="{00000000-0005-0000-0000-000007160000}"/>
    <cellStyle name="Финансовый 4 2 3 3 2 2 2" xfId="5639" xr:uid="{00000000-0005-0000-0000-000008160000}"/>
    <cellStyle name="Финансовый 4 2 3 3 2 2 2 2" xfId="5640" xr:uid="{00000000-0005-0000-0000-000009160000}"/>
    <cellStyle name="Финансовый 4 2 3 3 2 2 2 2 2" xfId="5641" xr:uid="{00000000-0005-0000-0000-00000A160000}"/>
    <cellStyle name="Финансовый 4 2 3 3 2 2 2 3" xfId="5642" xr:uid="{00000000-0005-0000-0000-00000B160000}"/>
    <cellStyle name="Финансовый 4 2 3 3 2 2 3" xfId="5643" xr:uid="{00000000-0005-0000-0000-00000C160000}"/>
    <cellStyle name="Финансовый 4 2 3 3 2 2 3 2" xfId="5644" xr:uid="{00000000-0005-0000-0000-00000D160000}"/>
    <cellStyle name="Финансовый 4 2 3 3 2 2 4" xfId="5645" xr:uid="{00000000-0005-0000-0000-00000E160000}"/>
    <cellStyle name="Финансовый 4 2 3 3 2 3" xfId="5646" xr:uid="{00000000-0005-0000-0000-00000F160000}"/>
    <cellStyle name="Финансовый 4 2 3 3 2 3 2" xfId="5647" xr:uid="{00000000-0005-0000-0000-000010160000}"/>
    <cellStyle name="Финансовый 4 2 3 3 2 3 2 2" xfId="5648" xr:uid="{00000000-0005-0000-0000-000011160000}"/>
    <cellStyle name="Финансовый 4 2 3 3 2 3 3" xfId="5649" xr:uid="{00000000-0005-0000-0000-000012160000}"/>
    <cellStyle name="Финансовый 4 2 3 3 2 4" xfId="5650" xr:uid="{00000000-0005-0000-0000-000013160000}"/>
    <cellStyle name="Финансовый 4 2 3 3 2 4 2" xfId="5651" xr:uid="{00000000-0005-0000-0000-000014160000}"/>
    <cellStyle name="Финансовый 4 2 3 3 2 5" xfId="5652" xr:uid="{00000000-0005-0000-0000-000015160000}"/>
    <cellStyle name="Финансовый 4 2 3 3 3" xfId="5653" xr:uid="{00000000-0005-0000-0000-000016160000}"/>
    <cellStyle name="Финансовый 4 2 3 3 3 2" xfId="5654" xr:uid="{00000000-0005-0000-0000-000017160000}"/>
    <cellStyle name="Финансовый 4 2 3 3 3 2 2" xfId="5655" xr:uid="{00000000-0005-0000-0000-000018160000}"/>
    <cellStyle name="Финансовый 4 2 3 3 3 2 2 2" xfId="5656" xr:uid="{00000000-0005-0000-0000-000019160000}"/>
    <cellStyle name="Финансовый 4 2 3 3 3 2 3" xfId="5657" xr:uid="{00000000-0005-0000-0000-00001A160000}"/>
    <cellStyle name="Финансовый 4 2 3 3 3 3" xfId="5658" xr:uid="{00000000-0005-0000-0000-00001B160000}"/>
    <cellStyle name="Финансовый 4 2 3 3 3 3 2" xfId="5659" xr:uid="{00000000-0005-0000-0000-00001C160000}"/>
    <cellStyle name="Финансовый 4 2 3 3 3 4" xfId="5660" xr:uid="{00000000-0005-0000-0000-00001D160000}"/>
    <cellStyle name="Финансовый 4 2 3 3 4" xfId="5661" xr:uid="{00000000-0005-0000-0000-00001E160000}"/>
    <cellStyle name="Финансовый 4 2 3 3 4 2" xfId="5662" xr:uid="{00000000-0005-0000-0000-00001F160000}"/>
    <cellStyle name="Финансовый 4 2 3 3 4 2 2" xfId="5663" xr:uid="{00000000-0005-0000-0000-000020160000}"/>
    <cellStyle name="Финансовый 4 2 3 3 4 3" xfId="5664" xr:uid="{00000000-0005-0000-0000-000021160000}"/>
    <cellStyle name="Финансовый 4 2 3 3 5" xfId="5665" xr:uid="{00000000-0005-0000-0000-000022160000}"/>
    <cellStyle name="Финансовый 4 2 3 3 5 2" xfId="5666" xr:uid="{00000000-0005-0000-0000-000023160000}"/>
    <cellStyle name="Финансовый 4 2 3 3 6" xfId="5667" xr:uid="{00000000-0005-0000-0000-000024160000}"/>
    <cellStyle name="Финансовый 4 2 3 4" xfId="5668" xr:uid="{00000000-0005-0000-0000-000025160000}"/>
    <cellStyle name="Финансовый 4 2 3 4 2" xfId="5669" xr:uid="{00000000-0005-0000-0000-000026160000}"/>
    <cellStyle name="Финансовый 4 2 3 4 2 2" xfId="5670" xr:uid="{00000000-0005-0000-0000-000027160000}"/>
    <cellStyle name="Финансовый 4 2 3 4 2 2 2" xfId="5671" xr:uid="{00000000-0005-0000-0000-000028160000}"/>
    <cellStyle name="Финансовый 4 2 3 4 2 2 2 2" xfId="5672" xr:uid="{00000000-0005-0000-0000-000029160000}"/>
    <cellStyle name="Финансовый 4 2 3 4 2 2 3" xfId="5673" xr:uid="{00000000-0005-0000-0000-00002A160000}"/>
    <cellStyle name="Финансовый 4 2 3 4 2 3" xfId="5674" xr:uid="{00000000-0005-0000-0000-00002B160000}"/>
    <cellStyle name="Финансовый 4 2 3 4 2 3 2" xfId="5675" xr:uid="{00000000-0005-0000-0000-00002C160000}"/>
    <cellStyle name="Финансовый 4 2 3 4 2 4" xfId="5676" xr:uid="{00000000-0005-0000-0000-00002D160000}"/>
    <cellStyle name="Финансовый 4 2 3 4 3" xfId="5677" xr:uid="{00000000-0005-0000-0000-00002E160000}"/>
    <cellStyle name="Финансовый 4 2 3 4 3 2" xfId="5678" xr:uid="{00000000-0005-0000-0000-00002F160000}"/>
    <cellStyle name="Финансовый 4 2 3 4 3 2 2" xfId="5679" xr:uid="{00000000-0005-0000-0000-000030160000}"/>
    <cellStyle name="Финансовый 4 2 3 4 3 3" xfId="5680" xr:uid="{00000000-0005-0000-0000-000031160000}"/>
    <cellStyle name="Финансовый 4 2 3 4 4" xfId="5681" xr:uid="{00000000-0005-0000-0000-000032160000}"/>
    <cellStyle name="Финансовый 4 2 3 4 4 2" xfId="5682" xr:uid="{00000000-0005-0000-0000-000033160000}"/>
    <cellStyle name="Финансовый 4 2 3 4 5" xfId="5683" xr:uid="{00000000-0005-0000-0000-000034160000}"/>
    <cellStyle name="Финансовый 4 2 3 5" xfId="5684" xr:uid="{00000000-0005-0000-0000-000035160000}"/>
    <cellStyle name="Финансовый 4 2 3 5 2" xfId="5685" xr:uid="{00000000-0005-0000-0000-000036160000}"/>
    <cellStyle name="Финансовый 4 2 3 5 2 2" xfId="5686" xr:uid="{00000000-0005-0000-0000-000037160000}"/>
    <cellStyle name="Финансовый 4 2 3 5 2 2 2" xfId="5687" xr:uid="{00000000-0005-0000-0000-000038160000}"/>
    <cellStyle name="Финансовый 4 2 3 5 2 3" xfId="5688" xr:uid="{00000000-0005-0000-0000-000039160000}"/>
    <cellStyle name="Финансовый 4 2 3 5 3" xfId="5689" xr:uid="{00000000-0005-0000-0000-00003A160000}"/>
    <cellStyle name="Финансовый 4 2 3 5 3 2" xfId="5690" xr:uid="{00000000-0005-0000-0000-00003B160000}"/>
    <cellStyle name="Финансовый 4 2 3 5 4" xfId="5691" xr:uid="{00000000-0005-0000-0000-00003C160000}"/>
    <cellStyle name="Финансовый 4 2 3 6" xfId="5692" xr:uid="{00000000-0005-0000-0000-00003D160000}"/>
    <cellStyle name="Финансовый 4 2 3 6 2" xfId="5693" xr:uid="{00000000-0005-0000-0000-00003E160000}"/>
    <cellStyle name="Финансовый 4 2 3 6 2 2" xfId="5694" xr:uid="{00000000-0005-0000-0000-00003F160000}"/>
    <cellStyle name="Финансовый 4 2 3 6 3" xfId="5695" xr:uid="{00000000-0005-0000-0000-000040160000}"/>
    <cellStyle name="Финансовый 4 2 3 7" xfId="5696" xr:uid="{00000000-0005-0000-0000-000041160000}"/>
    <cellStyle name="Финансовый 4 2 3 7 2" xfId="5697" xr:uid="{00000000-0005-0000-0000-000042160000}"/>
    <cellStyle name="Финансовый 4 2 3 8" xfId="5698" xr:uid="{00000000-0005-0000-0000-000043160000}"/>
    <cellStyle name="Финансовый 4 2 4" xfId="5699" xr:uid="{00000000-0005-0000-0000-000044160000}"/>
    <cellStyle name="Финансовый 4 2 4 2" xfId="5700" xr:uid="{00000000-0005-0000-0000-000045160000}"/>
    <cellStyle name="Финансовый 4 2 4 2 2" xfId="5701" xr:uid="{00000000-0005-0000-0000-000046160000}"/>
    <cellStyle name="Финансовый 4 2 4 2 2 2" xfId="5702" xr:uid="{00000000-0005-0000-0000-000047160000}"/>
    <cellStyle name="Финансовый 4 2 4 2 2 2 2" xfId="5703" xr:uid="{00000000-0005-0000-0000-000048160000}"/>
    <cellStyle name="Финансовый 4 2 4 2 2 2 2 2" xfId="5704" xr:uid="{00000000-0005-0000-0000-000049160000}"/>
    <cellStyle name="Финансовый 4 2 4 2 2 2 2 2 2" xfId="5705" xr:uid="{00000000-0005-0000-0000-00004A160000}"/>
    <cellStyle name="Финансовый 4 2 4 2 2 2 2 3" xfId="5706" xr:uid="{00000000-0005-0000-0000-00004B160000}"/>
    <cellStyle name="Финансовый 4 2 4 2 2 2 3" xfId="5707" xr:uid="{00000000-0005-0000-0000-00004C160000}"/>
    <cellStyle name="Финансовый 4 2 4 2 2 2 3 2" xfId="5708" xr:uid="{00000000-0005-0000-0000-00004D160000}"/>
    <cellStyle name="Финансовый 4 2 4 2 2 2 4" xfId="5709" xr:uid="{00000000-0005-0000-0000-00004E160000}"/>
    <cellStyle name="Финансовый 4 2 4 2 2 3" xfId="5710" xr:uid="{00000000-0005-0000-0000-00004F160000}"/>
    <cellStyle name="Финансовый 4 2 4 2 2 3 2" xfId="5711" xr:uid="{00000000-0005-0000-0000-000050160000}"/>
    <cellStyle name="Финансовый 4 2 4 2 2 3 2 2" xfId="5712" xr:uid="{00000000-0005-0000-0000-000051160000}"/>
    <cellStyle name="Финансовый 4 2 4 2 2 3 3" xfId="5713" xr:uid="{00000000-0005-0000-0000-000052160000}"/>
    <cellStyle name="Финансовый 4 2 4 2 2 4" xfId="5714" xr:uid="{00000000-0005-0000-0000-000053160000}"/>
    <cellStyle name="Финансовый 4 2 4 2 2 4 2" xfId="5715" xr:uid="{00000000-0005-0000-0000-000054160000}"/>
    <cellStyle name="Финансовый 4 2 4 2 2 5" xfId="5716" xr:uid="{00000000-0005-0000-0000-000055160000}"/>
    <cellStyle name="Финансовый 4 2 4 2 3" xfId="5717" xr:uid="{00000000-0005-0000-0000-000056160000}"/>
    <cellStyle name="Финансовый 4 2 4 2 3 2" xfId="5718" xr:uid="{00000000-0005-0000-0000-000057160000}"/>
    <cellStyle name="Финансовый 4 2 4 2 3 2 2" xfId="5719" xr:uid="{00000000-0005-0000-0000-000058160000}"/>
    <cellStyle name="Финансовый 4 2 4 2 3 2 2 2" xfId="5720" xr:uid="{00000000-0005-0000-0000-000059160000}"/>
    <cellStyle name="Финансовый 4 2 4 2 3 2 3" xfId="5721" xr:uid="{00000000-0005-0000-0000-00005A160000}"/>
    <cellStyle name="Финансовый 4 2 4 2 3 3" xfId="5722" xr:uid="{00000000-0005-0000-0000-00005B160000}"/>
    <cellStyle name="Финансовый 4 2 4 2 3 3 2" xfId="5723" xr:uid="{00000000-0005-0000-0000-00005C160000}"/>
    <cellStyle name="Финансовый 4 2 4 2 3 4" xfId="5724" xr:uid="{00000000-0005-0000-0000-00005D160000}"/>
    <cellStyle name="Финансовый 4 2 4 2 4" xfId="5725" xr:uid="{00000000-0005-0000-0000-00005E160000}"/>
    <cellStyle name="Финансовый 4 2 4 2 4 2" xfId="5726" xr:uid="{00000000-0005-0000-0000-00005F160000}"/>
    <cellStyle name="Финансовый 4 2 4 2 4 2 2" xfId="5727" xr:uid="{00000000-0005-0000-0000-000060160000}"/>
    <cellStyle name="Финансовый 4 2 4 2 4 3" xfId="5728" xr:uid="{00000000-0005-0000-0000-000061160000}"/>
    <cellStyle name="Финансовый 4 2 4 2 5" xfId="5729" xr:uid="{00000000-0005-0000-0000-000062160000}"/>
    <cellStyle name="Финансовый 4 2 4 2 5 2" xfId="5730" xr:uid="{00000000-0005-0000-0000-000063160000}"/>
    <cellStyle name="Финансовый 4 2 4 2 6" xfId="5731" xr:uid="{00000000-0005-0000-0000-000064160000}"/>
    <cellStyle name="Финансовый 4 2 4 3" xfId="5732" xr:uid="{00000000-0005-0000-0000-000065160000}"/>
    <cellStyle name="Финансовый 4 2 4 3 2" xfId="5733" xr:uid="{00000000-0005-0000-0000-000066160000}"/>
    <cellStyle name="Финансовый 4 2 4 3 2 2" xfId="5734" xr:uid="{00000000-0005-0000-0000-000067160000}"/>
    <cellStyle name="Финансовый 4 2 4 3 2 2 2" xfId="5735" xr:uid="{00000000-0005-0000-0000-000068160000}"/>
    <cellStyle name="Финансовый 4 2 4 3 2 2 2 2" xfId="5736" xr:uid="{00000000-0005-0000-0000-000069160000}"/>
    <cellStyle name="Финансовый 4 2 4 3 2 2 3" xfId="5737" xr:uid="{00000000-0005-0000-0000-00006A160000}"/>
    <cellStyle name="Финансовый 4 2 4 3 2 3" xfId="5738" xr:uid="{00000000-0005-0000-0000-00006B160000}"/>
    <cellStyle name="Финансовый 4 2 4 3 2 3 2" xfId="5739" xr:uid="{00000000-0005-0000-0000-00006C160000}"/>
    <cellStyle name="Финансовый 4 2 4 3 2 4" xfId="5740" xr:uid="{00000000-0005-0000-0000-00006D160000}"/>
    <cellStyle name="Финансовый 4 2 4 3 3" xfId="5741" xr:uid="{00000000-0005-0000-0000-00006E160000}"/>
    <cellStyle name="Финансовый 4 2 4 3 3 2" xfId="5742" xr:uid="{00000000-0005-0000-0000-00006F160000}"/>
    <cellStyle name="Финансовый 4 2 4 3 3 2 2" xfId="5743" xr:uid="{00000000-0005-0000-0000-000070160000}"/>
    <cellStyle name="Финансовый 4 2 4 3 3 3" xfId="5744" xr:uid="{00000000-0005-0000-0000-000071160000}"/>
    <cellStyle name="Финансовый 4 2 4 3 4" xfId="5745" xr:uid="{00000000-0005-0000-0000-000072160000}"/>
    <cellStyle name="Финансовый 4 2 4 3 4 2" xfId="5746" xr:uid="{00000000-0005-0000-0000-000073160000}"/>
    <cellStyle name="Финансовый 4 2 4 3 5" xfId="5747" xr:uid="{00000000-0005-0000-0000-000074160000}"/>
    <cellStyle name="Финансовый 4 2 4 4" xfId="5748" xr:uid="{00000000-0005-0000-0000-000075160000}"/>
    <cellStyle name="Финансовый 4 2 4 4 2" xfId="5749" xr:uid="{00000000-0005-0000-0000-000076160000}"/>
    <cellStyle name="Финансовый 4 2 4 4 2 2" xfId="5750" xr:uid="{00000000-0005-0000-0000-000077160000}"/>
    <cellStyle name="Финансовый 4 2 4 4 2 2 2" xfId="5751" xr:uid="{00000000-0005-0000-0000-000078160000}"/>
    <cellStyle name="Финансовый 4 2 4 4 2 3" xfId="5752" xr:uid="{00000000-0005-0000-0000-000079160000}"/>
    <cellStyle name="Финансовый 4 2 4 4 3" xfId="5753" xr:uid="{00000000-0005-0000-0000-00007A160000}"/>
    <cellStyle name="Финансовый 4 2 4 4 3 2" xfId="5754" xr:uid="{00000000-0005-0000-0000-00007B160000}"/>
    <cellStyle name="Финансовый 4 2 4 4 4" xfId="5755" xr:uid="{00000000-0005-0000-0000-00007C160000}"/>
    <cellStyle name="Финансовый 4 2 4 5" xfId="5756" xr:uid="{00000000-0005-0000-0000-00007D160000}"/>
    <cellStyle name="Финансовый 4 2 4 5 2" xfId="5757" xr:uid="{00000000-0005-0000-0000-00007E160000}"/>
    <cellStyle name="Финансовый 4 2 4 5 2 2" xfId="5758" xr:uid="{00000000-0005-0000-0000-00007F160000}"/>
    <cellStyle name="Финансовый 4 2 4 5 3" xfId="5759" xr:uid="{00000000-0005-0000-0000-000080160000}"/>
    <cellStyle name="Финансовый 4 2 4 6" xfId="5760" xr:uid="{00000000-0005-0000-0000-000081160000}"/>
    <cellStyle name="Финансовый 4 2 4 6 2" xfId="5761" xr:uid="{00000000-0005-0000-0000-000082160000}"/>
    <cellStyle name="Финансовый 4 2 4 7" xfId="5762" xr:uid="{00000000-0005-0000-0000-000083160000}"/>
    <cellStyle name="Финансовый 4 2 5" xfId="5763" xr:uid="{00000000-0005-0000-0000-000084160000}"/>
    <cellStyle name="Финансовый 4 2 5 2" xfId="5764" xr:uid="{00000000-0005-0000-0000-000085160000}"/>
    <cellStyle name="Финансовый 4 2 5 2 2" xfId="5765" xr:uid="{00000000-0005-0000-0000-000086160000}"/>
    <cellStyle name="Финансовый 4 2 5 2 2 2" xfId="5766" xr:uid="{00000000-0005-0000-0000-000087160000}"/>
    <cellStyle name="Финансовый 4 2 5 2 2 2 2" xfId="5767" xr:uid="{00000000-0005-0000-0000-000088160000}"/>
    <cellStyle name="Финансовый 4 2 5 2 2 2 2 2" xfId="5768" xr:uid="{00000000-0005-0000-0000-000089160000}"/>
    <cellStyle name="Финансовый 4 2 5 2 2 2 3" xfId="5769" xr:uid="{00000000-0005-0000-0000-00008A160000}"/>
    <cellStyle name="Финансовый 4 2 5 2 2 3" xfId="5770" xr:uid="{00000000-0005-0000-0000-00008B160000}"/>
    <cellStyle name="Финансовый 4 2 5 2 2 3 2" xfId="5771" xr:uid="{00000000-0005-0000-0000-00008C160000}"/>
    <cellStyle name="Финансовый 4 2 5 2 2 4" xfId="5772" xr:uid="{00000000-0005-0000-0000-00008D160000}"/>
    <cellStyle name="Финансовый 4 2 5 2 3" xfId="5773" xr:uid="{00000000-0005-0000-0000-00008E160000}"/>
    <cellStyle name="Финансовый 4 2 5 2 3 2" xfId="5774" xr:uid="{00000000-0005-0000-0000-00008F160000}"/>
    <cellStyle name="Финансовый 4 2 5 2 3 2 2" xfId="5775" xr:uid="{00000000-0005-0000-0000-000090160000}"/>
    <cellStyle name="Финансовый 4 2 5 2 3 3" xfId="5776" xr:uid="{00000000-0005-0000-0000-000091160000}"/>
    <cellStyle name="Финансовый 4 2 5 2 4" xfId="5777" xr:uid="{00000000-0005-0000-0000-000092160000}"/>
    <cellStyle name="Финансовый 4 2 5 2 4 2" xfId="5778" xr:uid="{00000000-0005-0000-0000-000093160000}"/>
    <cellStyle name="Финансовый 4 2 5 2 5" xfId="5779" xr:uid="{00000000-0005-0000-0000-000094160000}"/>
    <cellStyle name="Финансовый 4 2 5 3" xfId="5780" xr:uid="{00000000-0005-0000-0000-000095160000}"/>
    <cellStyle name="Финансовый 4 2 5 3 2" xfId="5781" xr:uid="{00000000-0005-0000-0000-000096160000}"/>
    <cellStyle name="Финансовый 4 2 5 3 2 2" xfId="5782" xr:uid="{00000000-0005-0000-0000-000097160000}"/>
    <cellStyle name="Финансовый 4 2 5 3 2 2 2" xfId="5783" xr:uid="{00000000-0005-0000-0000-000098160000}"/>
    <cellStyle name="Финансовый 4 2 5 3 2 3" xfId="5784" xr:uid="{00000000-0005-0000-0000-000099160000}"/>
    <cellStyle name="Финансовый 4 2 5 3 3" xfId="5785" xr:uid="{00000000-0005-0000-0000-00009A160000}"/>
    <cellStyle name="Финансовый 4 2 5 3 3 2" xfId="5786" xr:uid="{00000000-0005-0000-0000-00009B160000}"/>
    <cellStyle name="Финансовый 4 2 5 3 4" xfId="5787" xr:uid="{00000000-0005-0000-0000-00009C160000}"/>
    <cellStyle name="Финансовый 4 2 5 4" xfId="5788" xr:uid="{00000000-0005-0000-0000-00009D160000}"/>
    <cellStyle name="Финансовый 4 2 5 4 2" xfId="5789" xr:uid="{00000000-0005-0000-0000-00009E160000}"/>
    <cellStyle name="Финансовый 4 2 5 4 2 2" xfId="5790" xr:uid="{00000000-0005-0000-0000-00009F160000}"/>
    <cellStyle name="Финансовый 4 2 5 4 3" xfId="5791" xr:uid="{00000000-0005-0000-0000-0000A0160000}"/>
    <cellStyle name="Финансовый 4 2 5 5" xfId="5792" xr:uid="{00000000-0005-0000-0000-0000A1160000}"/>
    <cellStyle name="Финансовый 4 2 5 5 2" xfId="5793" xr:uid="{00000000-0005-0000-0000-0000A2160000}"/>
    <cellStyle name="Финансовый 4 2 5 6" xfId="5794" xr:uid="{00000000-0005-0000-0000-0000A3160000}"/>
    <cellStyle name="Финансовый 4 2 6" xfId="5795" xr:uid="{00000000-0005-0000-0000-0000A4160000}"/>
    <cellStyle name="Финансовый 4 2 6 2" xfId="5796" xr:uid="{00000000-0005-0000-0000-0000A5160000}"/>
    <cellStyle name="Финансовый 4 2 6 2 2" xfId="5797" xr:uid="{00000000-0005-0000-0000-0000A6160000}"/>
    <cellStyle name="Финансовый 4 2 6 2 2 2" xfId="5798" xr:uid="{00000000-0005-0000-0000-0000A7160000}"/>
    <cellStyle name="Финансовый 4 2 6 2 2 2 2" xfId="5799" xr:uid="{00000000-0005-0000-0000-0000A8160000}"/>
    <cellStyle name="Финансовый 4 2 6 2 2 3" xfId="5800" xr:uid="{00000000-0005-0000-0000-0000A9160000}"/>
    <cellStyle name="Финансовый 4 2 6 2 3" xfId="5801" xr:uid="{00000000-0005-0000-0000-0000AA160000}"/>
    <cellStyle name="Финансовый 4 2 6 2 3 2" xfId="5802" xr:uid="{00000000-0005-0000-0000-0000AB160000}"/>
    <cellStyle name="Финансовый 4 2 6 2 4" xfId="5803" xr:uid="{00000000-0005-0000-0000-0000AC160000}"/>
    <cellStyle name="Финансовый 4 2 6 3" xfId="5804" xr:uid="{00000000-0005-0000-0000-0000AD160000}"/>
    <cellStyle name="Финансовый 4 2 6 3 2" xfId="5805" xr:uid="{00000000-0005-0000-0000-0000AE160000}"/>
    <cellStyle name="Финансовый 4 2 6 3 2 2" xfId="5806" xr:uid="{00000000-0005-0000-0000-0000AF160000}"/>
    <cellStyle name="Финансовый 4 2 6 3 3" xfId="5807" xr:uid="{00000000-0005-0000-0000-0000B0160000}"/>
    <cellStyle name="Финансовый 4 2 6 4" xfId="5808" xr:uid="{00000000-0005-0000-0000-0000B1160000}"/>
    <cellStyle name="Финансовый 4 2 6 4 2" xfId="5809" xr:uid="{00000000-0005-0000-0000-0000B2160000}"/>
    <cellStyle name="Финансовый 4 2 6 5" xfId="5810" xr:uid="{00000000-0005-0000-0000-0000B3160000}"/>
    <cellStyle name="Финансовый 4 2 7" xfId="5811" xr:uid="{00000000-0005-0000-0000-0000B4160000}"/>
    <cellStyle name="Финансовый 4 2 7 2" xfId="5812" xr:uid="{00000000-0005-0000-0000-0000B5160000}"/>
    <cellStyle name="Финансовый 4 2 7 2 2" xfId="5813" xr:uid="{00000000-0005-0000-0000-0000B6160000}"/>
    <cellStyle name="Финансовый 4 2 7 2 2 2" xfId="5814" xr:uid="{00000000-0005-0000-0000-0000B7160000}"/>
    <cellStyle name="Финансовый 4 2 7 2 3" xfId="5815" xr:uid="{00000000-0005-0000-0000-0000B8160000}"/>
    <cellStyle name="Финансовый 4 2 7 3" xfId="5816" xr:uid="{00000000-0005-0000-0000-0000B9160000}"/>
    <cellStyle name="Финансовый 4 2 7 3 2" xfId="5817" xr:uid="{00000000-0005-0000-0000-0000BA160000}"/>
    <cellStyle name="Финансовый 4 2 7 4" xfId="5818" xr:uid="{00000000-0005-0000-0000-0000BB160000}"/>
    <cellStyle name="Финансовый 4 2 8" xfId="5819" xr:uid="{00000000-0005-0000-0000-0000BC160000}"/>
    <cellStyle name="Финансовый 4 2 8 2" xfId="5820" xr:uid="{00000000-0005-0000-0000-0000BD160000}"/>
    <cellStyle name="Финансовый 4 2 8 2 2" xfId="5821" xr:uid="{00000000-0005-0000-0000-0000BE160000}"/>
    <cellStyle name="Финансовый 4 2 8 3" xfId="5822" xr:uid="{00000000-0005-0000-0000-0000BF160000}"/>
    <cellStyle name="Финансовый 4 2 9" xfId="5823" xr:uid="{00000000-0005-0000-0000-0000C0160000}"/>
    <cellStyle name="Финансовый 4 2 9 2" xfId="5824" xr:uid="{00000000-0005-0000-0000-0000C1160000}"/>
    <cellStyle name="Финансовый 4 3" xfId="5825" xr:uid="{00000000-0005-0000-0000-0000C2160000}"/>
    <cellStyle name="Финансовый 4 3 2" xfId="5826" xr:uid="{00000000-0005-0000-0000-0000C3160000}"/>
    <cellStyle name="Финансовый 4 3 2 2" xfId="5827" xr:uid="{00000000-0005-0000-0000-0000C4160000}"/>
    <cellStyle name="Финансовый 4 3 2 2 2" xfId="5828" xr:uid="{00000000-0005-0000-0000-0000C5160000}"/>
    <cellStyle name="Финансовый 4 3 2 2 2 2" xfId="5829" xr:uid="{00000000-0005-0000-0000-0000C6160000}"/>
    <cellStyle name="Финансовый 4 3 2 2 2 2 2" xfId="5830" xr:uid="{00000000-0005-0000-0000-0000C7160000}"/>
    <cellStyle name="Финансовый 4 3 2 2 2 2 2 2" xfId="5831" xr:uid="{00000000-0005-0000-0000-0000C8160000}"/>
    <cellStyle name="Финансовый 4 3 2 2 2 2 2 2 2" xfId="5832" xr:uid="{00000000-0005-0000-0000-0000C9160000}"/>
    <cellStyle name="Финансовый 4 3 2 2 2 2 2 2 2 2" xfId="5833" xr:uid="{00000000-0005-0000-0000-0000CA160000}"/>
    <cellStyle name="Финансовый 4 3 2 2 2 2 2 2 3" xfId="5834" xr:uid="{00000000-0005-0000-0000-0000CB160000}"/>
    <cellStyle name="Финансовый 4 3 2 2 2 2 2 3" xfId="5835" xr:uid="{00000000-0005-0000-0000-0000CC160000}"/>
    <cellStyle name="Финансовый 4 3 2 2 2 2 2 3 2" xfId="5836" xr:uid="{00000000-0005-0000-0000-0000CD160000}"/>
    <cellStyle name="Финансовый 4 3 2 2 2 2 2 4" xfId="5837" xr:uid="{00000000-0005-0000-0000-0000CE160000}"/>
    <cellStyle name="Финансовый 4 3 2 2 2 2 3" xfId="5838" xr:uid="{00000000-0005-0000-0000-0000CF160000}"/>
    <cellStyle name="Финансовый 4 3 2 2 2 2 3 2" xfId="5839" xr:uid="{00000000-0005-0000-0000-0000D0160000}"/>
    <cellStyle name="Финансовый 4 3 2 2 2 2 3 2 2" xfId="5840" xr:uid="{00000000-0005-0000-0000-0000D1160000}"/>
    <cellStyle name="Финансовый 4 3 2 2 2 2 3 3" xfId="5841" xr:uid="{00000000-0005-0000-0000-0000D2160000}"/>
    <cellStyle name="Финансовый 4 3 2 2 2 2 4" xfId="5842" xr:uid="{00000000-0005-0000-0000-0000D3160000}"/>
    <cellStyle name="Финансовый 4 3 2 2 2 2 4 2" xfId="5843" xr:uid="{00000000-0005-0000-0000-0000D4160000}"/>
    <cellStyle name="Финансовый 4 3 2 2 2 2 5" xfId="5844" xr:uid="{00000000-0005-0000-0000-0000D5160000}"/>
    <cellStyle name="Финансовый 4 3 2 2 2 3" xfId="5845" xr:uid="{00000000-0005-0000-0000-0000D6160000}"/>
    <cellStyle name="Финансовый 4 3 2 2 2 3 2" xfId="5846" xr:uid="{00000000-0005-0000-0000-0000D7160000}"/>
    <cellStyle name="Финансовый 4 3 2 2 2 3 2 2" xfId="5847" xr:uid="{00000000-0005-0000-0000-0000D8160000}"/>
    <cellStyle name="Финансовый 4 3 2 2 2 3 2 2 2" xfId="5848" xr:uid="{00000000-0005-0000-0000-0000D9160000}"/>
    <cellStyle name="Финансовый 4 3 2 2 2 3 2 3" xfId="5849" xr:uid="{00000000-0005-0000-0000-0000DA160000}"/>
    <cellStyle name="Финансовый 4 3 2 2 2 3 3" xfId="5850" xr:uid="{00000000-0005-0000-0000-0000DB160000}"/>
    <cellStyle name="Финансовый 4 3 2 2 2 3 3 2" xfId="5851" xr:uid="{00000000-0005-0000-0000-0000DC160000}"/>
    <cellStyle name="Финансовый 4 3 2 2 2 3 4" xfId="5852" xr:uid="{00000000-0005-0000-0000-0000DD160000}"/>
    <cellStyle name="Финансовый 4 3 2 2 2 4" xfId="5853" xr:uid="{00000000-0005-0000-0000-0000DE160000}"/>
    <cellStyle name="Финансовый 4 3 2 2 2 4 2" xfId="5854" xr:uid="{00000000-0005-0000-0000-0000DF160000}"/>
    <cellStyle name="Финансовый 4 3 2 2 2 4 2 2" xfId="5855" xr:uid="{00000000-0005-0000-0000-0000E0160000}"/>
    <cellStyle name="Финансовый 4 3 2 2 2 4 3" xfId="5856" xr:uid="{00000000-0005-0000-0000-0000E1160000}"/>
    <cellStyle name="Финансовый 4 3 2 2 2 5" xfId="5857" xr:uid="{00000000-0005-0000-0000-0000E2160000}"/>
    <cellStyle name="Финансовый 4 3 2 2 2 5 2" xfId="5858" xr:uid="{00000000-0005-0000-0000-0000E3160000}"/>
    <cellStyle name="Финансовый 4 3 2 2 2 6" xfId="5859" xr:uid="{00000000-0005-0000-0000-0000E4160000}"/>
    <cellStyle name="Финансовый 4 3 2 2 3" xfId="5860" xr:uid="{00000000-0005-0000-0000-0000E5160000}"/>
    <cellStyle name="Финансовый 4 3 2 2 3 2" xfId="5861" xr:uid="{00000000-0005-0000-0000-0000E6160000}"/>
    <cellStyle name="Финансовый 4 3 2 2 3 2 2" xfId="5862" xr:uid="{00000000-0005-0000-0000-0000E7160000}"/>
    <cellStyle name="Финансовый 4 3 2 2 3 2 2 2" xfId="5863" xr:uid="{00000000-0005-0000-0000-0000E8160000}"/>
    <cellStyle name="Финансовый 4 3 2 2 3 2 2 2 2" xfId="5864" xr:uid="{00000000-0005-0000-0000-0000E9160000}"/>
    <cellStyle name="Финансовый 4 3 2 2 3 2 2 3" xfId="5865" xr:uid="{00000000-0005-0000-0000-0000EA160000}"/>
    <cellStyle name="Финансовый 4 3 2 2 3 2 3" xfId="5866" xr:uid="{00000000-0005-0000-0000-0000EB160000}"/>
    <cellStyle name="Финансовый 4 3 2 2 3 2 3 2" xfId="5867" xr:uid="{00000000-0005-0000-0000-0000EC160000}"/>
    <cellStyle name="Финансовый 4 3 2 2 3 2 4" xfId="5868" xr:uid="{00000000-0005-0000-0000-0000ED160000}"/>
    <cellStyle name="Финансовый 4 3 2 2 3 3" xfId="5869" xr:uid="{00000000-0005-0000-0000-0000EE160000}"/>
    <cellStyle name="Финансовый 4 3 2 2 3 3 2" xfId="5870" xr:uid="{00000000-0005-0000-0000-0000EF160000}"/>
    <cellStyle name="Финансовый 4 3 2 2 3 3 2 2" xfId="5871" xr:uid="{00000000-0005-0000-0000-0000F0160000}"/>
    <cellStyle name="Финансовый 4 3 2 2 3 3 3" xfId="5872" xr:uid="{00000000-0005-0000-0000-0000F1160000}"/>
    <cellStyle name="Финансовый 4 3 2 2 3 4" xfId="5873" xr:uid="{00000000-0005-0000-0000-0000F2160000}"/>
    <cellStyle name="Финансовый 4 3 2 2 3 4 2" xfId="5874" xr:uid="{00000000-0005-0000-0000-0000F3160000}"/>
    <cellStyle name="Финансовый 4 3 2 2 3 5" xfId="5875" xr:uid="{00000000-0005-0000-0000-0000F4160000}"/>
    <cellStyle name="Финансовый 4 3 2 2 4" xfId="5876" xr:uid="{00000000-0005-0000-0000-0000F5160000}"/>
    <cellStyle name="Финансовый 4 3 2 2 4 2" xfId="5877" xr:uid="{00000000-0005-0000-0000-0000F6160000}"/>
    <cellStyle name="Финансовый 4 3 2 2 4 2 2" xfId="5878" xr:uid="{00000000-0005-0000-0000-0000F7160000}"/>
    <cellStyle name="Финансовый 4 3 2 2 4 2 2 2" xfId="5879" xr:uid="{00000000-0005-0000-0000-0000F8160000}"/>
    <cellStyle name="Финансовый 4 3 2 2 4 2 3" xfId="5880" xr:uid="{00000000-0005-0000-0000-0000F9160000}"/>
    <cellStyle name="Финансовый 4 3 2 2 4 3" xfId="5881" xr:uid="{00000000-0005-0000-0000-0000FA160000}"/>
    <cellStyle name="Финансовый 4 3 2 2 4 3 2" xfId="5882" xr:uid="{00000000-0005-0000-0000-0000FB160000}"/>
    <cellStyle name="Финансовый 4 3 2 2 4 4" xfId="5883" xr:uid="{00000000-0005-0000-0000-0000FC160000}"/>
    <cellStyle name="Финансовый 4 3 2 2 5" xfId="5884" xr:uid="{00000000-0005-0000-0000-0000FD160000}"/>
    <cellStyle name="Финансовый 4 3 2 2 5 2" xfId="5885" xr:uid="{00000000-0005-0000-0000-0000FE160000}"/>
    <cellStyle name="Финансовый 4 3 2 2 5 2 2" xfId="5886" xr:uid="{00000000-0005-0000-0000-0000FF160000}"/>
    <cellStyle name="Финансовый 4 3 2 2 5 3" xfId="5887" xr:uid="{00000000-0005-0000-0000-000000170000}"/>
    <cellStyle name="Финансовый 4 3 2 2 6" xfId="5888" xr:uid="{00000000-0005-0000-0000-000001170000}"/>
    <cellStyle name="Финансовый 4 3 2 2 6 2" xfId="5889" xr:uid="{00000000-0005-0000-0000-000002170000}"/>
    <cellStyle name="Финансовый 4 3 2 2 7" xfId="5890" xr:uid="{00000000-0005-0000-0000-000003170000}"/>
    <cellStyle name="Финансовый 4 3 2 3" xfId="5891" xr:uid="{00000000-0005-0000-0000-000004170000}"/>
    <cellStyle name="Финансовый 4 3 2 3 2" xfId="5892" xr:uid="{00000000-0005-0000-0000-000005170000}"/>
    <cellStyle name="Финансовый 4 3 2 3 2 2" xfId="5893" xr:uid="{00000000-0005-0000-0000-000006170000}"/>
    <cellStyle name="Финансовый 4 3 2 3 2 2 2" xfId="5894" xr:uid="{00000000-0005-0000-0000-000007170000}"/>
    <cellStyle name="Финансовый 4 3 2 3 2 2 2 2" xfId="5895" xr:uid="{00000000-0005-0000-0000-000008170000}"/>
    <cellStyle name="Финансовый 4 3 2 3 2 2 2 2 2" xfId="5896" xr:uid="{00000000-0005-0000-0000-000009170000}"/>
    <cellStyle name="Финансовый 4 3 2 3 2 2 2 3" xfId="5897" xr:uid="{00000000-0005-0000-0000-00000A170000}"/>
    <cellStyle name="Финансовый 4 3 2 3 2 2 3" xfId="5898" xr:uid="{00000000-0005-0000-0000-00000B170000}"/>
    <cellStyle name="Финансовый 4 3 2 3 2 2 3 2" xfId="5899" xr:uid="{00000000-0005-0000-0000-00000C170000}"/>
    <cellStyle name="Финансовый 4 3 2 3 2 2 4" xfId="5900" xr:uid="{00000000-0005-0000-0000-00000D170000}"/>
    <cellStyle name="Финансовый 4 3 2 3 2 3" xfId="5901" xr:uid="{00000000-0005-0000-0000-00000E170000}"/>
    <cellStyle name="Финансовый 4 3 2 3 2 3 2" xfId="5902" xr:uid="{00000000-0005-0000-0000-00000F170000}"/>
    <cellStyle name="Финансовый 4 3 2 3 2 3 2 2" xfId="5903" xr:uid="{00000000-0005-0000-0000-000010170000}"/>
    <cellStyle name="Финансовый 4 3 2 3 2 3 3" xfId="5904" xr:uid="{00000000-0005-0000-0000-000011170000}"/>
    <cellStyle name="Финансовый 4 3 2 3 2 4" xfId="5905" xr:uid="{00000000-0005-0000-0000-000012170000}"/>
    <cellStyle name="Финансовый 4 3 2 3 2 4 2" xfId="5906" xr:uid="{00000000-0005-0000-0000-000013170000}"/>
    <cellStyle name="Финансовый 4 3 2 3 2 5" xfId="5907" xr:uid="{00000000-0005-0000-0000-000014170000}"/>
    <cellStyle name="Финансовый 4 3 2 3 3" xfId="5908" xr:uid="{00000000-0005-0000-0000-000015170000}"/>
    <cellStyle name="Финансовый 4 3 2 3 3 2" xfId="5909" xr:uid="{00000000-0005-0000-0000-000016170000}"/>
    <cellStyle name="Финансовый 4 3 2 3 3 2 2" xfId="5910" xr:uid="{00000000-0005-0000-0000-000017170000}"/>
    <cellStyle name="Финансовый 4 3 2 3 3 2 2 2" xfId="5911" xr:uid="{00000000-0005-0000-0000-000018170000}"/>
    <cellStyle name="Финансовый 4 3 2 3 3 2 3" xfId="5912" xr:uid="{00000000-0005-0000-0000-000019170000}"/>
    <cellStyle name="Финансовый 4 3 2 3 3 3" xfId="5913" xr:uid="{00000000-0005-0000-0000-00001A170000}"/>
    <cellStyle name="Финансовый 4 3 2 3 3 3 2" xfId="5914" xr:uid="{00000000-0005-0000-0000-00001B170000}"/>
    <cellStyle name="Финансовый 4 3 2 3 3 4" xfId="5915" xr:uid="{00000000-0005-0000-0000-00001C170000}"/>
    <cellStyle name="Финансовый 4 3 2 3 4" xfId="5916" xr:uid="{00000000-0005-0000-0000-00001D170000}"/>
    <cellStyle name="Финансовый 4 3 2 3 4 2" xfId="5917" xr:uid="{00000000-0005-0000-0000-00001E170000}"/>
    <cellStyle name="Финансовый 4 3 2 3 4 2 2" xfId="5918" xr:uid="{00000000-0005-0000-0000-00001F170000}"/>
    <cellStyle name="Финансовый 4 3 2 3 4 3" xfId="5919" xr:uid="{00000000-0005-0000-0000-000020170000}"/>
    <cellStyle name="Финансовый 4 3 2 3 5" xfId="5920" xr:uid="{00000000-0005-0000-0000-000021170000}"/>
    <cellStyle name="Финансовый 4 3 2 3 5 2" xfId="5921" xr:uid="{00000000-0005-0000-0000-000022170000}"/>
    <cellStyle name="Финансовый 4 3 2 3 6" xfId="5922" xr:uid="{00000000-0005-0000-0000-000023170000}"/>
    <cellStyle name="Финансовый 4 3 2 4" xfId="5923" xr:uid="{00000000-0005-0000-0000-000024170000}"/>
    <cellStyle name="Финансовый 4 3 2 4 2" xfId="5924" xr:uid="{00000000-0005-0000-0000-000025170000}"/>
    <cellStyle name="Финансовый 4 3 2 4 2 2" xfId="5925" xr:uid="{00000000-0005-0000-0000-000026170000}"/>
    <cellStyle name="Финансовый 4 3 2 4 2 2 2" xfId="5926" xr:uid="{00000000-0005-0000-0000-000027170000}"/>
    <cellStyle name="Финансовый 4 3 2 4 2 2 2 2" xfId="5927" xr:uid="{00000000-0005-0000-0000-000028170000}"/>
    <cellStyle name="Финансовый 4 3 2 4 2 2 3" xfId="5928" xr:uid="{00000000-0005-0000-0000-000029170000}"/>
    <cellStyle name="Финансовый 4 3 2 4 2 3" xfId="5929" xr:uid="{00000000-0005-0000-0000-00002A170000}"/>
    <cellStyle name="Финансовый 4 3 2 4 2 3 2" xfId="5930" xr:uid="{00000000-0005-0000-0000-00002B170000}"/>
    <cellStyle name="Финансовый 4 3 2 4 2 4" xfId="5931" xr:uid="{00000000-0005-0000-0000-00002C170000}"/>
    <cellStyle name="Финансовый 4 3 2 4 3" xfId="5932" xr:uid="{00000000-0005-0000-0000-00002D170000}"/>
    <cellStyle name="Финансовый 4 3 2 4 3 2" xfId="5933" xr:uid="{00000000-0005-0000-0000-00002E170000}"/>
    <cellStyle name="Финансовый 4 3 2 4 3 2 2" xfId="5934" xr:uid="{00000000-0005-0000-0000-00002F170000}"/>
    <cellStyle name="Финансовый 4 3 2 4 3 3" xfId="5935" xr:uid="{00000000-0005-0000-0000-000030170000}"/>
    <cellStyle name="Финансовый 4 3 2 4 4" xfId="5936" xr:uid="{00000000-0005-0000-0000-000031170000}"/>
    <cellStyle name="Финансовый 4 3 2 4 4 2" xfId="5937" xr:uid="{00000000-0005-0000-0000-000032170000}"/>
    <cellStyle name="Финансовый 4 3 2 4 5" xfId="5938" xr:uid="{00000000-0005-0000-0000-000033170000}"/>
    <cellStyle name="Финансовый 4 3 2 5" xfId="5939" xr:uid="{00000000-0005-0000-0000-000034170000}"/>
    <cellStyle name="Финансовый 4 3 2 5 2" xfId="5940" xr:uid="{00000000-0005-0000-0000-000035170000}"/>
    <cellStyle name="Финансовый 4 3 2 5 2 2" xfId="5941" xr:uid="{00000000-0005-0000-0000-000036170000}"/>
    <cellStyle name="Финансовый 4 3 2 5 2 2 2" xfId="5942" xr:uid="{00000000-0005-0000-0000-000037170000}"/>
    <cellStyle name="Финансовый 4 3 2 5 2 3" xfId="5943" xr:uid="{00000000-0005-0000-0000-000038170000}"/>
    <cellStyle name="Финансовый 4 3 2 5 3" xfId="5944" xr:uid="{00000000-0005-0000-0000-000039170000}"/>
    <cellStyle name="Финансовый 4 3 2 5 3 2" xfId="5945" xr:uid="{00000000-0005-0000-0000-00003A170000}"/>
    <cellStyle name="Финансовый 4 3 2 5 4" xfId="5946" xr:uid="{00000000-0005-0000-0000-00003B170000}"/>
    <cellStyle name="Финансовый 4 3 2 6" xfId="5947" xr:uid="{00000000-0005-0000-0000-00003C170000}"/>
    <cellStyle name="Финансовый 4 3 2 6 2" xfId="5948" xr:uid="{00000000-0005-0000-0000-00003D170000}"/>
    <cellStyle name="Финансовый 4 3 2 6 2 2" xfId="5949" xr:uid="{00000000-0005-0000-0000-00003E170000}"/>
    <cellStyle name="Финансовый 4 3 2 6 3" xfId="5950" xr:uid="{00000000-0005-0000-0000-00003F170000}"/>
    <cellStyle name="Финансовый 4 3 2 7" xfId="5951" xr:uid="{00000000-0005-0000-0000-000040170000}"/>
    <cellStyle name="Финансовый 4 3 2 7 2" xfId="5952" xr:uid="{00000000-0005-0000-0000-000041170000}"/>
    <cellStyle name="Финансовый 4 3 2 8" xfId="5953" xr:uid="{00000000-0005-0000-0000-000042170000}"/>
    <cellStyle name="Финансовый 4 3 3" xfId="5954" xr:uid="{00000000-0005-0000-0000-000043170000}"/>
    <cellStyle name="Финансовый 4 3 3 2" xfId="5955" xr:uid="{00000000-0005-0000-0000-000044170000}"/>
    <cellStyle name="Финансовый 4 3 3 2 2" xfId="5956" xr:uid="{00000000-0005-0000-0000-000045170000}"/>
    <cellStyle name="Финансовый 4 3 3 2 2 2" xfId="5957" xr:uid="{00000000-0005-0000-0000-000046170000}"/>
    <cellStyle name="Финансовый 4 3 3 2 2 2 2" xfId="5958" xr:uid="{00000000-0005-0000-0000-000047170000}"/>
    <cellStyle name="Финансовый 4 3 3 2 2 2 2 2" xfId="5959" xr:uid="{00000000-0005-0000-0000-000048170000}"/>
    <cellStyle name="Финансовый 4 3 3 2 2 2 2 2 2" xfId="5960" xr:uid="{00000000-0005-0000-0000-000049170000}"/>
    <cellStyle name="Финансовый 4 3 3 2 2 2 2 3" xfId="5961" xr:uid="{00000000-0005-0000-0000-00004A170000}"/>
    <cellStyle name="Финансовый 4 3 3 2 2 2 3" xfId="5962" xr:uid="{00000000-0005-0000-0000-00004B170000}"/>
    <cellStyle name="Финансовый 4 3 3 2 2 2 3 2" xfId="5963" xr:uid="{00000000-0005-0000-0000-00004C170000}"/>
    <cellStyle name="Финансовый 4 3 3 2 2 2 4" xfId="5964" xr:uid="{00000000-0005-0000-0000-00004D170000}"/>
    <cellStyle name="Финансовый 4 3 3 2 2 3" xfId="5965" xr:uid="{00000000-0005-0000-0000-00004E170000}"/>
    <cellStyle name="Финансовый 4 3 3 2 2 3 2" xfId="5966" xr:uid="{00000000-0005-0000-0000-00004F170000}"/>
    <cellStyle name="Финансовый 4 3 3 2 2 3 2 2" xfId="5967" xr:uid="{00000000-0005-0000-0000-000050170000}"/>
    <cellStyle name="Финансовый 4 3 3 2 2 3 3" xfId="5968" xr:uid="{00000000-0005-0000-0000-000051170000}"/>
    <cellStyle name="Финансовый 4 3 3 2 2 4" xfId="5969" xr:uid="{00000000-0005-0000-0000-000052170000}"/>
    <cellStyle name="Финансовый 4 3 3 2 2 4 2" xfId="5970" xr:uid="{00000000-0005-0000-0000-000053170000}"/>
    <cellStyle name="Финансовый 4 3 3 2 2 5" xfId="5971" xr:uid="{00000000-0005-0000-0000-000054170000}"/>
    <cellStyle name="Финансовый 4 3 3 2 3" xfId="5972" xr:uid="{00000000-0005-0000-0000-000055170000}"/>
    <cellStyle name="Финансовый 4 3 3 2 3 2" xfId="5973" xr:uid="{00000000-0005-0000-0000-000056170000}"/>
    <cellStyle name="Финансовый 4 3 3 2 3 2 2" xfId="5974" xr:uid="{00000000-0005-0000-0000-000057170000}"/>
    <cellStyle name="Финансовый 4 3 3 2 3 2 2 2" xfId="5975" xr:uid="{00000000-0005-0000-0000-000058170000}"/>
    <cellStyle name="Финансовый 4 3 3 2 3 2 3" xfId="5976" xr:uid="{00000000-0005-0000-0000-000059170000}"/>
    <cellStyle name="Финансовый 4 3 3 2 3 3" xfId="5977" xr:uid="{00000000-0005-0000-0000-00005A170000}"/>
    <cellStyle name="Финансовый 4 3 3 2 3 3 2" xfId="5978" xr:uid="{00000000-0005-0000-0000-00005B170000}"/>
    <cellStyle name="Финансовый 4 3 3 2 3 4" xfId="5979" xr:uid="{00000000-0005-0000-0000-00005C170000}"/>
    <cellStyle name="Финансовый 4 3 3 2 4" xfId="5980" xr:uid="{00000000-0005-0000-0000-00005D170000}"/>
    <cellStyle name="Финансовый 4 3 3 2 4 2" xfId="5981" xr:uid="{00000000-0005-0000-0000-00005E170000}"/>
    <cellStyle name="Финансовый 4 3 3 2 4 2 2" xfId="5982" xr:uid="{00000000-0005-0000-0000-00005F170000}"/>
    <cellStyle name="Финансовый 4 3 3 2 4 3" xfId="5983" xr:uid="{00000000-0005-0000-0000-000060170000}"/>
    <cellStyle name="Финансовый 4 3 3 2 5" xfId="5984" xr:uid="{00000000-0005-0000-0000-000061170000}"/>
    <cellStyle name="Финансовый 4 3 3 2 5 2" xfId="5985" xr:uid="{00000000-0005-0000-0000-000062170000}"/>
    <cellStyle name="Финансовый 4 3 3 2 6" xfId="5986" xr:uid="{00000000-0005-0000-0000-000063170000}"/>
    <cellStyle name="Финансовый 4 3 3 3" xfId="5987" xr:uid="{00000000-0005-0000-0000-000064170000}"/>
    <cellStyle name="Финансовый 4 3 3 3 2" xfId="5988" xr:uid="{00000000-0005-0000-0000-000065170000}"/>
    <cellStyle name="Финансовый 4 3 3 3 2 2" xfId="5989" xr:uid="{00000000-0005-0000-0000-000066170000}"/>
    <cellStyle name="Финансовый 4 3 3 3 2 2 2" xfId="5990" xr:uid="{00000000-0005-0000-0000-000067170000}"/>
    <cellStyle name="Финансовый 4 3 3 3 2 2 2 2" xfId="5991" xr:uid="{00000000-0005-0000-0000-000068170000}"/>
    <cellStyle name="Финансовый 4 3 3 3 2 2 3" xfId="5992" xr:uid="{00000000-0005-0000-0000-000069170000}"/>
    <cellStyle name="Финансовый 4 3 3 3 2 3" xfId="5993" xr:uid="{00000000-0005-0000-0000-00006A170000}"/>
    <cellStyle name="Финансовый 4 3 3 3 2 3 2" xfId="5994" xr:uid="{00000000-0005-0000-0000-00006B170000}"/>
    <cellStyle name="Финансовый 4 3 3 3 2 4" xfId="5995" xr:uid="{00000000-0005-0000-0000-00006C170000}"/>
    <cellStyle name="Финансовый 4 3 3 3 3" xfId="5996" xr:uid="{00000000-0005-0000-0000-00006D170000}"/>
    <cellStyle name="Финансовый 4 3 3 3 3 2" xfId="5997" xr:uid="{00000000-0005-0000-0000-00006E170000}"/>
    <cellStyle name="Финансовый 4 3 3 3 3 2 2" xfId="5998" xr:uid="{00000000-0005-0000-0000-00006F170000}"/>
    <cellStyle name="Финансовый 4 3 3 3 3 3" xfId="5999" xr:uid="{00000000-0005-0000-0000-000070170000}"/>
    <cellStyle name="Финансовый 4 3 3 3 4" xfId="6000" xr:uid="{00000000-0005-0000-0000-000071170000}"/>
    <cellStyle name="Финансовый 4 3 3 3 4 2" xfId="6001" xr:uid="{00000000-0005-0000-0000-000072170000}"/>
    <cellStyle name="Финансовый 4 3 3 3 5" xfId="6002" xr:uid="{00000000-0005-0000-0000-000073170000}"/>
    <cellStyle name="Финансовый 4 3 3 4" xfId="6003" xr:uid="{00000000-0005-0000-0000-000074170000}"/>
    <cellStyle name="Финансовый 4 3 3 4 2" xfId="6004" xr:uid="{00000000-0005-0000-0000-000075170000}"/>
    <cellStyle name="Финансовый 4 3 3 4 2 2" xfId="6005" xr:uid="{00000000-0005-0000-0000-000076170000}"/>
    <cellStyle name="Финансовый 4 3 3 4 2 2 2" xfId="6006" xr:uid="{00000000-0005-0000-0000-000077170000}"/>
    <cellStyle name="Финансовый 4 3 3 4 2 3" xfId="6007" xr:uid="{00000000-0005-0000-0000-000078170000}"/>
    <cellStyle name="Финансовый 4 3 3 4 3" xfId="6008" xr:uid="{00000000-0005-0000-0000-000079170000}"/>
    <cellStyle name="Финансовый 4 3 3 4 3 2" xfId="6009" xr:uid="{00000000-0005-0000-0000-00007A170000}"/>
    <cellStyle name="Финансовый 4 3 3 4 4" xfId="6010" xr:uid="{00000000-0005-0000-0000-00007B170000}"/>
    <cellStyle name="Финансовый 4 3 3 5" xfId="6011" xr:uid="{00000000-0005-0000-0000-00007C170000}"/>
    <cellStyle name="Финансовый 4 3 3 5 2" xfId="6012" xr:uid="{00000000-0005-0000-0000-00007D170000}"/>
    <cellStyle name="Финансовый 4 3 3 5 2 2" xfId="6013" xr:uid="{00000000-0005-0000-0000-00007E170000}"/>
    <cellStyle name="Финансовый 4 3 3 5 3" xfId="6014" xr:uid="{00000000-0005-0000-0000-00007F170000}"/>
    <cellStyle name="Финансовый 4 3 3 6" xfId="6015" xr:uid="{00000000-0005-0000-0000-000080170000}"/>
    <cellStyle name="Финансовый 4 3 3 6 2" xfId="6016" xr:uid="{00000000-0005-0000-0000-000081170000}"/>
    <cellStyle name="Финансовый 4 3 3 7" xfId="6017" xr:uid="{00000000-0005-0000-0000-000082170000}"/>
    <cellStyle name="Финансовый 4 3 4" xfId="6018" xr:uid="{00000000-0005-0000-0000-000083170000}"/>
    <cellStyle name="Финансовый 4 3 4 2" xfId="6019" xr:uid="{00000000-0005-0000-0000-000084170000}"/>
    <cellStyle name="Финансовый 4 3 4 2 2" xfId="6020" xr:uid="{00000000-0005-0000-0000-000085170000}"/>
    <cellStyle name="Финансовый 4 3 4 2 2 2" xfId="6021" xr:uid="{00000000-0005-0000-0000-000086170000}"/>
    <cellStyle name="Финансовый 4 3 4 2 2 2 2" xfId="6022" xr:uid="{00000000-0005-0000-0000-000087170000}"/>
    <cellStyle name="Финансовый 4 3 4 2 2 2 2 2" xfId="6023" xr:uid="{00000000-0005-0000-0000-000088170000}"/>
    <cellStyle name="Финансовый 4 3 4 2 2 2 3" xfId="6024" xr:uid="{00000000-0005-0000-0000-000089170000}"/>
    <cellStyle name="Финансовый 4 3 4 2 2 3" xfId="6025" xr:uid="{00000000-0005-0000-0000-00008A170000}"/>
    <cellStyle name="Финансовый 4 3 4 2 2 3 2" xfId="6026" xr:uid="{00000000-0005-0000-0000-00008B170000}"/>
    <cellStyle name="Финансовый 4 3 4 2 2 4" xfId="6027" xr:uid="{00000000-0005-0000-0000-00008C170000}"/>
    <cellStyle name="Финансовый 4 3 4 2 3" xfId="6028" xr:uid="{00000000-0005-0000-0000-00008D170000}"/>
    <cellStyle name="Финансовый 4 3 4 2 3 2" xfId="6029" xr:uid="{00000000-0005-0000-0000-00008E170000}"/>
    <cellStyle name="Финансовый 4 3 4 2 3 2 2" xfId="6030" xr:uid="{00000000-0005-0000-0000-00008F170000}"/>
    <cellStyle name="Финансовый 4 3 4 2 3 3" xfId="6031" xr:uid="{00000000-0005-0000-0000-000090170000}"/>
    <cellStyle name="Финансовый 4 3 4 2 4" xfId="6032" xr:uid="{00000000-0005-0000-0000-000091170000}"/>
    <cellStyle name="Финансовый 4 3 4 2 4 2" xfId="6033" xr:uid="{00000000-0005-0000-0000-000092170000}"/>
    <cellStyle name="Финансовый 4 3 4 2 5" xfId="6034" xr:uid="{00000000-0005-0000-0000-000093170000}"/>
    <cellStyle name="Финансовый 4 3 4 3" xfId="6035" xr:uid="{00000000-0005-0000-0000-000094170000}"/>
    <cellStyle name="Финансовый 4 3 4 3 2" xfId="6036" xr:uid="{00000000-0005-0000-0000-000095170000}"/>
    <cellStyle name="Финансовый 4 3 4 3 2 2" xfId="6037" xr:uid="{00000000-0005-0000-0000-000096170000}"/>
    <cellStyle name="Финансовый 4 3 4 3 2 2 2" xfId="6038" xr:uid="{00000000-0005-0000-0000-000097170000}"/>
    <cellStyle name="Финансовый 4 3 4 3 2 3" xfId="6039" xr:uid="{00000000-0005-0000-0000-000098170000}"/>
    <cellStyle name="Финансовый 4 3 4 3 3" xfId="6040" xr:uid="{00000000-0005-0000-0000-000099170000}"/>
    <cellStyle name="Финансовый 4 3 4 3 3 2" xfId="6041" xr:uid="{00000000-0005-0000-0000-00009A170000}"/>
    <cellStyle name="Финансовый 4 3 4 3 4" xfId="6042" xr:uid="{00000000-0005-0000-0000-00009B170000}"/>
    <cellStyle name="Финансовый 4 3 4 4" xfId="6043" xr:uid="{00000000-0005-0000-0000-00009C170000}"/>
    <cellStyle name="Финансовый 4 3 4 4 2" xfId="6044" xr:uid="{00000000-0005-0000-0000-00009D170000}"/>
    <cellStyle name="Финансовый 4 3 4 4 2 2" xfId="6045" xr:uid="{00000000-0005-0000-0000-00009E170000}"/>
    <cellStyle name="Финансовый 4 3 4 4 3" xfId="6046" xr:uid="{00000000-0005-0000-0000-00009F170000}"/>
    <cellStyle name="Финансовый 4 3 4 5" xfId="6047" xr:uid="{00000000-0005-0000-0000-0000A0170000}"/>
    <cellStyle name="Финансовый 4 3 4 5 2" xfId="6048" xr:uid="{00000000-0005-0000-0000-0000A1170000}"/>
    <cellStyle name="Финансовый 4 3 4 6" xfId="6049" xr:uid="{00000000-0005-0000-0000-0000A2170000}"/>
    <cellStyle name="Финансовый 4 3 5" xfId="6050" xr:uid="{00000000-0005-0000-0000-0000A3170000}"/>
    <cellStyle name="Финансовый 4 3 5 2" xfId="6051" xr:uid="{00000000-0005-0000-0000-0000A4170000}"/>
    <cellStyle name="Финансовый 4 3 5 2 2" xfId="6052" xr:uid="{00000000-0005-0000-0000-0000A5170000}"/>
    <cellStyle name="Финансовый 4 3 5 2 2 2" xfId="6053" xr:uid="{00000000-0005-0000-0000-0000A6170000}"/>
    <cellStyle name="Финансовый 4 3 5 2 2 2 2" xfId="6054" xr:uid="{00000000-0005-0000-0000-0000A7170000}"/>
    <cellStyle name="Финансовый 4 3 5 2 2 3" xfId="6055" xr:uid="{00000000-0005-0000-0000-0000A8170000}"/>
    <cellStyle name="Финансовый 4 3 5 2 3" xfId="6056" xr:uid="{00000000-0005-0000-0000-0000A9170000}"/>
    <cellStyle name="Финансовый 4 3 5 2 3 2" xfId="6057" xr:uid="{00000000-0005-0000-0000-0000AA170000}"/>
    <cellStyle name="Финансовый 4 3 5 2 4" xfId="6058" xr:uid="{00000000-0005-0000-0000-0000AB170000}"/>
    <cellStyle name="Финансовый 4 3 5 3" xfId="6059" xr:uid="{00000000-0005-0000-0000-0000AC170000}"/>
    <cellStyle name="Финансовый 4 3 5 3 2" xfId="6060" xr:uid="{00000000-0005-0000-0000-0000AD170000}"/>
    <cellStyle name="Финансовый 4 3 5 3 2 2" xfId="6061" xr:uid="{00000000-0005-0000-0000-0000AE170000}"/>
    <cellStyle name="Финансовый 4 3 5 3 3" xfId="6062" xr:uid="{00000000-0005-0000-0000-0000AF170000}"/>
    <cellStyle name="Финансовый 4 3 5 4" xfId="6063" xr:uid="{00000000-0005-0000-0000-0000B0170000}"/>
    <cellStyle name="Финансовый 4 3 5 4 2" xfId="6064" xr:uid="{00000000-0005-0000-0000-0000B1170000}"/>
    <cellStyle name="Финансовый 4 3 5 5" xfId="6065" xr:uid="{00000000-0005-0000-0000-0000B2170000}"/>
    <cellStyle name="Финансовый 4 3 6" xfId="6066" xr:uid="{00000000-0005-0000-0000-0000B3170000}"/>
    <cellStyle name="Финансовый 4 3 6 2" xfId="6067" xr:uid="{00000000-0005-0000-0000-0000B4170000}"/>
    <cellStyle name="Финансовый 4 3 6 2 2" xfId="6068" xr:uid="{00000000-0005-0000-0000-0000B5170000}"/>
    <cellStyle name="Финансовый 4 3 6 2 2 2" xfId="6069" xr:uid="{00000000-0005-0000-0000-0000B6170000}"/>
    <cellStyle name="Финансовый 4 3 6 2 3" xfId="6070" xr:uid="{00000000-0005-0000-0000-0000B7170000}"/>
    <cellStyle name="Финансовый 4 3 6 3" xfId="6071" xr:uid="{00000000-0005-0000-0000-0000B8170000}"/>
    <cellStyle name="Финансовый 4 3 6 3 2" xfId="6072" xr:uid="{00000000-0005-0000-0000-0000B9170000}"/>
    <cellStyle name="Финансовый 4 3 6 4" xfId="6073" xr:uid="{00000000-0005-0000-0000-0000BA170000}"/>
    <cellStyle name="Финансовый 4 3 7" xfId="6074" xr:uid="{00000000-0005-0000-0000-0000BB170000}"/>
    <cellStyle name="Финансовый 4 3 7 2" xfId="6075" xr:uid="{00000000-0005-0000-0000-0000BC170000}"/>
    <cellStyle name="Финансовый 4 3 7 2 2" xfId="6076" xr:uid="{00000000-0005-0000-0000-0000BD170000}"/>
    <cellStyle name="Финансовый 4 3 7 3" xfId="6077" xr:uid="{00000000-0005-0000-0000-0000BE170000}"/>
    <cellStyle name="Финансовый 4 3 8" xfId="6078" xr:uid="{00000000-0005-0000-0000-0000BF170000}"/>
    <cellStyle name="Финансовый 4 3 8 2" xfId="6079" xr:uid="{00000000-0005-0000-0000-0000C0170000}"/>
    <cellStyle name="Финансовый 4 3 9" xfId="6080" xr:uid="{00000000-0005-0000-0000-0000C1170000}"/>
    <cellStyle name="Финансовый 4 4" xfId="6081" xr:uid="{00000000-0005-0000-0000-0000C2170000}"/>
    <cellStyle name="Финансовый 4 4 2" xfId="6082" xr:uid="{00000000-0005-0000-0000-0000C3170000}"/>
    <cellStyle name="Финансовый 4 4 2 2" xfId="6083" xr:uid="{00000000-0005-0000-0000-0000C4170000}"/>
    <cellStyle name="Финансовый 4 4 2 2 2" xfId="6084" xr:uid="{00000000-0005-0000-0000-0000C5170000}"/>
    <cellStyle name="Финансовый 4 4 2 2 2 2" xfId="6085" xr:uid="{00000000-0005-0000-0000-0000C6170000}"/>
    <cellStyle name="Финансовый 4 4 2 2 2 2 2" xfId="6086" xr:uid="{00000000-0005-0000-0000-0000C7170000}"/>
    <cellStyle name="Финансовый 4 4 2 2 2 2 2 2" xfId="6087" xr:uid="{00000000-0005-0000-0000-0000C8170000}"/>
    <cellStyle name="Финансовый 4 4 2 2 2 2 2 2 2" xfId="6088" xr:uid="{00000000-0005-0000-0000-0000C9170000}"/>
    <cellStyle name="Финансовый 4 4 2 2 2 2 2 3" xfId="6089" xr:uid="{00000000-0005-0000-0000-0000CA170000}"/>
    <cellStyle name="Финансовый 4 4 2 2 2 2 3" xfId="6090" xr:uid="{00000000-0005-0000-0000-0000CB170000}"/>
    <cellStyle name="Финансовый 4 4 2 2 2 2 3 2" xfId="6091" xr:uid="{00000000-0005-0000-0000-0000CC170000}"/>
    <cellStyle name="Финансовый 4 4 2 2 2 2 4" xfId="6092" xr:uid="{00000000-0005-0000-0000-0000CD170000}"/>
    <cellStyle name="Финансовый 4 4 2 2 2 3" xfId="6093" xr:uid="{00000000-0005-0000-0000-0000CE170000}"/>
    <cellStyle name="Финансовый 4 4 2 2 2 3 2" xfId="6094" xr:uid="{00000000-0005-0000-0000-0000CF170000}"/>
    <cellStyle name="Финансовый 4 4 2 2 2 3 2 2" xfId="6095" xr:uid="{00000000-0005-0000-0000-0000D0170000}"/>
    <cellStyle name="Финансовый 4 4 2 2 2 3 3" xfId="6096" xr:uid="{00000000-0005-0000-0000-0000D1170000}"/>
    <cellStyle name="Финансовый 4 4 2 2 2 4" xfId="6097" xr:uid="{00000000-0005-0000-0000-0000D2170000}"/>
    <cellStyle name="Финансовый 4 4 2 2 2 4 2" xfId="6098" xr:uid="{00000000-0005-0000-0000-0000D3170000}"/>
    <cellStyle name="Финансовый 4 4 2 2 2 5" xfId="6099" xr:uid="{00000000-0005-0000-0000-0000D4170000}"/>
    <cellStyle name="Финансовый 4 4 2 2 3" xfId="6100" xr:uid="{00000000-0005-0000-0000-0000D5170000}"/>
    <cellStyle name="Финансовый 4 4 2 2 3 2" xfId="6101" xr:uid="{00000000-0005-0000-0000-0000D6170000}"/>
    <cellStyle name="Финансовый 4 4 2 2 3 2 2" xfId="6102" xr:uid="{00000000-0005-0000-0000-0000D7170000}"/>
    <cellStyle name="Финансовый 4 4 2 2 3 2 2 2" xfId="6103" xr:uid="{00000000-0005-0000-0000-0000D8170000}"/>
    <cellStyle name="Финансовый 4 4 2 2 3 2 3" xfId="6104" xr:uid="{00000000-0005-0000-0000-0000D9170000}"/>
    <cellStyle name="Финансовый 4 4 2 2 3 3" xfId="6105" xr:uid="{00000000-0005-0000-0000-0000DA170000}"/>
    <cellStyle name="Финансовый 4 4 2 2 3 3 2" xfId="6106" xr:uid="{00000000-0005-0000-0000-0000DB170000}"/>
    <cellStyle name="Финансовый 4 4 2 2 3 4" xfId="6107" xr:uid="{00000000-0005-0000-0000-0000DC170000}"/>
    <cellStyle name="Финансовый 4 4 2 2 4" xfId="6108" xr:uid="{00000000-0005-0000-0000-0000DD170000}"/>
    <cellStyle name="Финансовый 4 4 2 2 4 2" xfId="6109" xr:uid="{00000000-0005-0000-0000-0000DE170000}"/>
    <cellStyle name="Финансовый 4 4 2 2 4 2 2" xfId="6110" xr:uid="{00000000-0005-0000-0000-0000DF170000}"/>
    <cellStyle name="Финансовый 4 4 2 2 4 3" xfId="6111" xr:uid="{00000000-0005-0000-0000-0000E0170000}"/>
    <cellStyle name="Финансовый 4 4 2 2 5" xfId="6112" xr:uid="{00000000-0005-0000-0000-0000E1170000}"/>
    <cellStyle name="Финансовый 4 4 2 2 5 2" xfId="6113" xr:uid="{00000000-0005-0000-0000-0000E2170000}"/>
    <cellStyle name="Финансовый 4 4 2 2 6" xfId="6114" xr:uid="{00000000-0005-0000-0000-0000E3170000}"/>
    <cellStyle name="Финансовый 4 4 2 3" xfId="6115" xr:uid="{00000000-0005-0000-0000-0000E4170000}"/>
    <cellStyle name="Финансовый 4 4 2 3 2" xfId="6116" xr:uid="{00000000-0005-0000-0000-0000E5170000}"/>
    <cellStyle name="Финансовый 4 4 2 3 2 2" xfId="6117" xr:uid="{00000000-0005-0000-0000-0000E6170000}"/>
    <cellStyle name="Финансовый 4 4 2 3 2 2 2" xfId="6118" xr:uid="{00000000-0005-0000-0000-0000E7170000}"/>
    <cellStyle name="Финансовый 4 4 2 3 2 2 2 2" xfId="6119" xr:uid="{00000000-0005-0000-0000-0000E8170000}"/>
    <cellStyle name="Финансовый 4 4 2 3 2 2 3" xfId="6120" xr:uid="{00000000-0005-0000-0000-0000E9170000}"/>
    <cellStyle name="Финансовый 4 4 2 3 2 3" xfId="6121" xr:uid="{00000000-0005-0000-0000-0000EA170000}"/>
    <cellStyle name="Финансовый 4 4 2 3 2 3 2" xfId="6122" xr:uid="{00000000-0005-0000-0000-0000EB170000}"/>
    <cellStyle name="Финансовый 4 4 2 3 2 4" xfId="6123" xr:uid="{00000000-0005-0000-0000-0000EC170000}"/>
    <cellStyle name="Финансовый 4 4 2 3 3" xfId="6124" xr:uid="{00000000-0005-0000-0000-0000ED170000}"/>
    <cellStyle name="Финансовый 4 4 2 3 3 2" xfId="6125" xr:uid="{00000000-0005-0000-0000-0000EE170000}"/>
    <cellStyle name="Финансовый 4 4 2 3 3 2 2" xfId="6126" xr:uid="{00000000-0005-0000-0000-0000EF170000}"/>
    <cellStyle name="Финансовый 4 4 2 3 3 3" xfId="6127" xr:uid="{00000000-0005-0000-0000-0000F0170000}"/>
    <cellStyle name="Финансовый 4 4 2 3 4" xfId="6128" xr:uid="{00000000-0005-0000-0000-0000F1170000}"/>
    <cellStyle name="Финансовый 4 4 2 3 4 2" xfId="6129" xr:uid="{00000000-0005-0000-0000-0000F2170000}"/>
    <cellStyle name="Финансовый 4 4 2 3 5" xfId="6130" xr:uid="{00000000-0005-0000-0000-0000F3170000}"/>
    <cellStyle name="Финансовый 4 4 2 4" xfId="6131" xr:uid="{00000000-0005-0000-0000-0000F4170000}"/>
    <cellStyle name="Финансовый 4 4 2 4 2" xfId="6132" xr:uid="{00000000-0005-0000-0000-0000F5170000}"/>
    <cellStyle name="Финансовый 4 4 2 4 2 2" xfId="6133" xr:uid="{00000000-0005-0000-0000-0000F6170000}"/>
    <cellStyle name="Финансовый 4 4 2 4 2 2 2" xfId="6134" xr:uid="{00000000-0005-0000-0000-0000F7170000}"/>
    <cellStyle name="Финансовый 4 4 2 4 2 3" xfId="6135" xr:uid="{00000000-0005-0000-0000-0000F8170000}"/>
    <cellStyle name="Финансовый 4 4 2 4 3" xfId="6136" xr:uid="{00000000-0005-0000-0000-0000F9170000}"/>
    <cellStyle name="Финансовый 4 4 2 4 3 2" xfId="6137" xr:uid="{00000000-0005-0000-0000-0000FA170000}"/>
    <cellStyle name="Финансовый 4 4 2 4 4" xfId="6138" xr:uid="{00000000-0005-0000-0000-0000FB170000}"/>
    <cellStyle name="Финансовый 4 4 2 5" xfId="6139" xr:uid="{00000000-0005-0000-0000-0000FC170000}"/>
    <cellStyle name="Финансовый 4 4 2 5 2" xfId="6140" xr:uid="{00000000-0005-0000-0000-0000FD170000}"/>
    <cellStyle name="Финансовый 4 4 2 5 2 2" xfId="6141" xr:uid="{00000000-0005-0000-0000-0000FE170000}"/>
    <cellStyle name="Финансовый 4 4 2 5 3" xfId="6142" xr:uid="{00000000-0005-0000-0000-0000FF170000}"/>
    <cellStyle name="Финансовый 4 4 2 6" xfId="6143" xr:uid="{00000000-0005-0000-0000-000000180000}"/>
    <cellStyle name="Финансовый 4 4 2 6 2" xfId="6144" xr:uid="{00000000-0005-0000-0000-000001180000}"/>
    <cellStyle name="Финансовый 4 4 2 7" xfId="6145" xr:uid="{00000000-0005-0000-0000-000002180000}"/>
    <cellStyle name="Финансовый 4 4 3" xfId="6146" xr:uid="{00000000-0005-0000-0000-000003180000}"/>
    <cellStyle name="Финансовый 4 4 3 2" xfId="6147" xr:uid="{00000000-0005-0000-0000-000004180000}"/>
    <cellStyle name="Финансовый 4 4 3 2 2" xfId="6148" xr:uid="{00000000-0005-0000-0000-000005180000}"/>
    <cellStyle name="Финансовый 4 4 3 2 2 2" xfId="6149" xr:uid="{00000000-0005-0000-0000-000006180000}"/>
    <cellStyle name="Финансовый 4 4 3 2 2 2 2" xfId="6150" xr:uid="{00000000-0005-0000-0000-000007180000}"/>
    <cellStyle name="Финансовый 4 4 3 2 2 2 2 2" xfId="6151" xr:uid="{00000000-0005-0000-0000-000008180000}"/>
    <cellStyle name="Финансовый 4 4 3 2 2 2 3" xfId="6152" xr:uid="{00000000-0005-0000-0000-000009180000}"/>
    <cellStyle name="Финансовый 4 4 3 2 2 3" xfId="6153" xr:uid="{00000000-0005-0000-0000-00000A180000}"/>
    <cellStyle name="Финансовый 4 4 3 2 2 3 2" xfId="6154" xr:uid="{00000000-0005-0000-0000-00000B180000}"/>
    <cellStyle name="Финансовый 4 4 3 2 2 4" xfId="6155" xr:uid="{00000000-0005-0000-0000-00000C180000}"/>
    <cellStyle name="Финансовый 4 4 3 2 3" xfId="6156" xr:uid="{00000000-0005-0000-0000-00000D180000}"/>
    <cellStyle name="Финансовый 4 4 3 2 3 2" xfId="6157" xr:uid="{00000000-0005-0000-0000-00000E180000}"/>
    <cellStyle name="Финансовый 4 4 3 2 3 2 2" xfId="6158" xr:uid="{00000000-0005-0000-0000-00000F180000}"/>
    <cellStyle name="Финансовый 4 4 3 2 3 3" xfId="6159" xr:uid="{00000000-0005-0000-0000-000010180000}"/>
    <cellStyle name="Финансовый 4 4 3 2 4" xfId="6160" xr:uid="{00000000-0005-0000-0000-000011180000}"/>
    <cellStyle name="Финансовый 4 4 3 2 4 2" xfId="6161" xr:uid="{00000000-0005-0000-0000-000012180000}"/>
    <cellStyle name="Финансовый 4 4 3 2 5" xfId="6162" xr:uid="{00000000-0005-0000-0000-000013180000}"/>
    <cellStyle name="Финансовый 4 4 3 3" xfId="6163" xr:uid="{00000000-0005-0000-0000-000014180000}"/>
    <cellStyle name="Финансовый 4 4 3 3 2" xfId="6164" xr:uid="{00000000-0005-0000-0000-000015180000}"/>
    <cellStyle name="Финансовый 4 4 3 3 2 2" xfId="6165" xr:uid="{00000000-0005-0000-0000-000016180000}"/>
    <cellStyle name="Финансовый 4 4 3 3 2 2 2" xfId="6166" xr:uid="{00000000-0005-0000-0000-000017180000}"/>
    <cellStyle name="Финансовый 4 4 3 3 2 3" xfId="6167" xr:uid="{00000000-0005-0000-0000-000018180000}"/>
    <cellStyle name="Финансовый 4 4 3 3 3" xfId="6168" xr:uid="{00000000-0005-0000-0000-000019180000}"/>
    <cellStyle name="Финансовый 4 4 3 3 3 2" xfId="6169" xr:uid="{00000000-0005-0000-0000-00001A180000}"/>
    <cellStyle name="Финансовый 4 4 3 3 4" xfId="6170" xr:uid="{00000000-0005-0000-0000-00001B180000}"/>
    <cellStyle name="Финансовый 4 4 3 4" xfId="6171" xr:uid="{00000000-0005-0000-0000-00001C180000}"/>
    <cellStyle name="Финансовый 4 4 3 4 2" xfId="6172" xr:uid="{00000000-0005-0000-0000-00001D180000}"/>
    <cellStyle name="Финансовый 4 4 3 4 2 2" xfId="6173" xr:uid="{00000000-0005-0000-0000-00001E180000}"/>
    <cellStyle name="Финансовый 4 4 3 4 3" xfId="6174" xr:uid="{00000000-0005-0000-0000-00001F180000}"/>
    <cellStyle name="Финансовый 4 4 3 5" xfId="6175" xr:uid="{00000000-0005-0000-0000-000020180000}"/>
    <cellStyle name="Финансовый 4 4 3 5 2" xfId="6176" xr:uid="{00000000-0005-0000-0000-000021180000}"/>
    <cellStyle name="Финансовый 4 4 3 6" xfId="6177" xr:uid="{00000000-0005-0000-0000-000022180000}"/>
    <cellStyle name="Финансовый 4 4 4" xfId="6178" xr:uid="{00000000-0005-0000-0000-000023180000}"/>
    <cellStyle name="Финансовый 4 4 4 2" xfId="6179" xr:uid="{00000000-0005-0000-0000-000024180000}"/>
    <cellStyle name="Финансовый 4 4 4 2 2" xfId="6180" xr:uid="{00000000-0005-0000-0000-000025180000}"/>
    <cellStyle name="Финансовый 4 4 4 2 2 2" xfId="6181" xr:uid="{00000000-0005-0000-0000-000026180000}"/>
    <cellStyle name="Финансовый 4 4 4 2 2 2 2" xfId="6182" xr:uid="{00000000-0005-0000-0000-000027180000}"/>
    <cellStyle name="Финансовый 4 4 4 2 2 3" xfId="6183" xr:uid="{00000000-0005-0000-0000-000028180000}"/>
    <cellStyle name="Финансовый 4 4 4 2 3" xfId="6184" xr:uid="{00000000-0005-0000-0000-000029180000}"/>
    <cellStyle name="Финансовый 4 4 4 2 3 2" xfId="6185" xr:uid="{00000000-0005-0000-0000-00002A180000}"/>
    <cellStyle name="Финансовый 4 4 4 2 4" xfId="6186" xr:uid="{00000000-0005-0000-0000-00002B180000}"/>
    <cellStyle name="Финансовый 4 4 4 3" xfId="6187" xr:uid="{00000000-0005-0000-0000-00002C180000}"/>
    <cellStyle name="Финансовый 4 4 4 3 2" xfId="6188" xr:uid="{00000000-0005-0000-0000-00002D180000}"/>
    <cellStyle name="Финансовый 4 4 4 3 2 2" xfId="6189" xr:uid="{00000000-0005-0000-0000-00002E180000}"/>
    <cellStyle name="Финансовый 4 4 4 3 3" xfId="6190" xr:uid="{00000000-0005-0000-0000-00002F180000}"/>
    <cellStyle name="Финансовый 4 4 4 4" xfId="6191" xr:uid="{00000000-0005-0000-0000-000030180000}"/>
    <cellStyle name="Финансовый 4 4 4 4 2" xfId="6192" xr:uid="{00000000-0005-0000-0000-000031180000}"/>
    <cellStyle name="Финансовый 4 4 4 5" xfId="6193" xr:uid="{00000000-0005-0000-0000-000032180000}"/>
    <cellStyle name="Финансовый 4 4 5" xfId="6194" xr:uid="{00000000-0005-0000-0000-000033180000}"/>
    <cellStyle name="Финансовый 4 4 5 2" xfId="6195" xr:uid="{00000000-0005-0000-0000-000034180000}"/>
    <cellStyle name="Финансовый 4 4 5 2 2" xfId="6196" xr:uid="{00000000-0005-0000-0000-000035180000}"/>
    <cellStyle name="Финансовый 4 4 5 2 2 2" xfId="6197" xr:uid="{00000000-0005-0000-0000-000036180000}"/>
    <cellStyle name="Финансовый 4 4 5 2 3" xfId="6198" xr:uid="{00000000-0005-0000-0000-000037180000}"/>
    <cellStyle name="Финансовый 4 4 5 3" xfId="6199" xr:uid="{00000000-0005-0000-0000-000038180000}"/>
    <cellStyle name="Финансовый 4 4 5 3 2" xfId="6200" xr:uid="{00000000-0005-0000-0000-000039180000}"/>
    <cellStyle name="Финансовый 4 4 5 4" xfId="6201" xr:uid="{00000000-0005-0000-0000-00003A180000}"/>
    <cellStyle name="Финансовый 4 4 6" xfId="6202" xr:uid="{00000000-0005-0000-0000-00003B180000}"/>
    <cellStyle name="Финансовый 4 4 6 2" xfId="6203" xr:uid="{00000000-0005-0000-0000-00003C180000}"/>
    <cellStyle name="Финансовый 4 4 6 2 2" xfId="6204" xr:uid="{00000000-0005-0000-0000-00003D180000}"/>
    <cellStyle name="Финансовый 4 4 6 3" xfId="6205" xr:uid="{00000000-0005-0000-0000-00003E180000}"/>
    <cellStyle name="Финансовый 4 4 7" xfId="6206" xr:uid="{00000000-0005-0000-0000-00003F180000}"/>
    <cellStyle name="Финансовый 4 4 7 2" xfId="6207" xr:uid="{00000000-0005-0000-0000-000040180000}"/>
    <cellStyle name="Финансовый 4 4 8" xfId="6208" xr:uid="{00000000-0005-0000-0000-000041180000}"/>
    <cellStyle name="Финансовый 4 5" xfId="6209" xr:uid="{00000000-0005-0000-0000-000042180000}"/>
    <cellStyle name="Финансовый 4 5 2" xfId="6210" xr:uid="{00000000-0005-0000-0000-000043180000}"/>
    <cellStyle name="Финансовый 4 5 2 2" xfId="6211" xr:uid="{00000000-0005-0000-0000-000044180000}"/>
    <cellStyle name="Финансовый 4 5 2 2 2" xfId="6212" xr:uid="{00000000-0005-0000-0000-000045180000}"/>
    <cellStyle name="Финансовый 4 5 2 2 2 2" xfId="6213" xr:uid="{00000000-0005-0000-0000-000046180000}"/>
    <cellStyle name="Финансовый 4 5 2 2 2 2 2" xfId="6214" xr:uid="{00000000-0005-0000-0000-000047180000}"/>
    <cellStyle name="Финансовый 4 5 2 2 2 2 2 2" xfId="6215" xr:uid="{00000000-0005-0000-0000-000048180000}"/>
    <cellStyle name="Финансовый 4 5 2 2 2 2 3" xfId="6216" xr:uid="{00000000-0005-0000-0000-000049180000}"/>
    <cellStyle name="Финансовый 4 5 2 2 2 3" xfId="6217" xr:uid="{00000000-0005-0000-0000-00004A180000}"/>
    <cellStyle name="Финансовый 4 5 2 2 2 3 2" xfId="6218" xr:uid="{00000000-0005-0000-0000-00004B180000}"/>
    <cellStyle name="Финансовый 4 5 2 2 2 4" xfId="6219" xr:uid="{00000000-0005-0000-0000-00004C180000}"/>
    <cellStyle name="Финансовый 4 5 2 2 3" xfId="6220" xr:uid="{00000000-0005-0000-0000-00004D180000}"/>
    <cellStyle name="Финансовый 4 5 2 2 3 2" xfId="6221" xr:uid="{00000000-0005-0000-0000-00004E180000}"/>
    <cellStyle name="Финансовый 4 5 2 2 3 2 2" xfId="6222" xr:uid="{00000000-0005-0000-0000-00004F180000}"/>
    <cellStyle name="Финансовый 4 5 2 2 3 3" xfId="6223" xr:uid="{00000000-0005-0000-0000-000050180000}"/>
    <cellStyle name="Финансовый 4 5 2 2 4" xfId="6224" xr:uid="{00000000-0005-0000-0000-000051180000}"/>
    <cellStyle name="Финансовый 4 5 2 2 4 2" xfId="6225" xr:uid="{00000000-0005-0000-0000-000052180000}"/>
    <cellStyle name="Финансовый 4 5 2 2 5" xfId="6226" xr:uid="{00000000-0005-0000-0000-000053180000}"/>
    <cellStyle name="Финансовый 4 5 2 3" xfId="6227" xr:uid="{00000000-0005-0000-0000-000054180000}"/>
    <cellStyle name="Финансовый 4 5 2 3 2" xfId="6228" xr:uid="{00000000-0005-0000-0000-000055180000}"/>
    <cellStyle name="Финансовый 4 5 2 3 2 2" xfId="6229" xr:uid="{00000000-0005-0000-0000-000056180000}"/>
    <cellStyle name="Финансовый 4 5 2 3 2 2 2" xfId="6230" xr:uid="{00000000-0005-0000-0000-000057180000}"/>
    <cellStyle name="Финансовый 4 5 2 3 2 3" xfId="6231" xr:uid="{00000000-0005-0000-0000-000058180000}"/>
    <cellStyle name="Финансовый 4 5 2 3 3" xfId="6232" xr:uid="{00000000-0005-0000-0000-000059180000}"/>
    <cellStyle name="Финансовый 4 5 2 3 3 2" xfId="6233" xr:uid="{00000000-0005-0000-0000-00005A180000}"/>
    <cellStyle name="Финансовый 4 5 2 3 4" xfId="6234" xr:uid="{00000000-0005-0000-0000-00005B180000}"/>
    <cellStyle name="Финансовый 4 5 2 4" xfId="6235" xr:uid="{00000000-0005-0000-0000-00005C180000}"/>
    <cellStyle name="Финансовый 4 5 2 4 2" xfId="6236" xr:uid="{00000000-0005-0000-0000-00005D180000}"/>
    <cellStyle name="Финансовый 4 5 2 4 2 2" xfId="6237" xr:uid="{00000000-0005-0000-0000-00005E180000}"/>
    <cellStyle name="Финансовый 4 5 2 4 3" xfId="6238" xr:uid="{00000000-0005-0000-0000-00005F180000}"/>
    <cellStyle name="Финансовый 4 5 2 5" xfId="6239" xr:uid="{00000000-0005-0000-0000-000060180000}"/>
    <cellStyle name="Финансовый 4 5 2 5 2" xfId="6240" xr:uid="{00000000-0005-0000-0000-000061180000}"/>
    <cellStyle name="Финансовый 4 5 2 6" xfId="6241" xr:uid="{00000000-0005-0000-0000-000062180000}"/>
    <cellStyle name="Финансовый 4 5 3" xfId="6242" xr:uid="{00000000-0005-0000-0000-000063180000}"/>
    <cellStyle name="Финансовый 4 5 3 2" xfId="6243" xr:uid="{00000000-0005-0000-0000-000064180000}"/>
    <cellStyle name="Финансовый 4 5 3 2 2" xfId="6244" xr:uid="{00000000-0005-0000-0000-000065180000}"/>
    <cellStyle name="Финансовый 4 5 3 2 2 2" xfId="6245" xr:uid="{00000000-0005-0000-0000-000066180000}"/>
    <cellStyle name="Финансовый 4 5 3 2 2 2 2" xfId="6246" xr:uid="{00000000-0005-0000-0000-000067180000}"/>
    <cellStyle name="Финансовый 4 5 3 2 2 3" xfId="6247" xr:uid="{00000000-0005-0000-0000-000068180000}"/>
    <cellStyle name="Финансовый 4 5 3 2 3" xfId="6248" xr:uid="{00000000-0005-0000-0000-000069180000}"/>
    <cellStyle name="Финансовый 4 5 3 2 3 2" xfId="6249" xr:uid="{00000000-0005-0000-0000-00006A180000}"/>
    <cellStyle name="Финансовый 4 5 3 2 4" xfId="6250" xr:uid="{00000000-0005-0000-0000-00006B180000}"/>
    <cellStyle name="Финансовый 4 5 3 3" xfId="6251" xr:uid="{00000000-0005-0000-0000-00006C180000}"/>
    <cellStyle name="Финансовый 4 5 3 3 2" xfId="6252" xr:uid="{00000000-0005-0000-0000-00006D180000}"/>
    <cellStyle name="Финансовый 4 5 3 3 2 2" xfId="6253" xr:uid="{00000000-0005-0000-0000-00006E180000}"/>
    <cellStyle name="Финансовый 4 5 3 3 3" xfId="6254" xr:uid="{00000000-0005-0000-0000-00006F180000}"/>
    <cellStyle name="Финансовый 4 5 3 4" xfId="6255" xr:uid="{00000000-0005-0000-0000-000070180000}"/>
    <cellStyle name="Финансовый 4 5 3 4 2" xfId="6256" xr:uid="{00000000-0005-0000-0000-000071180000}"/>
    <cellStyle name="Финансовый 4 5 3 5" xfId="6257" xr:uid="{00000000-0005-0000-0000-000072180000}"/>
    <cellStyle name="Финансовый 4 5 4" xfId="6258" xr:uid="{00000000-0005-0000-0000-000073180000}"/>
    <cellStyle name="Финансовый 4 5 4 2" xfId="6259" xr:uid="{00000000-0005-0000-0000-000074180000}"/>
    <cellStyle name="Финансовый 4 5 4 2 2" xfId="6260" xr:uid="{00000000-0005-0000-0000-000075180000}"/>
    <cellStyle name="Финансовый 4 5 4 2 2 2" xfId="6261" xr:uid="{00000000-0005-0000-0000-000076180000}"/>
    <cellStyle name="Финансовый 4 5 4 2 3" xfId="6262" xr:uid="{00000000-0005-0000-0000-000077180000}"/>
    <cellStyle name="Финансовый 4 5 4 3" xfId="6263" xr:uid="{00000000-0005-0000-0000-000078180000}"/>
    <cellStyle name="Финансовый 4 5 4 3 2" xfId="6264" xr:uid="{00000000-0005-0000-0000-000079180000}"/>
    <cellStyle name="Финансовый 4 5 4 4" xfId="6265" xr:uid="{00000000-0005-0000-0000-00007A180000}"/>
    <cellStyle name="Финансовый 4 5 5" xfId="6266" xr:uid="{00000000-0005-0000-0000-00007B180000}"/>
    <cellStyle name="Финансовый 4 5 5 2" xfId="6267" xr:uid="{00000000-0005-0000-0000-00007C180000}"/>
    <cellStyle name="Финансовый 4 5 5 2 2" xfId="6268" xr:uid="{00000000-0005-0000-0000-00007D180000}"/>
    <cellStyle name="Финансовый 4 5 5 3" xfId="6269" xr:uid="{00000000-0005-0000-0000-00007E180000}"/>
    <cellStyle name="Финансовый 4 5 6" xfId="6270" xr:uid="{00000000-0005-0000-0000-00007F180000}"/>
    <cellStyle name="Финансовый 4 5 6 2" xfId="6271" xr:uid="{00000000-0005-0000-0000-000080180000}"/>
    <cellStyle name="Финансовый 4 5 7" xfId="6272" xr:uid="{00000000-0005-0000-0000-000081180000}"/>
    <cellStyle name="Финансовый 4 6" xfId="6273" xr:uid="{00000000-0005-0000-0000-000082180000}"/>
    <cellStyle name="Финансовый 4 6 2" xfId="6274" xr:uid="{00000000-0005-0000-0000-000083180000}"/>
    <cellStyle name="Финансовый 4 6 2 2" xfId="6275" xr:uid="{00000000-0005-0000-0000-000084180000}"/>
    <cellStyle name="Финансовый 4 6 2 2 2" xfId="6276" xr:uid="{00000000-0005-0000-0000-000085180000}"/>
    <cellStyle name="Финансовый 4 6 2 2 2 2" xfId="6277" xr:uid="{00000000-0005-0000-0000-000086180000}"/>
    <cellStyle name="Финансовый 4 6 2 2 2 2 2" xfId="6278" xr:uid="{00000000-0005-0000-0000-000087180000}"/>
    <cellStyle name="Финансовый 4 6 2 2 2 3" xfId="6279" xr:uid="{00000000-0005-0000-0000-000088180000}"/>
    <cellStyle name="Финансовый 4 6 2 2 3" xfId="6280" xr:uid="{00000000-0005-0000-0000-000089180000}"/>
    <cellStyle name="Финансовый 4 6 2 2 3 2" xfId="6281" xr:uid="{00000000-0005-0000-0000-00008A180000}"/>
    <cellStyle name="Финансовый 4 6 2 2 4" xfId="6282" xr:uid="{00000000-0005-0000-0000-00008B180000}"/>
    <cellStyle name="Финансовый 4 6 2 3" xfId="6283" xr:uid="{00000000-0005-0000-0000-00008C180000}"/>
    <cellStyle name="Финансовый 4 6 2 3 2" xfId="6284" xr:uid="{00000000-0005-0000-0000-00008D180000}"/>
    <cellStyle name="Финансовый 4 6 2 3 2 2" xfId="6285" xr:uid="{00000000-0005-0000-0000-00008E180000}"/>
    <cellStyle name="Финансовый 4 6 2 3 3" xfId="6286" xr:uid="{00000000-0005-0000-0000-00008F180000}"/>
    <cellStyle name="Финансовый 4 6 2 4" xfId="6287" xr:uid="{00000000-0005-0000-0000-000090180000}"/>
    <cellStyle name="Финансовый 4 6 2 4 2" xfId="6288" xr:uid="{00000000-0005-0000-0000-000091180000}"/>
    <cellStyle name="Финансовый 4 6 2 5" xfId="6289" xr:uid="{00000000-0005-0000-0000-000092180000}"/>
    <cellStyle name="Финансовый 4 6 3" xfId="6290" xr:uid="{00000000-0005-0000-0000-000093180000}"/>
    <cellStyle name="Финансовый 4 6 3 2" xfId="6291" xr:uid="{00000000-0005-0000-0000-000094180000}"/>
    <cellStyle name="Финансовый 4 6 3 2 2" xfId="6292" xr:uid="{00000000-0005-0000-0000-000095180000}"/>
    <cellStyle name="Финансовый 4 6 3 2 2 2" xfId="6293" xr:uid="{00000000-0005-0000-0000-000096180000}"/>
    <cellStyle name="Финансовый 4 6 3 2 3" xfId="6294" xr:uid="{00000000-0005-0000-0000-000097180000}"/>
    <cellStyle name="Финансовый 4 6 3 3" xfId="6295" xr:uid="{00000000-0005-0000-0000-000098180000}"/>
    <cellStyle name="Финансовый 4 6 3 3 2" xfId="6296" xr:uid="{00000000-0005-0000-0000-000099180000}"/>
    <cellStyle name="Финансовый 4 6 3 4" xfId="6297" xr:uid="{00000000-0005-0000-0000-00009A180000}"/>
    <cellStyle name="Финансовый 4 6 4" xfId="6298" xr:uid="{00000000-0005-0000-0000-00009B180000}"/>
    <cellStyle name="Финансовый 4 6 4 2" xfId="6299" xr:uid="{00000000-0005-0000-0000-00009C180000}"/>
    <cellStyle name="Финансовый 4 6 4 2 2" xfId="6300" xr:uid="{00000000-0005-0000-0000-00009D180000}"/>
    <cellStyle name="Финансовый 4 6 4 3" xfId="6301" xr:uid="{00000000-0005-0000-0000-00009E180000}"/>
    <cellStyle name="Финансовый 4 6 5" xfId="6302" xr:uid="{00000000-0005-0000-0000-00009F180000}"/>
    <cellStyle name="Финансовый 4 6 5 2" xfId="6303" xr:uid="{00000000-0005-0000-0000-0000A0180000}"/>
    <cellStyle name="Финансовый 4 6 6" xfId="6304" xr:uid="{00000000-0005-0000-0000-0000A1180000}"/>
    <cellStyle name="Финансовый 4 7" xfId="6305" xr:uid="{00000000-0005-0000-0000-0000A2180000}"/>
    <cellStyle name="Финансовый 4 7 2" xfId="6306" xr:uid="{00000000-0005-0000-0000-0000A3180000}"/>
    <cellStyle name="Финансовый 4 7 2 2" xfId="6307" xr:uid="{00000000-0005-0000-0000-0000A4180000}"/>
    <cellStyle name="Финансовый 4 7 2 2 2" xfId="6308" xr:uid="{00000000-0005-0000-0000-0000A5180000}"/>
    <cellStyle name="Финансовый 4 7 2 2 2 2" xfId="6309" xr:uid="{00000000-0005-0000-0000-0000A6180000}"/>
    <cellStyle name="Финансовый 4 7 2 2 3" xfId="6310" xr:uid="{00000000-0005-0000-0000-0000A7180000}"/>
    <cellStyle name="Финансовый 4 7 2 3" xfId="6311" xr:uid="{00000000-0005-0000-0000-0000A8180000}"/>
    <cellStyle name="Финансовый 4 7 2 3 2" xfId="6312" xr:uid="{00000000-0005-0000-0000-0000A9180000}"/>
    <cellStyle name="Финансовый 4 7 2 4" xfId="6313" xr:uid="{00000000-0005-0000-0000-0000AA180000}"/>
    <cellStyle name="Финансовый 4 7 3" xfId="6314" xr:uid="{00000000-0005-0000-0000-0000AB180000}"/>
    <cellStyle name="Финансовый 4 7 3 2" xfId="6315" xr:uid="{00000000-0005-0000-0000-0000AC180000}"/>
    <cellStyle name="Финансовый 4 7 3 2 2" xfId="6316" xr:uid="{00000000-0005-0000-0000-0000AD180000}"/>
    <cellStyle name="Финансовый 4 7 3 3" xfId="6317" xr:uid="{00000000-0005-0000-0000-0000AE180000}"/>
    <cellStyle name="Финансовый 4 7 4" xfId="6318" xr:uid="{00000000-0005-0000-0000-0000AF180000}"/>
    <cellStyle name="Финансовый 4 7 4 2" xfId="6319" xr:uid="{00000000-0005-0000-0000-0000B0180000}"/>
    <cellStyle name="Финансовый 4 7 5" xfId="6320" xr:uid="{00000000-0005-0000-0000-0000B1180000}"/>
    <cellStyle name="Финансовый 4 8" xfId="6321" xr:uid="{00000000-0005-0000-0000-0000B2180000}"/>
    <cellStyle name="Финансовый 4 8 2" xfId="6322" xr:uid="{00000000-0005-0000-0000-0000B3180000}"/>
    <cellStyle name="Финансовый 4 8 2 2" xfId="6323" xr:uid="{00000000-0005-0000-0000-0000B4180000}"/>
    <cellStyle name="Финансовый 4 8 2 2 2" xfId="6324" xr:uid="{00000000-0005-0000-0000-0000B5180000}"/>
    <cellStyle name="Финансовый 4 8 2 3" xfId="6325" xr:uid="{00000000-0005-0000-0000-0000B6180000}"/>
    <cellStyle name="Финансовый 4 8 3" xfId="6326" xr:uid="{00000000-0005-0000-0000-0000B7180000}"/>
    <cellStyle name="Финансовый 4 8 3 2" xfId="6327" xr:uid="{00000000-0005-0000-0000-0000B8180000}"/>
    <cellStyle name="Финансовый 4 8 4" xfId="6328" xr:uid="{00000000-0005-0000-0000-0000B9180000}"/>
    <cellStyle name="Финансовый 4 9" xfId="6329" xr:uid="{00000000-0005-0000-0000-0000BA180000}"/>
    <cellStyle name="Финансовый 4 9 2" xfId="6330" xr:uid="{00000000-0005-0000-0000-0000BB180000}"/>
    <cellStyle name="Финансовый 4 9 2 2" xfId="6331" xr:uid="{00000000-0005-0000-0000-0000BC180000}"/>
    <cellStyle name="Финансовый 4 9 3" xfId="6332" xr:uid="{00000000-0005-0000-0000-0000BD180000}"/>
    <cellStyle name="Финансовый 5" xfId="6333" xr:uid="{00000000-0005-0000-0000-0000BE180000}"/>
    <cellStyle name="Финансовый 5 10" xfId="6334" xr:uid="{00000000-0005-0000-0000-0000BF180000}"/>
    <cellStyle name="Финансовый 5 10 2" xfId="6335" xr:uid="{00000000-0005-0000-0000-0000C0180000}"/>
    <cellStyle name="Финансовый 5 11" xfId="6336" xr:uid="{00000000-0005-0000-0000-0000C1180000}"/>
    <cellStyle name="Финансовый 5 2" xfId="6337" xr:uid="{00000000-0005-0000-0000-0000C2180000}"/>
    <cellStyle name="Финансовый 5 2 10" xfId="6338" xr:uid="{00000000-0005-0000-0000-0000C3180000}"/>
    <cellStyle name="Финансовый 5 2 2" xfId="6339" xr:uid="{00000000-0005-0000-0000-0000C4180000}"/>
    <cellStyle name="Финансовый 5 2 2 2" xfId="6340" xr:uid="{00000000-0005-0000-0000-0000C5180000}"/>
    <cellStyle name="Финансовый 5 2 2 2 2" xfId="6341" xr:uid="{00000000-0005-0000-0000-0000C6180000}"/>
    <cellStyle name="Финансовый 5 2 2 2 2 2" xfId="6342" xr:uid="{00000000-0005-0000-0000-0000C7180000}"/>
    <cellStyle name="Финансовый 5 2 2 2 2 2 2" xfId="6343" xr:uid="{00000000-0005-0000-0000-0000C8180000}"/>
    <cellStyle name="Финансовый 5 2 2 2 2 2 2 2" xfId="6344" xr:uid="{00000000-0005-0000-0000-0000C9180000}"/>
    <cellStyle name="Финансовый 5 2 2 2 2 2 2 2 2" xfId="6345" xr:uid="{00000000-0005-0000-0000-0000CA180000}"/>
    <cellStyle name="Финансовый 5 2 2 2 2 2 2 2 2 2" xfId="6346" xr:uid="{00000000-0005-0000-0000-0000CB180000}"/>
    <cellStyle name="Финансовый 5 2 2 2 2 2 2 2 2 2 2" xfId="6347" xr:uid="{00000000-0005-0000-0000-0000CC180000}"/>
    <cellStyle name="Финансовый 5 2 2 2 2 2 2 2 2 3" xfId="6348" xr:uid="{00000000-0005-0000-0000-0000CD180000}"/>
    <cellStyle name="Финансовый 5 2 2 2 2 2 2 2 3" xfId="6349" xr:uid="{00000000-0005-0000-0000-0000CE180000}"/>
    <cellStyle name="Финансовый 5 2 2 2 2 2 2 2 3 2" xfId="6350" xr:uid="{00000000-0005-0000-0000-0000CF180000}"/>
    <cellStyle name="Финансовый 5 2 2 2 2 2 2 2 4" xfId="6351" xr:uid="{00000000-0005-0000-0000-0000D0180000}"/>
    <cellStyle name="Финансовый 5 2 2 2 2 2 2 3" xfId="6352" xr:uid="{00000000-0005-0000-0000-0000D1180000}"/>
    <cellStyle name="Финансовый 5 2 2 2 2 2 2 3 2" xfId="6353" xr:uid="{00000000-0005-0000-0000-0000D2180000}"/>
    <cellStyle name="Финансовый 5 2 2 2 2 2 2 3 2 2" xfId="6354" xr:uid="{00000000-0005-0000-0000-0000D3180000}"/>
    <cellStyle name="Финансовый 5 2 2 2 2 2 2 3 3" xfId="6355" xr:uid="{00000000-0005-0000-0000-0000D4180000}"/>
    <cellStyle name="Финансовый 5 2 2 2 2 2 2 4" xfId="6356" xr:uid="{00000000-0005-0000-0000-0000D5180000}"/>
    <cellStyle name="Финансовый 5 2 2 2 2 2 2 4 2" xfId="6357" xr:uid="{00000000-0005-0000-0000-0000D6180000}"/>
    <cellStyle name="Финансовый 5 2 2 2 2 2 2 5" xfId="6358" xr:uid="{00000000-0005-0000-0000-0000D7180000}"/>
    <cellStyle name="Финансовый 5 2 2 2 2 2 3" xfId="6359" xr:uid="{00000000-0005-0000-0000-0000D8180000}"/>
    <cellStyle name="Финансовый 5 2 2 2 2 2 3 2" xfId="6360" xr:uid="{00000000-0005-0000-0000-0000D9180000}"/>
    <cellStyle name="Финансовый 5 2 2 2 2 2 3 2 2" xfId="6361" xr:uid="{00000000-0005-0000-0000-0000DA180000}"/>
    <cellStyle name="Финансовый 5 2 2 2 2 2 3 2 2 2" xfId="6362" xr:uid="{00000000-0005-0000-0000-0000DB180000}"/>
    <cellStyle name="Финансовый 5 2 2 2 2 2 3 2 3" xfId="6363" xr:uid="{00000000-0005-0000-0000-0000DC180000}"/>
    <cellStyle name="Финансовый 5 2 2 2 2 2 3 3" xfId="6364" xr:uid="{00000000-0005-0000-0000-0000DD180000}"/>
    <cellStyle name="Финансовый 5 2 2 2 2 2 3 3 2" xfId="6365" xr:uid="{00000000-0005-0000-0000-0000DE180000}"/>
    <cellStyle name="Финансовый 5 2 2 2 2 2 3 4" xfId="6366" xr:uid="{00000000-0005-0000-0000-0000DF180000}"/>
    <cellStyle name="Финансовый 5 2 2 2 2 2 4" xfId="6367" xr:uid="{00000000-0005-0000-0000-0000E0180000}"/>
    <cellStyle name="Финансовый 5 2 2 2 2 2 4 2" xfId="6368" xr:uid="{00000000-0005-0000-0000-0000E1180000}"/>
    <cellStyle name="Финансовый 5 2 2 2 2 2 4 2 2" xfId="6369" xr:uid="{00000000-0005-0000-0000-0000E2180000}"/>
    <cellStyle name="Финансовый 5 2 2 2 2 2 4 3" xfId="6370" xr:uid="{00000000-0005-0000-0000-0000E3180000}"/>
    <cellStyle name="Финансовый 5 2 2 2 2 2 5" xfId="6371" xr:uid="{00000000-0005-0000-0000-0000E4180000}"/>
    <cellStyle name="Финансовый 5 2 2 2 2 2 5 2" xfId="6372" xr:uid="{00000000-0005-0000-0000-0000E5180000}"/>
    <cellStyle name="Финансовый 5 2 2 2 2 2 6" xfId="6373" xr:uid="{00000000-0005-0000-0000-0000E6180000}"/>
    <cellStyle name="Финансовый 5 2 2 2 2 3" xfId="6374" xr:uid="{00000000-0005-0000-0000-0000E7180000}"/>
    <cellStyle name="Финансовый 5 2 2 2 2 3 2" xfId="6375" xr:uid="{00000000-0005-0000-0000-0000E8180000}"/>
    <cellStyle name="Финансовый 5 2 2 2 2 3 2 2" xfId="6376" xr:uid="{00000000-0005-0000-0000-0000E9180000}"/>
    <cellStyle name="Финансовый 5 2 2 2 2 3 2 2 2" xfId="6377" xr:uid="{00000000-0005-0000-0000-0000EA180000}"/>
    <cellStyle name="Финансовый 5 2 2 2 2 3 2 2 2 2" xfId="6378" xr:uid="{00000000-0005-0000-0000-0000EB180000}"/>
    <cellStyle name="Финансовый 5 2 2 2 2 3 2 2 3" xfId="6379" xr:uid="{00000000-0005-0000-0000-0000EC180000}"/>
    <cellStyle name="Финансовый 5 2 2 2 2 3 2 3" xfId="6380" xr:uid="{00000000-0005-0000-0000-0000ED180000}"/>
    <cellStyle name="Финансовый 5 2 2 2 2 3 2 3 2" xfId="6381" xr:uid="{00000000-0005-0000-0000-0000EE180000}"/>
    <cellStyle name="Финансовый 5 2 2 2 2 3 2 4" xfId="6382" xr:uid="{00000000-0005-0000-0000-0000EF180000}"/>
    <cellStyle name="Финансовый 5 2 2 2 2 3 3" xfId="6383" xr:uid="{00000000-0005-0000-0000-0000F0180000}"/>
    <cellStyle name="Финансовый 5 2 2 2 2 3 3 2" xfId="6384" xr:uid="{00000000-0005-0000-0000-0000F1180000}"/>
    <cellStyle name="Финансовый 5 2 2 2 2 3 3 2 2" xfId="6385" xr:uid="{00000000-0005-0000-0000-0000F2180000}"/>
    <cellStyle name="Финансовый 5 2 2 2 2 3 3 3" xfId="6386" xr:uid="{00000000-0005-0000-0000-0000F3180000}"/>
    <cellStyle name="Финансовый 5 2 2 2 2 3 4" xfId="6387" xr:uid="{00000000-0005-0000-0000-0000F4180000}"/>
    <cellStyle name="Финансовый 5 2 2 2 2 3 4 2" xfId="6388" xr:uid="{00000000-0005-0000-0000-0000F5180000}"/>
    <cellStyle name="Финансовый 5 2 2 2 2 3 5" xfId="6389" xr:uid="{00000000-0005-0000-0000-0000F6180000}"/>
    <cellStyle name="Финансовый 5 2 2 2 2 4" xfId="6390" xr:uid="{00000000-0005-0000-0000-0000F7180000}"/>
    <cellStyle name="Финансовый 5 2 2 2 2 4 2" xfId="6391" xr:uid="{00000000-0005-0000-0000-0000F8180000}"/>
    <cellStyle name="Финансовый 5 2 2 2 2 4 2 2" xfId="6392" xr:uid="{00000000-0005-0000-0000-0000F9180000}"/>
    <cellStyle name="Финансовый 5 2 2 2 2 4 2 2 2" xfId="6393" xr:uid="{00000000-0005-0000-0000-0000FA180000}"/>
    <cellStyle name="Финансовый 5 2 2 2 2 4 2 3" xfId="6394" xr:uid="{00000000-0005-0000-0000-0000FB180000}"/>
    <cellStyle name="Финансовый 5 2 2 2 2 4 3" xfId="6395" xr:uid="{00000000-0005-0000-0000-0000FC180000}"/>
    <cellStyle name="Финансовый 5 2 2 2 2 4 3 2" xfId="6396" xr:uid="{00000000-0005-0000-0000-0000FD180000}"/>
    <cellStyle name="Финансовый 5 2 2 2 2 4 4" xfId="6397" xr:uid="{00000000-0005-0000-0000-0000FE180000}"/>
    <cellStyle name="Финансовый 5 2 2 2 2 5" xfId="6398" xr:uid="{00000000-0005-0000-0000-0000FF180000}"/>
    <cellStyle name="Финансовый 5 2 2 2 2 5 2" xfId="6399" xr:uid="{00000000-0005-0000-0000-000000190000}"/>
    <cellStyle name="Финансовый 5 2 2 2 2 5 2 2" xfId="6400" xr:uid="{00000000-0005-0000-0000-000001190000}"/>
    <cellStyle name="Финансовый 5 2 2 2 2 5 3" xfId="6401" xr:uid="{00000000-0005-0000-0000-000002190000}"/>
    <cellStyle name="Финансовый 5 2 2 2 2 6" xfId="6402" xr:uid="{00000000-0005-0000-0000-000003190000}"/>
    <cellStyle name="Финансовый 5 2 2 2 2 6 2" xfId="6403" xr:uid="{00000000-0005-0000-0000-000004190000}"/>
    <cellStyle name="Финансовый 5 2 2 2 2 7" xfId="6404" xr:uid="{00000000-0005-0000-0000-000005190000}"/>
    <cellStyle name="Финансовый 5 2 2 2 3" xfId="6405" xr:uid="{00000000-0005-0000-0000-000006190000}"/>
    <cellStyle name="Финансовый 5 2 2 2 3 2" xfId="6406" xr:uid="{00000000-0005-0000-0000-000007190000}"/>
    <cellStyle name="Финансовый 5 2 2 2 3 2 2" xfId="6407" xr:uid="{00000000-0005-0000-0000-000008190000}"/>
    <cellStyle name="Финансовый 5 2 2 2 3 2 2 2" xfId="6408" xr:uid="{00000000-0005-0000-0000-000009190000}"/>
    <cellStyle name="Финансовый 5 2 2 2 3 2 2 2 2" xfId="6409" xr:uid="{00000000-0005-0000-0000-00000A190000}"/>
    <cellStyle name="Финансовый 5 2 2 2 3 2 2 2 2 2" xfId="6410" xr:uid="{00000000-0005-0000-0000-00000B190000}"/>
    <cellStyle name="Финансовый 5 2 2 2 3 2 2 2 3" xfId="6411" xr:uid="{00000000-0005-0000-0000-00000C190000}"/>
    <cellStyle name="Финансовый 5 2 2 2 3 2 2 3" xfId="6412" xr:uid="{00000000-0005-0000-0000-00000D190000}"/>
    <cellStyle name="Финансовый 5 2 2 2 3 2 2 3 2" xfId="6413" xr:uid="{00000000-0005-0000-0000-00000E190000}"/>
    <cellStyle name="Финансовый 5 2 2 2 3 2 2 4" xfId="6414" xr:uid="{00000000-0005-0000-0000-00000F190000}"/>
    <cellStyle name="Финансовый 5 2 2 2 3 2 3" xfId="6415" xr:uid="{00000000-0005-0000-0000-000010190000}"/>
    <cellStyle name="Финансовый 5 2 2 2 3 2 3 2" xfId="6416" xr:uid="{00000000-0005-0000-0000-000011190000}"/>
    <cellStyle name="Финансовый 5 2 2 2 3 2 3 2 2" xfId="6417" xr:uid="{00000000-0005-0000-0000-000012190000}"/>
    <cellStyle name="Финансовый 5 2 2 2 3 2 3 3" xfId="6418" xr:uid="{00000000-0005-0000-0000-000013190000}"/>
    <cellStyle name="Финансовый 5 2 2 2 3 2 4" xfId="6419" xr:uid="{00000000-0005-0000-0000-000014190000}"/>
    <cellStyle name="Финансовый 5 2 2 2 3 2 4 2" xfId="6420" xr:uid="{00000000-0005-0000-0000-000015190000}"/>
    <cellStyle name="Финансовый 5 2 2 2 3 2 5" xfId="6421" xr:uid="{00000000-0005-0000-0000-000016190000}"/>
    <cellStyle name="Финансовый 5 2 2 2 3 3" xfId="6422" xr:uid="{00000000-0005-0000-0000-000017190000}"/>
    <cellStyle name="Финансовый 5 2 2 2 3 3 2" xfId="6423" xr:uid="{00000000-0005-0000-0000-000018190000}"/>
    <cellStyle name="Финансовый 5 2 2 2 3 3 2 2" xfId="6424" xr:uid="{00000000-0005-0000-0000-000019190000}"/>
    <cellStyle name="Финансовый 5 2 2 2 3 3 2 2 2" xfId="6425" xr:uid="{00000000-0005-0000-0000-00001A190000}"/>
    <cellStyle name="Финансовый 5 2 2 2 3 3 2 3" xfId="6426" xr:uid="{00000000-0005-0000-0000-00001B190000}"/>
    <cellStyle name="Финансовый 5 2 2 2 3 3 3" xfId="6427" xr:uid="{00000000-0005-0000-0000-00001C190000}"/>
    <cellStyle name="Финансовый 5 2 2 2 3 3 3 2" xfId="6428" xr:uid="{00000000-0005-0000-0000-00001D190000}"/>
    <cellStyle name="Финансовый 5 2 2 2 3 3 4" xfId="6429" xr:uid="{00000000-0005-0000-0000-00001E190000}"/>
    <cellStyle name="Финансовый 5 2 2 2 3 4" xfId="6430" xr:uid="{00000000-0005-0000-0000-00001F190000}"/>
    <cellStyle name="Финансовый 5 2 2 2 3 4 2" xfId="6431" xr:uid="{00000000-0005-0000-0000-000020190000}"/>
    <cellStyle name="Финансовый 5 2 2 2 3 4 2 2" xfId="6432" xr:uid="{00000000-0005-0000-0000-000021190000}"/>
    <cellStyle name="Финансовый 5 2 2 2 3 4 3" xfId="6433" xr:uid="{00000000-0005-0000-0000-000022190000}"/>
    <cellStyle name="Финансовый 5 2 2 2 3 5" xfId="6434" xr:uid="{00000000-0005-0000-0000-000023190000}"/>
    <cellStyle name="Финансовый 5 2 2 2 3 5 2" xfId="6435" xr:uid="{00000000-0005-0000-0000-000024190000}"/>
    <cellStyle name="Финансовый 5 2 2 2 3 6" xfId="6436" xr:uid="{00000000-0005-0000-0000-000025190000}"/>
    <cellStyle name="Финансовый 5 2 2 2 4" xfId="6437" xr:uid="{00000000-0005-0000-0000-000026190000}"/>
    <cellStyle name="Финансовый 5 2 2 2 4 2" xfId="6438" xr:uid="{00000000-0005-0000-0000-000027190000}"/>
    <cellStyle name="Финансовый 5 2 2 2 4 2 2" xfId="6439" xr:uid="{00000000-0005-0000-0000-000028190000}"/>
    <cellStyle name="Финансовый 5 2 2 2 4 2 2 2" xfId="6440" xr:uid="{00000000-0005-0000-0000-000029190000}"/>
    <cellStyle name="Финансовый 5 2 2 2 4 2 2 2 2" xfId="6441" xr:uid="{00000000-0005-0000-0000-00002A190000}"/>
    <cellStyle name="Финансовый 5 2 2 2 4 2 2 3" xfId="6442" xr:uid="{00000000-0005-0000-0000-00002B190000}"/>
    <cellStyle name="Финансовый 5 2 2 2 4 2 3" xfId="6443" xr:uid="{00000000-0005-0000-0000-00002C190000}"/>
    <cellStyle name="Финансовый 5 2 2 2 4 2 3 2" xfId="6444" xr:uid="{00000000-0005-0000-0000-00002D190000}"/>
    <cellStyle name="Финансовый 5 2 2 2 4 2 4" xfId="6445" xr:uid="{00000000-0005-0000-0000-00002E190000}"/>
    <cellStyle name="Финансовый 5 2 2 2 4 3" xfId="6446" xr:uid="{00000000-0005-0000-0000-00002F190000}"/>
    <cellStyle name="Финансовый 5 2 2 2 4 3 2" xfId="6447" xr:uid="{00000000-0005-0000-0000-000030190000}"/>
    <cellStyle name="Финансовый 5 2 2 2 4 3 2 2" xfId="6448" xr:uid="{00000000-0005-0000-0000-000031190000}"/>
    <cellStyle name="Финансовый 5 2 2 2 4 3 3" xfId="6449" xr:uid="{00000000-0005-0000-0000-000032190000}"/>
    <cellStyle name="Финансовый 5 2 2 2 4 4" xfId="6450" xr:uid="{00000000-0005-0000-0000-000033190000}"/>
    <cellStyle name="Финансовый 5 2 2 2 4 4 2" xfId="6451" xr:uid="{00000000-0005-0000-0000-000034190000}"/>
    <cellStyle name="Финансовый 5 2 2 2 4 5" xfId="6452" xr:uid="{00000000-0005-0000-0000-000035190000}"/>
    <cellStyle name="Финансовый 5 2 2 2 5" xfId="6453" xr:uid="{00000000-0005-0000-0000-000036190000}"/>
    <cellStyle name="Финансовый 5 2 2 2 5 2" xfId="6454" xr:uid="{00000000-0005-0000-0000-000037190000}"/>
    <cellStyle name="Финансовый 5 2 2 2 5 2 2" xfId="6455" xr:uid="{00000000-0005-0000-0000-000038190000}"/>
    <cellStyle name="Финансовый 5 2 2 2 5 2 2 2" xfId="6456" xr:uid="{00000000-0005-0000-0000-000039190000}"/>
    <cellStyle name="Финансовый 5 2 2 2 5 2 3" xfId="6457" xr:uid="{00000000-0005-0000-0000-00003A190000}"/>
    <cellStyle name="Финансовый 5 2 2 2 5 3" xfId="6458" xr:uid="{00000000-0005-0000-0000-00003B190000}"/>
    <cellStyle name="Финансовый 5 2 2 2 5 3 2" xfId="6459" xr:uid="{00000000-0005-0000-0000-00003C190000}"/>
    <cellStyle name="Финансовый 5 2 2 2 5 4" xfId="6460" xr:uid="{00000000-0005-0000-0000-00003D190000}"/>
    <cellStyle name="Финансовый 5 2 2 2 6" xfId="6461" xr:uid="{00000000-0005-0000-0000-00003E190000}"/>
    <cellStyle name="Финансовый 5 2 2 2 6 2" xfId="6462" xr:uid="{00000000-0005-0000-0000-00003F190000}"/>
    <cellStyle name="Финансовый 5 2 2 2 6 2 2" xfId="6463" xr:uid="{00000000-0005-0000-0000-000040190000}"/>
    <cellStyle name="Финансовый 5 2 2 2 6 3" xfId="6464" xr:uid="{00000000-0005-0000-0000-000041190000}"/>
    <cellStyle name="Финансовый 5 2 2 2 7" xfId="6465" xr:uid="{00000000-0005-0000-0000-000042190000}"/>
    <cellStyle name="Финансовый 5 2 2 2 7 2" xfId="6466" xr:uid="{00000000-0005-0000-0000-000043190000}"/>
    <cellStyle name="Финансовый 5 2 2 2 8" xfId="6467" xr:uid="{00000000-0005-0000-0000-000044190000}"/>
    <cellStyle name="Финансовый 5 2 2 3" xfId="6468" xr:uid="{00000000-0005-0000-0000-000045190000}"/>
    <cellStyle name="Финансовый 5 2 2 3 2" xfId="6469" xr:uid="{00000000-0005-0000-0000-000046190000}"/>
    <cellStyle name="Финансовый 5 2 2 3 2 2" xfId="6470" xr:uid="{00000000-0005-0000-0000-000047190000}"/>
    <cellStyle name="Финансовый 5 2 2 3 2 2 2" xfId="6471" xr:uid="{00000000-0005-0000-0000-000048190000}"/>
    <cellStyle name="Финансовый 5 2 2 3 2 2 2 2" xfId="6472" xr:uid="{00000000-0005-0000-0000-000049190000}"/>
    <cellStyle name="Финансовый 5 2 2 3 2 2 2 2 2" xfId="6473" xr:uid="{00000000-0005-0000-0000-00004A190000}"/>
    <cellStyle name="Финансовый 5 2 2 3 2 2 2 2 2 2" xfId="6474" xr:uid="{00000000-0005-0000-0000-00004B190000}"/>
    <cellStyle name="Финансовый 5 2 2 3 2 2 2 2 3" xfId="6475" xr:uid="{00000000-0005-0000-0000-00004C190000}"/>
    <cellStyle name="Финансовый 5 2 2 3 2 2 2 3" xfId="6476" xr:uid="{00000000-0005-0000-0000-00004D190000}"/>
    <cellStyle name="Финансовый 5 2 2 3 2 2 2 3 2" xfId="6477" xr:uid="{00000000-0005-0000-0000-00004E190000}"/>
    <cellStyle name="Финансовый 5 2 2 3 2 2 2 4" xfId="6478" xr:uid="{00000000-0005-0000-0000-00004F190000}"/>
    <cellStyle name="Финансовый 5 2 2 3 2 2 3" xfId="6479" xr:uid="{00000000-0005-0000-0000-000050190000}"/>
    <cellStyle name="Финансовый 5 2 2 3 2 2 3 2" xfId="6480" xr:uid="{00000000-0005-0000-0000-000051190000}"/>
    <cellStyle name="Финансовый 5 2 2 3 2 2 3 2 2" xfId="6481" xr:uid="{00000000-0005-0000-0000-000052190000}"/>
    <cellStyle name="Финансовый 5 2 2 3 2 2 3 3" xfId="6482" xr:uid="{00000000-0005-0000-0000-000053190000}"/>
    <cellStyle name="Финансовый 5 2 2 3 2 2 4" xfId="6483" xr:uid="{00000000-0005-0000-0000-000054190000}"/>
    <cellStyle name="Финансовый 5 2 2 3 2 2 4 2" xfId="6484" xr:uid="{00000000-0005-0000-0000-000055190000}"/>
    <cellStyle name="Финансовый 5 2 2 3 2 2 5" xfId="6485" xr:uid="{00000000-0005-0000-0000-000056190000}"/>
    <cellStyle name="Финансовый 5 2 2 3 2 3" xfId="6486" xr:uid="{00000000-0005-0000-0000-000057190000}"/>
    <cellStyle name="Финансовый 5 2 2 3 2 3 2" xfId="6487" xr:uid="{00000000-0005-0000-0000-000058190000}"/>
    <cellStyle name="Финансовый 5 2 2 3 2 3 2 2" xfId="6488" xr:uid="{00000000-0005-0000-0000-000059190000}"/>
    <cellStyle name="Финансовый 5 2 2 3 2 3 2 2 2" xfId="6489" xr:uid="{00000000-0005-0000-0000-00005A190000}"/>
    <cellStyle name="Финансовый 5 2 2 3 2 3 2 3" xfId="6490" xr:uid="{00000000-0005-0000-0000-00005B190000}"/>
    <cellStyle name="Финансовый 5 2 2 3 2 3 3" xfId="6491" xr:uid="{00000000-0005-0000-0000-00005C190000}"/>
    <cellStyle name="Финансовый 5 2 2 3 2 3 3 2" xfId="6492" xr:uid="{00000000-0005-0000-0000-00005D190000}"/>
    <cellStyle name="Финансовый 5 2 2 3 2 3 4" xfId="6493" xr:uid="{00000000-0005-0000-0000-00005E190000}"/>
    <cellStyle name="Финансовый 5 2 2 3 2 4" xfId="6494" xr:uid="{00000000-0005-0000-0000-00005F190000}"/>
    <cellStyle name="Финансовый 5 2 2 3 2 4 2" xfId="6495" xr:uid="{00000000-0005-0000-0000-000060190000}"/>
    <cellStyle name="Финансовый 5 2 2 3 2 4 2 2" xfId="6496" xr:uid="{00000000-0005-0000-0000-000061190000}"/>
    <cellStyle name="Финансовый 5 2 2 3 2 4 3" xfId="6497" xr:uid="{00000000-0005-0000-0000-000062190000}"/>
    <cellStyle name="Финансовый 5 2 2 3 2 5" xfId="6498" xr:uid="{00000000-0005-0000-0000-000063190000}"/>
    <cellStyle name="Финансовый 5 2 2 3 2 5 2" xfId="6499" xr:uid="{00000000-0005-0000-0000-000064190000}"/>
    <cellStyle name="Финансовый 5 2 2 3 2 6" xfId="6500" xr:uid="{00000000-0005-0000-0000-000065190000}"/>
    <cellStyle name="Финансовый 5 2 2 3 3" xfId="6501" xr:uid="{00000000-0005-0000-0000-000066190000}"/>
    <cellStyle name="Финансовый 5 2 2 3 3 2" xfId="6502" xr:uid="{00000000-0005-0000-0000-000067190000}"/>
    <cellStyle name="Финансовый 5 2 2 3 3 2 2" xfId="6503" xr:uid="{00000000-0005-0000-0000-000068190000}"/>
    <cellStyle name="Финансовый 5 2 2 3 3 2 2 2" xfId="6504" xr:uid="{00000000-0005-0000-0000-000069190000}"/>
    <cellStyle name="Финансовый 5 2 2 3 3 2 2 2 2" xfId="6505" xr:uid="{00000000-0005-0000-0000-00006A190000}"/>
    <cellStyle name="Финансовый 5 2 2 3 3 2 2 3" xfId="6506" xr:uid="{00000000-0005-0000-0000-00006B190000}"/>
    <cellStyle name="Финансовый 5 2 2 3 3 2 3" xfId="6507" xr:uid="{00000000-0005-0000-0000-00006C190000}"/>
    <cellStyle name="Финансовый 5 2 2 3 3 2 3 2" xfId="6508" xr:uid="{00000000-0005-0000-0000-00006D190000}"/>
    <cellStyle name="Финансовый 5 2 2 3 3 2 4" xfId="6509" xr:uid="{00000000-0005-0000-0000-00006E190000}"/>
    <cellStyle name="Финансовый 5 2 2 3 3 3" xfId="6510" xr:uid="{00000000-0005-0000-0000-00006F190000}"/>
    <cellStyle name="Финансовый 5 2 2 3 3 3 2" xfId="6511" xr:uid="{00000000-0005-0000-0000-000070190000}"/>
    <cellStyle name="Финансовый 5 2 2 3 3 3 2 2" xfId="6512" xr:uid="{00000000-0005-0000-0000-000071190000}"/>
    <cellStyle name="Финансовый 5 2 2 3 3 3 3" xfId="6513" xr:uid="{00000000-0005-0000-0000-000072190000}"/>
    <cellStyle name="Финансовый 5 2 2 3 3 4" xfId="6514" xr:uid="{00000000-0005-0000-0000-000073190000}"/>
    <cellStyle name="Финансовый 5 2 2 3 3 4 2" xfId="6515" xr:uid="{00000000-0005-0000-0000-000074190000}"/>
    <cellStyle name="Финансовый 5 2 2 3 3 5" xfId="6516" xr:uid="{00000000-0005-0000-0000-000075190000}"/>
    <cellStyle name="Финансовый 5 2 2 3 4" xfId="6517" xr:uid="{00000000-0005-0000-0000-000076190000}"/>
    <cellStyle name="Финансовый 5 2 2 3 4 2" xfId="6518" xr:uid="{00000000-0005-0000-0000-000077190000}"/>
    <cellStyle name="Финансовый 5 2 2 3 4 2 2" xfId="6519" xr:uid="{00000000-0005-0000-0000-000078190000}"/>
    <cellStyle name="Финансовый 5 2 2 3 4 2 2 2" xfId="6520" xr:uid="{00000000-0005-0000-0000-000079190000}"/>
    <cellStyle name="Финансовый 5 2 2 3 4 2 3" xfId="6521" xr:uid="{00000000-0005-0000-0000-00007A190000}"/>
    <cellStyle name="Финансовый 5 2 2 3 4 3" xfId="6522" xr:uid="{00000000-0005-0000-0000-00007B190000}"/>
    <cellStyle name="Финансовый 5 2 2 3 4 3 2" xfId="6523" xr:uid="{00000000-0005-0000-0000-00007C190000}"/>
    <cellStyle name="Финансовый 5 2 2 3 4 4" xfId="6524" xr:uid="{00000000-0005-0000-0000-00007D190000}"/>
    <cellStyle name="Финансовый 5 2 2 3 5" xfId="6525" xr:uid="{00000000-0005-0000-0000-00007E190000}"/>
    <cellStyle name="Финансовый 5 2 2 3 5 2" xfId="6526" xr:uid="{00000000-0005-0000-0000-00007F190000}"/>
    <cellStyle name="Финансовый 5 2 2 3 5 2 2" xfId="6527" xr:uid="{00000000-0005-0000-0000-000080190000}"/>
    <cellStyle name="Финансовый 5 2 2 3 5 3" xfId="6528" xr:uid="{00000000-0005-0000-0000-000081190000}"/>
    <cellStyle name="Финансовый 5 2 2 3 6" xfId="6529" xr:uid="{00000000-0005-0000-0000-000082190000}"/>
    <cellStyle name="Финансовый 5 2 2 3 6 2" xfId="6530" xr:uid="{00000000-0005-0000-0000-000083190000}"/>
    <cellStyle name="Финансовый 5 2 2 3 7" xfId="6531" xr:uid="{00000000-0005-0000-0000-000084190000}"/>
    <cellStyle name="Финансовый 5 2 2 4" xfId="6532" xr:uid="{00000000-0005-0000-0000-000085190000}"/>
    <cellStyle name="Финансовый 5 2 2 4 2" xfId="6533" xr:uid="{00000000-0005-0000-0000-000086190000}"/>
    <cellStyle name="Финансовый 5 2 2 4 2 2" xfId="6534" xr:uid="{00000000-0005-0000-0000-000087190000}"/>
    <cellStyle name="Финансовый 5 2 2 4 2 2 2" xfId="6535" xr:uid="{00000000-0005-0000-0000-000088190000}"/>
    <cellStyle name="Финансовый 5 2 2 4 2 2 2 2" xfId="6536" xr:uid="{00000000-0005-0000-0000-000089190000}"/>
    <cellStyle name="Финансовый 5 2 2 4 2 2 2 2 2" xfId="6537" xr:uid="{00000000-0005-0000-0000-00008A190000}"/>
    <cellStyle name="Финансовый 5 2 2 4 2 2 2 3" xfId="6538" xr:uid="{00000000-0005-0000-0000-00008B190000}"/>
    <cellStyle name="Финансовый 5 2 2 4 2 2 3" xfId="6539" xr:uid="{00000000-0005-0000-0000-00008C190000}"/>
    <cellStyle name="Финансовый 5 2 2 4 2 2 3 2" xfId="6540" xr:uid="{00000000-0005-0000-0000-00008D190000}"/>
    <cellStyle name="Финансовый 5 2 2 4 2 2 4" xfId="6541" xr:uid="{00000000-0005-0000-0000-00008E190000}"/>
    <cellStyle name="Финансовый 5 2 2 4 2 3" xfId="6542" xr:uid="{00000000-0005-0000-0000-00008F190000}"/>
    <cellStyle name="Финансовый 5 2 2 4 2 3 2" xfId="6543" xr:uid="{00000000-0005-0000-0000-000090190000}"/>
    <cellStyle name="Финансовый 5 2 2 4 2 3 2 2" xfId="6544" xr:uid="{00000000-0005-0000-0000-000091190000}"/>
    <cellStyle name="Финансовый 5 2 2 4 2 3 3" xfId="6545" xr:uid="{00000000-0005-0000-0000-000092190000}"/>
    <cellStyle name="Финансовый 5 2 2 4 2 4" xfId="6546" xr:uid="{00000000-0005-0000-0000-000093190000}"/>
    <cellStyle name="Финансовый 5 2 2 4 2 4 2" xfId="6547" xr:uid="{00000000-0005-0000-0000-000094190000}"/>
    <cellStyle name="Финансовый 5 2 2 4 2 5" xfId="6548" xr:uid="{00000000-0005-0000-0000-000095190000}"/>
    <cellStyle name="Финансовый 5 2 2 4 3" xfId="6549" xr:uid="{00000000-0005-0000-0000-000096190000}"/>
    <cellStyle name="Финансовый 5 2 2 4 3 2" xfId="6550" xr:uid="{00000000-0005-0000-0000-000097190000}"/>
    <cellStyle name="Финансовый 5 2 2 4 3 2 2" xfId="6551" xr:uid="{00000000-0005-0000-0000-000098190000}"/>
    <cellStyle name="Финансовый 5 2 2 4 3 2 2 2" xfId="6552" xr:uid="{00000000-0005-0000-0000-000099190000}"/>
    <cellStyle name="Финансовый 5 2 2 4 3 2 3" xfId="6553" xr:uid="{00000000-0005-0000-0000-00009A190000}"/>
    <cellStyle name="Финансовый 5 2 2 4 3 3" xfId="6554" xr:uid="{00000000-0005-0000-0000-00009B190000}"/>
    <cellStyle name="Финансовый 5 2 2 4 3 3 2" xfId="6555" xr:uid="{00000000-0005-0000-0000-00009C190000}"/>
    <cellStyle name="Финансовый 5 2 2 4 3 4" xfId="6556" xr:uid="{00000000-0005-0000-0000-00009D190000}"/>
    <cellStyle name="Финансовый 5 2 2 4 4" xfId="6557" xr:uid="{00000000-0005-0000-0000-00009E190000}"/>
    <cellStyle name="Финансовый 5 2 2 4 4 2" xfId="6558" xr:uid="{00000000-0005-0000-0000-00009F190000}"/>
    <cellStyle name="Финансовый 5 2 2 4 4 2 2" xfId="6559" xr:uid="{00000000-0005-0000-0000-0000A0190000}"/>
    <cellStyle name="Финансовый 5 2 2 4 4 3" xfId="6560" xr:uid="{00000000-0005-0000-0000-0000A1190000}"/>
    <cellStyle name="Финансовый 5 2 2 4 5" xfId="6561" xr:uid="{00000000-0005-0000-0000-0000A2190000}"/>
    <cellStyle name="Финансовый 5 2 2 4 5 2" xfId="6562" xr:uid="{00000000-0005-0000-0000-0000A3190000}"/>
    <cellStyle name="Финансовый 5 2 2 4 6" xfId="6563" xr:uid="{00000000-0005-0000-0000-0000A4190000}"/>
    <cellStyle name="Финансовый 5 2 2 5" xfId="6564" xr:uid="{00000000-0005-0000-0000-0000A5190000}"/>
    <cellStyle name="Финансовый 5 2 2 5 2" xfId="6565" xr:uid="{00000000-0005-0000-0000-0000A6190000}"/>
    <cellStyle name="Финансовый 5 2 2 5 2 2" xfId="6566" xr:uid="{00000000-0005-0000-0000-0000A7190000}"/>
    <cellStyle name="Финансовый 5 2 2 5 2 2 2" xfId="6567" xr:uid="{00000000-0005-0000-0000-0000A8190000}"/>
    <cellStyle name="Финансовый 5 2 2 5 2 2 2 2" xfId="6568" xr:uid="{00000000-0005-0000-0000-0000A9190000}"/>
    <cellStyle name="Финансовый 5 2 2 5 2 2 3" xfId="6569" xr:uid="{00000000-0005-0000-0000-0000AA190000}"/>
    <cellStyle name="Финансовый 5 2 2 5 2 3" xfId="6570" xr:uid="{00000000-0005-0000-0000-0000AB190000}"/>
    <cellStyle name="Финансовый 5 2 2 5 2 3 2" xfId="6571" xr:uid="{00000000-0005-0000-0000-0000AC190000}"/>
    <cellStyle name="Финансовый 5 2 2 5 2 4" xfId="6572" xr:uid="{00000000-0005-0000-0000-0000AD190000}"/>
    <cellStyle name="Финансовый 5 2 2 5 3" xfId="6573" xr:uid="{00000000-0005-0000-0000-0000AE190000}"/>
    <cellStyle name="Финансовый 5 2 2 5 3 2" xfId="6574" xr:uid="{00000000-0005-0000-0000-0000AF190000}"/>
    <cellStyle name="Финансовый 5 2 2 5 3 2 2" xfId="6575" xr:uid="{00000000-0005-0000-0000-0000B0190000}"/>
    <cellStyle name="Финансовый 5 2 2 5 3 3" xfId="6576" xr:uid="{00000000-0005-0000-0000-0000B1190000}"/>
    <cellStyle name="Финансовый 5 2 2 5 4" xfId="6577" xr:uid="{00000000-0005-0000-0000-0000B2190000}"/>
    <cellStyle name="Финансовый 5 2 2 5 4 2" xfId="6578" xr:uid="{00000000-0005-0000-0000-0000B3190000}"/>
    <cellStyle name="Финансовый 5 2 2 5 5" xfId="6579" xr:uid="{00000000-0005-0000-0000-0000B4190000}"/>
    <cellStyle name="Финансовый 5 2 2 6" xfId="6580" xr:uid="{00000000-0005-0000-0000-0000B5190000}"/>
    <cellStyle name="Финансовый 5 2 2 6 2" xfId="6581" xr:uid="{00000000-0005-0000-0000-0000B6190000}"/>
    <cellStyle name="Финансовый 5 2 2 6 2 2" xfId="6582" xr:uid="{00000000-0005-0000-0000-0000B7190000}"/>
    <cellStyle name="Финансовый 5 2 2 6 2 2 2" xfId="6583" xr:uid="{00000000-0005-0000-0000-0000B8190000}"/>
    <cellStyle name="Финансовый 5 2 2 6 2 3" xfId="6584" xr:uid="{00000000-0005-0000-0000-0000B9190000}"/>
    <cellStyle name="Финансовый 5 2 2 6 3" xfId="6585" xr:uid="{00000000-0005-0000-0000-0000BA190000}"/>
    <cellStyle name="Финансовый 5 2 2 6 3 2" xfId="6586" xr:uid="{00000000-0005-0000-0000-0000BB190000}"/>
    <cellStyle name="Финансовый 5 2 2 6 4" xfId="6587" xr:uid="{00000000-0005-0000-0000-0000BC190000}"/>
    <cellStyle name="Финансовый 5 2 2 7" xfId="6588" xr:uid="{00000000-0005-0000-0000-0000BD190000}"/>
    <cellStyle name="Финансовый 5 2 2 7 2" xfId="6589" xr:uid="{00000000-0005-0000-0000-0000BE190000}"/>
    <cellStyle name="Финансовый 5 2 2 7 2 2" xfId="6590" xr:uid="{00000000-0005-0000-0000-0000BF190000}"/>
    <cellStyle name="Финансовый 5 2 2 7 3" xfId="6591" xr:uid="{00000000-0005-0000-0000-0000C0190000}"/>
    <cellStyle name="Финансовый 5 2 2 8" xfId="6592" xr:uid="{00000000-0005-0000-0000-0000C1190000}"/>
    <cellStyle name="Финансовый 5 2 2 8 2" xfId="6593" xr:uid="{00000000-0005-0000-0000-0000C2190000}"/>
    <cellStyle name="Финансовый 5 2 2 9" xfId="6594" xr:uid="{00000000-0005-0000-0000-0000C3190000}"/>
    <cellStyle name="Финансовый 5 2 3" xfId="6595" xr:uid="{00000000-0005-0000-0000-0000C4190000}"/>
    <cellStyle name="Финансовый 5 2 3 2" xfId="6596" xr:uid="{00000000-0005-0000-0000-0000C5190000}"/>
    <cellStyle name="Финансовый 5 2 3 2 2" xfId="6597" xr:uid="{00000000-0005-0000-0000-0000C6190000}"/>
    <cellStyle name="Финансовый 5 2 3 2 2 2" xfId="6598" xr:uid="{00000000-0005-0000-0000-0000C7190000}"/>
    <cellStyle name="Финансовый 5 2 3 2 2 2 2" xfId="6599" xr:uid="{00000000-0005-0000-0000-0000C8190000}"/>
    <cellStyle name="Финансовый 5 2 3 2 2 2 2 2" xfId="6600" xr:uid="{00000000-0005-0000-0000-0000C9190000}"/>
    <cellStyle name="Финансовый 5 2 3 2 2 2 2 2 2" xfId="6601" xr:uid="{00000000-0005-0000-0000-0000CA190000}"/>
    <cellStyle name="Финансовый 5 2 3 2 2 2 2 2 2 2" xfId="6602" xr:uid="{00000000-0005-0000-0000-0000CB190000}"/>
    <cellStyle name="Финансовый 5 2 3 2 2 2 2 2 3" xfId="6603" xr:uid="{00000000-0005-0000-0000-0000CC190000}"/>
    <cellStyle name="Финансовый 5 2 3 2 2 2 2 3" xfId="6604" xr:uid="{00000000-0005-0000-0000-0000CD190000}"/>
    <cellStyle name="Финансовый 5 2 3 2 2 2 2 3 2" xfId="6605" xr:uid="{00000000-0005-0000-0000-0000CE190000}"/>
    <cellStyle name="Финансовый 5 2 3 2 2 2 2 4" xfId="6606" xr:uid="{00000000-0005-0000-0000-0000CF190000}"/>
    <cellStyle name="Финансовый 5 2 3 2 2 2 3" xfId="6607" xr:uid="{00000000-0005-0000-0000-0000D0190000}"/>
    <cellStyle name="Финансовый 5 2 3 2 2 2 3 2" xfId="6608" xr:uid="{00000000-0005-0000-0000-0000D1190000}"/>
    <cellStyle name="Финансовый 5 2 3 2 2 2 3 2 2" xfId="6609" xr:uid="{00000000-0005-0000-0000-0000D2190000}"/>
    <cellStyle name="Финансовый 5 2 3 2 2 2 3 3" xfId="6610" xr:uid="{00000000-0005-0000-0000-0000D3190000}"/>
    <cellStyle name="Финансовый 5 2 3 2 2 2 4" xfId="6611" xr:uid="{00000000-0005-0000-0000-0000D4190000}"/>
    <cellStyle name="Финансовый 5 2 3 2 2 2 4 2" xfId="6612" xr:uid="{00000000-0005-0000-0000-0000D5190000}"/>
    <cellStyle name="Финансовый 5 2 3 2 2 2 5" xfId="6613" xr:uid="{00000000-0005-0000-0000-0000D6190000}"/>
    <cellStyle name="Финансовый 5 2 3 2 2 3" xfId="6614" xr:uid="{00000000-0005-0000-0000-0000D7190000}"/>
    <cellStyle name="Финансовый 5 2 3 2 2 3 2" xfId="6615" xr:uid="{00000000-0005-0000-0000-0000D8190000}"/>
    <cellStyle name="Финансовый 5 2 3 2 2 3 2 2" xfId="6616" xr:uid="{00000000-0005-0000-0000-0000D9190000}"/>
    <cellStyle name="Финансовый 5 2 3 2 2 3 2 2 2" xfId="6617" xr:uid="{00000000-0005-0000-0000-0000DA190000}"/>
    <cellStyle name="Финансовый 5 2 3 2 2 3 2 3" xfId="6618" xr:uid="{00000000-0005-0000-0000-0000DB190000}"/>
    <cellStyle name="Финансовый 5 2 3 2 2 3 3" xfId="6619" xr:uid="{00000000-0005-0000-0000-0000DC190000}"/>
    <cellStyle name="Финансовый 5 2 3 2 2 3 3 2" xfId="6620" xr:uid="{00000000-0005-0000-0000-0000DD190000}"/>
    <cellStyle name="Финансовый 5 2 3 2 2 3 4" xfId="6621" xr:uid="{00000000-0005-0000-0000-0000DE190000}"/>
    <cellStyle name="Финансовый 5 2 3 2 2 4" xfId="6622" xr:uid="{00000000-0005-0000-0000-0000DF190000}"/>
    <cellStyle name="Финансовый 5 2 3 2 2 4 2" xfId="6623" xr:uid="{00000000-0005-0000-0000-0000E0190000}"/>
    <cellStyle name="Финансовый 5 2 3 2 2 4 2 2" xfId="6624" xr:uid="{00000000-0005-0000-0000-0000E1190000}"/>
    <cellStyle name="Финансовый 5 2 3 2 2 4 3" xfId="6625" xr:uid="{00000000-0005-0000-0000-0000E2190000}"/>
    <cellStyle name="Финансовый 5 2 3 2 2 5" xfId="6626" xr:uid="{00000000-0005-0000-0000-0000E3190000}"/>
    <cellStyle name="Финансовый 5 2 3 2 2 5 2" xfId="6627" xr:uid="{00000000-0005-0000-0000-0000E4190000}"/>
    <cellStyle name="Финансовый 5 2 3 2 2 6" xfId="6628" xr:uid="{00000000-0005-0000-0000-0000E5190000}"/>
    <cellStyle name="Финансовый 5 2 3 2 3" xfId="6629" xr:uid="{00000000-0005-0000-0000-0000E6190000}"/>
    <cellStyle name="Финансовый 5 2 3 2 3 2" xfId="6630" xr:uid="{00000000-0005-0000-0000-0000E7190000}"/>
    <cellStyle name="Финансовый 5 2 3 2 3 2 2" xfId="6631" xr:uid="{00000000-0005-0000-0000-0000E8190000}"/>
    <cellStyle name="Финансовый 5 2 3 2 3 2 2 2" xfId="6632" xr:uid="{00000000-0005-0000-0000-0000E9190000}"/>
    <cellStyle name="Финансовый 5 2 3 2 3 2 2 2 2" xfId="6633" xr:uid="{00000000-0005-0000-0000-0000EA190000}"/>
    <cellStyle name="Финансовый 5 2 3 2 3 2 2 3" xfId="6634" xr:uid="{00000000-0005-0000-0000-0000EB190000}"/>
    <cellStyle name="Финансовый 5 2 3 2 3 2 3" xfId="6635" xr:uid="{00000000-0005-0000-0000-0000EC190000}"/>
    <cellStyle name="Финансовый 5 2 3 2 3 2 3 2" xfId="6636" xr:uid="{00000000-0005-0000-0000-0000ED190000}"/>
    <cellStyle name="Финансовый 5 2 3 2 3 2 4" xfId="6637" xr:uid="{00000000-0005-0000-0000-0000EE190000}"/>
    <cellStyle name="Финансовый 5 2 3 2 3 3" xfId="6638" xr:uid="{00000000-0005-0000-0000-0000EF190000}"/>
    <cellStyle name="Финансовый 5 2 3 2 3 3 2" xfId="6639" xr:uid="{00000000-0005-0000-0000-0000F0190000}"/>
    <cellStyle name="Финансовый 5 2 3 2 3 3 2 2" xfId="6640" xr:uid="{00000000-0005-0000-0000-0000F1190000}"/>
    <cellStyle name="Финансовый 5 2 3 2 3 3 3" xfId="6641" xr:uid="{00000000-0005-0000-0000-0000F2190000}"/>
    <cellStyle name="Финансовый 5 2 3 2 3 4" xfId="6642" xr:uid="{00000000-0005-0000-0000-0000F3190000}"/>
    <cellStyle name="Финансовый 5 2 3 2 3 4 2" xfId="6643" xr:uid="{00000000-0005-0000-0000-0000F4190000}"/>
    <cellStyle name="Финансовый 5 2 3 2 3 5" xfId="6644" xr:uid="{00000000-0005-0000-0000-0000F5190000}"/>
    <cellStyle name="Финансовый 5 2 3 2 4" xfId="6645" xr:uid="{00000000-0005-0000-0000-0000F6190000}"/>
    <cellStyle name="Финансовый 5 2 3 2 4 2" xfId="6646" xr:uid="{00000000-0005-0000-0000-0000F7190000}"/>
    <cellStyle name="Финансовый 5 2 3 2 4 2 2" xfId="6647" xr:uid="{00000000-0005-0000-0000-0000F8190000}"/>
    <cellStyle name="Финансовый 5 2 3 2 4 2 2 2" xfId="6648" xr:uid="{00000000-0005-0000-0000-0000F9190000}"/>
    <cellStyle name="Финансовый 5 2 3 2 4 2 3" xfId="6649" xr:uid="{00000000-0005-0000-0000-0000FA190000}"/>
    <cellStyle name="Финансовый 5 2 3 2 4 3" xfId="6650" xr:uid="{00000000-0005-0000-0000-0000FB190000}"/>
    <cellStyle name="Финансовый 5 2 3 2 4 3 2" xfId="6651" xr:uid="{00000000-0005-0000-0000-0000FC190000}"/>
    <cellStyle name="Финансовый 5 2 3 2 4 4" xfId="6652" xr:uid="{00000000-0005-0000-0000-0000FD190000}"/>
    <cellStyle name="Финансовый 5 2 3 2 5" xfId="6653" xr:uid="{00000000-0005-0000-0000-0000FE190000}"/>
    <cellStyle name="Финансовый 5 2 3 2 5 2" xfId="6654" xr:uid="{00000000-0005-0000-0000-0000FF190000}"/>
    <cellStyle name="Финансовый 5 2 3 2 5 2 2" xfId="6655" xr:uid="{00000000-0005-0000-0000-0000001A0000}"/>
    <cellStyle name="Финансовый 5 2 3 2 5 3" xfId="6656" xr:uid="{00000000-0005-0000-0000-0000011A0000}"/>
    <cellStyle name="Финансовый 5 2 3 2 6" xfId="6657" xr:uid="{00000000-0005-0000-0000-0000021A0000}"/>
    <cellStyle name="Финансовый 5 2 3 2 6 2" xfId="6658" xr:uid="{00000000-0005-0000-0000-0000031A0000}"/>
    <cellStyle name="Финансовый 5 2 3 2 7" xfId="6659" xr:uid="{00000000-0005-0000-0000-0000041A0000}"/>
    <cellStyle name="Финансовый 5 2 3 3" xfId="6660" xr:uid="{00000000-0005-0000-0000-0000051A0000}"/>
    <cellStyle name="Финансовый 5 2 3 3 2" xfId="6661" xr:uid="{00000000-0005-0000-0000-0000061A0000}"/>
    <cellStyle name="Финансовый 5 2 3 3 2 2" xfId="6662" xr:uid="{00000000-0005-0000-0000-0000071A0000}"/>
    <cellStyle name="Финансовый 5 2 3 3 2 2 2" xfId="6663" xr:uid="{00000000-0005-0000-0000-0000081A0000}"/>
    <cellStyle name="Финансовый 5 2 3 3 2 2 2 2" xfId="6664" xr:uid="{00000000-0005-0000-0000-0000091A0000}"/>
    <cellStyle name="Финансовый 5 2 3 3 2 2 2 2 2" xfId="6665" xr:uid="{00000000-0005-0000-0000-00000A1A0000}"/>
    <cellStyle name="Финансовый 5 2 3 3 2 2 2 3" xfId="6666" xr:uid="{00000000-0005-0000-0000-00000B1A0000}"/>
    <cellStyle name="Финансовый 5 2 3 3 2 2 3" xfId="6667" xr:uid="{00000000-0005-0000-0000-00000C1A0000}"/>
    <cellStyle name="Финансовый 5 2 3 3 2 2 3 2" xfId="6668" xr:uid="{00000000-0005-0000-0000-00000D1A0000}"/>
    <cellStyle name="Финансовый 5 2 3 3 2 2 4" xfId="6669" xr:uid="{00000000-0005-0000-0000-00000E1A0000}"/>
    <cellStyle name="Финансовый 5 2 3 3 2 3" xfId="6670" xr:uid="{00000000-0005-0000-0000-00000F1A0000}"/>
    <cellStyle name="Финансовый 5 2 3 3 2 3 2" xfId="6671" xr:uid="{00000000-0005-0000-0000-0000101A0000}"/>
    <cellStyle name="Финансовый 5 2 3 3 2 3 2 2" xfId="6672" xr:uid="{00000000-0005-0000-0000-0000111A0000}"/>
    <cellStyle name="Финансовый 5 2 3 3 2 3 3" xfId="6673" xr:uid="{00000000-0005-0000-0000-0000121A0000}"/>
    <cellStyle name="Финансовый 5 2 3 3 2 4" xfId="6674" xr:uid="{00000000-0005-0000-0000-0000131A0000}"/>
    <cellStyle name="Финансовый 5 2 3 3 2 4 2" xfId="6675" xr:uid="{00000000-0005-0000-0000-0000141A0000}"/>
    <cellStyle name="Финансовый 5 2 3 3 2 5" xfId="6676" xr:uid="{00000000-0005-0000-0000-0000151A0000}"/>
    <cellStyle name="Финансовый 5 2 3 3 3" xfId="6677" xr:uid="{00000000-0005-0000-0000-0000161A0000}"/>
    <cellStyle name="Финансовый 5 2 3 3 3 2" xfId="6678" xr:uid="{00000000-0005-0000-0000-0000171A0000}"/>
    <cellStyle name="Финансовый 5 2 3 3 3 2 2" xfId="6679" xr:uid="{00000000-0005-0000-0000-0000181A0000}"/>
    <cellStyle name="Финансовый 5 2 3 3 3 2 2 2" xfId="6680" xr:uid="{00000000-0005-0000-0000-0000191A0000}"/>
    <cellStyle name="Финансовый 5 2 3 3 3 2 3" xfId="6681" xr:uid="{00000000-0005-0000-0000-00001A1A0000}"/>
    <cellStyle name="Финансовый 5 2 3 3 3 3" xfId="6682" xr:uid="{00000000-0005-0000-0000-00001B1A0000}"/>
    <cellStyle name="Финансовый 5 2 3 3 3 3 2" xfId="6683" xr:uid="{00000000-0005-0000-0000-00001C1A0000}"/>
    <cellStyle name="Финансовый 5 2 3 3 3 4" xfId="6684" xr:uid="{00000000-0005-0000-0000-00001D1A0000}"/>
    <cellStyle name="Финансовый 5 2 3 3 4" xfId="6685" xr:uid="{00000000-0005-0000-0000-00001E1A0000}"/>
    <cellStyle name="Финансовый 5 2 3 3 4 2" xfId="6686" xr:uid="{00000000-0005-0000-0000-00001F1A0000}"/>
    <cellStyle name="Финансовый 5 2 3 3 4 2 2" xfId="6687" xr:uid="{00000000-0005-0000-0000-0000201A0000}"/>
    <cellStyle name="Финансовый 5 2 3 3 4 3" xfId="6688" xr:uid="{00000000-0005-0000-0000-0000211A0000}"/>
    <cellStyle name="Финансовый 5 2 3 3 5" xfId="6689" xr:uid="{00000000-0005-0000-0000-0000221A0000}"/>
    <cellStyle name="Финансовый 5 2 3 3 5 2" xfId="6690" xr:uid="{00000000-0005-0000-0000-0000231A0000}"/>
    <cellStyle name="Финансовый 5 2 3 3 6" xfId="6691" xr:uid="{00000000-0005-0000-0000-0000241A0000}"/>
    <cellStyle name="Финансовый 5 2 3 4" xfId="6692" xr:uid="{00000000-0005-0000-0000-0000251A0000}"/>
    <cellStyle name="Финансовый 5 2 3 4 2" xfId="6693" xr:uid="{00000000-0005-0000-0000-0000261A0000}"/>
    <cellStyle name="Финансовый 5 2 3 4 2 2" xfId="6694" xr:uid="{00000000-0005-0000-0000-0000271A0000}"/>
    <cellStyle name="Финансовый 5 2 3 4 2 2 2" xfId="6695" xr:uid="{00000000-0005-0000-0000-0000281A0000}"/>
    <cellStyle name="Финансовый 5 2 3 4 2 2 2 2" xfId="6696" xr:uid="{00000000-0005-0000-0000-0000291A0000}"/>
    <cellStyle name="Финансовый 5 2 3 4 2 2 3" xfId="6697" xr:uid="{00000000-0005-0000-0000-00002A1A0000}"/>
    <cellStyle name="Финансовый 5 2 3 4 2 3" xfId="6698" xr:uid="{00000000-0005-0000-0000-00002B1A0000}"/>
    <cellStyle name="Финансовый 5 2 3 4 2 3 2" xfId="6699" xr:uid="{00000000-0005-0000-0000-00002C1A0000}"/>
    <cellStyle name="Финансовый 5 2 3 4 2 4" xfId="6700" xr:uid="{00000000-0005-0000-0000-00002D1A0000}"/>
    <cellStyle name="Финансовый 5 2 3 4 3" xfId="6701" xr:uid="{00000000-0005-0000-0000-00002E1A0000}"/>
    <cellStyle name="Финансовый 5 2 3 4 3 2" xfId="6702" xr:uid="{00000000-0005-0000-0000-00002F1A0000}"/>
    <cellStyle name="Финансовый 5 2 3 4 3 2 2" xfId="6703" xr:uid="{00000000-0005-0000-0000-0000301A0000}"/>
    <cellStyle name="Финансовый 5 2 3 4 3 3" xfId="6704" xr:uid="{00000000-0005-0000-0000-0000311A0000}"/>
    <cellStyle name="Финансовый 5 2 3 4 4" xfId="6705" xr:uid="{00000000-0005-0000-0000-0000321A0000}"/>
    <cellStyle name="Финансовый 5 2 3 4 4 2" xfId="6706" xr:uid="{00000000-0005-0000-0000-0000331A0000}"/>
    <cellStyle name="Финансовый 5 2 3 4 5" xfId="6707" xr:uid="{00000000-0005-0000-0000-0000341A0000}"/>
    <cellStyle name="Финансовый 5 2 3 5" xfId="6708" xr:uid="{00000000-0005-0000-0000-0000351A0000}"/>
    <cellStyle name="Финансовый 5 2 3 5 2" xfId="6709" xr:uid="{00000000-0005-0000-0000-0000361A0000}"/>
    <cellStyle name="Финансовый 5 2 3 5 2 2" xfId="6710" xr:uid="{00000000-0005-0000-0000-0000371A0000}"/>
    <cellStyle name="Финансовый 5 2 3 5 2 2 2" xfId="6711" xr:uid="{00000000-0005-0000-0000-0000381A0000}"/>
    <cellStyle name="Финансовый 5 2 3 5 2 3" xfId="6712" xr:uid="{00000000-0005-0000-0000-0000391A0000}"/>
    <cellStyle name="Финансовый 5 2 3 5 3" xfId="6713" xr:uid="{00000000-0005-0000-0000-00003A1A0000}"/>
    <cellStyle name="Финансовый 5 2 3 5 3 2" xfId="6714" xr:uid="{00000000-0005-0000-0000-00003B1A0000}"/>
    <cellStyle name="Финансовый 5 2 3 5 4" xfId="6715" xr:uid="{00000000-0005-0000-0000-00003C1A0000}"/>
    <cellStyle name="Финансовый 5 2 3 6" xfId="6716" xr:uid="{00000000-0005-0000-0000-00003D1A0000}"/>
    <cellStyle name="Финансовый 5 2 3 6 2" xfId="6717" xr:uid="{00000000-0005-0000-0000-00003E1A0000}"/>
    <cellStyle name="Финансовый 5 2 3 6 2 2" xfId="6718" xr:uid="{00000000-0005-0000-0000-00003F1A0000}"/>
    <cellStyle name="Финансовый 5 2 3 6 3" xfId="6719" xr:uid="{00000000-0005-0000-0000-0000401A0000}"/>
    <cellStyle name="Финансовый 5 2 3 7" xfId="6720" xr:uid="{00000000-0005-0000-0000-0000411A0000}"/>
    <cellStyle name="Финансовый 5 2 3 7 2" xfId="6721" xr:uid="{00000000-0005-0000-0000-0000421A0000}"/>
    <cellStyle name="Финансовый 5 2 3 8" xfId="6722" xr:uid="{00000000-0005-0000-0000-0000431A0000}"/>
    <cellStyle name="Финансовый 5 2 4" xfId="6723" xr:uid="{00000000-0005-0000-0000-0000441A0000}"/>
    <cellStyle name="Финансовый 5 2 4 2" xfId="6724" xr:uid="{00000000-0005-0000-0000-0000451A0000}"/>
    <cellStyle name="Финансовый 5 2 4 2 2" xfId="6725" xr:uid="{00000000-0005-0000-0000-0000461A0000}"/>
    <cellStyle name="Финансовый 5 2 4 2 2 2" xfId="6726" xr:uid="{00000000-0005-0000-0000-0000471A0000}"/>
    <cellStyle name="Финансовый 5 2 4 2 2 2 2" xfId="6727" xr:uid="{00000000-0005-0000-0000-0000481A0000}"/>
    <cellStyle name="Финансовый 5 2 4 2 2 2 2 2" xfId="6728" xr:uid="{00000000-0005-0000-0000-0000491A0000}"/>
    <cellStyle name="Финансовый 5 2 4 2 2 2 2 2 2" xfId="6729" xr:uid="{00000000-0005-0000-0000-00004A1A0000}"/>
    <cellStyle name="Финансовый 5 2 4 2 2 2 2 3" xfId="6730" xr:uid="{00000000-0005-0000-0000-00004B1A0000}"/>
    <cellStyle name="Финансовый 5 2 4 2 2 2 3" xfId="6731" xr:uid="{00000000-0005-0000-0000-00004C1A0000}"/>
    <cellStyle name="Финансовый 5 2 4 2 2 2 3 2" xfId="6732" xr:uid="{00000000-0005-0000-0000-00004D1A0000}"/>
    <cellStyle name="Финансовый 5 2 4 2 2 2 4" xfId="6733" xr:uid="{00000000-0005-0000-0000-00004E1A0000}"/>
    <cellStyle name="Финансовый 5 2 4 2 2 3" xfId="6734" xr:uid="{00000000-0005-0000-0000-00004F1A0000}"/>
    <cellStyle name="Финансовый 5 2 4 2 2 3 2" xfId="6735" xr:uid="{00000000-0005-0000-0000-0000501A0000}"/>
    <cellStyle name="Финансовый 5 2 4 2 2 3 2 2" xfId="6736" xr:uid="{00000000-0005-0000-0000-0000511A0000}"/>
    <cellStyle name="Финансовый 5 2 4 2 2 3 3" xfId="6737" xr:uid="{00000000-0005-0000-0000-0000521A0000}"/>
    <cellStyle name="Финансовый 5 2 4 2 2 4" xfId="6738" xr:uid="{00000000-0005-0000-0000-0000531A0000}"/>
    <cellStyle name="Финансовый 5 2 4 2 2 4 2" xfId="6739" xr:uid="{00000000-0005-0000-0000-0000541A0000}"/>
    <cellStyle name="Финансовый 5 2 4 2 2 5" xfId="6740" xr:uid="{00000000-0005-0000-0000-0000551A0000}"/>
    <cellStyle name="Финансовый 5 2 4 2 3" xfId="6741" xr:uid="{00000000-0005-0000-0000-0000561A0000}"/>
    <cellStyle name="Финансовый 5 2 4 2 3 2" xfId="6742" xr:uid="{00000000-0005-0000-0000-0000571A0000}"/>
    <cellStyle name="Финансовый 5 2 4 2 3 2 2" xfId="6743" xr:uid="{00000000-0005-0000-0000-0000581A0000}"/>
    <cellStyle name="Финансовый 5 2 4 2 3 2 2 2" xfId="6744" xr:uid="{00000000-0005-0000-0000-0000591A0000}"/>
    <cellStyle name="Финансовый 5 2 4 2 3 2 3" xfId="6745" xr:uid="{00000000-0005-0000-0000-00005A1A0000}"/>
    <cellStyle name="Финансовый 5 2 4 2 3 3" xfId="6746" xr:uid="{00000000-0005-0000-0000-00005B1A0000}"/>
    <cellStyle name="Финансовый 5 2 4 2 3 3 2" xfId="6747" xr:uid="{00000000-0005-0000-0000-00005C1A0000}"/>
    <cellStyle name="Финансовый 5 2 4 2 3 4" xfId="6748" xr:uid="{00000000-0005-0000-0000-00005D1A0000}"/>
    <cellStyle name="Финансовый 5 2 4 2 4" xfId="6749" xr:uid="{00000000-0005-0000-0000-00005E1A0000}"/>
    <cellStyle name="Финансовый 5 2 4 2 4 2" xfId="6750" xr:uid="{00000000-0005-0000-0000-00005F1A0000}"/>
    <cellStyle name="Финансовый 5 2 4 2 4 2 2" xfId="6751" xr:uid="{00000000-0005-0000-0000-0000601A0000}"/>
    <cellStyle name="Финансовый 5 2 4 2 4 3" xfId="6752" xr:uid="{00000000-0005-0000-0000-0000611A0000}"/>
    <cellStyle name="Финансовый 5 2 4 2 5" xfId="6753" xr:uid="{00000000-0005-0000-0000-0000621A0000}"/>
    <cellStyle name="Финансовый 5 2 4 2 5 2" xfId="6754" xr:uid="{00000000-0005-0000-0000-0000631A0000}"/>
    <cellStyle name="Финансовый 5 2 4 2 6" xfId="6755" xr:uid="{00000000-0005-0000-0000-0000641A0000}"/>
    <cellStyle name="Финансовый 5 2 4 3" xfId="6756" xr:uid="{00000000-0005-0000-0000-0000651A0000}"/>
    <cellStyle name="Финансовый 5 2 4 3 2" xfId="6757" xr:uid="{00000000-0005-0000-0000-0000661A0000}"/>
    <cellStyle name="Финансовый 5 2 4 3 2 2" xfId="6758" xr:uid="{00000000-0005-0000-0000-0000671A0000}"/>
    <cellStyle name="Финансовый 5 2 4 3 2 2 2" xfId="6759" xr:uid="{00000000-0005-0000-0000-0000681A0000}"/>
    <cellStyle name="Финансовый 5 2 4 3 2 2 2 2" xfId="6760" xr:uid="{00000000-0005-0000-0000-0000691A0000}"/>
    <cellStyle name="Финансовый 5 2 4 3 2 2 3" xfId="6761" xr:uid="{00000000-0005-0000-0000-00006A1A0000}"/>
    <cellStyle name="Финансовый 5 2 4 3 2 3" xfId="6762" xr:uid="{00000000-0005-0000-0000-00006B1A0000}"/>
    <cellStyle name="Финансовый 5 2 4 3 2 3 2" xfId="6763" xr:uid="{00000000-0005-0000-0000-00006C1A0000}"/>
    <cellStyle name="Финансовый 5 2 4 3 2 4" xfId="6764" xr:uid="{00000000-0005-0000-0000-00006D1A0000}"/>
    <cellStyle name="Финансовый 5 2 4 3 3" xfId="6765" xr:uid="{00000000-0005-0000-0000-00006E1A0000}"/>
    <cellStyle name="Финансовый 5 2 4 3 3 2" xfId="6766" xr:uid="{00000000-0005-0000-0000-00006F1A0000}"/>
    <cellStyle name="Финансовый 5 2 4 3 3 2 2" xfId="6767" xr:uid="{00000000-0005-0000-0000-0000701A0000}"/>
    <cellStyle name="Финансовый 5 2 4 3 3 3" xfId="6768" xr:uid="{00000000-0005-0000-0000-0000711A0000}"/>
    <cellStyle name="Финансовый 5 2 4 3 4" xfId="6769" xr:uid="{00000000-0005-0000-0000-0000721A0000}"/>
    <cellStyle name="Финансовый 5 2 4 3 4 2" xfId="6770" xr:uid="{00000000-0005-0000-0000-0000731A0000}"/>
    <cellStyle name="Финансовый 5 2 4 3 5" xfId="6771" xr:uid="{00000000-0005-0000-0000-0000741A0000}"/>
    <cellStyle name="Финансовый 5 2 4 4" xfId="6772" xr:uid="{00000000-0005-0000-0000-0000751A0000}"/>
    <cellStyle name="Финансовый 5 2 4 4 2" xfId="6773" xr:uid="{00000000-0005-0000-0000-0000761A0000}"/>
    <cellStyle name="Финансовый 5 2 4 4 2 2" xfId="6774" xr:uid="{00000000-0005-0000-0000-0000771A0000}"/>
    <cellStyle name="Финансовый 5 2 4 4 2 2 2" xfId="6775" xr:uid="{00000000-0005-0000-0000-0000781A0000}"/>
    <cellStyle name="Финансовый 5 2 4 4 2 3" xfId="6776" xr:uid="{00000000-0005-0000-0000-0000791A0000}"/>
    <cellStyle name="Финансовый 5 2 4 4 3" xfId="6777" xr:uid="{00000000-0005-0000-0000-00007A1A0000}"/>
    <cellStyle name="Финансовый 5 2 4 4 3 2" xfId="6778" xr:uid="{00000000-0005-0000-0000-00007B1A0000}"/>
    <cellStyle name="Финансовый 5 2 4 4 4" xfId="6779" xr:uid="{00000000-0005-0000-0000-00007C1A0000}"/>
    <cellStyle name="Финансовый 5 2 4 5" xfId="6780" xr:uid="{00000000-0005-0000-0000-00007D1A0000}"/>
    <cellStyle name="Финансовый 5 2 4 5 2" xfId="6781" xr:uid="{00000000-0005-0000-0000-00007E1A0000}"/>
    <cellStyle name="Финансовый 5 2 4 5 2 2" xfId="6782" xr:uid="{00000000-0005-0000-0000-00007F1A0000}"/>
    <cellStyle name="Финансовый 5 2 4 5 3" xfId="6783" xr:uid="{00000000-0005-0000-0000-0000801A0000}"/>
    <cellStyle name="Финансовый 5 2 4 6" xfId="6784" xr:uid="{00000000-0005-0000-0000-0000811A0000}"/>
    <cellStyle name="Финансовый 5 2 4 6 2" xfId="6785" xr:uid="{00000000-0005-0000-0000-0000821A0000}"/>
    <cellStyle name="Финансовый 5 2 4 7" xfId="6786" xr:uid="{00000000-0005-0000-0000-0000831A0000}"/>
    <cellStyle name="Финансовый 5 2 5" xfId="6787" xr:uid="{00000000-0005-0000-0000-0000841A0000}"/>
    <cellStyle name="Финансовый 5 2 5 2" xfId="6788" xr:uid="{00000000-0005-0000-0000-0000851A0000}"/>
    <cellStyle name="Финансовый 5 2 5 2 2" xfId="6789" xr:uid="{00000000-0005-0000-0000-0000861A0000}"/>
    <cellStyle name="Финансовый 5 2 5 2 2 2" xfId="6790" xr:uid="{00000000-0005-0000-0000-0000871A0000}"/>
    <cellStyle name="Финансовый 5 2 5 2 2 2 2" xfId="6791" xr:uid="{00000000-0005-0000-0000-0000881A0000}"/>
    <cellStyle name="Финансовый 5 2 5 2 2 2 2 2" xfId="6792" xr:uid="{00000000-0005-0000-0000-0000891A0000}"/>
    <cellStyle name="Финансовый 5 2 5 2 2 2 3" xfId="6793" xr:uid="{00000000-0005-0000-0000-00008A1A0000}"/>
    <cellStyle name="Финансовый 5 2 5 2 2 3" xfId="6794" xr:uid="{00000000-0005-0000-0000-00008B1A0000}"/>
    <cellStyle name="Финансовый 5 2 5 2 2 3 2" xfId="6795" xr:uid="{00000000-0005-0000-0000-00008C1A0000}"/>
    <cellStyle name="Финансовый 5 2 5 2 2 4" xfId="6796" xr:uid="{00000000-0005-0000-0000-00008D1A0000}"/>
    <cellStyle name="Финансовый 5 2 5 2 3" xfId="6797" xr:uid="{00000000-0005-0000-0000-00008E1A0000}"/>
    <cellStyle name="Финансовый 5 2 5 2 3 2" xfId="6798" xr:uid="{00000000-0005-0000-0000-00008F1A0000}"/>
    <cellStyle name="Финансовый 5 2 5 2 3 2 2" xfId="6799" xr:uid="{00000000-0005-0000-0000-0000901A0000}"/>
    <cellStyle name="Финансовый 5 2 5 2 3 3" xfId="6800" xr:uid="{00000000-0005-0000-0000-0000911A0000}"/>
    <cellStyle name="Финансовый 5 2 5 2 4" xfId="6801" xr:uid="{00000000-0005-0000-0000-0000921A0000}"/>
    <cellStyle name="Финансовый 5 2 5 2 4 2" xfId="6802" xr:uid="{00000000-0005-0000-0000-0000931A0000}"/>
    <cellStyle name="Финансовый 5 2 5 2 5" xfId="6803" xr:uid="{00000000-0005-0000-0000-0000941A0000}"/>
    <cellStyle name="Финансовый 5 2 5 3" xfId="6804" xr:uid="{00000000-0005-0000-0000-0000951A0000}"/>
    <cellStyle name="Финансовый 5 2 5 3 2" xfId="6805" xr:uid="{00000000-0005-0000-0000-0000961A0000}"/>
    <cellStyle name="Финансовый 5 2 5 3 2 2" xfId="6806" xr:uid="{00000000-0005-0000-0000-0000971A0000}"/>
    <cellStyle name="Финансовый 5 2 5 3 2 2 2" xfId="6807" xr:uid="{00000000-0005-0000-0000-0000981A0000}"/>
    <cellStyle name="Финансовый 5 2 5 3 2 3" xfId="6808" xr:uid="{00000000-0005-0000-0000-0000991A0000}"/>
    <cellStyle name="Финансовый 5 2 5 3 3" xfId="6809" xr:uid="{00000000-0005-0000-0000-00009A1A0000}"/>
    <cellStyle name="Финансовый 5 2 5 3 3 2" xfId="6810" xr:uid="{00000000-0005-0000-0000-00009B1A0000}"/>
    <cellStyle name="Финансовый 5 2 5 3 4" xfId="6811" xr:uid="{00000000-0005-0000-0000-00009C1A0000}"/>
    <cellStyle name="Финансовый 5 2 5 4" xfId="6812" xr:uid="{00000000-0005-0000-0000-00009D1A0000}"/>
    <cellStyle name="Финансовый 5 2 5 4 2" xfId="6813" xr:uid="{00000000-0005-0000-0000-00009E1A0000}"/>
    <cellStyle name="Финансовый 5 2 5 4 2 2" xfId="6814" xr:uid="{00000000-0005-0000-0000-00009F1A0000}"/>
    <cellStyle name="Финансовый 5 2 5 4 3" xfId="6815" xr:uid="{00000000-0005-0000-0000-0000A01A0000}"/>
    <cellStyle name="Финансовый 5 2 5 5" xfId="6816" xr:uid="{00000000-0005-0000-0000-0000A11A0000}"/>
    <cellStyle name="Финансовый 5 2 5 5 2" xfId="6817" xr:uid="{00000000-0005-0000-0000-0000A21A0000}"/>
    <cellStyle name="Финансовый 5 2 5 6" xfId="6818" xr:uid="{00000000-0005-0000-0000-0000A31A0000}"/>
    <cellStyle name="Финансовый 5 2 6" xfId="6819" xr:uid="{00000000-0005-0000-0000-0000A41A0000}"/>
    <cellStyle name="Финансовый 5 2 6 2" xfId="6820" xr:uid="{00000000-0005-0000-0000-0000A51A0000}"/>
    <cellStyle name="Финансовый 5 2 6 2 2" xfId="6821" xr:uid="{00000000-0005-0000-0000-0000A61A0000}"/>
    <cellStyle name="Финансовый 5 2 6 2 2 2" xfId="6822" xr:uid="{00000000-0005-0000-0000-0000A71A0000}"/>
    <cellStyle name="Финансовый 5 2 6 2 2 2 2" xfId="6823" xr:uid="{00000000-0005-0000-0000-0000A81A0000}"/>
    <cellStyle name="Финансовый 5 2 6 2 2 3" xfId="6824" xr:uid="{00000000-0005-0000-0000-0000A91A0000}"/>
    <cellStyle name="Финансовый 5 2 6 2 3" xfId="6825" xr:uid="{00000000-0005-0000-0000-0000AA1A0000}"/>
    <cellStyle name="Финансовый 5 2 6 2 3 2" xfId="6826" xr:uid="{00000000-0005-0000-0000-0000AB1A0000}"/>
    <cellStyle name="Финансовый 5 2 6 2 4" xfId="6827" xr:uid="{00000000-0005-0000-0000-0000AC1A0000}"/>
    <cellStyle name="Финансовый 5 2 6 3" xfId="6828" xr:uid="{00000000-0005-0000-0000-0000AD1A0000}"/>
    <cellStyle name="Финансовый 5 2 6 3 2" xfId="6829" xr:uid="{00000000-0005-0000-0000-0000AE1A0000}"/>
    <cellStyle name="Финансовый 5 2 6 3 2 2" xfId="6830" xr:uid="{00000000-0005-0000-0000-0000AF1A0000}"/>
    <cellStyle name="Финансовый 5 2 6 3 3" xfId="6831" xr:uid="{00000000-0005-0000-0000-0000B01A0000}"/>
    <cellStyle name="Финансовый 5 2 6 4" xfId="6832" xr:uid="{00000000-0005-0000-0000-0000B11A0000}"/>
    <cellStyle name="Финансовый 5 2 6 4 2" xfId="6833" xr:uid="{00000000-0005-0000-0000-0000B21A0000}"/>
    <cellStyle name="Финансовый 5 2 6 5" xfId="6834" xr:uid="{00000000-0005-0000-0000-0000B31A0000}"/>
    <cellStyle name="Финансовый 5 2 7" xfId="6835" xr:uid="{00000000-0005-0000-0000-0000B41A0000}"/>
    <cellStyle name="Финансовый 5 2 7 2" xfId="6836" xr:uid="{00000000-0005-0000-0000-0000B51A0000}"/>
    <cellStyle name="Финансовый 5 2 7 2 2" xfId="6837" xr:uid="{00000000-0005-0000-0000-0000B61A0000}"/>
    <cellStyle name="Финансовый 5 2 7 2 2 2" xfId="6838" xr:uid="{00000000-0005-0000-0000-0000B71A0000}"/>
    <cellStyle name="Финансовый 5 2 7 2 3" xfId="6839" xr:uid="{00000000-0005-0000-0000-0000B81A0000}"/>
    <cellStyle name="Финансовый 5 2 7 3" xfId="6840" xr:uid="{00000000-0005-0000-0000-0000B91A0000}"/>
    <cellStyle name="Финансовый 5 2 7 3 2" xfId="6841" xr:uid="{00000000-0005-0000-0000-0000BA1A0000}"/>
    <cellStyle name="Финансовый 5 2 7 4" xfId="6842" xr:uid="{00000000-0005-0000-0000-0000BB1A0000}"/>
    <cellStyle name="Финансовый 5 2 8" xfId="6843" xr:uid="{00000000-0005-0000-0000-0000BC1A0000}"/>
    <cellStyle name="Финансовый 5 2 8 2" xfId="6844" xr:uid="{00000000-0005-0000-0000-0000BD1A0000}"/>
    <cellStyle name="Финансовый 5 2 8 2 2" xfId="6845" xr:uid="{00000000-0005-0000-0000-0000BE1A0000}"/>
    <cellStyle name="Финансовый 5 2 8 3" xfId="6846" xr:uid="{00000000-0005-0000-0000-0000BF1A0000}"/>
    <cellStyle name="Финансовый 5 2 9" xfId="6847" xr:uid="{00000000-0005-0000-0000-0000C01A0000}"/>
    <cellStyle name="Финансовый 5 2 9 2" xfId="6848" xr:uid="{00000000-0005-0000-0000-0000C11A0000}"/>
    <cellStyle name="Финансовый 5 3" xfId="6849" xr:uid="{00000000-0005-0000-0000-0000C21A0000}"/>
    <cellStyle name="Финансовый 5 3 2" xfId="6850" xr:uid="{00000000-0005-0000-0000-0000C31A0000}"/>
    <cellStyle name="Финансовый 5 3 2 2" xfId="6851" xr:uid="{00000000-0005-0000-0000-0000C41A0000}"/>
    <cellStyle name="Финансовый 5 3 2 2 2" xfId="6852" xr:uid="{00000000-0005-0000-0000-0000C51A0000}"/>
    <cellStyle name="Финансовый 5 3 2 2 2 2" xfId="6853" xr:uid="{00000000-0005-0000-0000-0000C61A0000}"/>
    <cellStyle name="Финансовый 5 3 2 2 2 2 2" xfId="6854" xr:uid="{00000000-0005-0000-0000-0000C71A0000}"/>
    <cellStyle name="Финансовый 5 3 2 2 2 2 2 2" xfId="6855" xr:uid="{00000000-0005-0000-0000-0000C81A0000}"/>
    <cellStyle name="Финансовый 5 3 2 2 2 2 2 2 2" xfId="6856" xr:uid="{00000000-0005-0000-0000-0000C91A0000}"/>
    <cellStyle name="Финансовый 5 3 2 2 2 2 2 2 2 2" xfId="6857" xr:uid="{00000000-0005-0000-0000-0000CA1A0000}"/>
    <cellStyle name="Финансовый 5 3 2 2 2 2 2 2 3" xfId="6858" xr:uid="{00000000-0005-0000-0000-0000CB1A0000}"/>
    <cellStyle name="Финансовый 5 3 2 2 2 2 2 3" xfId="6859" xr:uid="{00000000-0005-0000-0000-0000CC1A0000}"/>
    <cellStyle name="Финансовый 5 3 2 2 2 2 2 3 2" xfId="6860" xr:uid="{00000000-0005-0000-0000-0000CD1A0000}"/>
    <cellStyle name="Финансовый 5 3 2 2 2 2 2 4" xfId="6861" xr:uid="{00000000-0005-0000-0000-0000CE1A0000}"/>
    <cellStyle name="Финансовый 5 3 2 2 2 2 3" xfId="6862" xr:uid="{00000000-0005-0000-0000-0000CF1A0000}"/>
    <cellStyle name="Финансовый 5 3 2 2 2 2 3 2" xfId="6863" xr:uid="{00000000-0005-0000-0000-0000D01A0000}"/>
    <cellStyle name="Финансовый 5 3 2 2 2 2 3 2 2" xfId="6864" xr:uid="{00000000-0005-0000-0000-0000D11A0000}"/>
    <cellStyle name="Финансовый 5 3 2 2 2 2 3 3" xfId="6865" xr:uid="{00000000-0005-0000-0000-0000D21A0000}"/>
    <cellStyle name="Финансовый 5 3 2 2 2 2 4" xfId="6866" xr:uid="{00000000-0005-0000-0000-0000D31A0000}"/>
    <cellStyle name="Финансовый 5 3 2 2 2 2 4 2" xfId="6867" xr:uid="{00000000-0005-0000-0000-0000D41A0000}"/>
    <cellStyle name="Финансовый 5 3 2 2 2 2 5" xfId="6868" xr:uid="{00000000-0005-0000-0000-0000D51A0000}"/>
    <cellStyle name="Финансовый 5 3 2 2 2 3" xfId="6869" xr:uid="{00000000-0005-0000-0000-0000D61A0000}"/>
    <cellStyle name="Финансовый 5 3 2 2 2 3 2" xfId="6870" xr:uid="{00000000-0005-0000-0000-0000D71A0000}"/>
    <cellStyle name="Финансовый 5 3 2 2 2 3 2 2" xfId="6871" xr:uid="{00000000-0005-0000-0000-0000D81A0000}"/>
    <cellStyle name="Финансовый 5 3 2 2 2 3 2 2 2" xfId="6872" xr:uid="{00000000-0005-0000-0000-0000D91A0000}"/>
    <cellStyle name="Финансовый 5 3 2 2 2 3 2 3" xfId="6873" xr:uid="{00000000-0005-0000-0000-0000DA1A0000}"/>
    <cellStyle name="Финансовый 5 3 2 2 2 3 3" xfId="6874" xr:uid="{00000000-0005-0000-0000-0000DB1A0000}"/>
    <cellStyle name="Финансовый 5 3 2 2 2 3 3 2" xfId="6875" xr:uid="{00000000-0005-0000-0000-0000DC1A0000}"/>
    <cellStyle name="Финансовый 5 3 2 2 2 3 4" xfId="6876" xr:uid="{00000000-0005-0000-0000-0000DD1A0000}"/>
    <cellStyle name="Финансовый 5 3 2 2 2 4" xfId="6877" xr:uid="{00000000-0005-0000-0000-0000DE1A0000}"/>
    <cellStyle name="Финансовый 5 3 2 2 2 4 2" xfId="6878" xr:uid="{00000000-0005-0000-0000-0000DF1A0000}"/>
    <cellStyle name="Финансовый 5 3 2 2 2 4 2 2" xfId="6879" xr:uid="{00000000-0005-0000-0000-0000E01A0000}"/>
    <cellStyle name="Финансовый 5 3 2 2 2 4 3" xfId="6880" xr:uid="{00000000-0005-0000-0000-0000E11A0000}"/>
    <cellStyle name="Финансовый 5 3 2 2 2 5" xfId="6881" xr:uid="{00000000-0005-0000-0000-0000E21A0000}"/>
    <cellStyle name="Финансовый 5 3 2 2 2 5 2" xfId="6882" xr:uid="{00000000-0005-0000-0000-0000E31A0000}"/>
    <cellStyle name="Финансовый 5 3 2 2 2 6" xfId="6883" xr:uid="{00000000-0005-0000-0000-0000E41A0000}"/>
    <cellStyle name="Финансовый 5 3 2 2 3" xfId="6884" xr:uid="{00000000-0005-0000-0000-0000E51A0000}"/>
    <cellStyle name="Финансовый 5 3 2 2 3 2" xfId="6885" xr:uid="{00000000-0005-0000-0000-0000E61A0000}"/>
    <cellStyle name="Финансовый 5 3 2 2 3 2 2" xfId="6886" xr:uid="{00000000-0005-0000-0000-0000E71A0000}"/>
    <cellStyle name="Финансовый 5 3 2 2 3 2 2 2" xfId="6887" xr:uid="{00000000-0005-0000-0000-0000E81A0000}"/>
    <cellStyle name="Финансовый 5 3 2 2 3 2 2 2 2" xfId="6888" xr:uid="{00000000-0005-0000-0000-0000E91A0000}"/>
    <cellStyle name="Финансовый 5 3 2 2 3 2 2 3" xfId="6889" xr:uid="{00000000-0005-0000-0000-0000EA1A0000}"/>
    <cellStyle name="Финансовый 5 3 2 2 3 2 3" xfId="6890" xr:uid="{00000000-0005-0000-0000-0000EB1A0000}"/>
    <cellStyle name="Финансовый 5 3 2 2 3 2 3 2" xfId="6891" xr:uid="{00000000-0005-0000-0000-0000EC1A0000}"/>
    <cellStyle name="Финансовый 5 3 2 2 3 2 4" xfId="6892" xr:uid="{00000000-0005-0000-0000-0000ED1A0000}"/>
    <cellStyle name="Финансовый 5 3 2 2 3 3" xfId="6893" xr:uid="{00000000-0005-0000-0000-0000EE1A0000}"/>
    <cellStyle name="Финансовый 5 3 2 2 3 3 2" xfId="6894" xr:uid="{00000000-0005-0000-0000-0000EF1A0000}"/>
    <cellStyle name="Финансовый 5 3 2 2 3 3 2 2" xfId="6895" xr:uid="{00000000-0005-0000-0000-0000F01A0000}"/>
    <cellStyle name="Финансовый 5 3 2 2 3 3 3" xfId="6896" xr:uid="{00000000-0005-0000-0000-0000F11A0000}"/>
    <cellStyle name="Финансовый 5 3 2 2 3 4" xfId="6897" xr:uid="{00000000-0005-0000-0000-0000F21A0000}"/>
    <cellStyle name="Финансовый 5 3 2 2 3 4 2" xfId="6898" xr:uid="{00000000-0005-0000-0000-0000F31A0000}"/>
    <cellStyle name="Финансовый 5 3 2 2 3 5" xfId="6899" xr:uid="{00000000-0005-0000-0000-0000F41A0000}"/>
    <cellStyle name="Финансовый 5 3 2 2 4" xfId="6900" xr:uid="{00000000-0005-0000-0000-0000F51A0000}"/>
    <cellStyle name="Финансовый 5 3 2 2 4 2" xfId="6901" xr:uid="{00000000-0005-0000-0000-0000F61A0000}"/>
    <cellStyle name="Финансовый 5 3 2 2 4 2 2" xfId="6902" xr:uid="{00000000-0005-0000-0000-0000F71A0000}"/>
    <cellStyle name="Финансовый 5 3 2 2 4 2 2 2" xfId="6903" xr:uid="{00000000-0005-0000-0000-0000F81A0000}"/>
    <cellStyle name="Финансовый 5 3 2 2 4 2 3" xfId="6904" xr:uid="{00000000-0005-0000-0000-0000F91A0000}"/>
    <cellStyle name="Финансовый 5 3 2 2 4 3" xfId="6905" xr:uid="{00000000-0005-0000-0000-0000FA1A0000}"/>
    <cellStyle name="Финансовый 5 3 2 2 4 3 2" xfId="6906" xr:uid="{00000000-0005-0000-0000-0000FB1A0000}"/>
    <cellStyle name="Финансовый 5 3 2 2 4 4" xfId="6907" xr:uid="{00000000-0005-0000-0000-0000FC1A0000}"/>
    <cellStyle name="Финансовый 5 3 2 2 5" xfId="6908" xr:uid="{00000000-0005-0000-0000-0000FD1A0000}"/>
    <cellStyle name="Финансовый 5 3 2 2 5 2" xfId="6909" xr:uid="{00000000-0005-0000-0000-0000FE1A0000}"/>
    <cellStyle name="Финансовый 5 3 2 2 5 2 2" xfId="6910" xr:uid="{00000000-0005-0000-0000-0000FF1A0000}"/>
    <cellStyle name="Финансовый 5 3 2 2 5 3" xfId="6911" xr:uid="{00000000-0005-0000-0000-0000001B0000}"/>
    <cellStyle name="Финансовый 5 3 2 2 6" xfId="6912" xr:uid="{00000000-0005-0000-0000-0000011B0000}"/>
    <cellStyle name="Финансовый 5 3 2 2 6 2" xfId="6913" xr:uid="{00000000-0005-0000-0000-0000021B0000}"/>
    <cellStyle name="Финансовый 5 3 2 2 7" xfId="6914" xr:uid="{00000000-0005-0000-0000-0000031B0000}"/>
    <cellStyle name="Финансовый 5 3 2 3" xfId="6915" xr:uid="{00000000-0005-0000-0000-0000041B0000}"/>
    <cellStyle name="Финансовый 5 3 2 3 2" xfId="6916" xr:uid="{00000000-0005-0000-0000-0000051B0000}"/>
    <cellStyle name="Финансовый 5 3 2 3 2 2" xfId="6917" xr:uid="{00000000-0005-0000-0000-0000061B0000}"/>
    <cellStyle name="Финансовый 5 3 2 3 2 2 2" xfId="6918" xr:uid="{00000000-0005-0000-0000-0000071B0000}"/>
    <cellStyle name="Финансовый 5 3 2 3 2 2 2 2" xfId="6919" xr:uid="{00000000-0005-0000-0000-0000081B0000}"/>
    <cellStyle name="Финансовый 5 3 2 3 2 2 2 2 2" xfId="6920" xr:uid="{00000000-0005-0000-0000-0000091B0000}"/>
    <cellStyle name="Финансовый 5 3 2 3 2 2 2 3" xfId="6921" xr:uid="{00000000-0005-0000-0000-00000A1B0000}"/>
    <cellStyle name="Финансовый 5 3 2 3 2 2 3" xfId="6922" xr:uid="{00000000-0005-0000-0000-00000B1B0000}"/>
    <cellStyle name="Финансовый 5 3 2 3 2 2 3 2" xfId="6923" xr:uid="{00000000-0005-0000-0000-00000C1B0000}"/>
    <cellStyle name="Финансовый 5 3 2 3 2 2 4" xfId="6924" xr:uid="{00000000-0005-0000-0000-00000D1B0000}"/>
    <cellStyle name="Финансовый 5 3 2 3 2 3" xfId="6925" xr:uid="{00000000-0005-0000-0000-00000E1B0000}"/>
    <cellStyle name="Финансовый 5 3 2 3 2 3 2" xfId="6926" xr:uid="{00000000-0005-0000-0000-00000F1B0000}"/>
    <cellStyle name="Финансовый 5 3 2 3 2 3 2 2" xfId="6927" xr:uid="{00000000-0005-0000-0000-0000101B0000}"/>
    <cellStyle name="Финансовый 5 3 2 3 2 3 3" xfId="6928" xr:uid="{00000000-0005-0000-0000-0000111B0000}"/>
    <cellStyle name="Финансовый 5 3 2 3 2 4" xfId="6929" xr:uid="{00000000-0005-0000-0000-0000121B0000}"/>
    <cellStyle name="Финансовый 5 3 2 3 2 4 2" xfId="6930" xr:uid="{00000000-0005-0000-0000-0000131B0000}"/>
    <cellStyle name="Финансовый 5 3 2 3 2 5" xfId="6931" xr:uid="{00000000-0005-0000-0000-0000141B0000}"/>
    <cellStyle name="Финансовый 5 3 2 3 3" xfId="6932" xr:uid="{00000000-0005-0000-0000-0000151B0000}"/>
    <cellStyle name="Финансовый 5 3 2 3 3 2" xfId="6933" xr:uid="{00000000-0005-0000-0000-0000161B0000}"/>
    <cellStyle name="Финансовый 5 3 2 3 3 2 2" xfId="6934" xr:uid="{00000000-0005-0000-0000-0000171B0000}"/>
    <cellStyle name="Финансовый 5 3 2 3 3 2 2 2" xfId="6935" xr:uid="{00000000-0005-0000-0000-0000181B0000}"/>
    <cellStyle name="Финансовый 5 3 2 3 3 2 3" xfId="6936" xr:uid="{00000000-0005-0000-0000-0000191B0000}"/>
    <cellStyle name="Финансовый 5 3 2 3 3 3" xfId="6937" xr:uid="{00000000-0005-0000-0000-00001A1B0000}"/>
    <cellStyle name="Финансовый 5 3 2 3 3 3 2" xfId="6938" xr:uid="{00000000-0005-0000-0000-00001B1B0000}"/>
    <cellStyle name="Финансовый 5 3 2 3 3 4" xfId="6939" xr:uid="{00000000-0005-0000-0000-00001C1B0000}"/>
    <cellStyle name="Финансовый 5 3 2 3 4" xfId="6940" xr:uid="{00000000-0005-0000-0000-00001D1B0000}"/>
    <cellStyle name="Финансовый 5 3 2 3 4 2" xfId="6941" xr:uid="{00000000-0005-0000-0000-00001E1B0000}"/>
    <cellStyle name="Финансовый 5 3 2 3 4 2 2" xfId="6942" xr:uid="{00000000-0005-0000-0000-00001F1B0000}"/>
    <cellStyle name="Финансовый 5 3 2 3 4 3" xfId="6943" xr:uid="{00000000-0005-0000-0000-0000201B0000}"/>
    <cellStyle name="Финансовый 5 3 2 3 5" xfId="6944" xr:uid="{00000000-0005-0000-0000-0000211B0000}"/>
    <cellStyle name="Финансовый 5 3 2 3 5 2" xfId="6945" xr:uid="{00000000-0005-0000-0000-0000221B0000}"/>
    <cellStyle name="Финансовый 5 3 2 3 6" xfId="6946" xr:uid="{00000000-0005-0000-0000-0000231B0000}"/>
    <cellStyle name="Финансовый 5 3 2 4" xfId="6947" xr:uid="{00000000-0005-0000-0000-0000241B0000}"/>
    <cellStyle name="Финансовый 5 3 2 4 2" xfId="6948" xr:uid="{00000000-0005-0000-0000-0000251B0000}"/>
    <cellStyle name="Финансовый 5 3 2 4 2 2" xfId="6949" xr:uid="{00000000-0005-0000-0000-0000261B0000}"/>
    <cellStyle name="Финансовый 5 3 2 4 2 2 2" xfId="6950" xr:uid="{00000000-0005-0000-0000-0000271B0000}"/>
    <cellStyle name="Финансовый 5 3 2 4 2 2 2 2" xfId="6951" xr:uid="{00000000-0005-0000-0000-0000281B0000}"/>
    <cellStyle name="Финансовый 5 3 2 4 2 2 3" xfId="6952" xr:uid="{00000000-0005-0000-0000-0000291B0000}"/>
    <cellStyle name="Финансовый 5 3 2 4 2 3" xfId="6953" xr:uid="{00000000-0005-0000-0000-00002A1B0000}"/>
    <cellStyle name="Финансовый 5 3 2 4 2 3 2" xfId="6954" xr:uid="{00000000-0005-0000-0000-00002B1B0000}"/>
    <cellStyle name="Финансовый 5 3 2 4 2 4" xfId="6955" xr:uid="{00000000-0005-0000-0000-00002C1B0000}"/>
    <cellStyle name="Финансовый 5 3 2 4 3" xfId="6956" xr:uid="{00000000-0005-0000-0000-00002D1B0000}"/>
    <cellStyle name="Финансовый 5 3 2 4 3 2" xfId="6957" xr:uid="{00000000-0005-0000-0000-00002E1B0000}"/>
    <cellStyle name="Финансовый 5 3 2 4 3 2 2" xfId="6958" xr:uid="{00000000-0005-0000-0000-00002F1B0000}"/>
    <cellStyle name="Финансовый 5 3 2 4 3 3" xfId="6959" xr:uid="{00000000-0005-0000-0000-0000301B0000}"/>
    <cellStyle name="Финансовый 5 3 2 4 4" xfId="6960" xr:uid="{00000000-0005-0000-0000-0000311B0000}"/>
    <cellStyle name="Финансовый 5 3 2 4 4 2" xfId="6961" xr:uid="{00000000-0005-0000-0000-0000321B0000}"/>
    <cellStyle name="Финансовый 5 3 2 4 5" xfId="6962" xr:uid="{00000000-0005-0000-0000-0000331B0000}"/>
    <cellStyle name="Финансовый 5 3 2 5" xfId="6963" xr:uid="{00000000-0005-0000-0000-0000341B0000}"/>
    <cellStyle name="Финансовый 5 3 2 5 2" xfId="6964" xr:uid="{00000000-0005-0000-0000-0000351B0000}"/>
    <cellStyle name="Финансовый 5 3 2 5 2 2" xfId="6965" xr:uid="{00000000-0005-0000-0000-0000361B0000}"/>
    <cellStyle name="Финансовый 5 3 2 5 2 2 2" xfId="6966" xr:uid="{00000000-0005-0000-0000-0000371B0000}"/>
    <cellStyle name="Финансовый 5 3 2 5 2 3" xfId="6967" xr:uid="{00000000-0005-0000-0000-0000381B0000}"/>
    <cellStyle name="Финансовый 5 3 2 5 3" xfId="6968" xr:uid="{00000000-0005-0000-0000-0000391B0000}"/>
    <cellStyle name="Финансовый 5 3 2 5 3 2" xfId="6969" xr:uid="{00000000-0005-0000-0000-00003A1B0000}"/>
    <cellStyle name="Финансовый 5 3 2 5 4" xfId="6970" xr:uid="{00000000-0005-0000-0000-00003B1B0000}"/>
    <cellStyle name="Финансовый 5 3 2 6" xfId="6971" xr:uid="{00000000-0005-0000-0000-00003C1B0000}"/>
    <cellStyle name="Финансовый 5 3 2 6 2" xfId="6972" xr:uid="{00000000-0005-0000-0000-00003D1B0000}"/>
    <cellStyle name="Финансовый 5 3 2 6 2 2" xfId="6973" xr:uid="{00000000-0005-0000-0000-00003E1B0000}"/>
    <cellStyle name="Финансовый 5 3 2 6 3" xfId="6974" xr:uid="{00000000-0005-0000-0000-00003F1B0000}"/>
    <cellStyle name="Финансовый 5 3 2 7" xfId="6975" xr:uid="{00000000-0005-0000-0000-0000401B0000}"/>
    <cellStyle name="Финансовый 5 3 2 7 2" xfId="6976" xr:uid="{00000000-0005-0000-0000-0000411B0000}"/>
    <cellStyle name="Финансовый 5 3 2 8" xfId="6977" xr:uid="{00000000-0005-0000-0000-0000421B0000}"/>
    <cellStyle name="Финансовый 5 3 3" xfId="6978" xr:uid="{00000000-0005-0000-0000-0000431B0000}"/>
    <cellStyle name="Финансовый 5 3 3 2" xfId="6979" xr:uid="{00000000-0005-0000-0000-0000441B0000}"/>
    <cellStyle name="Финансовый 5 3 3 2 2" xfId="6980" xr:uid="{00000000-0005-0000-0000-0000451B0000}"/>
    <cellStyle name="Финансовый 5 3 3 2 2 2" xfId="6981" xr:uid="{00000000-0005-0000-0000-0000461B0000}"/>
    <cellStyle name="Финансовый 5 3 3 2 2 2 2" xfId="6982" xr:uid="{00000000-0005-0000-0000-0000471B0000}"/>
    <cellStyle name="Финансовый 5 3 3 2 2 2 2 2" xfId="6983" xr:uid="{00000000-0005-0000-0000-0000481B0000}"/>
    <cellStyle name="Финансовый 5 3 3 2 2 2 2 2 2" xfId="6984" xr:uid="{00000000-0005-0000-0000-0000491B0000}"/>
    <cellStyle name="Финансовый 5 3 3 2 2 2 2 3" xfId="6985" xr:uid="{00000000-0005-0000-0000-00004A1B0000}"/>
    <cellStyle name="Финансовый 5 3 3 2 2 2 3" xfId="6986" xr:uid="{00000000-0005-0000-0000-00004B1B0000}"/>
    <cellStyle name="Финансовый 5 3 3 2 2 2 3 2" xfId="6987" xr:uid="{00000000-0005-0000-0000-00004C1B0000}"/>
    <cellStyle name="Финансовый 5 3 3 2 2 2 4" xfId="6988" xr:uid="{00000000-0005-0000-0000-00004D1B0000}"/>
    <cellStyle name="Финансовый 5 3 3 2 2 3" xfId="6989" xr:uid="{00000000-0005-0000-0000-00004E1B0000}"/>
    <cellStyle name="Финансовый 5 3 3 2 2 3 2" xfId="6990" xr:uid="{00000000-0005-0000-0000-00004F1B0000}"/>
    <cellStyle name="Финансовый 5 3 3 2 2 3 2 2" xfId="6991" xr:uid="{00000000-0005-0000-0000-0000501B0000}"/>
    <cellStyle name="Финансовый 5 3 3 2 2 3 3" xfId="6992" xr:uid="{00000000-0005-0000-0000-0000511B0000}"/>
    <cellStyle name="Финансовый 5 3 3 2 2 4" xfId="6993" xr:uid="{00000000-0005-0000-0000-0000521B0000}"/>
    <cellStyle name="Финансовый 5 3 3 2 2 4 2" xfId="6994" xr:uid="{00000000-0005-0000-0000-0000531B0000}"/>
    <cellStyle name="Финансовый 5 3 3 2 2 5" xfId="6995" xr:uid="{00000000-0005-0000-0000-0000541B0000}"/>
    <cellStyle name="Финансовый 5 3 3 2 3" xfId="6996" xr:uid="{00000000-0005-0000-0000-0000551B0000}"/>
    <cellStyle name="Финансовый 5 3 3 2 3 2" xfId="6997" xr:uid="{00000000-0005-0000-0000-0000561B0000}"/>
    <cellStyle name="Финансовый 5 3 3 2 3 2 2" xfId="6998" xr:uid="{00000000-0005-0000-0000-0000571B0000}"/>
    <cellStyle name="Финансовый 5 3 3 2 3 2 2 2" xfId="6999" xr:uid="{00000000-0005-0000-0000-0000581B0000}"/>
    <cellStyle name="Финансовый 5 3 3 2 3 2 3" xfId="7000" xr:uid="{00000000-0005-0000-0000-0000591B0000}"/>
    <cellStyle name="Финансовый 5 3 3 2 3 3" xfId="7001" xr:uid="{00000000-0005-0000-0000-00005A1B0000}"/>
    <cellStyle name="Финансовый 5 3 3 2 3 3 2" xfId="7002" xr:uid="{00000000-0005-0000-0000-00005B1B0000}"/>
    <cellStyle name="Финансовый 5 3 3 2 3 4" xfId="7003" xr:uid="{00000000-0005-0000-0000-00005C1B0000}"/>
    <cellStyle name="Финансовый 5 3 3 2 4" xfId="7004" xr:uid="{00000000-0005-0000-0000-00005D1B0000}"/>
    <cellStyle name="Финансовый 5 3 3 2 4 2" xfId="7005" xr:uid="{00000000-0005-0000-0000-00005E1B0000}"/>
    <cellStyle name="Финансовый 5 3 3 2 4 2 2" xfId="7006" xr:uid="{00000000-0005-0000-0000-00005F1B0000}"/>
    <cellStyle name="Финансовый 5 3 3 2 4 3" xfId="7007" xr:uid="{00000000-0005-0000-0000-0000601B0000}"/>
    <cellStyle name="Финансовый 5 3 3 2 5" xfId="7008" xr:uid="{00000000-0005-0000-0000-0000611B0000}"/>
    <cellStyle name="Финансовый 5 3 3 2 5 2" xfId="7009" xr:uid="{00000000-0005-0000-0000-0000621B0000}"/>
    <cellStyle name="Финансовый 5 3 3 2 6" xfId="7010" xr:uid="{00000000-0005-0000-0000-0000631B0000}"/>
    <cellStyle name="Финансовый 5 3 3 3" xfId="7011" xr:uid="{00000000-0005-0000-0000-0000641B0000}"/>
    <cellStyle name="Финансовый 5 3 3 3 2" xfId="7012" xr:uid="{00000000-0005-0000-0000-0000651B0000}"/>
    <cellStyle name="Финансовый 5 3 3 3 2 2" xfId="7013" xr:uid="{00000000-0005-0000-0000-0000661B0000}"/>
    <cellStyle name="Финансовый 5 3 3 3 2 2 2" xfId="7014" xr:uid="{00000000-0005-0000-0000-0000671B0000}"/>
    <cellStyle name="Финансовый 5 3 3 3 2 2 2 2" xfId="7015" xr:uid="{00000000-0005-0000-0000-0000681B0000}"/>
    <cellStyle name="Финансовый 5 3 3 3 2 2 3" xfId="7016" xr:uid="{00000000-0005-0000-0000-0000691B0000}"/>
    <cellStyle name="Финансовый 5 3 3 3 2 3" xfId="7017" xr:uid="{00000000-0005-0000-0000-00006A1B0000}"/>
    <cellStyle name="Финансовый 5 3 3 3 2 3 2" xfId="7018" xr:uid="{00000000-0005-0000-0000-00006B1B0000}"/>
    <cellStyle name="Финансовый 5 3 3 3 2 4" xfId="7019" xr:uid="{00000000-0005-0000-0000-00006C1B0000}"/>
    <cellStyle name="Финансовый 5 3 3 3 3" xfId="7020" xr:uid="{00000000-0005-0000-0000-00006D1B0000}"/>
    <cellStyle name="Финансовый 5 3 3 3 3 2" xfId="7021" xr:uid="{00000000-0005-0000-0000-00006E1B0000}"/>
    <cellStyle name="Финансовый 5 3 3 3 3 2 2" xfId="7022" xr:uid="{00000000-0005-0000-0000-00006F1B0000}"/>
    <cellStyle name="Финансовый 5 3 3 3 3 3" xfId="7023" xr:uid="{00000000-0005-0000-0000-0000701B0000}"/>
    <cellStyle name="Финансовый 5 3 3 3 4" xfId="7024" xr:uid="{00000000-0005-0000-0000-0000711B0000}"/>
    <cellStyle name="Финансовый 5 3 3 3 4 2" xfId="7025" xr:uid="{00000000-0005-0000-0000-0000721B0000}"/>
    <cellStyle name="Финансовый 5 3 3 3 5" xfId="7026" xr:uid="{00000000-0005-0000-0000-0000731B0000}"/>
    <cellStyle name="Финансовый 5 3 3 4" xfId="7027" xr:uid="{00000000-0005-0000-0000-0000741B0000}"/>
    <cellStyle name="Финансовый 5 3 3 4 2" xfId="7028" xr:uid="{00000000-0005-0000-0000-0000751B0000}"/>
    <cellStyle name="Финансовый 5 3 3 4 2 2" xfId="7029" xr:uid="{00000000-0005-0000-0000-0000761B0000}"/>
    <cellStyle name="Финансовый 5 3 3 4 2 2 2" xfId="7030" xr:uid="{00000000-0005-0000-0000-0000771B0000}"/>
    <cellStyle name="Финансовый 5 3 3 4 2 3" xfId="7031" xr:uid="{00000000-0005-0000-0000-0000781B0000}"/>
    <cellStyle name="Финансовый 5 3 3 4 3" xfId="7032" xr:uid="{00000000-0005-0000-0000-0000791B0000}"/>
    <cellStyle name="Финансовый 5 3 3 4 3 2" xfId="7033" xr:uid="{00000000-0005-0000-0000-00007A1B0000}"/>
    <cellStyle name="Финансовый 5 3 3 4 4" xfId="7034" xr:uid="{00000000-0005-0000-0000-00007B1B0000}"/>
    <cellStyle name="Финансовый 5 3 3 5" xfId="7035" xr:uid="{00000000-0005-0000-0000-00007C1B0000}"/>
    <cellStyle name="Финансовый 5 3 3 5 2" xfId="7036" xr:uid="{00000000-0005-0000-0000-00007D1B0000}"/>
    <cellStyle name="Финансовый 5 3 3 5 2 2" xfId="7037" xr:uid="{00000000-0005-0000-0000-00007E1B0000}"/>
    <cellStyle name="Финансовый 5 3 3 5 3" xfId="7038" xr:uid="{00000000-0005-0000-0000-00007F1B0000}"/>
    <cellStyle name="Финансовый 5 3 3 6" xfId="7039" xr:uid="{00000000-0005-0000-0000-0000801B0000}"/>
    <cellStyle name="Финансовый 5 3 3 6 2" xfId="7040" xr:uid="{00000000-0005-0000-0000-0000811B0000}"/>
    <cellStyle name="Финансовый 5 3 3 7" xfId="7041" xr:uid="{00000000-0005-0000-0000-0000821B0000}"/>
    <cellStyle name="Финансовый 5 3 4" xfId="7042" xr:uid="{00000000-0005-0000-0000-0000831B0000}"/>
    <cellStyle name="Финансовый 5 3 4 2" xfId="7043" xr:uid="{00000000-0005-0000-0000-0000841B0000}"/>
    <cellStyle name="Финансовый 5 3 4 2 2" xfId="7044" xr:uid="{00000000-0005-0000-0000-0000851B0000}"/>
    <cellStyle name="Финансовый 5 3 4 2 2 2" xfId="7045" xr:uid="{00000000-0005-0000-0000-0000861B0000}"/>
    <cellStyle name="Финансовый 5 3 4 2 2 2 2" xfId="7046" xr:uid="{00000000-0005-0000-0000-0000871B0000}"/>
    <cellStyle name="Финансовый 5 3 4 2 2 2 2 2" xfId="7047" xr:uid="{00000000-0005-0000-0000-0000881B0000}"/>
    <cellStyle name="Финансовый 5 3 4 2 2 2 3" xfId="7048" xr:uid="{00000000-0005-0000-0000-0000891B0000}"/>
    <cellStyle name="Финансовый 5 3 4 2 2 3" xfId="7049" xr:uid="{00000000-0005-0000-0000-00008A1B0000}"/>
    <cellStyle name="Финансовый 5 3 4 2 2 3 2" xfId="7050" xr:uid="{00000000-0005-0000-0000-00008B1B0000}"/>
    <cellStyle name="Финансовый 5 3 4 2 2 4" xfId="7051" xr:uid="{00000000-0005-0000-0000-00008C1B0000}"/>
    <cellStyle name="Финансовый 5 3 4 2 3" xfId="7052" xr:uid="{00000000-0005-0000-0000-00008D1B0000}"/>
    <cellStyle name="Финансовый 5 3 4 2 3 2" xfId="7053" xr:uid="{00000000-0005-0000-0000-00008E1B0000}"/>
    <cellStyle name="Финансовый 5 3 4 2 3 2 2" xfId="7054" xr:uid="{00000000-0005-0000-0000-00008F1B0000}"/>
    <cellStyle name="Финансовый 5 3 4 2 3 3" xfId="7055" xr:uid="{00000000-0005-0000-0000-0000901B0000}"/>
    <cellStyle name="Финансовый 5 3 4 2 4" xfId="7056" xr:uid="{00000000-0005-0000-0000-0000911B0000}"/>
    <cellStyle name="Финансовый 5 3 4 2 4 2" xfId="7057" xr:uid="{00000000-0005-0000-0000-0000921B0000}"/>
    <cellStyle name="Финансовый 5 3 4 2 5" xfId="7058" xr:uid="{00000000-0005-0000-0000-0000931B0000}"/>
    <cellStyle name="Финансовый 5 3 4 3" xfId="7059" xr:uid="{00000000-0005-0000-0000-0000941B0000}"/>
    <cellStyle name="Финансовый 5 3 4 3 2" xfId="7060" xr:uid="{00000000-0005-0000-0000-0000951B0000}"/>
    <cellStyle name="Финансовый 5 3 4 3 2 2" xfId="7061" xr:uid="{00000000-0005-0000-0000-0000961B0000}"/>
    <cellStyle name="Финансовый 5 3 4 3 2 2 2" xfId="7062" xr:uid="{00000000-0005-0000-0000-0000971B0000}"/>
    <cellStyle name="Финансовый 5 3 4 3 2 3" xfId="7063" xr:uid="{00000000-0005-0000-0000-0000981B0000}"/>
    <cellStyle name="Финансовый 5 3 4 3 3" xfId="7064" xr:uid="{00000000-0005-0000-0000-0000991B0000}"/>
    <cellStyle name="Финансовый 5 3 4 3 3 2" xfId="7065" xr:uid="{00000000-0005-0000-0000-00009A1B0000}"/>
    <cellStyle name="Финансовый 5 3 4 3 4" xfId="7066" xr:uid="{00000000-0005-0000-0000-00009B1B0000}"/>
    <cellStyle name="Финансовый 5 3 4 4" xfId="7067" xr:uid="{00000000-0005-0000-0000-00009C1B0000}"/>
    <cellStyle name="Финансовый 5 3 4 4 2" xfId="7068" xr:uid="{00000000-0005-0000-0000-00009D1B0000}"/>
    <cellStyle name="Финансовый 5 3 4 4 2 2" xfId="7069" xr:uid="{00000000-0005-0000-0000-00009E1B0000}"/>
    <cellStyle name="Финансовый 5 3 4 4 3" xfId="7070" xr:uid="{00000000-0005-0000-0000-00009F1B0000}"/>
    <cellStyle name="Финансовый 5 3 4 5" xfId="7071" xr:uid="{00000000-0005-0000-0000-0000A01B0000}"/>
    <cellStyle name="Финансовый 5 3 4 5 2" xfId="7072" xr:uid="{00000000-0005-0000-0000-0000A11B0000}"/>
    <cellStyle name="Финансовый 5 3 4 6" xfId="7073" xr:uid="{00000000-0005-0000-0000-0000A21B0000}"/>
    <cellStyle name="Финансовый 5 3 5" xfId="7074" xr:uid="{00000000-0005-0000-0000-0000A31B0000}"/>
    <cellStyle name="Финансовый 5 3 5 2" xfId="7075" xr:uid="{00000000-0005-0000-0000-0000A41B0000}"/>
    <cellStyle name="Финансовый 5 3 5 2 2" xfId="7076" xr:uid="{00000000-0005-0000-0000-0000A51B0000}"/>
    <cellStyle name="Финансовый 5 3 5 2 2 2" xfId="7077" xr:uid="{00000000-0005-0000-0000-0000A61B0000}"/>
    <cellStyle name="Финансовый 5 3 5 2 2 2 2" xfId="7078" xr:uid="{00000000-0005-0000-0000-0000A71B0000}"/>
    <cellStyle name="Финансовый 5 3 5 2 2 3" xfId="7079" xr:uid="{00000000-0005-0000-0000-0000A81B0000}"/>
    <cellStyle name="Финансовый 5 3 5 2 3" xfId="7080" xr:uid="{00000000-0005-0000-0000-0000A91B0000}"/>
    <cellStyle name="Финансовый 5 3 5 2 3 2" xfId="7081" xr:uid="{00000000-0005-0000-0000-0000AA1B0000}"/>
    <cellStyle name="Финансовый 5 3 5 2 4" xfId="7082" xr:uid="{00000000-0005-0000-0000-0000AB1B0000}"/>
    <cellStyle name="Финансовый 5 3 5 3" xfId="7083" xr:uid="{00000000-0005-0000-0000-0000AC1B0000}"/>
    <cellStyle name="Финансовый 5 3 5 3 2" xfId="7084" xr:uid="{00000000-0005-0000-0000-0000AD1B0000}"/>
    <cellStyle name="Финансовый 5 3 5 3 2 2" xfId="7085" xr:uid="{00000000-0005-0000-0000-0000AE1B0000}"/>
    <cellStyle name="Финансовый 5 3 5 3 3" xfId="7086" xr:uid="{00000000-0005-0000-0000-0000AF1B0000}"/>
    <cellStyle name="Финансовый 5 3 5 4" xfId="7087" xr:uid="{00000000-0005-0000-0000-0000B01B0000}"/>
    <cellStyle name="Финансовый 5 3 5 4 2" xfId="7088" xr:uid="{00000000-0005-0000-0000-0000B11B0000}"/>
    <cellStyle name="Финансовый 5 3 5 5" xfId="7089" xr:uid="{00000000-0005-0000-0000-0000B21B0000}"/>
    <cellStyle name="Финансовый 5 3 6" xfId="7090" xr:uid="{00000000-0005-0000-0000-0000B31B0000}"/>
    <cellStyle name="Финансовый 5 3 6 2" xfId="7091" xr:uid="{00000000-0005-0000-0000-0000B41B0000}"/>
    <cellStyle name="Финансовый 5 3 6 2 2" xfId="7092" xr:uid="{00000000-0005-0000-0000-0000B51B0000}"/>
    <cellStyle name="Финансовый 5 3 6 2 2 2" xfId="7093" xr:uid="{00000000-0005-0000-0000-0000B61B0000}"/>
    <cellStyle name="Финансовый 5 3 6 2 3" xfId="7094" xr:uid="{00000000-0005-0000-0000-0000B71B0000}"/>
    <cellStyle name="Финансовый 5 3 6 3" xfId="7095" xr:uid="{00000000-0005-0000-0000-0000B81B0000}"/>
    <cellStyle name="Финансовый 5 3 6 3 2" xfId="7096" xr:uid="{00000000-0005-0000-0000-0000B91B0000}"/>
    <cellStyle name="Финансовый 5 3 6 4" xfId="7097" xr:uid="{00000000-0005-0000-0000-0000BA1B0000}"/>
    <cellStyle name="Финансовый 5 3 7" xfId="7098" xr:uid="{00000000-0005-0000-0000-0000BB1B0000}"/>
    <cellStyle name="Финансовый 5 3 7 2" xfId="7099" xr:uid="{00000000-0005-0000-0000-0000BC1B0000}"/>
    <cellStyle name="Финансовый 5 3 7 2 2" xfId="7100" xr:uid="{00000000-0005-0000-0000-0000BD1B0000}"/>
    <cellStyle name="Финансовый 5 3 7 3" xfId="7101" xr:uid="{00000000-0005-0000-0000-0000BE1B0000}"/>
    <cellStyle name="Финансовый 5 3 8" xfId="7102" xr:uid="{00000000-0005-0000-0000-0000BF1B0000}"/>
    <cellStyle name="Финансовый 5 3 8 2" xfId="7103" xr:uid="{00000000-0005-0000-0000-0000C01B0000}"/>
    <cellStyle name="Финансовый 5 3 9" xfId="7104" xr:uid="{00000000-0005-0000-0000-0000C11B0000}"/>
    <cellStyle name="Финансовый 5 4" xfId="7105" xr:uid="{00000000-0005-0000-0000-0000C21B0000}"/>
    <cellStyle name="Финансовый 5 4 2" xfId="7106" xr:uid="{00000000-0005-0000-0000-0000C31B0000}"/>
    <cellStyle name="Финансовый 5 4 2 2" xfId="7107" xr:uid="{00000000-0005-0000-0000-0000C41B0000}"/>
    <cellStyle name="Финансовый 5 4 2 2 2" xfId="7108" xr:uid="{00000000-0005-0000-0000-0000C51B0000}"/>
    <cellStyle name="Финансовый 5 4 2 2 2 2" xfId="7109" xr:uid="{00000000-0005-0000-0000-0000C61B0000}"/>
    <cellStyle name="Финансовый 5 4 2 2 2 2 2" xfId="7110" xr:uid="{00000000-0005-0000-0000-0000C71B0000}"/>
    <cellStyle name="Финансовый 5 4 2 2 2 2 2 2" xfId="7111" xr:uid="{00000000-0005-0000-0000-0000C81B0000}"/>
    <cellStyle name="Финансовый 5 4 2 2 2 2 2 2 2" xfId="7112" xr:uid="{00000000-0005-0000-0000-0000C91B0000}"/>
    <cellStyle name="Финансовый 5 4 2 2 2 2 2 3" xfId="7113" xr:uid="{00000000-0005-0000-0000-0000CA1B0000}"/>
    <cellStyle name="Финансовый 5 4 2 2 2 2 3" xfId="7114" xr:uid="{00000000-0005-0000-0000-0000CB1B0000}"/>
    <cellStyle name="Финансовый 5 4 2 2 2 2 3 2" xfId="7115" xr:uid="{00000000-0005-0000-0000-0000CC1B0000}"/>
    <cellStyle name="Финансовый 5 4 2 2 2 2 4" xfId="7116" xr:uid="{00000000-0005-0000-0000-0000CD1B0000}"/>
    <cellStyle name="Финансовый 5 4 2 2 2 3" xfId="7117" xr:uid="{00000000-0005-0000-0000-0000CE1B0000}"/>
    <cellStyle name="Финансовый 5 4 2 2 2 3 2" xfId="7118" xr:uid="{00000000-0005-0000-0000-0000CF1B0000}"/>
    <cellStyle name="Финансовый 5 4 2 2 2 3 2 2" xfId="7119" xr:uid="{00000000-0005-0000-0000-0000D01B0000}"/>
    <cellStyle name="Финансовый 5 4 2 2 2 3 3" xfId="7120" xr:uid="{00000000-0005-0000-0000-0000D11B0000}"/>
    <cellStyle name="Финансовый 5 4 2 2 2 4" xfId="7121" xr:uid="{00000000-0005-0000-0000-0000D21B0000}"/>
    <cellStyle name="Финансовый 5 4 2 2 2 4 2" xfId="7122" xr:uid="{00000000-0005-0000-0000-0000D31B0000}"/>
    <cellStyle name="Финансовый 5 4 2 2 2 5" xfId="7123" xr:uid="{00000000-0005-0000-0000-0000D41B0000}"/>
    <cellStyle name="Финансовый 5 4 2 2 3" xfId="7124" xr:uid="{00000000-0005-0000-0000-0000D51B0000}"/>
    <cellStyle name="Финансовый 5 4 2 2 3 2" xfId="7125" xr:uid="{00000000-0005-0000-0000-0000D61B0000}"/>
    <cellStyle name="Финансовый 5 4 2 2 3 2 2" xfId="7126" xr:uid="{00000000-0005-0000-0000-0000D71B0000}"/>
    <cellStyle name="Финансовый 5 4 2 2 3 2 2 2" xfId="7127" xr:uid="{00000000-0005-0000-0000-0000D81B0000}"/>
    <cellStyle name="Финансовый 5 4 2 2 3 2 3" xfId="7128" xr:uid="{00000000-0005-0000-0000-0000D91B0000}"/>
    <cellStyle name="Финансовый 5 4 2 2 3 3" xfId="7129" xr:uid="{00000000-0005-0000-0000-0000DA1B0000}"/>
    <cellStyle name="Финансовый 5 4 2 2 3 3 2" xfId="7130" xr:uid="{00000000-0005-0000-0000-0000DB1B0000}"/>
    <cellStyle name="Финансовый 5 4 2 2 3 4" xfId="7131" xr:uid="{00000000-0005-0000-0000-0000DC1B0000}"/>
    <cellStyle name="Финансовый 5 4 2 2 4" xfId="7132" xr:uid="{00000000-0005-0000-0000-0000DD1B0000}"/>
    <cellStyle name="Финансовый 5 4 2 2 4 2" xfId="7133" xr:uid="{00000000-0005-0000-0000-0000DE1B0000}"/>
    <cellStyle name="Финансовый 5 4 2 2 4 2 2" xfId="7134" xr:uid="{00000000-0005-0000-0000-0000DF1B0000}"/>
    <cellStyle name="Финансовый 5 4 2 2 4 3" xfId="7135" xr:uid="{00000000-0005-0000-0000-0000E01B0000}"/>
    <cellStyle name="Финансовый 5 4 2 2 5" xfId="7136" xr:uid="{00000000-0005-0000-0000-0000E11B0000}"/>
    <cellStyle name="Финансовый 5 4 2 2 5 2" xfId="7137" xr:uid="{00000000-0005-0000-0000-0000E21B0000}"/>
    <cellStyle name="Финансовый 5 4 2 2 6" xfId="7138" xr:uid="{00000000-0005-0000-0000-0000E31B0000}"/>
    <cellStyle name="Финансовый 5 4 2 3" xfId="7139" xr:uid="{00000000-0005-0000-0000-0000E41B0000}"/>
    <cellStyle name="Финансовый 5 4 2 3 2" xfId="7140" xr:uid="{00000000-0005-0000-0000-0000E51B0000}"/>
    <cellStyle name="Финансовый 5 4 2 3 2 2" xfId="7141" xr:uid="{00000000-0005-0000-0000-0000E61B0000}"/>
    <cellStyle name="Финансовый 5 4 2 3 2 2 2" xfId="7142" xr:uid="{00000000-0005-0000-0000-0000E71B0000}"/>
    <cellStyle name="Финансовый 5 4 2 3 2 2 2 2" xfId="7143" xr:uid="{00000000-0005-0000-0000-0000E81B0000}"/>
    <cellStyle name="Финансовый 5 4 2 3 2 2 3" xfId="7144" xr:uid="{00000000-0005-0000-0000-0000E91B0000}"/>
    <cellStyle name="Финансовый 5 4 2 3 2 3" xfId="7145" xr:uid="{00000000-0005-0000-0000-0000EA1B0000}"/>
    <cellStyle name="Финансовый 5 4 2 3 2 3 2" xfId="7146" xr:uid="{00000000-0005-0000-0000-0000EB1B0000}"/>
    <cellStyle name="Финансовый 5 4 2 3 2 4" xfId="7147" xr:uid="{00000000-0005-0000-0000-0000EC1B0000}"/>
    <cellStyle name="Финансовый 5 4 2 3 3" xfId="7148" xr:uid="{00000000-0005-0000-0000-0000ED1B0000}"/>
    <cellStyle name="Финансовый 5 4 2 3 3 2" xfId="7149" xr:uid="{00000000-0005-0000-0000-0000EE1B0000}"/>
    <cellStyle name="Финансовый 5 4 2 3 3 2 2" xfId="7150" xr:uid="{00000000-0005-0000-0000-0000EF1B0000}"/>
    <cellStyle name="Финансовый 5 4 2 3 3 3" xfId="7151" xr:uid="{00000000-0005-0000-0000-0000F01B0000}"/>
    <cellStyle name="Финансовый 5 4 2 3 4" xfId="7152" xr:uid="{00000000-0005-0000-0000-0000F11B0000}"/>
    <cellStyle name="Финансовый 5 4 2 3 4 2" xfId="7153" xr:uid="{00000000-0005-0000-0000-0000F21B0000}"/>
    <cellStyle name="Финансовый 5 4 2 3 5" xfId="7154" xr:uid="{00000000-0005-0000-0000-0000F31B0000}"/>
    <cellStyle name="Финансовый 5 4 2 4" xfId="7155" xr:uid="{00000000-0005-0000-0000-0000F41B0000}"/>
    <cellStyle name="Финансовый 5 4 2 4 2" xfId="7156" xr:uid="{00000000-0005-0000-0000-0000F51B0000}"/>
    <cellStyle name="Финансовый 5 4 2 4 2 2" xfId="7157" xr:uid="{00000000-0005-0000-0000-0000F61B0000}"/>
    <cellStyle name="Финансовый 5 4 2 4 2 2 2" xfId="7158" xr:uid="{00000000-0005-0000-0000-0000F71B0000}"/>
    <cellStyle name="Финансовый 5 4 2 4 2 3" xfId="7159" xr:uid="{00000000-0005-0000-0000-0000F81B0000}"/>
    <cellStyle name="Финансовый 5 4 2 4 3" xfId="7160" xr:uid="{00000000-0005-0000-0000-0000F91B0000}"/>
    <cellStyle name="Финансовый 5 4 2 4 3 2" xfId="7161" xr:uid="{00000000-0005-0000-0000-0000FA1B0000}"/>
    <cellStyle name="Финансовый 5 4 2 4 4" xfId="7162" xr:uid="{00000000-0005-0000-0000-0000FB1B0000}"/>
    <cellStyle name="Финансовый 5 4 2 5" xfId="7163" xr:uid="{00000000-0005-0000-0000-0000FC1B0000}"/>
    <cellStyle name="Финансовый 5 4 2 5 2" xfId="7164" xr:uid="{00000000-0005-0000-0000-0000FD1B0000}"/>
    <cellStyle name="Финансовый 5 4 2 5 2 2" xfId="7165" xr:uid="{00000000-0005-0000-0000-0000FE1B0000}"/>
    <cellStyle name="Финансовый 5 4 2 5 3" xfId="7166" xr:uid="{00000000-0005-0000-0000-0000FF1B0000}"/>
    <cellStyle name="Финансовый 5 4 2 6" xfId="7167" xr:uid="{00000000-0005-0000-0000-0000001C0000}"/>
    <cellStyle name="Финансовый 5 4 2 6 2" xfId="7168" xr:uid="{00000000-0005-0000-0000-0000011C0000}"/>
    <cellStyle name="Финансовый 5 4 2 7" xfId="7169" xr:uid="{00000000-0005-0000-0000-0000021C0000}"/>
    <cellStyle name="Финансовый 5 4 3" xfId="7170" xr:uid="{00000000-0005-0000-0000-0000031C0000}"/>
    <cellStyle name="Финансовый 5 4 3 2" xfId="7171" xr:uid="{00000000-0005-0000-0000-0000041C0000}"/>
    <cellStyle name="Финансовый 5 4 3 2 2" xfId="7172" xr:uid="{00000000-0005-0000-0000-0000051C0000}"/>
    <cellStyle name="Финансовый 5 4 3 2 2 2" xfId="7173" xr:uid="{00000000-0005-0000-0000-0000061C0000}"/>
    <cellStyle name="Финансовый 5 4 3 2 2 2 2" xfId="7174" xr:uid="{00000000-0005-0000-0000-0000071C0000}"/>
    <cellStyle name="Финансовый 5 4 3 2 2 2 2 2" xfId="7175" xr:uid="{00000000-0005-0000-0000-0000081C0000}"/>
    <cellStyle name="Финансовый 5 4 3 2 2 2 3" xfId="7176" xr:uid="{00000000-0005-0000-0000-0000091C0000}"/>
    <cellStyle name="Финансовый 5 4 3 2 2 3" xfId="7177" xr:uid="{00000000-0005-0000-0000-00000A1C0000}"/>
    <cellStyle name="Финансовый 5 4 3 2 2 3 2" xfId="7178" xr:uid="{00000000-0005-0000-0000-00000B1C0000}"/>
    <cellStyle name="Финансовый 5 4 3 2 2 4" xfId="7179" xr:uid="{00000000-0005-0000-0000-00000C1C0000}"/>
    <cellStyle name="Финансовый 5 4 3 2 3" xfId="7180" xr:uid="{00000000-0005-0000-0000-00000D1C0000}"/>
    <cellStyle name="Финансовый 5 4 3 2 3 2" xfId="7181" xr:uid="{00000000-0005-0000-0000-00000E1C0000}"/>
    <cellStyle name="Финансовый 5 4 3 2 3 2 2" xfId="7182" xr:uid="{00000000-0005-0000-0000-00000F1C0000}"/>
    <cellStyle name="Финансовый 5 4 3 2 3 3" xfId="7183" xr:uid="{00000000-0005-0000-0000-0000101C0000}"/>
    <cellStyle name="Финансовый 5 4 3 2 4" xfId="7184" xr:uid="{00000000-0005-0000-0000-0000111C0000}"/>
    <cellStyle name="Финансовый 5 4 3 2 4 2" xfId="7185" xr:uid="{00000000-0005-0000-0000-0000121C0000}"/>
    <cellStyle name="Финансовый 5 4 3 2 5" xfId="7186" xr:uid="{00000000-0005-0000-0000-0000131C0000}"/>
    <cellStyle name="Финансовый 5 4 3 3" xfId="7187" xr:uid="{00000000-0005-0000-0000-0000141C0000}"/>
    <cellStyle name="Финансовый 5 4 3 3 2" xfId="7188" xr:uid="{00000000-0005-0000-0000-0000151C0000}"/>
    <cellStyle name="Финансовый 5 4 3 3 2 2" xfId="7189" xr:uid="{00000000-0005-0000-0000-0000161C0000}"/>
    <cellStyle name="Финансовый 5 4 3 3 2 2 2" xfId="7190" xr:uid="{00000000-0005-0000-0000-0000171C0000}"/>
    <cellStyle name="Финансовый 5 4 3 3 2 3" xfId="7191" xr:uid="{00000000-0005-0000-0000-0000181C0000}"/>
    <cellStyle name="Финансовый 5 4 3 3 3" xfId="7192" xr:uid="{00000000-0005-0000-0000-0000191C0000}"/>
    <cellStyle name="Финансовый 5 4 3 3 3 2" xfId="7193" xr:uid="{00000000-0005-0000-0000-00001A1C0000}"/>
    <cellStyle name="Финансовый 5 4 3 3 4" xfId="7194" xr:uid="{00000000-0005-0000-0000-00001B1C0000}"/>
    <cellStyle name="Финансовый 5 4 3 4" xfId="7195" xr:uid="{00000000-0005-0000-0000-00001C1C0000}"/>
    <cellStyle name="Финансовый 5 4 3 4 2" xfId="7196" xr:uid="{00000000-0005-0000-0000-00001D1C0000}"/>
    <cellStyle name="Финансовый 5 4 3 4 2 2" xfId="7197" xr:uid="{00000000-0005-0000-0000-00001E1C0000}"/>
    <cellStyle name="Финансовый 5 4 3 4 3" xfId="7198" xr:uid="{00000000-0005-0000-0000-00001F1C0000}"/>
    <cellStyle name="Финансовый 5 4 3 5" xfId="7199" xr:uid="{00000000-0005-0000-0000-0000201C0000}"/>
    <cellStyle name="Финансовый 5 4 3 5 2" xfId="7200" xr:uid="{00000000-0005-0000-0000-0000211C0000}"/>
    <cellStyle name="Финансовый 5 4 3 6" xfId="7201" xr:uid="{00000000-0005-0000-0000-0000221C0000}"/>
    <cellStyle name="Финансовый 5 4 4" xfId="7202" xr:uid="{00000000-0005-0000-0000-0000231C0000}"/>
    <cellStyle name="Финансовый 5 4 4 2" xfId="7203" xr:uid="{00000000-0005-0000-0000-0000241C0000}"/>
    <cellStyle name="Финансовый 5 4 4 2 2" xfId="7204" xr:uid="{00000000-0005-0000-0000-0000251C0000}"/>
    <cellStyle name="Финансовый 5 4 4 2 2 2" xfId="7205" xr:uid="{00000000-0005-0000-0000-0000261C0000}"/>
    <cellStyle name="Финансовый 5 4 4 2 2 2 2" xfId="7206" xr:uid="{00000000-0005-0000-0000-0000271C0000}"/>
    <cellStyle name="Финансовый 5 4 4 2 2 3" xfId="7207" xr:uid="{00000000-0005-0000-0000-0000281C0000}"/>
    <cellStyle name="Финансовый 5 4 4 2 3" xfId="7208" xr:uid="{00000000-0005-0000-0000-0000291C0000}"/>
    <cellStyle name="Финансовый 5 4 4 2 3 2" xfId="7209" xr:uid="{00000000-0005-0000-0000-00002A1C0000}"/>
    <cellStyle name="Финансовый 5 4 4 2 4" xfId="7210" xr:uid="{00000000-0005-0000-0000-00002B1C0000}"/>
    <cellStyle name="Финансовый 5 4 4 3" xfId="7211" xr:uid="{00000000-0005-0000-0000-00002C1C0000}"/>
    <cellStyle name="Финансовый 5 4 4 3 2" xfId="7212" xr:uid="{00000000-0005-0000-0000-00002D1C0000}"/>
    <cellStyle name="Финансовый 5 4 4 3 2 2" xfId="7213" xr:uid="{00000000-0005-0000-0000-00002E1C0000}"/>
    <cellStyle name="Финансовый 5 4 4 3 3" xfId="7214" xr:uid="{00000000-0005-0000-0000-00002F1C0000}"/>
    <cellStyle name="Финансовый 5 4 4 4" xfId="7215" xr:uid="{00000000-0005-0000-0000-0000301C0000}"/>
    <cellStyle name="Финансовый 5 4 4 4 2" xfId="7216" xr:uid="{00000000-0005-0000-0000-0000311C0000}"/>
    <cellStyle name="Финансовый 5 4 4 5" xfId="7217" xr:uid="{00000000-0005-0000-0000-0000321C0000}"/>
    <cellStyle name="Финансовый 5 4 5" xfId="7218" xr:uid="{00000000-0005-0000-0000-0000331C0000}"/>
    <cellStyle name="Финансовый 5 4 5 2" xfId="7219" xr:uid="{00000000-0005-0000-0000-0000341C0000}"/>
    <cellStyle name="Финансовый 5 4 5 2 2" xfId="7220" xr:uid="{00000000-0005-0000-0000-0000351C0000}"/>
    <cellStyle name="Финансовый 5 4 5 2 2 2" xfId="7221" xr:uid="{00000000-0005-0000-0000-0000361C0000}"/>
    <cellStyle name="Финансовый 5 4 5 2 3" xfId="7222" xr:uid="{00000000-0005-0000-0000-0000371C0000}"/>
    <cellStyle name="Финансовый 5 4 5 3" xfId="7223" xr:uid="{00000000-0005-0000-0000-0000381C0000}"/>
    <cellStyle name="Финансовый 5 4 5 3 2" xfId="7224" xr:uid="{00000000-0005-0000-0000-0000391C0000}"/>
    <cellStyle name="Финансовый 5 4 5 4" xfId="7225" xr:uid="{00000000-0005-0000-0000-00003A1C0000}"/>
    <cellStyle name="Финансовый 5 4 6" xfId="7226" xr:uid="{00000000-0005-0000-0000-00003B1C0000}"/>
    <cellStyle name="Финансовый 5 4 6 2" xfId="7227" xr:uid="{00000000-0005-0000-0000-00003C1C0000}"/>
    <cellStyle name="Финансовый 5 4 6 2 2" xfId="7228" xr:uid="{00000000-0005-0000-0000-00003D1C0000}"/>
    <cellStyle name="Финансовый 5 4 6 3" xfId="7229" xr:uid="{00000000-0005-0000-0000-00003E1C0000}"/>
    <cellStyle name="Финансовый 5 4 7" xfId="7230" xr:uid="{00000000-0005-0000-0000-00003F1C0000}"/>
    <cellStyle name="Финансовый 5 4 7 2" xfId="7231" xr:uid="{00000000-0005-0000-0000-0000401C0000}"/>
    <cellStyle name="Финансовый 5 4 8" xfId="7232" xr:uid="{00000000-0005-0000-0000-0000411C0000}"/>
    <cellStyle name="Финансовый 5 5" xfId="7233" xr:uid="{00000000-0005-0000-0000-0000421C0000}"/>
    <cellStyle name="Финансовый 5 5 2" xfId="7234" xr:uid="{00000000-0005-0000-0000-0000431C0000}"/>
    <cellStyle name="Финансовый 5 5 2 2" xfId="7235" xr:uid="{00000000-0005-0000-0000-0000441C0000}"/>
    <cellStyle name="Финансовый 5 5 2 2 2" xfId="7236" xr:uid="{00000000-0005-0000-0000-0000451C0000}"/>
    <cellStyle name="Финансовый 5 5 2 2 2 2" xfId="7237" xr:uid="{00000000-0005-0000-0000-0000461C0000}"/>
    <cellStyle name="Финансовый 5 5 2 2 2 2 2" xfId="7238" xr:uid="{00000000-0005-0000-0000-0000471C0000}"/>
    <cellStyle name="Финансовый 5 5 2 2 2 2 2 2" xfId="7239" xr:uid="{00000000-0005-0000-0000-0000481C0000}"/>
    <cellStyle name="Финансовый 5 5 2 2 2 2 3" xfId="7240" xr:uid="{00000000-0005-0000-0000-0000491C0000}"/>
    <cellStyle name="Финансовый 5 5 2 2 2 3" xfId="7241" xr:uid="{00000000-0005-0000-0000-00004A1C0000}"/>
    <cellStyle name="Финансовый 5 5 2 2 2 3 2" xfId="7242" xr:uid="{00000000-0005-0000-0000-00004B1C0000}"/>
    <cellStyle name="Финансовый 5 5 2 2 2 4" xfId="7243" xr:uid="{00000000-0005-0000-0000-00004C1C0000}"/>
    <cellStyle name="Финансовый 5 5 2 2 3" xfId="7244" xr:uid="{00000000-0005-0000-0000-00004D1C0000}"/>
    <cellStyle name="Финансовый 5 5 2 2 3 2" xfId="7245" xr:uid="{00000000-0005-0000-0000-00004E1C0000}"/>
    <cellStyle name="Финансовый 5 5 2 2 3 2 2" xfId="7246" xr:uid="{00000000-0005-0000-0000-00004F1C0000}"/>
    <cellStyle name="Финансовый 5 5 2 2 3 3" xfId="7247" xr:uid="{00000000-0005-0000-0000-0000501C0000}"/>
    <cellStyle name="Финансовый 5 5 2 2 4" xfId="7248" xr:uid="{00000000-0005-0000-0000-0000511C0000}"/>
    <cellStyle name="Финансовый 5 5 2 2 4 2" xfId="7249" xr:uid="{00000000-0005-0000-0000-0000521C0000}"/>
    <cellStyle name="Финансовый 5 5 2 2 5" xfId="7250" xr:uid="{00000000-0005-0000-0000-0000531C0000}"/>
    <cellStyle name="Финансовый 5 5 2 3" xfId="7251" xr:uid="{00000000-0005-0000-0000-0000541C0000}"/>
    <cellStyle name="Финансовый 5 5 2 3 2" xfId="7252" xr:uid="{00000000-0005-0000-0000-0000551C0000}"/>
    <cellStyle name="Финансовый 5 5 2 3 2 2" xfId="7253" xr:uid="{00000000-0005-0000-0000-0000561C0000}"/>
    <cellStyle name="Финансовый 5 5 2 3 2 2 2" xfId="7254" xr:uid="{00000000-0005-0000-0000-0000571C0000}"/>
    <cellStyle name="Финансовый 5 5 2 3 2 3" xfId="7255" xr:uid="{00000000-0005-0000-0000-0000581C0000}"/>
    <cellStyle name="Финансовый 5 5 2 3 3" xfId="7256" xr:uid="{00000000-0005-0000-0000-0000591C0000}"/>
    <cellStyle name="Финансовый 5 5 2 3 3 2" xfId="7257" xr:uid="{00000000-0005-0000-0000-00005A1C0000}"/>
    <cellStyle name="Финансовый 5 5 2 3 4" xfId="7258" xr:uid="{00000000-0005-0000-0000-00005B1C0000}"/>
    <cellStyle name="Финансовый 5 5 2 4" xfId="7259" xr:uid="{00000000-0005-0000-0000-00005C1C0000}"/>
    <cellStyle name="Финансовый 5 5 2 4 2" xfId="7260" xr:uid="{00000000-0005-0000-0000-00005D1C0000}"/>
    <cellStyle name="Финансовый 5 5 2 4 2 2" xfId="7261" xr:uid="{00000000-0005-0000-0000-00005E1C0000}"/>
    <cellStyle name="Финансовый 5 5 2 4 3" xfId="7262" xr:uid="{00000000-0005-0000-0000-00005F1C0000}"/>
    <cellStyle name="Финансовый 5 5 2 5" xfId="7263" xr:uid="{00000000-0005-0000-0000-0000601C0000}"/>
    <cellStyle name="Финансовый 5 5 2 5 2" xfId="7264" xr:uid="{00000000-0005-0000-0000-0000611C0000}"/>
    <cellStyle name="Финансовый 5 5 2 6" xfId="7265" xr:uid="{00000000-0005-0000-0000-0000621C0000}"/>
    <cellStyle name="Финансовый 5 5 3" xfId="7266" xr:uid="{00000000-0005-0000-0000-0000631C0000}"/>
    <cellStyle name="Финансовый 5 5 3 2" xfId="7267" xr:uid="{00000000-0005-0000-0000-0000641C0000}"/>
    <cellStyle name="Финансовый 5 5 3 2 2" xfId="7268" xr:uid="{00000000-0005-0000-0000-0000651C0000}"/>
    <cellStyle name="Финансовый 5 5 3 2 2 2" xfId="7269" xr:uid="{00000000-0005-0000-0000-0000661C0000}"/>
    <cellStyle name="Финансовый 5 5 3 2 2 2 2" xfId="7270" xr:uid="{00000000-0005-0000-0000-0000671C0000}"/>
    <cellStyle name="Финансовый 5 5 3 2 2 3" xfId="7271" xr:uid="{00000000-0005-0000-0000-0000681C0000}"/>
    <cellStyle name="Финансовый 5 5 3 2 3" xfId="7272" xr:uid="{00000000-0005-0000-0000-0000691C0000}"/>
    <cellStyle name="Финансовый 5 5 3 2 3 2" xfId="7273" xr:uid="{00000000-0005-0000-0000-00006A1C0000}"/>
    <cellStyle name="Финансовый 5 5 3 2 4" xfId="7274" xr:uid="{00000000-0005-0000-0000-00006B1C0000}"/>
    <cellStyle name="Финансовый 5 5 3 3" xfId="7275" xr:uid="{00000000-0005-0000-0000-00006C1C0000}"/>
    <cellStyle name="Финансовый 5 5 3 3 2" xfId="7276" xr:uid="{00000000-0005-0000-0000-00006D1C0000}"/>
    <cellStyle name="Финансовый 5 5 3 3 2 2" xfId="7277" xr:uid="{00000000-0005-0000-0000-00006E1C0000}"/>
    <cellStyle name="Финансовый 5 5 3 3 3" xfId="7278" xr:uid="{00000000-0005-0000-0000-00006F1C0000}"/>
    <cellStyle name="Финансовый 5 5 3 4" xfId="7279" xr:uid="{00000000-0005-0000-0000-0000701C0000}"/>
    <cellStyle name="Финансовый 5 5 3 4 2" xfId="7280" xr:uid="{00000000-0005-0000-0000-0000711C0000}"/>
    <cellStyle name="Финансовый 5 5 3 5" xfId="7281" xr:uid="{00000000-0005-0000-0000-0000721C0000}"/>
    <cellStyle name="Финансовый 5 5 4" xfId="7282" xr:uid="{00000000-0005-0000-0000-0000731C0000}"/>
    <cellStyle name="Финансовый 5 5 4 2" xfId="7283" xr:uid="{00000000-0005-0000-0000-0000741C0000}"/>
    <cellStyle name="Финансовый 5 5 4 2 2" xfId="7284" xr:uid="{00000000-0005-0000-0000-0000751C0000}"/>
    <cellStyle name="Финансовый 5 5 4 2 2 2" xfId="7285" xr:uid="{00000000-0005-0000-0000-0000761C0000}"/>
    <cellStyle name="Финансовый 5 5 4 2 3" xfId="7286" xr:uid="{00000000-0005-0000-0000-0000771C0000}"/>
    <cellStyle name="Финансовый 5 5 4 3" xfId="7287" xr:uid="{00000000-0005-0000-0000-0000781C0000}"/>
    <cellStyle name="Финансовый 5 5 4 3 2" xfId="7288" xr:uid="{00000000-0005-0000-0000-0000791C0000}"/>
    <cellStyle name="Финансовый 5 5 4 4" xfId="7289" xr:uid="{00000000-0005-0000-0000-00007A1C0000}"/>
    <cellStyle name="Финансовый 5 5 5" xfId="7290" xr:uid="{00000000-0005-0000-0000-00007B1C0000}"/>
    <cellStyle name="Финансовый 5 5 5 2" xfId="7291" xr:uid="{00000000-0005-0000-0000-00007C1C0000}"/>
    <cellStyle name="Финансовый 5 5 5 2 2" xfId="7292" xr:uid="{00000000-0005-0000-0000-00007D1C0000}"/>
    <cellStyle name="Финансовый 5 5 5 3" xfId="7293" xr:uid="{00000000-0005-0000-0000-00007E1C0000}"/>
    <cellStyle name="Финансовый 5 5 6" xfId="7294" xr:uid="{00000000-0005-0000-0000-00007F1C0000}"/>
    <cellStyle name="Финансовый 5 5 6 2" xfId="7295" xr:uid="{00000000-0005-0000-0000-0000801C0000}"/>
    <cellStyle name="Финансовый 5 5 7" xfId="7296" xr:uid="{00000000-0005-0000-0000-0000811C0000}"/>
    <cellStyle name="Финансовый 5 6" xfId="7297" xr:uid="{00000000-0005-0000-0000-0000821C0000}"/>
    <cellStyle name="Финансовый 5 6 2" xfId="7298" xr:uid="{00000000-0005-0000-0000-0000831C0000}"/>
    <cellStyle name="Финансовый 5 6 2 2" xfId="7299" xr:uid="{00000000-0005-0000-0000-0000841C0000}"/>
    <cellStyle name="Финансовый 5 6 2 2 2" xfId="7300" xr:uid="{00000000-0005-0000-0000-0000851C0000}"/>
    <cellStyle name="Финансовый 5 6 2 2 2 2" xfId="7301" xr:uid="{00000000-0005-0000-0000-0000861C0000}"/>
    <cellStyle name="Финансовый 5 6 2 2 2 2 2" xfId="7302" xr:uid="{00000000-0005-0000-0000-0000871C0000}"/>
    <cellStyle name="Финансовый 5 6 2 2 2 3" xfId="7303" xr:uid="{00000000-0005-0000-0000-0000881C0000}"/>
    <cellStyle name="Финансовый 5 6 2 2 3" xfId="7304" xr:uid="{00000000-0005-0000-0000-0000891C0000}"/>
    <cellStyle name="Финансовый 5 6 2 2 3 2" xfId="7305" xr:uid="{00000000-0005-0000-0000-00008A1C0000}"/>
    <cellStyle name="Финансовый 5 6 2 2 4" xfId="7306" xr:uid="{00000000-0005-0000-0000-00008B1C0000}"/>
    <cellStyle name="Финансовый 5 6 2 3" xfId="7307" xr:uid="{00000000-0005-0000-0000-00008C1C0000}"/>
    <cellStyle name="Финансовый 5 6 2 3 2" xfId="7308" xr:uid="{00000000-0005-0000-0000-00008D1C0000}"/>
    <cellStyle name="Финансовый 5 6 2 3 2 2" xfId="7309" xr:uid="{00000000-0005-0000-0000-00008E1C0000}"/>
    <cellStyle name="Финансовый 5 6 2 3 3" xfId="7310" xr:uid="{00000000-0005-0000-0000-00008F1C0000}"/>
    <cellStyle name="Финансовый 5 6 2 4" xfId="7311" xr:uid="{00000000-0005-0000-0000-0000901C0000}"/>
    <cellStyle name="Финансовый 5 6 2 4 2" xfId="7312" xr:uid="{00000000-0005-0000-0000-0000911C0000}"/>
    <cellStyle name="Финансовый 5 6 2 5" xfId="7313" xr:uid="{00000000-0005-0000-0000-0000921C0000}"/>
    <cellStyle name="Финансовый 5 6 3" xfId="7314" xr:uid="{00000000-0005-0000-0000-0000931C0000}"/>
    <cellStyle name="Финансовый 5 6 3 2" xfId="7315" xr:uid="{00000000-0005-0000-0000-0000941C0000}"/>
    <cellStyle name="Финансовый 5 6 3 2 2" xfId="7316" xr:uid="{00000000-0005-0000-0000-0000951C0000}"/>
    <cellStyle name="Финансовый 5 6 3 2 2 2" xfId="7317" xr:uid="{00000000-0005-0000-0000-0000961C0000}"/>
    <cellStyle name="Финансовый 5 6 3 2 3" xfId="7318" xr:uid="{00000000-0005-0000-0000-0000971C0000}"/>
    <cellStyle name="Финансовый 5 6 3 3" xfId="7319" xr:uid="{00000000-0005-0000-0000-0000981C0000}"/>
    <cellStyle name="Финансовый 5 6 3 3 2" xfId="7320" xr:uid="{00000000-0005-0000-0000-0000991C0000}"/>
    <cellStyle name="Финансовый 5 6 3 4" xfId="7321" xr:uid="{00000000-0005-0000-0000-00009A1C0000}"/>
    <cellStyle name="Финансовый 5 6 4" xfId="7322" xr:uid="{00000000-0005-0000-0000-00009B1C0000}"/>
    <cellStyle name="Финансовый 5 6 4 2" xfId="7323" xr:uid="{00000000-0005-0000-0000-00009C1C0000}"/>
    <cellStyle name="Финансовый 5 6 4 2 2" xfId="7324" xr:uid="{00000000-0005-0000-0000-00009D1C0000}"/>
    <cellStyle name="Финансовый 5 6 4 3" xfId="7325" xr:uid="{00000000-0005-0000-0000-00009E1C0000}"/>
    <cellStyle name="Финансовый 5 6 5" xfId="7326" xr:uid="{00000000-0005-0000-0000-00009F1C0000}"/>
    <cellStyle name="Финансовый 5 6 5 2" xfId="7327" xr:uid="{00000000-0005-0000-0000-0000A01C0000}"/>
    <cellStyle name="Финансовый 5 6 6" xfId="7328" xr:uid="{00000000-0005-0000-0000-0000A11C0000}"/>
    <cellStyle name="Финансовый 5 7" xfId="7329" xr:uid="{00000000-0005-0000-0000-0000A21C0000}"/>
    <cellStyle name="Финансовый 5 7 2" xfId="7330" xr:uid="{00000000-0005-0000-0000-0000A31C0000}"/>
    <cellStyle name="Финансовый 5 7 2 2" xfId="7331" xr:uid="{00000000-0005-0000-0000-0000A41C0000}"/>
    <cellStyle name="Финансовый 5 7 2 2 2" xfId="7332" xr:uid="{00000000-0005-0000-0000-0000A51C0000}"/>
    <cellStyle name="Финансовый 5 7 2 2 2 2" xfId="7333" xr:uid="{00000000-0005-0000-0000-0000A61C0000}"/>
    <cellStyle name="Финансовый 5 7 2 2 3" xfId="7334" xr:uid="{00000000-0005-0000-0000-0000A71C0000}"/>
    <cellStyle name="Финансовый 5 7 2 3" xfId="7335" xr:uid="{00000000-0005-0000-0000-0000A81C0000}"/>
    <cellStyle name="Финансовый 5 7 2 3 2" xfId="7336" xr:uid="{00000000-0005-0000-0000-0000A91C0000}"/>
    <cellStyle name="Финансовый 5 7 2 4" xfId="7337" xr:uid="{00000000-0005-0000-0000-0000AA1C0000}"/>
    <cellStyle name="Финансовый 5 7 3" xfId="7338" xr:uid="{00000000-0005-0000-0000-0000AB1C0000}"/>
    <cellStyle name="Финансовый 5 7 3 2" xfId="7339" xr:uid="{00000000-0005-0000-0000-0000AC1C0000}"/>
    <cellStyle name="Финансовый 5 7 3 2 2" xfId="7340" xr:uid="{00000000-0005-0000-0000-0000AD1C0000}"/>
    <cellStyle name="Финансовый 5 7 3 3" xfId="7341" xr:uid="{00000000-0005-0000-0000-0000AE1C0000}"/>
    <cellStyle name="Финансовый 5 7 4" xfId="7342" xr:uid="{00000000-0005-0000-0000-0000AF1C0000}"/>
    <cellStyle name="Финансовый 5 7 4 2" xfId="7343" xr:uid="{00000000-0005-0000-0000-0000B01C0000}"/>
    <cellStyle name="Финансовый 5 7 5" xfId="7344" xr:uid="{00000000-0005-0000-0000-0000B11C0000}"/>
    <cellStyle name="Финансовый 5 8" xfId="7345" xr:uid="{00000000-0005-0000-0000-0000B21C0000}"/>
    <cellStyle name="Финансовый 5 8 2" xfId="7346" xr:uid="{00000000-0005-0000-0000-0000B31C0000}"/>
    <cellStyle name="Финансовый 5 8 2 2" xfId="7347" xr:uid="{00000000-0005-0000-0000-0000B41C0000}"/>
    <cellStyle name="Финансовый 5 8 2 2 2" xfId="7348" xr:uid="{00000000-0005-0000-0000-0000B51C0000}"/>
    <cellStyle name="Финансовый 5 8 2 3" xfId="7349" xr:uid="{00000000-0005-0000-0000-0000B61C0000}"/>
    <cellStyle name="Финансовый 5 8 3" xfId="7350" xr:uid="{00000000-0005-0000-0000-0000B71C0000}"/>
    <cellStyle name="Финансовый 5 8 3 2" xfId="7351" xr:uid="{00000000-0005-0000-0000-0000B81C0000}"/>
    <cellStyle name="Финансовый 5 8 4" xfId="7352" xr:uid="{00000000-0005-0000-0000-0000B91C0000}"/>
    <cellStyle name="Финансовый 5 9" xfId="7353" xr:uid="{00000000-0005-0000-0000-0000BA1C0000}"/>
    <cellStyle name="Финансовый 5 9 2" xfId="7354" xr:uid="{00000000-0005-0000-0000-0000BB1C0000}"/>
    <cellStyle name="Финансовый 5 9 2 2" xfId="7355" xr:uid="{00000000-0005-0000-0000-0000BC1C0000}"/>
    <cellStyle name="Финансовый 5 9 3" xfId="7356" xr:uid="{00000000-0005-0000-0000-0000BD1C0000}"/>
    <cellStyle name="Финансовый 6" xfId="7357" xr:uid="{00000000-0005-0000-0000-0000BE1C0000}"/>
    <cellStyle name="Финансовый 6 10" xfId="7358" xr:uid="{00000000-0005-0000-0000-0000BF1C0000}"/>
    <cellStyle name="Финансовый 6 10 2" xfId="7359" xr:uid="{00000000-0005-0000-0000-0000C01C0000}"/>
    <cellStyle name="Финансовый 6 11" xfId="7360" xr:uid="{00000000-0005-0000-0000-0000C11C0000}"/>
    <cellStyle name="Финансовый 6 2" xfId="7361" xr:uid="{00000000-0005-0000-0000-0000C21C0000}"/>
    <cellStyle name="Финансовый 6 2 10" xfId="7362" xr:uid="{00000000-0005-0000-0000-0000C31C0000}"/>
    <cellStyle name="Финансовый 6 2 2" xfId="7363" xr:uid="{00000000-0005-0000-0000-0000C41C0000}"/>
    <cellStyle name="Финансовый 6 2 2 2" xfId="7364" xr:uid="{00000000-0005-0000-0000-0000C51C0000}"/>
    <cellStyle name="Финансовый 6 2 2 2 2" xfId="7365" xr:uid="{00000000-0005-0000-0000-0000C61C0000}"/>
    <cellStyle name="Финансовый 6 2 2 2 2 2" xfId="7366" xr:uid="{00000000-0005-0000-0000-0000C71C0000}"/>
    <cellStyle name="Финансовый 6 2 2 2 2 2 2" xfId="7367" xr:uid="{00000000-0005-0000-0000-0000C81C0000}"/>
    <cellStyle name="Финансовый 6 2 2 2 2 2 2 2" xfId="7368" xr:uid="{00000000-0005-0000-0000-0000C91C0000}"/>
    <cellStyle name="Финансовый 6 2 2 2 2 2 2 2 2" xfId="7369" xr:uid="{00000000-0005-0000-0000-0000CA1C0000}"/>
    <cellStyle name="Финансовый 6 2 2 2 2 2 2 2 2 2" xfId="7370" xr:uid="{00000000-0005-0000-0000-0000CB1C0000}"/>
    <cellStyle name="Финансовый 6 2 2 2 2 2 2 2 2 2 2" xfId="7371" xr:uid="{00000000-0005-0000-0000-0000CC1C0000}"/>
    <cellStyle name="Финансовый 6 2 2 2 2 2 2 2 2 3" xfId="7372" xr:uid="{00000000-0005-0000-0000-0000CD1C0000}"/>
    <cellStyle name="Финансовый 6 2 2 2 2 2 2 2 3" xfId="7373" xr:uid="{00000000-0005-0000-0000-0000CE1C0000}"/>
    <cellStyle name="Финансовый 6 2 2 2 2 2 2 2 3 2" xfId="7374" xr:uid="{00000000-0005-0000-0000-0000CF1C0000}"/>
    <cellStyle name="Финансовый 6 2 2 2 2 2 2 2 4" xfId="7375" xr:uid="{00000000-0005-0000-0000-0000D01C0000}"/>
    <cellStyle name="Финансовый 6 2 2 2 2 2 2 3" xfId="7376" xr:uid="{00000000-0005-0000-0000-0000D11C0000}"/>
    <cellStyle name="Финансовый 6 2 2 2 2 2 2 3 2" xfId="7377" xr:uid="{00000000-0005-0000-0000-0000D21C0000}"/>
    <cellStyle name="Финансовый 6 2 2 2 2 2 2 3 2 2" xfId="7378" xr:uid="{00000000-0005-0000-0000-0000D31C0000}"/>
    <cellStyle name="Финансовый 6 2 2 2 2 2 2 3 3" xfId="7379" xr:uid="{00000000-0005-0000-0000-0000D41C0000}"/>
    <cellStyle name="Финансовый 6 2 2 2 2 2 2 4" xfId="7380" xr:uid="{00000000-0005-0000-0000-0000D51C0000}"/>
    <cellStyle name="Финансовый 6 2 2 2 2 2 2 4 2" xfId="7381" xr:uid="{00000000-0005-0000-0000-0000D61C0000}"/>
    <cellStyle name="Финансовый 6 2 2 2 2 2 2 5" xfId="7382" xr:uid="{00000000-0005-0000-0000-0000D71C0000}"/>
    <cellStyle name="Финансовый 6 2 2 2 2 2 3" xfId="7383" xr:uid="{00000000-0005-0000-0000-0000D81C0000}"/>
    <cellStyle name="Финансовый 6 2 2 2 2 2 3 2" xfId="7384" xr:uid="{00000000-0005-0000-0000-0000D91C0000}"/>
    <cellStyle name="Финансовый 6 2 2 2 2 2 3 2 2" xfId="7385" xr:uid="{00000000-0005-0000-0000-0000DA1C0000}"/>
    <cellStyle name="Финансовый 6 2 2 2 2 2 3 2 2 2" xfId="7386" xr:uid="{00000000-0005-0000-0000-0000DB1C0000}"/>
    <cellStyle name="Финансовый 6 2 2 2 2 2 3 2 3" xfId="7387" xr:uid="{00000000-0005-0000-0000-0000DC1C0000}"/>
    <cellStyle name="Финансовый 6 2 2 2 2 2 3 3" xfId="7388" xr:uid="{00000000-0005-0000-0000-0000DD1C0000}"/>
    <cellStyle name="Финансовый 6 2 2 2 2 2 3 3 2" xfId="7389" xr:uid="{00000000-0005-0000-0000-0000DE1C0000}"/>
    <cellStyle name="Финансовый 6 2 2 2 2 2 3 4" xfId="7390" xr:uid="{00000000-0005-0000-0000-0000DF1C0000}"/>
    <cellStyle name="Финансовый 6 2 2 2 2 2 4" xfId="7391" xr:uid="{00000000-0005-0000-0000-0000E01C0000}"/>
    <cellStyle name="Финансовый 6 2 2 2 2 2 4 2" xfId="7392" xr:uid="{00000000-0005-0000-0000-0000E11C0000}"/>
    <cellStyle name="Финансовый 6 2 2 2 2 2 4 2 2" xfId="7393" xr:uid="{00000000-0005-0000-0000-0000E21C0000}"/>
    <cellStyle name="Финансовый 6 2 2 2 2 2 4 3" xfId="7394" xr:uid="{00000000-0005-0000-0000-0000E31C0000}"/>
    <cellStyle name="Финансовый 6 2 2 2 2 2 5" xfId="7395" xr:uid="{00000000-0005-0000-0000-0000E41C0000}"/>
    <cellStyle name="Финансовый 6 2 2 2 2 2 5 2" xfId="7396" xr:uid="{00000000-0005-0000-0000-0000E51C0000}"/>
    <cellStyle name="Финансовый 6 2 2 2 2 2 6" xfId="7397" xr:uid="{00000000-0005-0000-0000-0000E61C0000}"/>
    <cellStyle name="Финансовый 6 2 2 2 2 3" xfId="7398" xr:uid="{00000000-0005-0000-0000-0000E71C0000}"/>
    <cellStyle name="Финансовый 6 2 2 2 2 3 2" xfId="7399" xr:uid="{00000000-0005-0000-0000-0000E81C0000}"/>
    <cellStyle name="Финансовый 6 2 2 2 2 3 2 2" xfId="7400" xr:uid="{00000000-0005-0000-0000-0000E91C0000}"/>
    <cellStyle name="Финансовый 6 2 2 2 2 3 2 2 2" xfId="7401" xr:uid="{00000000-0005-0000-0000-0000EA1C0000}"/>
    <cellStyle name="Финансовый 6 2 2 2 2 3 2 2 2 2" xfId="7402" xr:uid="{00000000-0005-0000-0000-0000EB1C0000}"/>
    <cellStyle name="Финансовый 6 2 2 2 2 3 2 2 3" xfId="7403" xr:uid="{00000000-0005-0000-0000-0000EC1C0000}"/>
    <cellStyle name="Финансовый 6 2 2 2 2 3 2 3" xfId="7404" xr:uid="{00000000-0005-0000-0000-0000ED1C0000}"/>
    <cellStyle name="Финансовый 6 2 2 2 2 3 2 3 2" xfId="7405" xr:uid="{00000000-0005-0000-0000-0000EE1C0000}"/>
    <cellStyle name="Финансовый 6 2 2 2 2 3 2 4" xfId="7406" xr:uid="{00000000-0005-0000-0000-0000EF1C0000}"/>
    <cellStyle name="Финансовый 6 2 2 2 2 3 3" xfId="7407" xr:uid="{00000000-0005-0000-0000-0000F01C0000}"/>
    <cellStyle name="Финансовый 6 2 2 2 2 3 3 2" xfId="7408" xr:uid="{00000000-0005-0000-0000-0000F11C0000}"/>
    <cellStyle name="Финансовый 6 2 2 2 2 3 3 2 2" xfId="7409" xr:uid="{00000000-0005-0000-0000-0000F21C0000}"/>
    <cellStyle name="Финансовый 6 2 2 2 2 3 3 3" xfId="7410" xr:uid="{00000000-0005-0000-0000-0000F31C0000}"/>
    <cellStyle name="Финансовый 6 2 2 2 2 3 4" xfId="7411" xr:uid="{00000000-0005-0000-0000-0000F41C0000}"/>
    <cellStyle name="Финансовый 6 2 2 2 2 3 4 2" xfId="7412" xr:uid="{00000000-0005-0000-0000-0000F51C0000}"/>
    <cellStyle name="Финансовый 6 2 2 2 2 3 5" xfId="7413" xr:uid="{00000000-0005-0000-0000-0000F61C0000}"/>
    <cellStyle name="Финансовый 6 2 2 2 2 4" xfId="7414" xr:uid="{00000000-0005-0000-0000-0000F71C0000}"/>
    <cellStyle name="Финансовый 6 2 2 2 2 4 2" xfId="7415" xr:uid="{00000000-0005-0000-0000-0000F81C0000}"/>
    <cellStyle name="Финансовый 6 2 2 2 2 4 2 2" xfId="7416" xr:uid="{00000000-0005-0000-0000-0000F91C0000}"/>
    <cellStyle name="Финансовый 6 2 2 2 2 4 2 2 2" xfId="7417" xr:uid="{00000000-0005-0000-0000-0000FA1C0000}"/>
    <cellStyle name="Финансовый 6 2 2 2 2 4 2 3" xfId="7418" xr:uid="{00000000-0005-0000-0000-0000FB1C0000}"/>
    <cellStyle name="Финансовый 6 2 2 2 2 4 3" xfId="7419" xr:uid="{00000000-0005-0000-0000-0000FC1C0000}"/>
    <cellStyle name="Финансовый 6 2 2 2 2 4 3 2" xfId="7420" xr:uid="{00000000-0005-0000-0000-0000FD1C0000}"/>
    <cellStyle name="Финансовый 6 2 2 2 2 4 4" xfId="7421" xr:uid="{00000000-0005-0000-0000-0000FE1C0000}"/>
    <cellStyle name="Финансовый 6 2 2 2 2 5" xfId="7422" xr:uid="{00000000-0005-0000-0000-0000FF1C0000}"/>
    <cellStyle name="Финансовый 6 2 2 2 2 5 2" xfId="7423" xr:uid="{00000000-0005-0000-0000-0000001D0000}"/>
    <cellStyle name="Финансовый 6 2 2 2 2 5 2 2" xfId="7424" xr:uid="{00000000-0005-0000-0000-0000011D0000}"/>
    <cellStyle name="Финансовый 6 2 2 2 2 5 3" xfId="7425" xr:uid="{00000000-0005-0000-0000-0000021D0000}"/>
    <cellStyle name="Финансовый 6 2 2 2 2 6" xfId="7426" xr:uid="{00000000-0005-0000-0000-0000031D0000}"/>
    <cellStyle name="Финансовый 6 2 2 2 2 6 2" xfId="7427" xr:uid="{00000000-0005-0000-0000-0000041D0000}"/>
    <cellStyle name="Финансовый 6 2 2 2 2 7" xfId="7428" xr:uid="{00000000-0005-0000-0000-0000051D0000}"/>
    <cellStyle name="Финансовый 6 2 2 2 3" xfId="7429" xr:uid="{00000000-0005-0000-0000-0000061D0000}"/>
    <cellStyle name="Финансовый 6 2 2 2 3 2" xfId="7430" xr:uid="{00000000-0005-0000-0000-0000071D0000}"/>
    <cellStyle name="Финансовый 6 2 2 2 3 2 2" xfId="7431" xr:uid="{00000000-0005-0000-0000-0000081D0000}"/>
    <cellStyle name="Финансовый 6 2 2 2 3 2 2 2" xfId="7432" xr:uid="{00000000-0005-0000-0000-0000091D0000}"/>
    <cellStyle name="Финансовый 6 2 2 2 3 2 2 2 2" xfId="7433" xr:uid="{00000000-0005-0000-0000-00000A1D0000}"/>
    <cellStyle name="Финансовый 6 2 2 2 3 2 2 2 2 2" xfId="7434" xr:uid="{00000000-0005-0000-0000-00000B1D0000}"/>
    <cellStyle name="Финансовый 6 2 2 2 3 2 2 2 3" xfId="7435" xr:uid="{00000000-0005-0000-0000-00000C1D0000}"/>
    <cellStyle name="Финансовый 6 2 2 2 3 2 2 3" xfId="7436" xr:uid="{00000000-0005-0000-0000-00000D1D0000}"/>
    <cellStyle name="Финансовый 6 2 2 2 3 2 2 3 2" xfId="7437" xr:uid="{00000000-0005-0000-0000-00000E1D0000}"/>
    <cellStyle name="Финансовый 6 2 2 2 3 2 2 4" xfId="7438" xr:uid="{00000000-0005-0000-0000-00000F1D0000}"/>
    <cellStyle name="Финансовый 6 2 2 2 3 2 3" xfId="7439" xr:uid="{00000000-0005-0000-0000-0000101D0000}"/>
    <cellStyle name="Финансовый 6 2 2 2 3 2 3 2" xfId="7440" xr:uid="{00000000-0005-0000-0000-0000111D0000}"/>
    <cellStyle name="Финансовый 6 2 2 2 3 2 3 2 2" xfId="7441" xr:uid="{00000000-0005-0000-0000-0000121D0000}"/>
    <cellStyle name="Финансовый 6 2 2 2 3 2 3 3" xfId="7442" xr:uid="{00000000-0005-0000-0000-0000131D0000}"/>
    <cellStyle name="Финансовый 6 2 2 2 3 2 4" xfId="7443" xr:uid="{00000000-0005-0000-0000-0000141D0000}"/>
    <cellStyle name="Финансовый 6 2 2 2 3 2 4 2" xfId="7444" xr:uid="{00000000-0005-0000-0000-0000151D0000}"/>
    <cellStyle name="Финансовый 6 2 2 2 3 2 5" xfId="7445" xr:uid="{00000000-0005-0000-0000-0000161D0000}"/>
    <cellStyle name="Финансовый 6 2 2 2 3 3" xfId="7446" xr:uid="{00000000-0005-0000-0000-0000171D0000}"/>
    <cellStyle name="Финансовый 6 2 2 2 3 3 2" xfId="7447" xr:uid="{00000000-0005-0000-0000-0000181D0000}"/>
    <cellStyle name="Финансовый 6 2 2 2 3 3 2 2" xfId="7448" xr:uid="{00000000-0005-0000-0000-0000191D0000}"/>
    <cellStyle name="Финансовый 6 2 2 2 3 3 2 2 2" xfId="7449" xr:uid="{00000000-0005-0000-0000-00001A1D0000}"/>
    <cellStyle name="Финансовый 6 2 2 2 3 3 2 3" xfId="7450" xr:uid="{00000000-0005-0000-0000-00001B1D0000}"/>
    <cellStyle name="Финансовый 6 2 2 2 3 3 3" xfId="7451" xr:uid="{00000000-0005-0000-0000-00001C1D0000}"/>
    <cellStyle name="Финансовый 6 2 2 2 3 3 3 2" xfId="7452" xr:uid="{00000000-0005-0000-0000-00001D1D0000}"/>
    <cellStyle name="Финансовый 6 2 2 2 3 3 4" xfId="7453" xr:uid="{00000000-0005-0000-0000-00001E1D0000}"/>
    <cellStyle name="Финансовый 6 2 2 2 3 4" xfId="7454" xr:uid="{00000000-0005-0000-0000-00001F1D0000}"/>
    <cellStyle name="Финансовый 6 2 2 2 3 4 2" xfId="7455" xr:uid="{00000000-0005-0000-0000-0000201D0000}"/>
    <cellStyle name="Финансовый 6 2 2 2 3 4 2 2" xfId="7456" xr:uid="{00000000-0005-0000-0000-0000211D0000}"/>
    <cellStyle name="Финансовый 6 2 2 2 3 4 3" xfId="7457" xr:uid="{00000000-0005-0000-0000-0000221D0000}"/>
    <cellStyle name="Финансовый 6 2 2 2 3 5" xfId="7458" xr:uid="{00000000-0005-0000-0000-0000231D0000}"/>
    <cellStyle name="Финансовый 6 2 2 2 3 5 2" xfId="7459" xr:uid="{00000000-0005-0000-0000-0000241D0000}"/>
    <cellStyle name="Финансовый 6 2 2 2 3 6" xfId="7460" xr:uid="{00000000-0005-0000-0000-0000251D0000}"/>
    <cellStyle name="Финансовый 6 2 2 2 4" xfId="7461" xr:uid="{00000000-0005-0000-0000-0000261D0000}"/>
    <cellStyle name="Финансовый 6 2 2 2 4 2" xfId="7462" xr:uid="{00000000-0005-0000-0000-0000271D0000}"/>
    <cellStyle name="Финансовый 6 2 2 2 4 2 2" xfId="7463" xr:uid="{00000000-0005-0000-0000-0000281D0000}"/>
    <cellStyle name="Финансовый 6 2 2 2 4 2 2 2" xfId="7464" xr:uid="{00000000-0005-0000-0000-0000291D0000}"/>
    <cellStyle name="Финансовый 6 2 2 2 4 2 2 2 2" xfId="7465" xr:uid="{00000000-0005-0000-0000-00002A1D0000}"/>
    <cellStyle name="Финансовый 6 2 2 2 4 2 2 3" xfId="7466" xr:uid="{00000000-0005-0000-0000-00002B1D0000}"/>
    <cellStyle name="Финансовый 6 2 2 2 4 2 3" xfId="7467" xr:uid="{00000000-0005-0000-0000-00002C1D0000}"/>
    <cellStyle name="Финансовый 6 2 2 2 4 2 3 2" xfId="7468" xr:uid="{00000000-0005-0000-0000-00002D1D0000}"/>
    <cellStyle name="Финансовый 6 2 2 2 4 2 4" xfId="7469" xr:uid="{00000000-0005-0000-0000-00002E1D0000}"/>
    <cellStyle name="Финансовый 6 2 2 2 4 3" xfId="7470" xr:uid="{00000000-0005-0000-0000-00002F1D0000}"/>
    <cellStyle name="Финансовый 6 2 2 2 4 3 2" xfId="7471" xr:uid="{00000000-0005-0000-0000-0000301D0000}"/>
    <cellStyle name="Финансовый 6 2 2 2 4 3 2 2" xfId="7472" xr:uid="{00000000-0005-0000-0000-0000311D0000}"/>
    <cellStyle name="Финансовый 6 2 2 2 4 3 3" xfId="7473" xr:uid="{00000000-0005-0000-0000-0000321D0000}"/>
    <cellStyle name="Финансовый 6 2 2 2 4 4" xfId="7474" xr:uid="{00000000-0005-0000-0000-0000331D0000}"/>
    <cellStyle name="Финансовый 6 2 2 2 4 4 2" xfId="7475" xr:uid="{00000000-0005-0000-0000-0000341D0000}"/>
    <cellStyle name="Финансовый 6 2 2 2 4 5" xfId="7476" xr:uid="{00000000-0005-0000-0000-0000351D0000}"/>
    <cellStyle name="Финансовый 6 2 2 2 5" xfId="7477" xr:uid="{00000000-0005-0000-0000-0000361D0000}"/>
    <cellStyle name="Финансовый 6 2 2 2 5 2" xfId="7478" xr:uid="{00000000-0005-0000-0000-0000371D0000}"/>
    <cellStyle name="Финансовый 6 2 2 2 5 2 2" xfId="7479" xr:uid="{00000000-0005-0000-0000-0000381D0000}"/>
    <cellStyle name="Финансовый 6 2 2 2 5 2 2 2" xfId="7480" xr:uid="{00000000-0005-0000-0000-0000391D0000}"/>
    <cellStyle name="Финансовый 6 2 2 2 5 2 3" xfId="7481" xr:uid="{00000000-0005-0000-0000-00003A1D0000}"/>
    <cellStyle name="Финансовый 6 2 2 2 5 3" xfId="7482" xr:uid="{00000000-0005-0000-0000-00003B1D0000}"/>
    <cellStyle name="Финансовый 6 2 2 2 5 3 2" xfId="7483" xr:uid="{00000000-0005-0000-0000-00003C1D0000}"/>
    <cellStyle name="Финансовый 6 2 2 2 5 4" xfId="7484" xr:uid="{00000000-0005-0000-0000-00003D1D0000}"/>
    <cellStyle name="Финансовый 6 2 2 2 6" xfId="7485" xr:uid="{00000000-0005-0000-0000-00003E1D0000}"/>
    <cellStyle name="Финансовый 6 2 2 2 6 2" xfId="7486" xr:uid="{00000000-0005-0000-0000-00003F1D0000}"/>
    <cellStyle name="Финансовый 6 2 2 2 6 2 2" xfId="7487" xr:uid="{00000000-0005-0000-0000-0000401D0000}"/>
    <cellStyle name="Финансовый 6 2 2 2 6 3" xfId="7488" xr:uid="{00000000-0005-0000-0000-0000411D0000}"/>
    <cellStyle name="Финансовый 6 2 2 2 7" xfId="7489" xr:uid="{00000000-0005-0000-0000-0000421D0000}"/>
    <cellStyle name="Финансовый 6 2 2 2 7 2" xfId="7490" xr:uid="{00000000-0005-0000-0000-0000431D0000}"/>
    <cellStyle name="Финансовый 6 2 2 2 8" xfId="7491" xr:uid="{00000000-0005-0000-0000-0000441D0000}"/>
    <cellStyle name="Финансовый 6 2 2 3" xfId="7492" xr:uid="{00000000-0005-0000-0000-0000451D0000}"/>
    <cellStyle name="Финансовый 6 2 2 3 2" xfId="7493" xr:uid="{00000000-0005-0000-0000-0000461D0000}"/>
    <cellStyle name="Финансовый 6 2 2 3 2 2" xfId="7494" xr:uid="{00000000-0005-0000-0000-0000471D0000}"/>
    <cellStyle name="Финансовый 6 2 2 3 2 2 2" xfId="7495" xr:uid="{00000000-0005-0000-0000-0000481D0000}"/>
    <cellStyle name="Финансовый 6 2 2 3 2 2 2 2" xfId="7496" xr:uid="{00000000-0005-0000-0000-0000491D0000}"/>
    <cellStyle name="Финансовый 6 2 2 3 2 2 2 2 2" xfId="7497" xr:uid="{00000000-0005-0000-0000-00004A1D0000}"/>
    <cellStyle name="Финансовый 6 2 2 3 2 2 2 2 2 2" xfId="7498" xr:uid="{00000000-0005-0000-0000-00004B1D0000}"/>
    <cellStyle name="Финансовый 6 2 2 3 2 2 2 2 3" xfId="7499" xr:uid="{00000000-0005-0000-0000-00004C1D0000}"/>
    <cellStyle name="Финансовый 6 2 2 3 2 2 2 3" xfId="7500" xr:uid="{00000000-0005-0000-0000-00004D1D0000}"/>
    <cellStyle name="Финансовый 6 2 2 3 2 2 2 3 2" xfId="7501" xr:uid="{00000000-0005-0000-0000-00004E1D0000}"/>
    <cellStyle name="Финансовый 6 2 2 3 2 2 2 4" xfId="7502" xr:uid="{00000000-0005-0000-0000-00004F1D0000}"/>
    <cellStyle name="Финансовый 6 2 2 3 2 2 3" xfId="7503" xr:uid="{00000000-0005-0000-0000-0000501D0000}"/>
    <cellStyle name="Финансовый 6 2 2 3 2 2 3 2" xfId="7504" xr:uid="{00000000-0005-0000-0000-0000511D0000}"/>
    <cellStyle name="Финансовый 6 2 2 3 2 2 3 2 2" xfId="7505" xr:uid="{00000000-0005-0000-0000-0000521D0000}"/>
    <cellStyle name="Финансовый 6 2 2 3 2 2 3 3" xfId="7506" xr:uid="{00000000-0005-0000-0000-0000531D0000}"/>
    <cellStyle name="Финансовый 6 2 2 3 2 2 4" xfId="7507" xr:uid="{00000000-0005-0000-0000-0000541D0000}"/>
    <cellStyle name="Финансовый 6 2 2 3 2 2 4 2" xfId="7508" xr:uid="{00000000-0005-0000-0000-0000551D0000}"/>
    <cellStyle name="Финансовый 6 2 2 3 2 2 5" xfId="7509" xr:uid="{00000000-0005-0000-0000-0000561D0000}"/>
    <cellStyle name="Финансовый 6 2 2 3 2 3" xfId="7510" xr:uid="{00000000-0005-0000-0000-0000571D0000}"/>
    <cellStyle name="Финансовый 6 2 2 3 2 3 2" xfId="7511" xr:uid="{00000000-0005-0000-0000-0000581D0000}"/>
    <cellStyle name="Финансовый 6 2 2 3 2 3 2 2" xfId="7512" xr:uid="{00000000-0005-0000-0000-0000591D0000}"/>
    <cellStyle name="Финансовый 6 2 2 3 2 3 2 2 2" xfId="7513" xr:uid="{00000000-0005-0000-0000-00005A1D0000}"/>
    <cellStyle name="Финансовый 6 2 2 3 2 3 2 3" xfId="7514" xr:uid="{00000000-0005-0000-0000-00005B1D0000}"/>
    <cellStyle name="Финансовый 6 2 2 3 2 3 3" xfId="7515" xr:uid="{00000000-0005-0000-0000-00005C1D0000}"/>
    <cellStyle name="Финансовый 6 2 2 3 2 3 3 2" xfId="7516" xr:uid="{00000000-0005-0000-0000-00005D1D0000}"/>
    <cellStyle name="Финансовый 6 2 2 3 2 3 4" xfId="7517" xr:uid="{00000000-0005-0000-0000-00005E1D0000}"/>
    <cellStyle name="Финансовый 6 2 2 3 2 4" xfId="7518" xr:uid="{00000000-0005-0000-0000-00005F1D0000}"/>
    <cellStyle name="Финансовый 6 2 2 3 2 4 2" xfId="7519" xr:uid="{00000000-0005-0000-0000-0000601D0000}"/>
    <cellStyle name="Финансовый 6 2 2 3 2 4 2 2" xfId="7520" xr:uid="{00000000-0005-0000-0000-0000611D0000}"/>
    <cellStyle name="Финансовый 6 2 2 3 2 4 3" xfId="7521" xr:uid="{00000000-0005-0000-0000-0000621D0000}"/>
    <cellStyle name="Финансовый 6 2 2 3 2 5" xfId="7522" xr:uid="{00000000-0005-0000-0000-0000631D0000}"/>
    <cellStyle name="Финансовый 6 2 2 3 2 5 2" xfId="7523" xr:uid="{00000000-0005-0000-0000-0000641D0000}"/>
    <cellStyle name="Финансовый 6 2 2 3 2 6" xfId="7524" xr:uid="{00000000-0005-0000-0000-0000651D0000}"/>
    <cellStyle name="Финансовый 6 2 2 3 3" xfId="7525" xr:uid="{00000000-0005-0000-0000-0000661D0000}"/>
    <cellStyle name="Финансовый 6 2 2 3 3 2" xfId="7526" xr:uid="{00000000-0005-0000-0000-0000671D0000}"/>
    <cellStyle name="Финансовый 6 2 2 3 3 2 2" xfId="7527" xr:uid="{00000000-0005-0000-0000-0000681D0000}"/>
    <cellStyle name="Финансовый 6 2 2 3 3 2 2 2" xfId="7528" xr:uid="{00000000-0005-0000-0000-0000691D0000}"/>
    <cellStyle name="Финансовый 6 2 2 3 3 2 2 2 2" xfId="7529" xr:uid="{00000000-0005-0000-0000-00006A1D0000}"/>
    <cellStyle name="Финансовый 6 2 2 3 3 2 2 3" xfId="7530" xr:uid="{00000000-0005-0000-0000-00006B1D0000}"/>
    <cellStyle name="Финансовый 6 2 2 3 3 2 3" xfId="7531" xr:uid="{00000000-0005-0000-0000-00006C1D0000}"/>
    <cellStyle name="Финансовый 6 2 2 3 3 2 3 2" xfId="7532" xr:uid="{00000000-0005-0000-0000-00006D1D0000}"/>
    <cellStyle name="Финансовый 6 2 2 3 3 2 4" xfId="7533" xr:uid="{00000000-0005-0000-0000-00006E1D0000}"/>
    <cellStyle name="Финансовый 6 2 2 3 3 3" xfId="7534" xr:uid="{00000000-0005-0000-0000-00006F1D0000}"/>
    <cellStyle name="Финансовый 6 2 2 3 3 3 2" xfId="7535" xr:uid="{00000000-0005-0000-0000-0000701D0000}"/>
    <cellStyle name="Финансовый 6 2 2 3 3 3 2 2" xfId="7536" xr:uid="{00000000-0005-0000-0000-0000711D0000}"/>
    <cellStyle name="Финансовый 6 2 2 3 3 3 3" xfId="7537" xr:uid="{00000000-0005-0000-0000-0000721D0000}"/>
    <cellStyle name="Финансовый 6 2 2 3 3 4" xfId="7538" xr:uid="{00000000-0005-0000-0000-0000731D0000}"/>
    <cellStyle name="Финансовый 6 2 2 3 3 4 2" xfId="7539" xr:uid="{00000000-0005-0000-0000-0000741D0000}"/>
    <cellStyle name="Финансовый 6 2 2 3 3 5" xfId="7540" xr:uid="{00000000-0005-0000-0000-0000751D0000}"/>
    <cellStyle name="Финансовый 6 2 2 3 4" xfId="7541" xr:uid="{00000000-0005-0000-0000-0000761D0000}"/>
    <cellStyle name="Финансовый 6 2 2 3 4 2" xfId="7542" xr:uid="{00000000-0005-0000-0000-0000771D0000}"/>
    <cellStyle name="Финансовый 6 2 2 3 4 2 2" xfId="7543" xr:uid="{00000000-0005-0000-0000-0000781D0000}"/>
    <cellStyle name="Финансовый 6 2 2 3 4 2 2 2" xfId="7544" xr:uid="{00000000-0005-0000-0000-0000791D0000}"/>
    <cellStyle name="Финансовый 6 2 2 3 4 2 3" xfId="7545" xr:uid="{00000000-0005-0000-0000-00007A1D0000}"/>
    <cellStyle name="Финансовый 6 2 2 3 4 3" xfId="7546" xr:uid="{00000000-0005-0000-0000-00007B1D0000}"/>
    <cellStyle name="Финансовый 6 2 2 3 4 3 2" xfId="7547" xr:uid="{00000000-0005-0000-0000-00007C1D0000}"/>
    <cellStyle name="Финансовый 6 2 2 3 4 4" xfId="7548" xr:uid="{00000000-0005-0000-0000-00007D1D0000}"/>
    <cellStyle name="Финансовый 6 2 2 3 5" xfId="7549" xr:uid="{00000000-0005-0000-0000-00007E1D0000}"/>
    <cellStyle name="Финансовый 6 2 2 3 5 2" xfId="7550" xr:uid="{00000000-0005-0000-0000-00007F1D0000}"/>
    <cellStyle name="Финансовый 6 2 2 3 5 2 2" xfId="7551" xr:uid="{00000000-0005-0000-0000-0000801D0000}"/>
    <cellStyle name="Финансовый 6 2 2 3 5 3" xfId="7552" xr:uid="{00000000-0005-0000-0000-0000811D0000}"/>
    <cellStyle name="Финансовый 6 2 2 3 6" xfId="7553" xr:uid="{00000000-0005-0000-0000-0000821D0000}"/>
    <cellStyle name="Финансовый 6 2 2 3 6 2" xfId="7554" xr:uid="{00000000-0005-0000-0000-0000831D0000}"/>
    <cellStyle name="Финансовый 6 2 2 3 7" xfId="7555" xr:uid="{00000000-0005-0000-0000-0000841D0000}"/>
    <cellStyle name="Финансовый 6 2 2 4" xfId="7556" xr:uid="{00000000-0005-0000-0000-0000851D0000}"/>
    <cellStyle name="Финансовый 6 2 2 4 2" xfId="7557" xr:uid="{00000000-0005-0000-0000-0000861D0000}"/>
    <cellStyle name="Финансовый 6 2 2 4 2 2" xfId="7558" xr:uid="{00000000-0005-0000-0000-0000871D0000}"/>
    <cellStyle name="Финансовый 6 2 2 4 2 2 2" xfId="7559" xr:uid="{00000000-0005-0000-0000-0000881D0000}"/>
    <cellStyle name="Финансовый 6 2 2 4 2 2 2 2" xfId="7560" xr:uid="{00000000-0005-0000-0000-0000891D0000}"/>
    <cellStyle name="Финансовый 6 2 2 4 2 2 2 2 2" xfId="7561" xr:uid="{00000000-0005-0000-0000-00008A1D0000}"/>
    <cellStyle name="Финансовый 6 2 2 4 2 2 2 3" xfId="7562" xr:uid="{00000000-0005-0000-0000-00008B1D0000}"/>
    <cellStyle name="Финансовый 6 2 2 4 2 2 3" xfId="7563" xr:uid="{00000000-0005-0000-0000-00008C1D0000}"/>
    <cellStyle name="Финансовый 6 2 2 4 2 2 3 2" xfId="7564" xr:uid="{00000000-0005-0000-0000-00008D1D0000}"/>
    <cellStyle name="Финансовый 6 2 2 4 2 2 4" xfId="7565" xr:uid="{00000000-0005-0000-0000-00008E1D0000}"/>
    <cellStyle name="Финансовый 6 2 2 4 2 3" xfId="7566" xr:uid="{00000000-0005-0000-0000-00008F1D0000}"/>
    <cellStyle name="Финансовый 6 2 2 4 2 3 2" xfId="7567" xr:uid="{00000000-0005-0000-0000-0000901D0000}"/>
    <cellStyle name="Финансовый 6 2 2 4 2 3 2 2" xfId="7568" xr:uid="{00000000-0005-0000-0000-0000911D0000}"/>
    <cellStyle name="Финансовый 6 2 2 4 2 3 3" xfId="7569" xr:uid="{00000000-0005-0000-0000-0000921D0000}"/>
    <cellStyle name="Финансовый 6 2 2 4 2 4" xfId="7570" xr:uid="{00000000-0005-0000-0000-0000931D0000}"/>
    <cellStyle name="Финансовый 6 2 2 4 2 4 2" xfId="7571" xr:uid="{00000000-0005-0000-0000-0000941D0000}"/>
    <cellStyle name="Финансовый 6 2 2 4 2 5" xfId="7572" xr:uid="{00000000-0005-0000-0000-0000951D0000}"/>
    <cellStyle name="Финансовый 6 2 2 4 3" xfId="7573" xr:uid="{00000000-0005-0000-0000-0000961D0000}"/>
    <cellStyle name="Финансовый 6 2 2 4 3 2" xfId="7574" xr:uid="{00000000-0005-0000-0000-0000971D0000}"/>
    <cellStyle name="Финансовый 6 2 2 4 3 2 2" xfId="7575" xr:uid="{00000000-0005-0000-0000-0000981D0000}"/>
    <cellStyle name="Финансовый 6 2 2 4 3 2 2 2" xfId="7576" xr:uid="{00000000-0005-0000-0000-0000991D0000}"/>
    <cellStyle name="Финансовый 6 2 2 4 3 2 3" xfId="7577" xr:uid="{00000000-0005-0000-0000-00009A1D0000}"/>
    <cellStyle name="Финансовый 6 2 2 4 3 3" xfId="7578" xr:uid="{00000000-0005-0000-0000-00009B1D0000}"/>
    <cellStyle name="Финансовый 6 2 2 4 3 3 2" xfId="7579" xr:uid="{00000000-0005-0000-0000-00009C1D0000}"/>
    <cellStyle name="Финансовый 6 2 2 4 3 4" xfId="7580" xr:uid="{00000000-0005-0000-0000-00009D1D0000}"/>
    <cellStyle name="Финансовый 6 2 2 4 4" xfId="7581" xr:uid="{00000000-0005-0000-0000-00009E1D0000}"/>
    <cellStyle name="Финансовый 6 2 2 4 4 2" xfId="7582" xr:uid="{00000000-0005-0000-0000-00009F1D0000}"/>
    <cellStyle name="Финансовый 6 2 2 4 4 2 2" xfId="7583" xr:uid="{00000000-0005-0000-0000-0000A01D0000}"/>
    <cellStyle name="Финансовый 6 2 2 4 4 3" xfId="7584" xr:uid="{00000000-0005-0000-0000-0000A11D0000}"/>
    <cellStyle name="Финансовый 6 2 2 4 5" xfId="7585" xr:uid="{00000000-0005-0000-0000-0000A21D0000}"/>
    <cellStyle name="Финансовый 6 2 2 4 5 2" xfId="7586" xr:uid="{00000000-0005-0000-0000-0000A31D0000}"/>
    <cellStyle name="Финансовый 6 2 2 4 6" xfId="7587" xr:uid="{00000000-0005-0000-0000-0000A41D0000}"/>
    <cellStyle name="Финансовый 6 2 2 5" xfId="7588" xr:uid="{00000000-0005-0000-0000-0000A51D0000}"/>
    <cellStyle name="Финансовый 6 2 2 5 2" xfId="7589" xr:uid="{00000000-0005-0000-0000-0000A61D0000}"/>
    <cellStyle name="Финансовый 6 2 2 5 2 2" xfId="7590" xr:uid="{00000000-0005-0000-0000-0000A71D0000}"/>
    <cellStyle name="Финансовый 6 2 2 5 2 2 2" xfId="7591" xr:uid="{00000000-0005-0000-0000-0000A81D0000}"/>
    <cellStyle name="Финансовый 6 2 2 5 2 2 2 2" xfId="7592" xr:uid="{00000000-0005-0000-0000-0000A91D0000}"/>
    <cellStyle name="Финансовый 6 2 2 5 2 2 3" xfId="7593" xr:uid="{00000000-0005-0000-0000-0000AA1D0000}"/>
    <cellStyle name="Финансовый 6 2 2 5 2 3" xfId="7594" xr:uid="{00000000-0005-0000-0000-0000AB1D0000}"/>
    <cellStyle name="Финансовый 6 2 2 5 2 3 2" xfId="7595" xr:uid="{00000000-0005-0000-0000-0000AC1D0000}"/>
    <cellStyle name="Финансовый 6 2 2 5 2 4" xfId="7596" xr:uid="{00000000-0005-0000-0000-0000AD1D0000}"/>
    <cellStyle name="Финансовый 6 2 2 5 3" xfId="7597" xr:uid="{00000000-0005-0000-0000-0000AE1D0000}"/>
    <cellStyle name="Финансовый 6 2 2 5 3 2" xfId="7598" xr:uid="{00000000-0005-0000-0000-0000AF1D0000}"/>
    <cellStyle name="Финансовый 6 2 2 5 3 2 2" xfId="7599" xr:uid="{00000000-0005-0000-0000-0000B01D0000}"/>
    <cellStyle name="Финансовый 6 2 2 5 3 3" xfId="7600" xr:uid="{00000000-0005-0000-0000-0000B11D0000}"/>
    <cellStyle name="Финансовый 6 2 2 5 4" xfId="7601" xr:uid="{00000000-0005-0000-0000-0000B21D0000}"/>
    <cellStyle name="Финансовый 6 2 2 5 4 2" xfId="7602" xr:uid="{00000000-0005-0000-0000-0000B31D0000}"/>
    <cellStyle name="Финансовый 6 2 2 5 5" xfId="7603" xr:uid="{00000000-0005-0000-0000-0000B41D0000}"/>
    <cellStyle name="Финансовый 6 2 2 6" xfId="7604" xr:uid="{00000000-0005-0000-0000-0000B51D0000}"/>
    <cellStyle name="Финансовый 6 2 2 6 2" xfId="7605" xr:uid="{00000000-0005-0000-0000-0000B61D0000}"/>
    <cellStyle name="Финансовый 6 2 2 6 2 2" xfId="7606" xr:uid="{00000000-0005-0000-0000-0000B71D0000}"/>
    <cellStyle name="Финансовый 6 2 2 6 2 2 2" xfId="7607" xr:uid="{00000000-0005-0000-0000-0000B81D0000}"/>
    <cellStyle name="Финансовый 6 2 2 6 2 3" xfId="7608" xr:uid="{00000000-0005-0000-0000-0000B91D0000}"/>
    <cellStyle name="Финансовый 6 2 2 6 3" xfId="7609" xr:uid="{00000000-0005-0000-0000-0000BA1D0000}"/>
    <cellStyle name="Финансовый 6 2 2 6 3 2" xfId="7610" xr:uid="{00000000-0005-0000-0000-0000BB1D0000}"/>
    <cellStyle name="Финансовый 6 2 2 6 4" xfId="7611" xr:uid="{00000000-0005-0000-0000-0000BC1D0000}"/>
    <cellStyle name="Финансовый 6 2 2 7" xfId="7612" xr:uid="{00000000-0005-0000-0000-0000BD1D0000}"/>
    <cellStyle name="Финансовый 6 2 2 7 2" xfId="7613" xr:uid="{00000000-0005-0000-0000-0000BE1D0000}"/>
    <cellStyle name="Финансовый 6 2 2 7 2 2" xfId="7614" xr:uid="{00000000-0005-0000-0000-0000BF1D0000}"/>
    <cellStyle name="Финансовый 6 2 2 7 3" xfId="7615" xr:uid="{00000000-0005-0000-0000-0000C01D0000}"/>
    <cellStyle name="Финансовый 6 2 2 8" xfId="7616" xr:uid="{00000000-0005-0000-0000-0000C11D0000}"/>
    <cellStyle name="Финансовый 6 2 2 8 2" xfId="7617" xr:uid="{00000000-0005-0000-0000-0000C21D0000}"/>
    <cellStyle name="Финансовый 6 2 2 9" xfId="7618" xr:uid="{00000000-0005-0000-0000-0000C31D0000}"/>
    <cellStyle name="Финансовый 6 2 3" xfId="7619" xr:uid="{00000000-0005-0000-0000-0000C41D0000}"/>
    <cellStyle name="Финансовый 6 2 3 2" xfId="7620" xr:uid="{00000000-0005-0000-0000-0000C51D0000}"/>
    <cellStyle name="Финансовый 6 2 3 2 2" xfId="7621" xr:uid="{00000000-0005-0000-0000-0000C61D0000}"/>
    <cellStyle name="Финансовый 6 2 3 2 2 2" xfId="7622" xr:uid="{00000000-0005-0000-0000-0000C71D0000}"/>
    <cellStyle name="Финансовый 6 2 3 2 2 2 2" xfId="7623" xr:uid="{00000000-0005-0000-0000-0000C81D0000}"/>
    <cellStyle name="Финансовый 6 2 3 2 2 2 2 2" xfId="7624" xr:uid="{00000000-0005-0000-0000-0000C91D0000}"/>
    <cellStyle name="Финансовый 6 2 3 2 2 2 2 2 2" xfId="7625" xr:uid="{00000000-0005-0000-0000-0000CA1D0000}"/>
    <cellStyle name="Финансовый 6 2 3 2 2 2 2 2 2 2" xfId="7626" xr:uid="{00000000-0005-0000-0000-0000CB1D0000}"/>
    <cellStyle name="Финансовый 6 2 3 2 2 2 2 2 3" xfId="7627" xr:uid="{00000000-0005-0000-0000-0000CC1D0000}"/>
    <cellStyle name="Финансовый 6 2 3 2 2 2 2 3" xfId="7628" xr:uid="{00000000-0005-0000-0000-0000CD1D0000}"/>
    <cellStyle name="Финансовый 6 2 3 2 2 2 2 3 2" xfId="7629" xr:uid="{00000000-0005-0000-0000-0000CE1D0000}"/>
    <cellStyle name="Финансовый 6 2 3 2 2 2 2 4" xfId="7630" xr:uid="{00000000-0005-0000-0000-0000CF1D0000}"/>
    <cellStyle name="Финансовый 6 2 3 2 2 2 3" xfId="7631" xr:uid="{00000000-0005-0000-0000-0000D01D0000}"/>
    <cellStyle name="Финансовый 6 2 3 2 2 2 3 2" xfId="7632" xr:uid="{00000000-0005-0000-0000-0000D11D0000}"/>
    <cellStyle name="Финансовый 6 2 3 2 2 2 3 2 2" xfId="7633" xr:uid="{00000000-0005-0000-0000-0000D21D0000}"/>
    <cellStyle name="Финансовый 6 2 3 2 2 2 3 3" xfId="7634" xr:uid="{00000000-0005-0000-0000-0000D31D0000}"/>
    <cellStyle name="Финансовый 6 2 3 2 2 2 4" xfId="7635" xr:uid="{00000000-0005-0000-0000-0000D41D0000}"/>
    <cellStyle name="Финансовый 6 2 3 2 2 2 4 2" xfId="7636" xr:uid="{00000000-0005-0000-0000-0000D51D0000}"/>
    <cellStyle name="Финансовый 6 2 3 2 2 2 5" xfId="7637" xr:uid="{00000000-0005-0000-0000-0000D61D0000}"/>
    <cellStyle name="Финансовый 6 2 3 2 2 3" xfId="7638" xr:uid="{00000000-0005-0000-0000-0000D71D0000}"/>
    <cellStyle name="Финансовый 6 2 3 2 2 3 2" xfId="7639" xr:uid="{00000000-0005-0000-0000-0000D81D0000}"/>
    <cellStyle name="Финансовый 6 2 3 2 2 3 2 2" xfId="7640" xr:uid="{00000000-0005-0000-0000-0000D91D0000}"/>
    <cellStyle name="Финансовый 6 2 3 2 2 3 2 2 2" xfId="7641" xr:uid="{00000000-0005-0000-0000-0000DA1D0000}"/>
    <cellStyle name="Финансовый 6 2 3 2 2 3 2 3" xfId="7642" xr:uid="{00000000-0005-0000-0000-0000DB1D0000}"/>
    <cellStyle name="Финансовый 6 2 3 2 2 3 3" xfId="7643" xr:uid="{00000000-0005-0000-0000-0000DC1D0000}"/>
    <cellStyle name="Финансовый 6 2 3 2 2 3 3 2" xfId="7644" xr:uid="{00000000-0005-0000-0000-0000DD1D0000}"/>
    <cellStyle name="Финансовый 6 2 3 2 2 3 4" xfId="7645" xr:uid="{00000000-0005-0000-0000-0000DE1D0000}"/>
    <cellStyle name="Финансовый 6 2 3 2 2 4" xfId="7646" xr:uid="{00000000-0005-0000-0000-0000DF1D0000}"/>
    <cellStyle name="Финансовый 6 2 3 2 2 4 2" xfId="7647" xr:uid="{00000000-0005-0000-0000-0000E01D0000}"/>
    <cellStyle name="Финансовый 6 2 3 2 2 4 2 2" xfId="7648" xr:uid="{00000000-0005-0000-0000-0000E11D0000}"/>
    <cellStyle name="Финансовый 6 2 3 2 2 4 3" xfId="7649" xr:uid="{00000000-0005-0000-0000-0000E21D0000}"/>
    <cellStyle name="Финансовый 6 2 3 2 2 5" xfId="7650" xr:uid="{00000000-0005-0000-0000-0000E31D0000}"/>
    <cellStyle name="Финансовый 6 2 3 2 2 5 2" xfId="7651" xr:uid="{00000000-0005-0000-0000-0000E41D0000}"/>
    <cellStyle name="Финансовый 6 2 3 2 2 6" xfId="7652" xr:uid="{00000000-0005-0000-0000-0000E51D0000}"/>
    <cellStyle name="Финансовый 6 2 3 2 3" xfId="7653" xr:uid="{00000000-0005-0000-0000-0000E61D0000}"/>
    <cellStyle name="Финансовый 6 2 3 2 3 2" xfId="7654" xr:uid="{00000000-0005-0000-0000-0000E71D0000}"/>
    <cellStyle name="Финансовый 6 2 3 2 3 2 2" xfId="7655" xr:uid="{00000000-0005-0000-0000-0000E81D0000}"/>
    <cellStyle name="Финансовый 6 2 3 2 3 2 2 2" xfId="7656" xr:uid="{00000000-0005-0000-0000-0000E91D0000}"/>
    <cellStyle name="Финансовый 6 2 3 2 3 2 2 2 2" xfId="7657" xr:uid="{00000000-0005-0000-0000-0000EA1D0000}"/>
    <cellStyle name="Финансовый 6 2 3 2 3 2 2 3" xfId="7658" xr:uid="{00000000-0005-0000-0000-0000EB1D0000}"/>
    <cellStyle name="Финансовый 6 2 3 2 3 2 3" xfId="7659" xr:uid="{00000000-0005-0000-0000-0000EC1D0000}"/>
    <cellStyle name="Финансовый 6 2 3 2 3 2 3 2" xfId="7660" xr:uid="{00000000-0005-0000-0000-0000ED1D0000}"/>
    <cellStyle name="Финансовый 6 2 3 2 3 2 4" xfId="7661" xr:uid="{00000000-0005-0000-0000-0000EE1D0000}"/>
    <cellStyle name="Финансовый 6 2 3 2 3 3" xfId="7662" xr:uid="{00000000-0005-0000-0000-0000EF1D0000}"/>
    <cellStyle name="Финансовый 6 2 3 2 3 3 2" xfId="7663" xr:uid="{00000000-0005-0000-0000-0000F01D0000}"/>
    <cellStyle name="Финансовый 6 2 3 2 3 3 2 2" xfId="7664" xr:uid="{00000000-0005-0000-0000-0000F11D0000}"/>
    <cellStyle name="Финансовый 6 2 3 2 3 3 3" xfId="7665" xr:uid="{00000000-0005-0000-0000-0000F21D0000}"/>
    <cellStyle name="Финансовый 6 2 3 2 3 4" xfId="7666" xr:uid="{00000000-0005-0000-0000-0000F31D0000}"/>
    <cellStyle name="Финансовый 6 2 3 2 3 4 2" xfId="7667" xr:uid="{00000000-0005-0000-0000-0000F41D0000}"/>
    <cellStyle name="Финансовый 6 2 3 2 3 5" xfId="7668" xr:uid="{00000000-0005-0000-0000-0000F51D0000}"/>
    <cellStyle name="Финансовый 6 2 3 2 4" xfId="7669" xr:uid="{00000000-0005-0000-0000-0000F61D0000}"/>
    <cellStyle name="Финансовый 6 2 3 2 4 2" xfId="7670" xr:uid="{00000000-0005-0000-0000-0000F71D0000}"/>
    <cellStyle name="Финансовый 6 2 3 2 4 2 2" xfId="7671" xr:uid="{00000000-0005-0000-0000-0000F81D0000}"/>
    <cellStyle name="Финансовый 6 2 3 2 4 2 2 2" xfId="7672" xr:uid="{00000000-0005-0000-0000-0000F91D0000}"/>
    <cellStyle name="Финансовый 6 2 3 2 4 2 3" xfId="7673" xr:uid="{00000000-0005-0000-0000-0000FA1D0000}"/>
    <cellStyle name="Финансовый 6 2 3 2 4 3" xfId="7674" xr:uid="{00000000-0005-0000-0000-0000FB1D0000}"/>
    <cellStyle name="Финансовый 6 2 3 2 4 3 2" xfId="7675" xr:uid="{00000000-0005-0000-0000-0000FC1D0000}"/>
    <cellStyle name="Финансовый 6 2 3 2 4 4" xfId="7676" xr:uid="{00000000-0005-0000-0000-0000FD1D0000}"/>
    <cellStyle name="Финансовый 6 2 3 2 5" xfId="7677" xr:uid="{00000000-0005-0000-0000-0000FE1D0000}"/>
    <cellStyle name="Финансовый 6 2 3 2 5 2" xfId="7678" xr:uid="{00000000-0005-0000-0000-0000FF1D0000}"/>
    <cellStyle name="Финансовый 6 2 3 2 5 2 2" xfId="7679" xr:uid="{00000000-0005-0000-0000-0000001E0000}"/>
    <cellStyle name="Финансовый 6 2 3 2 5 3" xfId="7680" xr:uid="{00000000-0005-0000-0000-0000011E0000}"/>
    <cellStyle name="Финансовый 6 2 3 2 6" xfId="7681" xr:uid="{00000000-0005-0000-0000-0000021E0000}"/>
    <cellStyle name="Финансовый 6 2 3 2 6 2" xfId="7682" xr:uid="{00000000-0005-0000-0000-0000031E0000}"/>
    <cellStyle name="Финансовый 6 2 3 2 7" xfId="7683" xr:uid="{00000000-0005-0000-0000-0000041E0000}"/>
    <cellStyle name="Финансовый 6 2 3 3" xfId="7684" xr:uid="{00000000-0005-0000-0000-0000051E0000}"/>
    <cellStyle name="Финансовый 6 2 3 3 2" xfId="7685" xr:uid="{00000000-0005-0000-0000-0000061E0000}"/>
    <cellStyle name="Финансовый 6 2 3 3 2 2" xfId="7686" xr:uid="{00000000-0005-0000-0000-0000071E0000}"/>
    <cellStyle name="Финансовый 6 2 3 3 2 2 2" xfId="7687" xr:uid="{00000000-0005-0000-0000-0000081E0000}"/>
    <cellStyle name="Финансовый 6 2 3 3 2 2 2 2" xfId="7688" xr:uid="{00000000-0005-0000-0000-0000091E0000}"/>
    <cellStyle name="Финансовый 6 2 3 3 2 2 2 2 2" xfId="7689" xr:uid="{00000000-0005-0000-0000-00000A1E0000}"/>
    <cellStyle name="Финансовый 6 2 3 3 2 2 2 3" xfId="7690" xr:uid="{00000000-0005-0000-0000-00000B1E0000}"/>
    <cellStyle name="Финансовый 6 2 3 3 2 2 3" xfId="7691" xr:uid="{00000000-0005-0000-0000-00000C1E0000}"/>
    <cellStyle name="Финансовый 6 2 3 3 2 2 3 2" xfId="7692" xr:uid="{00000000-0005-0000-0000-00000D1E0000}"/>
    <cellStyle name="Финансовый 6 2 3 3 2 2 4" xfId="7693" xr:uid="{00000000-0005-0000-0000-00000E1E0000}"/>
    <cellStyle name="Финансовый 6 2 3 3 2 3" xfId="7694" xr:uid="{00000000-0005-0000-0000-00000F1E0000}"/>
    <cellStyle name="Финансовый 6 2 3 3 2 3 2" xfId="7695" xr:uid="{00000000-0005-0000-0000-0000101E0000}"/>
    <cellStyle name="Финансовый 6 2 3 3 2 3 2 2" xfId="7696" xr:uid="{00000000-0005-0000-0000-0000111E0000}"/>
    <cellStyle name="Финансовый 6 2 3 3 2 3 3" xfId="7697" xr:uid="{00000000-0005-0000-0000-0000121E0000}"/>
    <cellStyle name="Финансовый 6 2 3 3 2 4" xfId="7698" xr:uid="{00000000-0005-0000-0000-0000131E0000}"/>
    <cellStyle name="Финансовый 6 2 3 3 2 4 2" xfId="7699" xr:uid="{00000000-0005-0000-0000-0000141E0000}"/>
    <cellStyle name="Финансовый 6 2 3 3 2 5" xfId="7700" xr:uid="{00000000-0005-0000-0000-0000151E0000}"/>
    <cellStyle name="Финансовый 6 2 3 3 3" xfId="7701" xr:uid="{00000000-0005-0000-0000-0000161E0000}"/>
    <cellStyle name="Финансовый 6 2 3 3 3 2" xfId="7702" xr:uid="{00000000-0005-0000-0000-0000171E0000}"/>
    <cellStyle name="Финансовый 6 2 3 3 3 2 2" xfId="7703" xr:uid="{00000000-0005-0000-0000-0000181E0000}"/>
    <cellStyle name="Финансовый 6 2 3 3 3 2 2 2" xfId="7704" xr:uid="{00000000-0005-0000-0000-0000191E0000}"/>
    <cellStyle name="Финансовый 6 2 3 3 3 2 3" xfId="7705" xr:uid="{00000000-0005-0000-0000-00001A1E0000}"/>
    <cellStyle name="Финансовый 6 2 3 3 3 3" xfId="7706" xr:uid="{00000000-0005-0000-0000-00001B1E0000}"/>
    <cellStyle name="Финансовый 6 2 3 3 3 3 2" xfId="7707" xr:uid="{00000000-0005-0000-0000-00001C1E0000}"/>
    <cellStyle name="Финансовый 6 2 3 3 3 4" xfId="7708" xr:uid="{00000000-0005-0000-0000-00001D1E0000}"/>
    <cellStyle name="Финансовый 6 2 3 3 4" xfId="7709" xr:uid="{00000000-0005-0000-0000-00001E1E0000}"/>
    <cellStyle name="Финансовый 6 2 3 3 4 2" xfId="7710" xr:uid="{00000000-0005-0000-0000-00001F1E0000}"/>
    <cellStyle name="Финансовый 6 2 3 3 4 2 2" xfId="7711" xr:uid="{00000000-0005-0000-0000-0000201E0000}"/>
    <cellStyle name="Финансовый 6 2 3 3 4 3" xfId="7712" xr:uid="{00000000-0005-0000-0000-0000211E0000}"/>
    <cellStyle name="Финансовый 6 2 3 3 5" xfId="7713" xr:uid="{00000000-0005-0000-0000-0000221E0000}"/>
    <cellStyle name="Финансовый 6 2 3 3 5 2" xfId="7714" xr:uid="{00000000-0005-0000-0000-0000231E0000}"/>
    <cellStyle name="Финансовый 6 2 3 3 6" xfId="7715" xr:uid="{00000000-0005-0000-0000-0000241E0000}"/>
    <cellStyle name="Финансовый 6 2 3 4" xfId="7716" xr:uid="{00000000-0005-0000-0000-0000251E0000}"/>
    <cellStyle name="Финансовый 6 2 3 4 2" xfId="7717" xr:uid="{00000000-0005-0000-0000-0000261E0000}"/>
    <cellStyle name="Финансовый 6 2 3 4 2 2" xfId="7718" xr:uid="{00000000-0005-0000-0000-0000271E0000}"/>
    <cellStyle name="Финансовый 6 2 3 4 2 2 2" xfId="7719" xr:uid="{00000000-0005-0000-0000-0000281E0000}"/>
    <cellStyle name="Финансовый 6 2 3 4 2 2 2 2" xfId="7720" xr:uid="{00000000-0005-0000-0000-0000291E0000}"/>
    <cellStyle name="Финансовый 6 2 3 4 2 2 3" xfId="7721" xr:uid="{00000000-0005-0000-0000-00002A1E0000}"/>
    <cellStyle name="Финансовый 6 2 3 4 2 3" xfId="7722" xr:uid="{00000000-0005-0000-0000-00002B1E0000}"/>
    <cellStyle name="Финансовый 6 2 3 4 2 3 2" xfId="7723" xr:uid="{00000000-0005-0000-0000-00002C1E0000}"/>
    <cellStyle name="Финансовый 6 2 3 4 2 4" xfId="7724" xr:uid="{00000000-0005-0000-0000-00002D1E0000}"/>
    <cellStyle name="Финансовый 6 2 3 4 3" xfId="7725" xr:uid="{00000000-0005-0000-0000-00002E1E0000}"/>
    <cellStyle name="Финансовый 6 2 3 4 3 2" xfId="7726" xr:uid="{00000000-0005-0000-0000-00002F1E0000}"/>
    <cellStyle name="Финансовый 6 2 3 4 3 2 2" xfId="7727" xr:uid="{00000000-0005-0000-0000-0000301E0000}"/>
    <cellStyle name="Финансовый 6 2 3 4 3 3" xfId="7728" xr:uid="{00000000-0005-0000-0000-0000311E0000}"/>
    <cellStyle name="Финансовый 6 2 3 4 4" xfId="7729" xr:uid="{00000000-0005-0000-0000-0000321E0000}"/>
    <cellStyle name="Финансовый 6 2 3 4 4 2" xfId="7730" xr:uid="{00000000-0005-0000-0000-0000331E0000}"/>
    <cellStyle name="Финансовый 6 2 3 4 5" xfId="7731" xr:uid="{00000000-0005-0000-0000-0000341E0000}"/>
    <cellStyle name="Финансовый 6 2 3 5" xfId="7732" xr:uid="{00000000-0005-0000-0000-0000351E0000}"/>
    <cellStyle name="Финансовый 6 2 3 5 2" xfId="7733" xr:uid="{00000000-0005-0000-0000-0000361E0000}"/>
    <cellStyle name="Финансовый 6 2 3 5 2 2" xfId="7734" xr:uid="{00000000-0005-0000-0000-0000371E0000}"/>
    <cellStyle name="Финансовый 6 2 3 5 2 2 2" xfId="7735" xr:uid="{00000000-0005-0000-0000-0000381E0000}"/>
    <cellStyle name="Финансовый 6 2 3 5 2 3" xfId="7736" xr:uid="{00000000-0005-0000-0000-0000391E0000}"/>
    <cellStyle name="Финансовый 6 2 3 5 3" xfId="7737" xr:uid="{00000000-0005-0000-0000-00003A1E0000}"/>
    <cellStyle name="Финансовый 6 2 3 5 3 2" xfId="7738" xr:uid="{00000000-0005-0000-0000-00003B1E0000}"/>
    <cellStyle name="Финансовый 6 2 3 5 4" xfId="7739" xr:uid="{00000000-0005-0000-0000-00003C1E0000}"/>
    <cellStyle name="Финансовый 6 2 3 6" xfId="7740" xr:uid="{00000000-0005-0000-0000-00003D1E0000}"/>
    <cellStyle name="Финансовый 6 2 3 6 2" xfId="7741" xr:uid="{00000000-0005-0000-0000-00003E1E0000}"/>
    <cellStyle name="Финансовый 6 2 3 6 2 2" xfId="7742" xr:uid="{00000000-0005-0000-0000-00003F1E0000}"/>
    <cellStyle name="Финансовый 6 2 3 6 3" xfId="7743" xr:uid="{00000000-0005-0000-0000-0000401E0000}"/>
    <cellStyle name="Финансовый 6 2 3 7" xfId="7744" xr:uid="{00000000-0005-0000-0000-0000411E0000}"/>
    <cellStyle name="Финансовый 6 2 3 7 2" xfId="7745" xr:uid="{00000000-0005-0000-0000-0000421E0000}"/>
    <cellStyle name="Финансовый 6 2 3 8" xfId="7746" xr:uid="{00000000-0005-0000-0000-0000431E0000}"/>
    <cellStyle name="Финансовый 6 2 4" xfId="7747" xr:uid="{00000000-0005-0000-0000-0000441E0000}"/>
    <cellStyle name="Финансовый 6 2 4 2" xfId="7748" xr:uid="{00000000-0005-0000-0000-0000451E0000}"/>
    <cellStyle name="Финансовый 6 2 4 2 2" xfId="7749" xr:uid="{00000000-0005-0000-0000-0000461E0000}"/>
    <cellStyle name="Финансовый 6 2 4 2 2 2" xfId="7750" xr:uid="{00000000-0005-0000-0000-0000471E0000}"/>
    <cellStyle name="Финансовый 6 2 4 2 2 2 2" xfId="7751" xr:uid="{00000000-0005-0000-0000-0000481E0000}"/>
    <cellStyle name="Финансовый 6 2 4 2 2 2 2 2" xfId="7752" xr:uid="{00000000-0005-0000-0000-0000491E0000}"/>
    <cellStyle name="Финансовый 6 2 4 2 2 2 2 2 2" xfId="7753" xr:uid="{00000000-0005-0000-0000-00004A1E0000}"/>
    <cellStyle name="Финансовый 6 2 4 2 2 2 2 3" xfId="7754" xr:uid="{00000000-0005-0000-0000-00004B1E0000}"/>
    <cellStyle name="Финансовый 6 2 4 2 2 2 3" xfId="7755" xr:uid="{00000000-0005-0000-0000-00004C1E0000}"/>
    <cellStyle name="Финансовый 6 2 4 2 2 2 3 2" xfId="7756" xr:uid="{00000000-0005-0000-0000-00004D1E0000}"/>
    <cellStyle name="Финансовый 6 2 4 2 2 2 4" xfId="7757" xr:uid="{00000000-0005-0000-0000-00004E1E0000}"/>
    <cellStyle name="Финансовый 6 2 4 2 2 3" xfId="7758" xr:uid="{00000000-0005-0000-0000-00004F1E0000}"/>
    <cellStyle name="Финансовый 6 2 4 2 2 3 2" xfId="7759" xr:uid="{00000000-0005-0000-0000-0000501E0000}"/>
    <cellStyle name="Финансовый 6 2 4 2 2 3 2 2" xfId="7760" xr:uid="{00000000-0005-0000-0000-0000511E0000}"/>
    <cellStyle name="Финансовый 6 2 4 2 2 3 3" xfId="7761" xr:uid="{00000000-0005-0000-0000-0000521E0000}"/>
    <cellStyle name="Финансовый 6 2 4 2 2 4" xfId="7762" xr:uid="{00000000-0005-0000-0000-0000531E0000}"/>
    <cellStyle name="Финансовый 6 2 4 2 2 4 2" xfId="7763" xr:uid="{00000000-0005-0000-0000-0000541E0000}"/>
    <cellStyle name="Финансовый 6 2 4 2 2 5" xfId="7764" xr:uid="{00000000-0005-0000-0000-0000551E0000}"/>
    <cellStyle name="Финансовый 6 2 4 2 3" xfId="7765" xr:uid="{00000000-0005-0000-0000-0000561E0000}"/>
    <cellStyle name="Финансовый 6 2 4 2 3 2" xfId="7766" xr:uid="{00000000-0005-0000-0000-0000571E0000}"/>
    <cellStyle name="Финансовый 6 2 4 2 3 2 2" xfId="7767" xr:uid="{00000000-0005-0000-0000-0000581E0000}"/>
    <cellStyle name="Финансовый 6 2 4 2 3 2 2 2" xfId="7768" xr:uid="{00000000-0005-0000-0000-0000591E0000}"/>
    <cellStyle name="Финансовый 6 2 4 2 3 2 3" xfId="7769" xr:uid="{00000000-0005-0000-0000-00005A1E0000}"/>
    <cellStyle name="Финансовый 6 2 4 2 3 3" xfId="7770" xr:uid="{00000000-0005-0000-0000-00005B1E0000}"/>
    <cellStyle name="Финансовый 6 2 4 2 3 3 2" xfId="7771" xr:uid="{00000000-0005-0000-0000-00005C1E0000}"/>
    <cellStyle name="Финансовый 6 2 4 2 3 4" xfId="7772" xr:uid="{00000000-0005-0000-0000-00005D1E0000}"/>
    <cellStyle name="Финансовый 6 2 4 2 4" xfId="7773" xr:uid="{00000000-0005-0000-0000-00005E1E0000}"/>
    <cellStyle name="Финансовый 6 2 4 2 4 2" xfId="7774" xr:uid="{00000000-0005-0000-0000-00005F1E0000}"/>
    <cellStyle name="Финансовый 6 2 4 2 4 2 2" xfId="7775" xr:uid="{00000000-0005-0000-0000-0000601E0000}"/>
    <cellStyle name="Финансовый 6 2 4 2 4 3" xfId="7776" xr:uid="{00000000-0005-0000-0000-0000611E0000}"/>
    <cellStyle name="Финансовый 6 2 4 2 5" xfId="7777" xr:uid="{00000000-0005-0000-0000-0000621E0000}"/>
    <cellStyle name="Финансовый 6 2 4 2 5 2" xfId="7778" xr:uid="{00000000-0005-0000-0000-0000631E0000}"/>
    <cellStyle name="Финансовый 6 2 4 2 6" xfId="7779" xr:uid="{00000000-0005-0000-0000-0000641E0000}"/>
    <cellStyle name="Финансовый 6 2 4 3" xfId="7780" xr:uid="{00000000-0005-0000-0000-0000651E0000}"/>
    <cellStyle name="Финансовый 6 2 4 3 2" xfId="7781" xr:uid="{00000000-0005-0000-0000-0000661E0000}"/>
    <cellStyle name="Финансовый 6 2 4 3 2 2" xfId="7782" xr:uid="{00000000-0005-0000-0000-0000671E0000}"/>
    <cellStyle name="Финансовый 6 2 4 3 2 2 2" xfId="7783" xr:uid="{00000000-0005-0000-0000-0000681E0000}"/>
    <cellStyle name="Финансовый 6 2 4 3 2 2 2 2" xfId="7784" xr:uid="{00000000-0005-0000-0000-0000691E0000}"/>
    <cellStyle name="Финансовый 6 2 4 3 2 2 3" xfId="7785" xr:uid="{00000000-0005-0000-0000-00006A1E0000}"/>
    <cellStyle name="Финансовый 6 2 4 3 2 3" xfId="7786" xr:uid="{00000000-0005-0000-0000-00006B1E0000}"/>
    <cellStyle name="Финансовый 6 2 4 3 2 3 2" xfId="7787" xr:uid="{00000000-0005-0000-0000-00006C1E0000}"/>
    <cellStyle name="Финансовый 6 2 4 3 2 4" xfId="7788" xr:uid="{00000000-0005-0000-0000-00006D1E0000}"/>
    <cellStyle name="Финансовый 6 2 4 3 3" xfId="7789" xr:uid="{00000000-0005-0000-0000-00006E1E0000}"/>
    <cellStyle name="Финансовый 6 2 4 3 3 2" xfId="7790" xr:uid="{00000000-0005-0000-0000-00006F1E0000}"/>
    <cellStyle name="Финансовый 6 2 4 3 3 2 2" xfId="7791" xr:uid="{00000000-0005-0000-0000-0000701E0000}"/>
    <cellStyle name="Финансовый 6 2 4 3 3 3" xfId="7792" xr:uid="{00000000-0005-0000-0000-0000711E0000}"/>
    <cellStyle name="Финансовый 6 2 4 3 4" xfId="7793" xr:uid="{00000000-0005-0000-0000-0000721E0000}"/>
    <cellStyle name="Финансовый 6 2 4 3 4 2" xfId="7794" xr:uid="{00000000-0005-0000-0000-0000731E0000}"/>
    <cellStyle name="Финансовый 6 2 4 3 5" xfId="7795" xr:uid="{00000000-0005-0000-0000-0000741E0000}"/>
    <cellStyle name="Финансовый 6 2 4 4" xfId="7796" xr:uid="{00000000-0005-0000-0000-0000751E0000}"/>
    <cellStyle name="Финансовый 6 2 4 4 2" xfId="7797" xr:uid="{00000000-0005-0000-0000-0000761E0000}"/>
    <cellStyle name="Финансовый 6 2 4 4 2 2" xfId="7798" xr:uid="{00000000-0005-0000-0000-0000771E0000}"/>
    <cellStyle name="Финансовый 6 2 4 4 2 2 2" xfId="7799" xr:uid="{00000000-0005-0000-0000-0000781E0000}"/>
    <cellStyle name="Финансовый 6 2 4 4 2 3" xfId="7800" xr:uid="{00000000-0005-0000-0000-0000791E0000}"/>
    <cellStyle name="Финансовый 6 2 4 4 3" xfId="7801" xr:uid="{00000000-0005-0000-0000-00007A1E0000}"/>
    <cellStyle name="Финансовый 6 2 4 4 3 2" xfId="7802" xr:uid="{00000000-0005-0000-0000-00007B1E0000}"/>
    <cellStyle name="Финансовый 6 2 4 4 4" xfId="7803" xr:uid="{00000000-0005-0000-0000-00007C1E0000}"/>
    <cellStyle name="Финансовый 6 2 4 5" xfId="7804" xr:uid="{00000000-0005-0000-0000-00007D1E0000}"/>
    <cellStyle name="Финансовый 6 2 4 5 2" xfId="7805" xr:uid="{00000000-0005-0000-0000-00007E1E0000}"/>
    <cellStyle name="Финансовый 6 2 4 5 2 2" xfId="7806" xr:uid="{00000000-0005-0000-0000-00007F1E0000}"/>
    <cellStyle name="Финансовый 6 2 4 5 3" xfId="7807" xr:uid="{00000000-0005-0000-0000-0000801E0000}"/>
    <cellStyle name="Финансовый 6 2 4 6" xfId="7808" xr:uid="{00000000-0005-0000-0000-0000811E0000}"/>
    <cellStyle name="Финансовый 6 2 4 6 2" xfId="7809" xr:uid="{00000000-0005-0000-0000-0000821E0000}"/>
    <cellStyle name="Финансовый 6 2 4 7" xfId="7810" xr:uid="{00000000-0005-0000-0000-0000831E0000}"/>
    <cellStyle name="Финансовый 6 2 5" xfId="7811" xr:uid="{00000000-0005-0000-0000-0000841E0000}"/>
    <cellStyle name="Финансовый 6 2 5 2" xfId="7812" xr:uid="{00000000-0005-0000-0000-0000851E0000}"/>
    <cellStyle name="Финансовый 6 2 5 2 2" xfId="7813" xr:uid="{00000000-0005-0000-0000-0000861E0000}"/>
    <cellStyle name="Финансовый 6 2 5 2 2 2" xfId="7814" xr:uid="{00000000-0005-0000-0000-0000871E0000}"/>
    <cellStyle name="Финансовый 6 2 5 2 2 2 2" xfId="7815" xr:uid="{00000000-0005-0000-0000-0000881E0000}"/>
    <cellStyle name="Финансовый 6 2 5 2 2 2 2 2" xfId="7816" xr:uid="{00000000-0005-0000-0000-0000891E0000}"/>
    <cellStyle name="Финансовый 6 2 5 2 2 2 3" xfId="7817" xr:uid="{00000000-0005-0000-0000-00008A1E0000}"/>
    <cellStyle name="Финансовый 6 2 5 2 2 3" xfId="7818" xr:uid="{00000000-0005-0000-0000-00008B1E0000}"/>
    <cellStyle name="Финансовый 6 2 5 2 2 3 2" xfId="7819" xr:uid="{00000000-0005-0000-0000-00008C1E0000}"/>
    <cellStyle name="Финансовый 6 2 5 2 2 4" xfId="7820" xr:uid="{00000000-0005-0000-0000-00008D1E0000}"/>
    <cellStyle name="Финансовый 6 2 5 2 3" xfId="7821" xr:uid="{00000000-0005-0000-0000-00008E1E0000}"/>
    <cellStyle name="Финансовый 6 2 5 2 3 2" xfId="7822" xr:uid="{00000000-0005-0000-0000-00008F1E0000}"/>
    <cellStyle name="Финансовый 6 2 5 2 3 2 2" xfId="7823" xr:uid="{00000000-0005-0000-0000-0000901E0000}"/>
    <cellStyle name="Финансовый 6 2 5 2 3 3" xfId="7824" xr:uid="{00000000-0005-0000-0000-0000911E0000}"/>
    <cellStyle name="Финансовый 6 2 5 2 4" xfId="7825" xr:uid="{00000000-0005-0000-0000-0000921E0000}"/>
    <cellStyle name="Финансовый 6 2 5 2 4 2" xfId="7826" xr:uid="{00000000-0005-0000-0000-0000931E0000}"/>
    <cellStyle name="Финансовый 6 2 5 2 5" xfId="7827" xr:uid="{00000000-0005-0000-0000-0000941E0000}"/>
    <cellStyle name="Финансовый 6 2 5 3" xfId="7828" xr:uid="{00000000-0005-0000-0000-0000951E0000}"/>
    <cellStyle name="Финансовый 6 2 5 3 2" xfId="7829" xr:uid="{00000000-0005-0000-0000-0000961E0000}"/>
    <cellStyle name="Финансовый 6 2 5 3 2 2" xfId="7830" xr:uid="{00000000-0005-0000-0000-0000971E0000}"/>
    <cellStyle name="Финансовый 6 2 5 3 2 2 2" xfId="7831" xr:uid="{00000000-0005-0000-0000-0000981E0000}"/>
    <cellStyle name="Финансовый 6 2 5 3 2 3" xfId="7832" xr:uid="{00000000-0005-0000-0000-0000991E0000}"/>
    <cellStyle name="Финансовый 6 2 5 3 3" xfId="7833" xr:uid="{00000000-0005-0000-0000-00009A1E0000}"/>
    <cellStyle name="Финансовый 6 2 5 3 3 2" xfId="7834" xr:uid="{00000000-0005-0000-0000-00009B1E0000}"/>
    <cellStyle name="Финансовый 6 2 5 3 4" xfId="7835" xr:uid="{00000000-0005-0000-0000-00009C1E0000}"/>
    <cellStyle name="Финансовый 6 2 5 4" xfId="7836" xr:uid="{00000000-0005-0000-0000-00009D1E0000}"/>
    <cellStyle name="Финансовый 6 2 5 4 2" xfId="7837" xr:uid="{00000000-0005-0000-0000-00009E1E0000}"/>
    <cellStyle name="Финансовый 6 2 5 4 2 2" xfId="7838" xr:uid="{00000000-0005-0000-0000-00009F1E0000}"/>
    <cellStyle name="Финансовый 6 2 5 4 3" xfId="7839" xr:uid="{00000000-0005-0000-0000-0000A01E0000}"/>
    <cellStyle name="Финансовый 6 2 5 5" xfId="7840" xr:uid="{00000000-0005-0000-0000-0000A11E0000}"/>
    <cellStyle name="Финансовый 6 2 5 5 2" xfId="7841" xr:uid="{00000000-0005-0000-0000-0000A21E0000}"/>
    <cellStyle name="Финансовый 6 2 5 6" xfId="7842" xr:uid="{00000000-0005-0000-0000-0000A31E0000}"/>
    <cellStyle name="Финансовый 6 2 6" xfId="7843" xr:uid="{00000000-0005-0000-0000-0000A41E0000}"/>
    <cellStyle name="Финансовый 6 2 6 2" xfId="7844" xr:uid="{00000000-0005-0000-0000-0000A51E0000}"/>
    <cellStyle name="Финансовый 6 2 6 2 2" xfId="7845" xr:uid="{00000000-0005-0000-0000-0000A61E0000}"/>
    <cellStyle name="Финансовый 6 2 6 2 2 2" xfId="7846" xr:uid="{00000000-0005-0000-0000-0000A71E0000}"/>
    <cellStyle name="Финансовый 6 2 6 2 2 2 2" xfId="7847" xr:uid="{00000000-0005-0000-0000-0000A81E0000}"/>
    <cellStyle name="Финансовый 6 2 6 2 2 3" xfId="7848" xr:uid="{00000000-0005-0000-0000-0000A91E0000}"/>
    <cellStyle name="Финансовый 6 2 6 2 3" xfId="7849" xr:uid="{00000000-0005-0000-0000-0000AA1E0000}"/>
    <cellStyle name="Финансовый 6 2 6 2 3 2" xfId="7850" xr:uid="{00000000-0005-0000-0000-0000AB1E0000}"/>
    <cellStyle name="Финансовый 6 2 6 2 4" xfId="7851" xr:uid="{00000000-0005-0000-0000-0000AC1E0000}"/>
    <cellStyle name="Финансовый 6 2 6 3" xfId="7852" xr:uid="{00000000-0005-0000-0000-0000AD1E0000}"/>
    <cellStyle name="Финансовый 6 2 6 3 2" xfId="7853" xr:uid="{00000000-0005-0000-0000-0000AE1E0000}"/>
    <cellStyle name="Финансовый 6 2 6 3 2 2" xfId="7854" xr:uid="{00000000-0005-0000-0000-0000AF1E0000}"/>
    <cellStyle name="Финансовый 6 2 6 3 3" xfId="7855" xr:uid="{00000000-0005-0000-0000-0000B01E0000}"/>
    <cellStyle name="Финансовый 6 2 6 4" xfId="7856" xr:uid="{00000000-0005-0000-0000-0000B11E0000}"/>
    <cellStyle name="Финансовый 6 2 6 4 2" xfId="7857" xr:uid="{00000000-0005-0000-0000-0000B21E0000}"/>
    <cellStyle name="Финансовый 6 2 6 5" xfId="7858" xr:uid="{00000000-0005-0000-0000-0000B31E0000}"/>
    <cellStyle name="Финансовый 6 2 7" xfId="7859" xr:uid="{00000000-0005-0000-0000-0000B41E0000}"/>
    <cellStyle name="Финансовый 6 2 7 2" xfId="7860" xr:uid="{00000000-0005-0000-0000-0000B51E0000}"/>
    <cellStyle name="Финансовый 6 2 7 2 2" xfId="7861" xr:uid="{00000000-0005-0000-0000-0000B61E0000}"/>
    <cellStyle name="Финансовый 6 2 7 2 2 2" xfId="7862" xr:uid="{00000000-0005-0000-0000-0000B71E0000}"/>
    <cellStyle name="Финансовый 6 2 7 2 3" xfId="7863" xr:uid="{00000000-0005-0000-0000-0000B81E0000}"/>
    <cellStyle name="Финансовый 6 2 7 3" xfId="7864" xr:uid="{00000000-0005-0000-0000-0000B91E0000}"/>
    <cellStyle name="Финансовый 6 2 7 3 2" xfId="7865" xr:uid="{00000000-0005-0000-0000-0000BA1E0000}"/>
    <cellStyle name="Финансовый 6 2 7 4" xfId="7866" xr:uid="{00000000-0005-0000-0000-0000BB1E0000}"/>
    <cellStyle name="Финансовый 6 2 8" xfId="7867" xr:uid="{00000000-0005-0000-0000-0000BC1E0000}"/>
    <cellStyle name="Финансовый 6 2 8 2" xfId="7868" xr:uid="{00000000-0005-0000-0000-0000BD1E0000}"/>
    <cellStyle name="Финансовый 6 2 8 2 2" xfId="7869" xr:uid="{00000000-0005-0000-0000-0000BE1E0000}"/>
    <cellStyle name="Финансовый 6 2 8 3" xfId="7870" xr:uid="{00000000-0005-0000-0000-0000BF1E0000}"/>
    <cellStyle name="Финансовый 6 2 9" xfId="7871" xr:uid="{00000000-0005-0000-0000-0000C01E0000}"/>
    <cellStyle name="Финансовый 6 2 9 2" xfId="7872" xr:uid="{00000000-0005-0000-0000-0000C11E0000}"/>
    <cellStyle name="Финансовый 6 3" xfId="7873" xr:uid="{00000000-0005-0000-0000-0000C21E0000}"/>
    <cellStyle name="Финансовый 6 3 2" xfId="7874" xr:uid="{00000000-0005-0000-0000-0000C31E0000}"/>
    <cellStyle name="Финансовый 6 3 2 2" xfId="7875" xr:uid="{00000000-0005-0000-0000-0000C41E0000}"/>
    <cellStyle name="Финансовый 6 3 2 2 2" xfId="7876" xr:uid="{00000000-0005-0000-0000-0000C51E0000}"/>
    <cellStyle name="Финансовый 6 3 2 2 2 2" xfId="7877" xr:uid="{00000000-0005-0000-0000-0000C61E0000}"/>
    <cellStyle name="Финансовый 6 3 2 2 2 2 2" xfId="7878" xr:uid="{00000000-0005-0000-0000-0000C71E0000}"/>
    <cellStyle name="Финансовый 6 3 2 2 2 2 2 2" xfId="7879" xr:uid="{00000000-0005-0000-0000-0000C81E0000}"/>
    <cellStyle name="Финансовый 6 3 2 2 2 2 2 2 2" xfId="7880" xr:uid="{00000000-0005-0000-0000-0000C91E0000}"/>
    <cellStyle name="Финансовый 6 3 2 2 2 2 2 2 2 2" xfId="7881" xr:uid="{00000000-0005-0000-0000-0000CA1E0000}"/>
    <cellStyle name="Финансовый 6 3 2 2 2 2 2 2 3" xfId="7882" xr:uid="{00000000-0005-0000-0000-0000CB1E0000}"/>
    <cellStyle name="Финансовый 6 3 2 2 2 2 2 3" xfId="7883" xr:uid="{00000000-0005-0000-0000-0000CC1E0000}"/>
    <cellStyle name="Финансовый 6 3 2 2 2 2 2 3 2" xfId="7884" xr:uid="{00000000-0005-0000-0000-0000CD1E0000}"/>
    <cellStyle name="Финансовый 6 3 2 2 2 2 2 4" xfId="7885" xr:uid="{00000000-0005-0000-0000-0000CE1E0000}"/>
    <cellStyle name="Финансовый 6 3 2 2 2 2 3" xfId="7886" xr:uid="{00000000-0005-0000-0000-0000CF1E0000}"/>
    <cellStyle name="Финансовый 6 3 2 2 2 2 3 2" xfId="7887" xr:uid="{00000000-0005-0000-0000-0000D01E0000}"/>
    <cellStyle name="Финансовый 6 3 2 2 2 2 3 2 2" xfId="7888" xr:uid="{00000000-0005-0000-0000-0000D11E0000}"/>
    <cellStyle name="Финансовый 6 3 2 2 2 2 3 3" xfId="7889" xr:uid="{00000000-0005-0000-0000-0000D21E0000}"/>
    <cellStyle name="Финансовый 6 3 2 2 2 2 4" xfId="7890" xr:uid="{00000000-0005-0000-0000-0000D31E0000}"/>
    <cellStyle name="Финансовый 6 3 2 2 2 2 4 2" xfId="7891" xr:uid="{00000000-0005-0000-0000-0000D41E0000}"/>
    <cellStyle name="Финансовый 6 3 2 2 2 2 5" xfId="7892" xr:uid="{00000000-0005-0000-0000-0000D51E0000}"/>
    <cellStyle name="Финансовый 6 3 2 2 2 3" xfId="7893" xr:uid="{00000000-0005-0000-0000-0000D61E0000}"/>
    <cellStyle name="Финансовый 6 3 2 2 2 3 2" xfId="7894" xr:uid="{00000000-0005-0000-0000-0000D71E0000}"/>
    <cellStyle name="Финансовый 6 3 2 2 2 3 2 2" xfId="7895" xr:uid="{00000000-0005-0000-0000-0000D81E0000}"/>
    <cellStyle name="Финансовый 6 3 2 2 2 3 2 2 2" xfId="7896" xr:uid="{00000000-0005-0000-0000-0000D91E0000}"/>
    <cellStyle name="Финансовый 6 3 2 2 2 3 2 3" xfId="7897" xr:uid="{00000000-0005-0000-0000-0000DA1E0000}"/>
    <cellStyle name="Финансовый 6 3 2 2 2 3 3" xfId="7898" xr:uid="{00000000-0005-0000-0000-0000DB1E0000}"/>
    <cellStyle name="Финансовый 6 3 2 2 2 3 3 2" xfId="7899" xr:uid="{00000000-0005-0000-0000-0000DC1E0000}"/>
    <cellStyle name="Финансовый 6 3 2 2 2 3 4" xfId="7900" xr:uid="{00000000-0005-0000-0000-0000DD1E0000}"/>
    <cellStyle name="Финансовый 6 3 2 2 2 4" xfId="7901" xr:uid="{00000000-0005-0000-0000-0000DE1E0000}"/>
    <cellStyle name="Финансовый 6 3 2 2 2 4 2" xfId="7902" xr:uid="{00000000-0005-0000-0000-0000DF1E0000}"/>
    <cellStyle name="Финансовый 6 3 2 2 2 4 2 2" xfId="7903" xr:uid="{00000000-0005-0000-0000-0000E01E0000}"/>
    <cellStyle name="Финансовый 6 3 2 2 2 4 3" xfId="7904" xr:uid="{00000000-0005-0000-0000-0000E11E0000}"/>
    <cellStyle name="Финансовый 6 3 2 2 2 5" xfId="7905" xr:uid="{00000000-0005-0000-0000-0000E21E0000}"/>
    <cellStyle name="Финансовый 6 3 2 2 2 5 2" xfId="7906" xr:uid="{00000000-0005-0000-0000-0000E31E0000}"/>
    <cellStyle name="Финансовый 6 3 2 2 2 6" xfId="7907" xr:uid="{00000000-0005-0000-0000-0000E41E0000}"/>
    <cellStyle name="Финансовый 6 3 2 2 3" xfId="7908" xr:uid="{00000000-0005-0000-0000-0000E51E0000}"/>
    <cellStyle name="Финансовый 6 3 2 2 3 2" xfId="7909" xr:uid="{00000000-0005-0000-0000-0000E61E0000}"/>
    <cellStyle name="Финансовый 6 3 2 2 3 2 2" xfId="7910" xr:uid="{00000000-0005-0000-0000-0000E71E0000}"/>
    <cellStyle name="Финансовый 6 3 2 2 3 2 2 2" xfId="7911" xr:uid="{00000000-0005-0000-0000-0000E81E0000}"/>
    <cellStyle name="Финансовый 6 3 2 2 3 2 2 2 2" xfId="7912" xr:uid="{00000000-0005-0000-0000-0000E91E0000}"/>
    <cellStyle name="Финансовый 6 3 2 2 3 2 2 3" xfId="7913" xr:uid="{00000000-0005-0000-0000-0000EA1E0000}"/>
    <cellStyle name="Финансовый 6 3 2 2 3 2 3" xfId="7914" xr:uid="{00000000-0005-0000-0000-0000EB1E0000}"/>
    <cellStyle name="Финансовый 6 3 2 2 3 2 3 2" xfId="7915" xr:uid="{00000000-0005-0000-0000-0000EC1E0000}"/>
    <cellStyle name="Финансовый 6 3 2 2 3 2 4" xfId="7916" xr:uid="{00000000-0005-0000-0000-0000ED1E0000}"/>
    <cellStyle name="Финансовый 6 3 2 2 3 3" xfId="7917" xr:uid="{00000000-0005-0000-0000-0000EE1E0000}"/>
    <cellStyle name="Финансовый 6 3 2 2 3 3 2" xfId="7918" xr:uid="{00000000-0005-0000-0000-0000EF1E0000}"/>
    <cellStyle name="Финансовый 6 3 2 2 3 3 2 2" xfId="7919" xr:uid="{00000000-0005-0000-0000-0000F01E0000}"/>
    <cellStyle name="Финансовый 6 3 2 2 3 3 3" xfId="7920" xr:uid="{00000000-0005-0000-0000-0000F11E0000}"/>
    <cellStyle name="Финансовый 6 3 2 2 3 4" xfId="7921" xr:uid="{00000000-0005-0000-0000-0000F21E0000}"/>
    <cellStyle name="Финансовый 6 3 2 2 3 4 2" xfId="7922" xr:uid="{00000000-0005-0000-0000-0000F31E0000}"/>
    <cellStyle name="Финансовый 6 3 2 2 3 5" xfId="7923" xr:uid="{00000000-0005-0000-0000-0000F41E0000}"/>
    <cellStyle name="Финансовый 6 3 2 2 4" xfId="7924" xr:uid="{00000000-0005-0000-0000-0000F51E0000}"/>
    <cellStyle name="Финансовый 6 3 2 2 4 2" xfId="7925" xr:uid="{00000000-0005-0000-0000-0000F61E0000}"/>
    <cellStyle name="Финансовый 6 3 2 2 4 2 2" xfId="7926" xr:uid="{00000000-0005-0000-0000-0000F71E0000}"/>
    <cellStyle name="Финансовый 6 3 2 2 4 2 2 2" xfId="7927" xr:uid="{00000000-0005-0000-0000-0000F81E0000}"/>
    <cellStyle name="Финансовый 6 3 2 2 4 2 3" xfId="7928" xr:uid="{00000000-0005-0000-0000-0000F91E0000}"/>
    <cellStyle name="Финансовый 6 3 2 2 4 3" xfId="7929" xr:uid="{00000000-0005-0000-0000-0000FA1E0000}"/>
    <cellStyle name="Финансовый 6 3 2 2 4 3 2" xfId="7930" xr:uid="{00000000-0005-0000-0000-0000FB1E0000}"/>
    <cellStyle name="Финансовый 6 3 2 2 4 4" xfId="7931" xr:uid="{00000000-0005-0000-0000-0000FC1E0000}"/>
    <cellStyle name="Финансовый 6 3 2 2 5" xfId="7932" xr:uid="{00000000-0005-0000-0000-0000FD1E0000}"/>
    <cellStyle name="Финансовый 6 3 2 2 5 2" xfId="7933" xr:uid="{00000000-0005-0000-0000-0000FE1E0000}"/>
    <cellStyle name="Финансовый 6 3 2 2 5 2 2" xfId="7934" xr:uid="{00000000-0005-0000-0000-0000FF1E0000}"/>
    <cellStyle name="Финансовый 6 3 2 2 5 3" xfId="7935" xr:uid="{00000000-0005-0000-0000-0000001F0000}"/>
    <cellStyle name="Финансовый 6 3 2 2 6" xfId="7936" xr:uid="{00000000-0005-0000-0000-0000011F0000}"/>
    <cellStyle name="Финансовый 6 3 2 2 6 2" xfId="7937" xr:uid="{00000000-0005-0000-0000-0000021F0000}"/>
    <cellStyle name="Финансовый 6 3 2 2 7" xfId="7938" xr:uid="{00000000-0005-0000-0000-0000031F0000}"/>
    <cellStyle name="Финансовый 6 3 2 3" xfId="7939" xr:uid="{00000000-0005-0000-0000-0000041F0000}"/>
    <cellStyle name="Финансовый 6 3 2 3 2" xfId="7940" xr:uid="{00000000-0005-0000-0000-0000051F0000}"/>
    <cellStyle name="Финансовый 6 3 2 3 2 2" xfId="7941" xr:uid="{00000000-0005-0000-0000-0000061F0000}"/>
    <cellStyle name="Финансовый 6 3 2 3 2 2 2" xfId="7942" xr:uid="{00000000-0005-0000-0000-0000071F0000}"/>
    <cellStyle name="Финансовый 6 3 2 3 2 2 2 2" xfId="7943" xr:uid="{00000000-0005-0000-0000-0000081F0000}"/>
    <cellStyle name="Финансовый 6 3 2 3 2 2 2 2 2" xfId="7944" xr:uid="{00000000-0005-0000-0000-0000091F0000}"/>
    <cellStyle name="Финансовый 6 3 2 3 2 2 2 3" xfId="7945" xr:uid="{00000000-0005-0000-0000-00000A1F0000}"/>
    <cellStyle name="Финансовый 6 3 2 3 2 2 3" xfId="7946" xr:uid="{00000000-0005-0000-0000-00000B1F0000}"/>
    <cellStyle name="Финансовый 6 3 2 3 2 2 3 2" xfId="7947" xr:uid="{00000000-0005-0000-0000-00000C1F0000}"/>
    <cellStyle name="Финансовый 6 3 2 3 2 2 4" xfId="7948" xr:uid="{00000000-0005-0000-0000-00000D1F0000}"/>
    <cellStyle name="Финансовый 6 3 2 3 2 3" xfId="7949" xr:uid="{00000000-0005-0000-0000-00000E1F0000}"/>
    <cellStyle name="Финансовый 6 3 2 3 2 3 2" xfId="7950" xr:uid="{00000000-0005-0000-0000-00000F1F0000}"/>
    <cellStyle name="Финансовый 6 3 2 3 2 3 2 2" xfId="7951" xr:uid="{00000000-0005-0000-0000-0000101F0000}"/>
    <cellStyle name="Финансовый 6 3 2 3 2 3 3" xfId="7952" xr:uid="{00000000-0005-0000-0000-0000111F0000}"/>
    <cellStyle name="Финансовый 6 3 2 3 2 4" xfId="7953" xr:uid="{00000000-0005-0000-0000-0000121F0000}"/>
    <cellStyle name="Финансовый 6 3 2 3 2 4 2" xfId="7954" xr:uid="{00000000-0005-0000-0000-0000131F0000}"/>
    <cellStyle name="Финансовый 6 3 2 3 2 5" xfId="7955" xr:uid="{00000000-0005-0000-0000-0000141F0000}"/>
    <cellStyle name="Финансовый 6 3 2 3 3" xfId="7956" xr:uid="{00000000-0005-0000-0000-0000151F0000}"/>
    <cellStyle name="Финансовый 6 3 2 3 3 2" xfId="7957" xr:uid="{00000000-0005-0000-0000-0000161F0000}"/>
    <cellStyle name="Финансовый 6 3 2 3 3 2 2" xfId="7958" xr:uid="{00000000-0005-0000-0000-0000171F0000}"/>
    <cellStyle name="Финансовый 6 3 2 3 3 2 2 2" xfId="7959" xr:uid="{00000000-0005-0000-0000-0000181F0000}"/>
    <cellStyle name="Финансовый 6 3 2 3 3 2 3" xfId="7960" xr:uid="{00000000-0005-0000-0000-0000191F0000}"/>
    <cellStyle name="Финансовый 6 3 2 3 3 3" xfId="7961" xr:uid="{00000000-0005-0000-0000-00001A1F0000}"/>
    <cellStyle name="Финансовый 6 3 2 3 3 3 2" xfId="7962" xr:uid="{00000000-0005-0000-0000-00001B1F0000}"/>
    <cellStyle name="Финансовый 6 3 2 3 3 4" xfId="7963" xr:uid="{00000000-0005-0000-0000-00001C1F0000}"/>
    <cellStyle name="Финансовый 6 3 2 3 4" xfId="7964" xr:uid="{00000000-0005-0000-0000-00001D1F0000}"/>
    <cellStyle name="Финансовый 6 3 2 3 4 2" xfId="7965" xr:uid="{00000000-0005-0000-0000-00001E1F0000}"/>
    <cellStyle name="Финансовый 6 3 2 3 4 2 2" xfId="7966" xr:uid="{00000000-0005-0000-0000-00001F1F0000}"/>
    <cellStyle name="Финансовый 6 3 2 3 4 3" xfId="7967" xr:uid="{00000000-0005-0000-0000-0000201F0000}"/>
    <cellStyle name="Финансовый 6 3 2 3 5" xfId="7968" xr:uid="{00000000-0005-0000-0000-0000211F0000}"/>
    <cellStyle name="Финансовый 6 3 2 3 5 2" xfId="7969" xr:uid="{00000000-0005-0000-0000-0000221F0000}"/>
    <cellStyle name="Финансовый 6 3 2 3 6" xfId="7970" xr:uid="{00000000-0005-0000-0000-0000231F0000}"/>
    <cellStyle name="Финансовый 6 3 2 4" xfId="7971" xr:uid="{00000000-0005-0000-0000-0000241F0000}"/>
    <cellStyle name="Финансовый 6 3 2 4 2" xfId="7972" xr:uid="{00000000-0005-0000-0000-0000251F0000}"/>
    <cellStyle name="Финансовый 6 3 2 4 2 2" xfId="7973" xr:uid="{00000000-0005-0000-0000-0000261F0000}"/>
    <cellStyle name="Финансовый 6 3 2 4 2 2 2" xfId="7974" xr:uid="{00000000-0005-0000-0000-0000271F0000}"/>
    <cellStyle name="Финансовый 6 3 2 4 2 2 2 2" xfId="7975" xr:uid="{00000000-0005-0000-0000-0000281F0000}"/>
    <cellStyle name="Финансовый 6 3 2 4 2 2 3" xfId="7976" xr:uid="{00000000-0005-0000-0000-0000291F0000}"/>
    <cellStyle name="Финансовый 6 3 2 4 2 3" xfId="7977" xr:uid="{00000000-0005-0000-0000-00002A1F0000}"/>
    <cellStyle name="Финансовый 6 3 2 4 2 3 2" xfId="7978" xr:uid="{00000000-0005-0000-0000-00002B1F0000}"/>
    <cellStyle name="Финансовый 6 3 2 4 2 4" xfId="7979" xr:uid="{00000000-0005-0000-0000-00002C1F0000}"/>
    <cellStyle name="Финансовый 6 3 2 4 3" xfId="7980" xr:uid="{00000000-0005-0000-0000-00002D1F0000}"/>
    <cellStyle name="Финансовый 6 3 2 4 3 2" xfId="7981" xr:uid="{00000000-0005-0000-0000-00002E1F0000}"/>
    <cellStyle name="Финансовый 6 3 2 4 3 2 2" xfId="7982" xr:uid="{00000000-0005-0000-0000-00002F1F0000}"/>
    <cellStyle name="Финансовый 6 3 2 4 3 3" xfId="7983" xr:uid="{00000000-0005-0000-0000-0000301F0000}"/>
    <cellStyle name="Финансовый 6 3 2 4 4" xfId="7984" xr:uid="{00000000-0005-0000-0000-0000311F0000}"/>
    <cellStyle name="Финансовый 6 3 2 4 4 2" xfId="7985" xr:uid="{00000000-0005-0000-0000-0000321F0000}"/>
    <cellStyle name="Финансовый 6 3 2 4 5" xfId="7986" xr:uid="{00000000-0005-0000-0000-0000331F0000}"/>
    <cellStyle name="Финансовый 6 3 2 5" xfId="7987" xr:uid="{00000000-0005-0000-0000-0000341F0000}"/>
    <cellStyle name="Финансовый 6 3 2 5 2" xfId="7988" xr:uid="{00000000-0005-0000-0000-0000351F0000}"/>
    <cellStyle name="Финансовый 6 3 2 5 2 2" xfId="7989" xr:uid="{00000000-0005-0000-0000-0000361F0000}"/>
    <cellStyle name="Финансовый 6 3 2 5 2 2 2" xfId="7990" xr:uid="{00000000-0005-0000-0000-0000371F0000}"/>
    <cellStyle name="Финансовый 6 3 2 5 2 3" xfId="7991" xr:uid="{00000000-0005-0000-0000-0000381F0000}"/>
    <cellStyle name="Финансовый 6 3 2 5 3" xfId="7992" xr:uid="{00000000-0005-0000-0000-0000391F0000}"/>
    <cellStyle name="Финансовый 6 3 2 5 3 2" xfId="7993" xr:uid="{00000000-0005-0000-0000-00003A1F0000}"/>
    <cellStyle name="Финансовый 6 3 2 5 4" xfId="7994" xr:uid="{00000000-0005-0000-0000-00003B1F0000}"/>
    <cellStyle name="Финансовый 6 3 2 6" xfId="7995" xr:uid="{00000000-0005-0000-0000-00003C1F0000}"/>
    <cellStyle name="Финансовый 6 3 2 6 2" xfId="7996" xr:uid="{00000000-0005-0000-0000-00003D1F0000}"/>
    <cellStyle name="Финансовый 6 3 2 6 2 2" xfId="7997" xr:uid="{00000000-0005-0000-0000-00003E1F0000}"/>
    <cellStyle name="Финансовый 6 3 2 6 3" xfId="7998" xr:uid="{00000000-0005-0000-0000-00003F1F0000}"/>
    <cellStyle name="Финансовый 6 3 2 7" xfId="7999" xr:uid="{00000000-0005-0000-0000-0000401F0000}"/>
    <cellStyle name="Финансовый 6 3 2 7 2" xfId="8000" xr:uid="{00000000-0005-0000-0000-0000411F0000}"/>
    <cellStyle name="Финансовый 6 3 2 8" xfId="8001" xr:uid="{00000000-0005-0000-0000-0000421F0000}"/>
    <cellStyle name="Финансовый 6 3 3" xfId="8002" xr:uid="{00000000-0005-0000-0000-0000431F0000}"/>
    <cellStyle name="Финансовый 6 3 3 2" xfId="8003" xr:uid="{00000000-0005-0000-0000-0000441F0000}"/>
    <cellStyle name="Финансовый 6 3 3 2 2" xfId="8004" xr:uid="{00000000-0005-0000-0000-0000451F0000}"/>
    <cellStyle name="Финансовый 6 3 3 2 2 2" xfId="8005" xr:uid="{00000000-0005-0000-0000-0000461F0000}"/>
    <cellStyle name="Финансовый 6 3 3 2 2 2 2" xfId="8006" xr:uid="{00000000-0005-0000-0000-0000471F0000}"/>
    <cellStyle name="Финансовый 6 3 3 2 2 2 2 2" xfId="8007" xr:uid="{00000000-0005-0000-0000-0000481F0000}"/>
    <cellStyle name="Финансовый 6 3 3 2 2 2 2 2 2" xfId="8008" xr:uid="{00000000-0005-0000-0000-0000491F0000}"/>
    <cellStyle name="Финансовый 6 3 3 2 2 2 2 3" xfId="8009" xr:uid="{00000000-0005-0000-0000-00004A1F0000}"/>
    <cellStyle name="Финансовый 6 3 3 2 2 2 3" xfId="8010" xr:uid="{00000000-0005-0000-0000-00004B1F0000}"/>
    <cellStyle name="Финансовый 6 3 3 2 2 2 3 2" xfId="8011" xr:uid="{00000000-0005-0000-0000-00004C1F0000}"/>
    <cellStyle name="Финансовый 6 3 3 2 2 2 4" xfId="8012" xr:uid="{00000000-0005-0000-0000-00004D1F0000}"/>
    <cellStyle name="Финансовый 6 3 3 2 2 3" xfId="8013" xr:uid="{00000000-0005-0000-0000-00004E1F0000}"/>
    <cellStyle name="Финансовый 6 3 3 2 2 3 2" xfId="8014" xr:uid="{00000000-0005-0000-0000-00004F1F0000}"/>
    <cellStyle name="Финансовый 6 3 3 2 2 3 2 2" xfId="8015" xr:uid="{00000000-0005-0000-0000-0000501F0000}"/>
    <cellStyle name="Финансовый 6 3 3 2 2 3 3" xfId="8016" xr:uid="{00000000-0005-0000-0000-0000511F0000}"/>
    <cellStyle name="Финансовый 6 3 3 2 2 4" xfId="8017" xr:uid="{00000000-0005-0000-0000-0000521F0000}"/>
    <cellStyle name="Финансовый 6 3 3 2 2 4 2" xfId="8018" xr:uid="{00000000-0005-0000-0000-0000531F0000}"/>
    <cellStyle name="Финансовый 6 3 3 2 2 5" xfId="8019" xr:uid="{00000000-0005-0000-0000-0000541F0000}"/>
    <cellStyle name="Финансовый 6 3 3 2 3" xfId="8020" xr:uid="{00000000-0005-0000-0000-0000551F0000}"/>
    <cellStyle name="Финансовый 6 3 3 2 3 2" xfId="8021" xr:uid="{00000000-0005-0000-0000-0000561F0000}"/>
    <cellStyle name="Финансовый 6 3 3 2 3 2 2" xfId="8022" xr:uid="{00000000-0005-0000-0000-0000571F0000}"/>
    <cellStyle name="Финансовый 6 3 3 2 3 2 2 2" xfId="8023" xr:uid="{00000000-0005-0000-0000-0000581F0000}"/>
    <cellStyle name="Финансовый 6 3 3 2 3 2 3" xfId="8024" xr:uid="{00000000-0005-0000-0000-0000591F0000}"/>
    <cellStyle name="Финансовый 6 3 3 2 3 3" xfId="8025" xr:uid="{00000000-0005-0000-0000-00005A1F0000}"/>
    <cellStyle name="Финансовый 6 3 3 2 3 3 2" xfId="8026" xr:uid="{00000000-0005-0000-0000-00005B1F0000}"/>
    <cellStyle name="Финансовый 6 3 3 2 3 4" xfId="8027" xr:uid="{00000000-0005-0000-0000-00005C1F0000}"/>
    <cellStyle name="Финансовый 6 3 3 2 4" xfId="8028" xr:uid="{00000000-0005-0000-0000-00005D1F0000}"/>
    <cellStyle name="Финансовый 6 3 3 2 4 2" xfId="8029" xr:uid="{00000000-0005-0000-0000-00005E1F0000}"/>
    <cellStyle name="Финансовый 6 3 3 2 4 2 2" xfId="8030" xr:uid="{00000000-0005-0000-0000-00005F1F0000}"/>
    <cellStyle name="Финансовый 6 3 3 2 4 3" xfId="8031" xr:uid="{00000000-0005-0000-0000-0000601F0000}"/>
    <cellStyle name="Финансовый 6 3 3 2 5" xfId="8032" xr:uid="{00000000-0005-0000-0000-0000611F0000}"/>
    <cellStyle name="Финансовый 6 3 3 2 5 2" xfId="8033" xr:uid="{00000000-0005-0000-0000-0000621F0000}"/>
    <cellStyle name="Финансовый 6 3 3 2 6" xfId="8034" xr:uid="{00000000-0005-0000-0000-0000631F0000}"/>
    <cellStyle name="Финансовый 6 3 3 3" xfId="8035" xr:uid="{00000000-0005-0000-0000-0000641F0000}"/>
    <cellStyle name="Финансовый 6 3 3 3 2" xfId="8036" xr:uid="{00000000-0005-0000-0000-0000651F0000}"/>
    <cellStyle name="Финансовый 6 3 3 3 2 2" xfId="8037" xr:uid="{00000000-0005-0000-0000-0000661F0000}"/>
    <cellStyle name="Финансовый 6 3 3 3 2 2 2" xfId="8038" xr:uid="{00000000-0005-0000-0000-0000671F0000}"/>
    <cellStyle name="Финансовый 6 3 3 3 2 2 2 2" xfId="8039" xr:uid="{00000000-0005-0000-0000-0000681F0000}"/>
    <cellStyle name="Финансовый 6 3 3 3 2 2 3" xfId="8040" xr:uid="{00000000-0005-0000-0000-0000691F0000}"/>
    <cellStyle name="Финансовый 6 3 3 3 2 3" xfId="8041" xr:uid="{00000000-0005-0000-0000-00006A1F0000}"/>
    <cellStyle name="Финансовый 6 3 3 3 2 3 2" xfId="8042" xr:uid="{00000000-0005-0000-0000-00006B1F0000}"/>
    <cellStyle name="Финансовый 6 3 3 3 2 4" xfId="8043" xr:uid="{00000000-0005-0000-0000-00006C1F0000}"/>
    <cellStyle name="Финансовый 6 3 3 3 3" xfId="8044" xr:uid="{00000000-0005-0000-0000-00006D1F0000}"/>
    <cellStyle name="Финансовый 6 3 3 3 3 2" xfId="8045" xr:uid="{00000000-0005-0000-0000-00006E1F0000}"/>
    <cellStyle name="Финансовый 6 3 3 3 3 2 2" xfId="8046" xr:uid="{00000000-0005-0000-0000-00006F1F0000}"/>
    <cellStyle name="Финансовый 6 3 3 3 3 3" xfId="8047" xr:uid="{00000000-0005-0000-0000-0000701F0000}"/>
    <cellStyle name="Финансовый 6 3 3 3 4" xfId="8048" xr:uid="{00000000-0005-0000-0000-0000711F0000}"/>
    <cellStyle name="Финансовый 6 3 3 3 4 2" xfId="8049" xr:uid="{00000000-0005-0000-0000-0000721F0000}"/>
    <cellStyle name="Финансовый 6 3 3 3 5" xfId="8050" xr:uid="{00000000-0005-0000-0000-0000731F0000}"/>
    <cellStyle name="Финансовый 6 3 3 4" xfId="8051" xr:uid="{00000000-0005-0000-0000-0000741F0000}"/>
    <cellStyle name="Финансовый 6 3 3 4 2" xfId="8052" xr:uid="{00000000-0005-0000-0000-0000751F0000}"/>
    <cellStyle name="Финансовый 6 3 3 4 2 2" xfId="8053" xr:uid="{00000000-0005-0000-0000-0000761F0000}"/>
    <cellStyle name="Финансовый 6 3 3 4 2 2 2" xfId="8054" xr:uid="{00000000-0005-0000-0000-0000771F0000}"/>
    <cellStyle name="Финансовый 6 3 3 4 2 3" xfId="8055" xr:uid="{00000000-0005-0000-0000-0000781F0000}"/>
    <cellStyle name="Финансовый 6 3 3 4 3" xfId="8056" xr:uid="{00000000-0005-0000-0000-0000791F0000}"/>
    <cellStyle name="Финансовый 6 3 3 4 3 2" xfId="8057" xr:uid="{00000000-0005-0000-0000-00007A1F0000}"/>
    <cellStyle name="Финансовый 6 3 3 4 4" xfId="8058" xr:uid="{00000000-0005-0000-0000-00007B1F0000}"/>
    <cellStyle name="Финансовый 6 3 3 5" xfId="8059" xr:uid="{00000000-0005-0000-0000-00007C1F0000}"/>
    <cellStyle name="Финансовый 6 3 3 5 2" xfId="8060" xr:uid="{00000000-0005-0000-0000-00007D1F0000}"/>
    <cellStyle name="Финансовый 6 3 3 5 2 2" xfId="8061" xr:uid="{00000000-0005-0000-0000-00007E1F0000}"/>
    <cellStyle name="Финансовый 6 3 3 5 3" xfId="8062" xr:uid="{00000000-0005-0000-0000-00007F1F0000}"/>
    <cellStyle name="Финансовый 6 3 3 6" xfId="8063" xr:uid="{00000000-0005-0000-0000-0000801F0000}"/>
    <cellStyle name="Финансовый 6 3 3 6 2" xfId="8064" xr:uid="{00000000-0005-0000-0000-0000811F0000}"/>
    <cellStyle name="Финансовый 6 3 3 7" xfId="8065" xr:uid="{00000000-0005-0000-0000-0000821F0000}"/>
    <cellStyle name="Финансовый 6 3 4" xfId="8066" xr:uid="{00000000-0005-0000-0000-0000831F0000}"/>
    <cellStyle name="Финансовый 6 3 4 2" xfId="8067" xr:uid="{00000000-0005-0000-0000-0000841F0000}"/>
    <cellStyle name="Финансовый 6 3 4 2 2" xfId="8068" xr:uid="{00000000-0005-0000-0000-0000851F0000}"/>
    <cellStyle name="Финансовый 6 3 4 2 2 2" xfId="8069" xr:uid="{00000000-0005-0000-0000-0000861F0000}"/>
    <cellStyle name="Финансовый 6 3 4 2 2 2 2" xfId="8070" xr:uid="{00000000-0005-0000-0000-0000871F0000}"/>
    <cellStyle name="Финансовый 6 3 4 2 2 2 2 2" xfId="8071" xr:uid="{00000000-0005-0000-0000-0000881F0000}"/>
    <cellStyle name="Финансовый 6 3 4 2 2 2 3" xfId="8072" xr:uid="{00000000-0005-0000-0000-0000891F0000}"/>
    <cellStyle name="Финансовый 6 3 4 2 2 3" xfId="8073" xr:uid="{00000000-0005-0000-0000-00008A1F0000}"/>
    <cellStyle name="Финансовый 6 3 4 2 2 3 2" xfId="8074" xr:uid="{00000000-0005-0000-0000-00008B1F0000}"/>
    <cellStyle name="Финансовый 6 3 4 2 2 4" xfId="8075" xr:uid="{00000000-0005-0000-0000-00008C1F0000}"/>
    <cellStyle name="Финансовый 6 3 4 2 3" xfId="8076" xr:uid="{00000000-0005-0000-0000-00008D1F0000}"/>
    <cellStyle name="Финансовый 6 3 4 2 3 2" xfId="8077" xr:uid="{00000000-0005-0000-0000-00008E1F0000}"/>
    <cellStyle name="Финансовый 6 3 4 2 3 2 2" xfId="8078" xr:uid="{00000000-0005-0000-0000-00008F1F0000}"/>
    <cellStyle name="Финансовый 6 3 4 2 3 3" xfId="8079" xr:uid="{00000000-0005-0000-0000-0000901F0000}"/>
    <cellStyle name="Финансовый 6 3 4 2 4" xfId="8080" xr:uid="{00000000-0005-0000-0000-0000911F0000}"/>
    <cellStyle name="Финансовый 6 3 4 2 4 2" xfId="8081" xr:uid="{00000000-0005-0000-0000-0000921F0000}"/>
    <cellStyle name="Финансовый 6 3 4 2 5" xfId="8082" xr:uid="{00000000-0005-0000-0000-0000931F0000}"/>
    <cellStyle name="Финансовый 6 3 4 3" xfId="8083" xr:uid="{00000000-0005-0000-0000-0000941F0000}"/>
    <cellStyle name="Финансовый 6 3 4 3 2" xfId="8084" xr:uid="{00000000-0005-0000-0000-0000951F0000}"/>
    <cellStyle name="Финансовый 6 3 4 3 2 2" xfId="8085" xr:uid="{00000000-0005-0000-0000-0000961F0000}"/>
    <cellStyle name="Финансовый 6 3 4 3 2 2 2" xfId="8086" xr:uid="{00000000-0005-0000-0000-0000971F0000}"/>
    <cellStyle name="Финансовый 6 3 4 3 2 3" xfId="8087" xr:uid="{00000000-0005-0000-0000-0000981F0000}"/>
    <cellStyle name="Финансовый 6 3 4 3 3" xfId="8088" xr:uid="{00000000-0005-0000-0000-0000991F0000}"/>
    <cellStyle name="Финансовый 6 3 4 3 3 2" xfId="8089" xr:uid="{00000000-0005-0000-0000-00009A1F0000}"/>
    <cellStyle name="Финансовый 6 3 4 3 4" xfId="8090" xr:uid="{00000000-0005-0000-0000-00009B1F0000}"/>
    <cellStyle name="Финансовый 6 3 4 4" xfId="8091" xr:uid="{00000000-0005-0000-0000-00009C1F0000}"/>
    <cellStyle name="Финансовый 6 3 4 4 2" xfId="8092" xr:uid="{00000000-0005-0000-0000-00009D1F0000}"/>
    <cellStyle name="Финансовый 6 3 4 4 2 2" xfId="8093" xr:uid="{00000000-0005-0000-0000-00009E1F0000}"/>
    <cellStyle name="Финансовый 6 3 4 4 3" xfId="8094" xr:uid="{00000000-0005-0000-0000-00009F1F0000}"/>
    <cellStyle name="Финансовый 6 3 4 5" xfId="8095" xr:uid="{00000000-0005-0000-0000-0000A01F0000}"/>
    <cellStyle name="Финансовый 6 3 4 5 2" xfId="8096" xr:uid="{00000000-0005-0000-0000-0000A11F0000}"/>
    <cellStyle name="Финансовый 6 3 4 6" xfId="8097" xr:uid="{00000000-0005-0000-0000-0000A21F0000}"/>
    <cellStyle name="Финансовый 6 3 5" xfId="8098" xr:uid="{00000000-0005-0000-0000-0000A31F0000}"/>
    <cellStyle name="Финансовый 6 3 5 2" xfId="8099" xr:uid="{00000000-0005-0000-0000-0000A41F0000}"/>
    <cellStyle name="Финансовый 6 3 5 2 2" xfId="8100" xr:uid="{00000000-0005-0000-0000-0000A51F0000}"/>
    <cellStyle name="Финансовый 6 3 5 2 2 2" xfId="8101" xr:uid="{00000000-0005-0000-0000-0000A61F0000}"/>
    <cellStyle name="Финансовый 6 3 5 2 2 2 2" xfId="8102" xr:uid="{00000000-0005-0000-0000-0000A71F0000}"/>
    <cellStyle name="Финансовый 6 3 5 2 2 3" xfId="8103" xr:uid="{00000000-0005-0000-0000-0000A81F0000}"/>
    <cellStyle name="Финансовый 6 3 5 2 3" xfId="8104" xr:uid="{00000000-0005-0000-0000-0000A91F0000}"/>
    <cellStyle name="Финансовый 6 3 5 2 3 2" xfId="8105" xr:uid="{00000000-0005-0000-0000-0000AA1F0000}"/>
    <cellStyle name="Финансовый 6 3 5 2 4" xfId="8106" xr:uid="{00000000-0005-0000-0000-0000AB1F0000}"/>
    <cellStyle name="Финансовый 6 3 5 3" xfId="8107" xr:uid="{00000000-0005-0000-0000-0000AC1F0000}"/>
    <cellStyle name="Финансовый 6 3 5 3 2" xfId="8108" xr:uid="{00000000-0005-0000-0000-0000AD1F0000}"/>
    <cellStyle name="Финансовый 6 3 5 3 2 2" xfId="8109" xr:uid="{00000000-0005-0000-0000-0000AE1F0000}"/>
    <cellStyle name="Финансовый 6 3 5 3 3" xfId="8110" xr:uid="{00000000-0005-0000-0000-0000AF1F0000}"/>
    <cellStyle name="Финансовый 6 3 5 4" xfId="8111" xr:uid="{00000000-0005-0000-0000-0000B01F0000}"/>
    <cellStyle name="Финансовый 6 3 5 4 2" xfId="8112" xr:uid="{00000000-0005-0000-0000-0000B11F0000}"/>
    <cellStyle name="Финансовый 6 3 5 5" xfId="8113" xr:uid="{00000000-0005-0000-0000-0000B21F0000}"/>
    <cellStyle name="Финансовый 6 3 6" xfId="8114" xr:uid="{00000000-0005-0000-0000-0000B31F0000}"/>
    <cellStyle name="Финансовый 6 3 6 2" xfId="8115" xr:uid="{00000000-0005-0000-0000-0000B41F0000}"/>
    <cellStyle name="Финансовый 6 3 6 2 2" xfId="8116" xr:uid="{00000000-0005-0000-0000-0000B51F0000}"/>
    <cellStyle name="Финансовый 6 3 6 2 2 2" xfId="8117" xr:uid="{00000000-0005-0000-0000-0000B61F0000}"/>
    <cellStyle name="Финансовый 6 3 6 2 3" xfId="8118" xr:uid="{00000000-0005-0000-0000-0000B71F0000}"/>
    <cellStyle name="Финансовый 6 3 6 3" xfId="8119" xr:uid="{00000000-0005-0000-0000-0000B81F0000}"/>
    <cellStyle name="Финансовый 6 3 6 3 2" xfId="8120" xr:uid="{00000000-0005-0000-0000-0000B91F0000}"/>
    <cellStyle name="Финансовый 6 3 6 4" xfId="8121" xr:uid="{00000000-0005-0000-0000-0000BA1F0000}"/>
    <cellStyle name="Финансовый 6 3 7" xfId="8122" xr:uid="{00000000-0005-0000-0000-0000BB1F0000}"/>
    <cellStyle name="Финансовый 6 3 7 2" xfId="8123" xr:uid="{00000000-0005-0000-0000-0000BC1F0000}"/>
    <cellStyle name="Финансовый 6 3 7 2 2" xfId="8124" xr:uid="{00000000-0005-0000-0000-0000BD1F0000}"/>
    <cellStyle name="Финансовый 6 3 7 3" xfId="8125" xr:uid="{00000000-0005-0000-0000-0000BE1F0000}"/>
    <cellStyle name="Финансовый 6 3 8" xfId="8126" xr:uid="{00000000-0005-0000-0000-0000BF1F0000}"/>
    <cellStyle name="Финансовый 6 3 8 2" xfId="8127" xr:uid="{00000000-0005-0000-0000-0000C01F0000}"/>
    <cellStyle name="Финансовый 6 3 9" xfId="8128" xr:uid="{00000000-0005-0000-0000-0000C11F0000}"/>
    <cellStyle name="Финансовый 6 4" xfId="8129" xr:uid="{00000000-0005-0000-0000-0000C21F0000}"/>
    <cellStyle name="Финансовый 6 4 2" xfId="8130" xr:uid="{00000000-0005-0000-0000-0000C31F0000}"/>
    <cellStyle name="Финансовый 6 4 2 2" xfId="8131" xr:uid="{00000000-0005-0000-0000-0000C41F0000}"/>
    <cellStyle name="Финансовый 6 4 2 2 2" xfId="8132" xr:uid="{00000000-0005-0000-0000-0000C51F0000}"/>
    <cellStyle name="Финансовый 6 4 2 2 2 2" xfId="8133" xr:uid="{00000000-0005-0000-0000-0000C61F0000}"/>
    <cellStyle name="Финансовый 6 4 2 2 2 2 2" xfId="8134" xr:uid="{00000000-0005-0000-0000-0000C71F0000}"/>
    <cellStyle name="Финансовый 6 4 2 2 2 2 2 2" xfId="8135" xr:uid="{00000000-0005-0000-0000-0000C81F0000}"/>
    <cellStyle name="Финансовый 6 4 2 2 2 2 2 2 2" xfId="8136" xr:uid="{00000000-0005-0000-0000-0000C91F0000}"/>
    <cellStyle name="Финансовый 6 4 2 2 2 2 2 3" xfId="8137" xr:uid="{00000000-0005-0000-0000-0000CA1F0000}"/>
    <cellStyle name="Финансовый 6 4 2 2 2 2 3" xfId="8138" xr:uid="{00000000-0005-0000-0000-0000CB1F0000}"/>
    <cellStyle name="Финансовый 6 4 2 2 2 2 3 2" xfId="8139" xr:uid="{00000000-0005-0000-0000-0000CC1F0000}"/>
    <cellStyle name="Финансовый 6 4 2 2 2 2 4" xfId="8140" xr:uid="{00000000-0005-0000-0000-0000CD1F0000}"/>
    <cellStyle name="Финансовый 6 4 2 2 2 3" xfId="8141" xr:uid="{00000000-0005-0000-0000-0000CE1F0000}"/>
    <cellStyle name="Финансовый 6 4 2 2 2 3 2" xfId="8142" xr:uid="{00000000-0005-0000-0000-0000CF1F0000}"/>
    <cellStyle name="Финансовый 6 4 2 2 2 3 2 2" xfId="8143" xr:uid="{00000000-0005-0000-0000-0000D01F0000}"/>
    <cellStyle name="Финансовый 6 4 2 2 2 3 3" xfId="8144" xr:uid="{00000000-0005-0000-0000-0000D11F0000}"/>
    <cellStyle name="Финансовый 6 4 2 2 2 4" xfId="8145" xr:uid="{00000000-0005-0000-0000-0000D21F0000}"/>
    <cellStyle name="Финансовый 6 4 2 2 2 4 2" xfId="8146" xr:uid="{00000000-0005-0000-0000-0000D31F0000}"/>
    <cellStyle name="Финансовый 6 4 2 2 2 5" xfId="8147" xr:uid="{00000000-0005-0000-0000-0000D41F0000}"/>
    <cellStyle name="Финансовый 6 4 2 2 3" xfId="8148" xr:uid="{00000000-0005-0000-0000-0000D51F0000}"/>
    <cellStyle name="Финансовый 6 4 2 2 3 2" xfId="8149" xr:uid="{00000000-0005-0000-0000-0000D61F0000}"/>
    <cellStyle name="Финансовый 6 4 2 2 3 2 2" xfId="8150" xr:uid="{00000000-0005-0000-0000-0000D71F0000}"/>
    <cellStyle name="Финансовый 6 4 2 2 3 2 2 2" xfId="8151" xr:uid="{00000000-0005-0000-0000-0000D81F0000}"/>
    <cellStyle name="Финансовый 6 4 2 2 3 2 3" xfId="8152" xr:uid="{00000000-0005-0000-0000-0000D91F0000}"/>
    <cellStyle name="Финансовый 6 4 2 2 3 3" xfId="8153" xr:uid="{00000000-0005-0000-0000-0000DA1F0000}"/>
    <cellStyle name="Финансовый 6 4 2 2 3 3 2" xfId="8154" xr:uid="{00000000-0005-0000-0000-0000DB1F0000}"/>
    <cellStyle name="Финансовый 6 4 2 2 3 4" xfId="8155" xr:uid="{00000000-0005-0000-0000-0000DC1F0000}"/>
    <cellStyle name="Финансовый 6 4 2 2 4" xfId="8156" xr:uid="{00000000-0005-0000-0000-0000DD1F0000}"/>
    <cellStyle name="Финансовый 6 4 2 2 4 2" xfId="8157" xr:uid="{00000000-0005-0000-0000-0000DE1F0000}"/>
    <cellStyle name="Финансовый 6 4 2 2 4 2 2" xfId="8158" xr:uid="{00000000-0005-0000-0000-0000DF1F0000}"/>
    <cellStyle name="Финансовый 6 4 2 2 4 3" xfId="8159" xr:uid="{00000000-0005-0000-0000-0000E01F0000}"/>
    <cellStyle name="Финансовый 6 4 2 2 5" xfId="8160" xr:uid="{00000000-0005-0000-0000-0000E11F0000}"/>
    <cellStyle name="Финансовый 6 4 2 2 5 2" xfId="8161" xr:uid="{00000000-0005-0000-0000-0000E21F0000}"/>
    <cellStyle name="Финансовый 6 4 2 2 6" xfId="8162" xr:uid="{00000000-0005-0000-0000-0000E31F0000}"/>
    <cellStyle name="Финансовый 6 4 2 3" xfId="8163" xr:uid="{00000000-0005-0000-0000-0000E41F0000}"/>
    <cellStyle name="Финансовый 6 4 2 3 2" xfId="8164" xr:uid="{00000000-0005-0000-0000-0000E51F0000}"/>
    <cellStyle name="Финансовый 6 4 2 3 2 2" xfId="8165" xr:uid="{00000000-0005-0000-0000-0000E61F0000}"/>
    <cellStyle name="Финансовый 6 4 2 3 2 2 2" xfId="8166" xr:uid="{00000000-0005-0000-0000-0000E71F0000}"/>
    <cellStyle name="Финансовый 6 4 2 3 2 2 2 2" xfId="8167" xr:uid="{00000000-0005-0000-0000-0000E81F0000}"/>
    <cellStyle name="Финансовый 6 4 2 3 2 2 3" xfId="8168" xr:uid="{00000000-0005-0000-0000-0000E91F0000}"/>
    <cellStyle name="Финансовый 6 4 2 3 2 3" xfId="8169" xr:uid="{00000000-0005-0000-0000-0000EA1F0000}"/>
    <cellStyle name="Финансовый 6 4 2 3 2 3 2" xfId="8170" xr:uid="{00000000-0005-0000-0000-0000EB1F0000}"/>
    <cellStyle name="Финансовый 6 4 2 3 2 4" xfId="8171" xr:uid="{00000000-0005-0000-0000-0000EC1F0000}"/>
    <cellStyle name="Финансовый 6 4 2 3 3" xfId="8172" xr:uid="{00000000-0005-0000-0000-0000ED1F0000}"/>
    <cellStyle name="Финансовый 6 4 2 3 3 2" xfId="8173" xr:uid="{00000000-0005-0000-0000-0000EE1F0000}"/>
    <cellStyle name="Финансовый 6 4 2 3 3 2 2" xfId="8174" xr:uid="{00000000-0005-0000-0000-0000EF1F0000}"/>
    <cellStyle name="Финансовый 6 4 2 3 3 3" xfId="8175" xr:uid="{00000000-0005-0000-0000-0000F01F0000}"/>
    <cellStyle name="Финансовый 6 4 2 3 4" xfId="8176" xr:uid="{00000000-0005-0000-0000-0000F11F0000}"/>
    <cellStyle name="Финансовый 6 4 2 3 4 2" xfId="8177" xr:uid="{00000000-0005-0000-0000-0000F21F0000}"/>
    <cellStyle name="Финансовый 6 4 2 3 5" xfId="8178" xr:uid="{00000000-0005-0000-0000-0000F31F0000}"/>
    <cellStyle name="Финансовый 6 4 2 4" xfId="8179" xr:uid="{00000000-0005-0000-0000-0000F41F0000}"/>
    <cellStyle name="Финансовый 6 4 2 4 2" xfId="8180" xr:uid="{00000000-0005-0000-0000-0000F51F0000}"/>
    <cellStyle name="Финансовый 6 4 2 4 2 2" xfId="8181" xr:uid="{00000000-0005-0000-0000-0000F61F0000}"/>
    <cellStyle name="Финансовый 6 4 2 4 2 2 2" xfId="8182" xr:uid="{00000000-0005-0000-0000-0000F71F0000}"/>
    <cellStyle name="Финансовый 6 4 2 4 2 3" xfId="8183" xr:uid="{00000000-0005-0000-0000-0000F81F0000}"/>
    <cellStyle name="Финансовый 6 4 2 4 3" xfId="8184" xr:uid="{00000000-0005-0000-0000-0000F91F0000}"/>
    <cellStyle name="Финансовый 6 4 2 4 3 2" xfId="8185" xr:uid="{00000000-0005-0000-0000-0000FA1F0000}"/>
    <cellStyle name="Финансовый 6 4 2 4 4" xfId="8186" xr:uid="{00000000-0005-0000-0000-0000FB1F0000}"/>
    <cellStyle name="Финансовый 6 4 2 5" xfId="8187" xr:uid="{00000000-0005-0000-0000-0000FC1F0000}"/>
    <cellStyle name="Финансовый 6 4 2 5 2" xfId="8188" xr:uid="{00000000-0005-0000-0000-0000FD1F0000}"/>
    <cellStyle name="Финансовый 6 4 2 5 2 2" xfId="8189" xr:uid="{00000000-0005-0000-0000-0000FE1F0000}"/>
    <cellStyle name="Финансовый 6 4 2 5 3" xfId="8190" xr:uid="{00000000-0005-0000-0000-0000FF1F0000}"/>
    <cellStyle name="Финансовый 6 4 2 6" xfId="8191" xr:uid="{00000000-0005-0000-0000-000000200000}"/>
    <cellStyle name="Финансовый 6 4 2 6 2" xfId="8192" xr:uid="{00000000-0005-0000-0000-000001200000}"/>
    <cellStyle name="Финансовый 6 4 2 7" xfId="8193" xr:uid="{00000000-0005-0000-0000-000002200000}"/>
    <cellStyle name="Финансовый 6 4 3" xfId="8194" xr:uid="{00000000-0005-0000-0000-000003200000}"/>
    <cellStyle name="Финансовый 6 4 3 2" xfId="8195" xr:uid="{00000000-0005-0000-0000-000004200000}"/>
    <cellStyle name="Финансовый 6 4 3 2 2" xfId="8196" xr:uid="{00000000-0005-0000-0000-000005200000}"/>
    <cellStyle name="Финансовый 6 4 3 2 2 2" xfId="8197" xr:uid="{00000000-0005-0000-0000-000006200000}"/>
    <cellStyle name="Финансовый 6 4 3 2 2 2 2" xfId="8198" xr:uid="{00000000-0005-0000-0000-000007200000}"/>
    <cellStyle name="Финансовый 6 4 3 2 2 2 2 2" xfId="8199" xr:uid="{00000000-0005-0000-0000-000008200000}"/>
    <cellStyle name="Финансовый 6 4 3 2 2 2 3" xfId="8200" xr:uid="{00000000-0005-0000-0000-000009200000}"/>
    <cellStyle name="Финансовый 6 4 3 2 2 3" xfId="8201" xr:uid="{00000000-0005-0000-0000-00000A200000}"/>
    <cellStyle name="Финансовый 6 4 3 2 2 3 2" xfId="8202" xr:uid="{00000000-0005-0000-0000-00000B200000}"/>
    <cellStyle name="Финансовый 6 4 3 2 2 4" xfId="8203" xr:uid="{00000000-0005-0000-0000-00000C200000}"/>
    <cellStyle name="Финансовый 6 4 3 2 3" xfId="8204" xr:uid="{00000000-0005-0000-0000-00000D200000}"/>
    <cellStyle name="Финансовый 6 4 3 2 3 2" xfId="8205" xr:uid="{00000000-0005-0000-0000-00000E200000}"/>
    <cellStyle name="Финансовый 6 4 3 2 3 2 2" xfId="8206" xr:uid="{00000000-0005-0000-0000-00000F200000}"/>
    <cellStyle name="Финансовый 6 4 3 2 3 3" xfId="8207" xr:uid="{00000000-0005-0000-0000-000010200000}"/>
    <cellStyle name="Финансовый 6 4 3 2 4" xfId="8208" xr:uid="{00000000-0005-0000-0000-000011200000}"/>
    <cellStyle name="Финансовый 6 4 3 2 4 2" xfId="8209" xr:uid="{00000000-0005-0000-0000-000012200000}"/>
    <cellStyle name="Финансовый 6 4 3 2 5" xfId="8210" xr:uid="{00000000-0005-0000-0000-000013200000}"/>
    <cellStyle name="Финансовый 6 4 3 3" xfId="8211" xr:uid="{00000000-0005-0000-0000-000014200000}"/>
    <cellStyle name="Финансовый 6 4 3 3 2" xfId="8212" xr:uid="{00000000-0005-0000-0000-000015200000}"/>
    <cellStyle name="Финансовый 6 4 3 3 2 2" xfId="8213" xr:uid="{00000000-0005-0000-0000-000016200000}"/>
    <cellStyle name="Финансовый 6 4 3 3 2 2 2" xfId="8214" xr:uid="{00000000-0005-0000-0000-000017200000}"/>
    <cellStyle name="Финансовый 6 4 3 3 2 3" xfId="8215" xr:uid="{00000000-0005-0000-0000-000018200000}"/>
    <cellStyle name="Финансовый 6 4 3 3 3" xfId="8216" xr:uid="{00000000-0005-0000-0000-000019200000}"/>
    <cellStyle name="Финансовый 6 4 3 3 3 2" xfId="8217" xr:uid="{00000000-0005-0000-0000-00001A200000}"/>
    <cellStyle name="Финансовый 6 4 3 3 4" xfId="8218" xr:uid="{00000000-0005-0000-0000-00001B200000}"/>
    <cellStyle name="Финансовый 6 4 3 4" xfId="8219" xr:uid="{00000000-0005-0000-0000-00001C200000}"/>
    <cellStyle name="Финансовый 6 4 3 4 2" xfId="8220" xr:uid="{00000000-0005-0000-0000-00001D200000}"/>
    <cellStyle name="Финансовый 6 4 3 4 2 2" xfId="8221" xr:uid="{00000000-0005-0000-0000-00001E200000}"/>
    <cellStyle name="Финансовый 6 4 3 4 3" xfId="8222" xr:uid="{00000000-0005-0000-0000-00001F200000}"/>
    <cellStyle name="Финансовый 6 4 3 5" xfId="8223" xr:uid="{00000000-0005-0000-0000-000020200000}"/>
    <cellStyle name="Финансовый 6 4 3 5 2" xfId="8224" xr:uid="{00000000-0005-0000-0000-000021200000}"/>
    <cellStyle name="Финансовый 6 4 3 6" xfId="8225" xr:uid="{00000000-0005-0000-0000-000022200000}"/>
    <cellStyle name="Финансовый 6 4 4" xfId="8226" xr:uid="{00000000-0005-0000-0000-000023200000}"/>
    <cellStyle name="Финансовый 6 4 4 2" xfId="8227" xr:uid="{00000000-0005-0000-0000-000024200000}"/>
    <cellStyle name="Финансовый 6 4 4 2 2" xfId="8228" xr:uid="{00000000-0005-0000-0000-000025200000}"/>
    <cellStyle name="Финансовый 6 4 4 2 2 2" xfId="8229" xr:uid="{00000000-0005-0000-0000-000026200000}"/>
    <cellStyle name="Финансовый 6 4 4 2 2 2 2" xfId="8230" xr:uid="{00000000-0005-0000-0000-000027200000}"/>
    <cellStyle name="Финансовый 6 4 4 2 2 3" xfId="8231" xr:uid="{00000000-0005-0000-0000-000028200000}"/>
    <cellStyle name="Финансовый 6 4 4 2 3" xfId="8232" xr:uid="{00000000-0005-0000-0000-000029200000}"/>
    <cellStyle name="Финансовый 6 4 4 2 3 2" xfId="8233" xr:uid="{00000000-0005-0000-0000-00002A200000}"/>
    <cellStyle name="Финансовый 6 4 4 2 4" xfId="8234" xr:uid="{00000000-0005-0000-0000-00002B200000}"/>
    <cellStyle name="Финансовый 6 4 4 3" xfId="8235" xr:uid="{00000000-0005-0000-0000-00002C200000}"/>
    <cellStyle name="Финансовый 6 4 4 3 2" xfId="8236" xr:uid="{00000000-0005-0000-0000-00002D200000}"/>
    <cellStyle name="Финансовый 6 4 4 3 2 2" xfId="8237" xr:uid="{00000000-0005-0000-0000-00002E200000}"/>
    <cellStyle name="Финансовый 6 4 4 3 3" xfId="8238" xr:uid="{00000000-0005-0000-0000-00002F200000}"/>
    <cellStyle name="Финансовый 6 4 4 4" xfId="8239" xr:uid="{00000000-0005-0000-0000-000030200000}"/>
    <cellStyle name="Финансовый 6 4 4 4 2" xfId="8240" xr:uid="{00000000-0005-0000-0000-000031200000}"/>
    <cellStyle name="Финансовый 6 4 4 5" xfId="8241" xr:uid="{00000000-0005-0000-0000-000032200000}"/>
    <cellStyle name="Финансовый 6 4 5" xfId="8242" xr:uid="{00000000-0005-0000-0000-000033200000}"/>
    <cellStyle name="Финансовый 6 4 5 2" xfId="8243" xr:uid="{00000000-0005-0000-0000-000034200000}"/>
    <cellStyle name="Финансовый 6 4 5 2 2" xfId="8244" xr:uid="{00000000-0005-0000-0000-000035200000}"/>
    <cellStyle name="Финансовый 6 4 5 2 2 2" xfId="8245" xr:uid="{00000000-0005-0000-0000-000036200000}"/>
    <cellStyle name="Финансовый 6 4 5 2 3" xfId="8246" xr:uid="{00000000-0005-0000-0000-000037200000}"/>
    <cellStyle name="Финансовый 6 4 5 3" xfId="8247" xr:uid="{00000000-0005-0000-0000-000038200000}"/>
    <cellStyle name="Финансовый 6 4 5 3 2" xfId="8248" xr:uid="{00000000-0005-0000-0000-000039200000}"/>
    <cellStyle name="Финансовый 6 4 5 4" xfId="8249" xr:uid="{00000000-0005-0000-0000-00003A200000}"/>
    <cellStyle name="Финансовый 6 4 6" xfId="8250" xr:uid="{00000000-0005-0000-0000-00003B200000}"/>
    <cellStyle name="Финансовый 6 4 6 2" xfId="8251" xr:uid="{00000000-0005-0000-0000-00003C200000}"/>
    <cellStyle name="Финансовый 6 4 6 2 2" xfId="8252" xr:uid="{00000000-0005-0000-0000-00003D200000}"/>
    <cellStyle name="Финансовый 6 4 6 3" xfId="8253" xr:uid="{00000000-0005-0000-0000-00003E200000}"/>
    <cellStyle name="Финансовый 6 4 7" xfId="8254" xr:uid="{00000000-0005-0000-0000-00003F200000}"/>
    <cellStyle name="Финансовый 6 4 7 2" xfId="8255" xr:uid="{00000000-0005-0000-0000-000040200000}"/>
    <cellStyle name="Финансовый 6 4 8" xfId="8256" xr:uid="{00000000-0005-0000-0000-000041200000}"/>
    <cellStyle name="Финансовый 6 5" xfId="8257" xr:uid="{00000000-0005-0000-0000-000042200000}"/>
    <cellStyle name="Финансовый 6 5 2" xfId="8258" xr:uid="{00000000-0005-0000-0000-000043200000}"/>
    <cellStyle name="Финансовый 6 5 2 2" xfId="8259" xr:uid="{00000000-0005-0000-0000-000044200000}"/>
    <cellStyle name="Финансовый 6 5 2 2 2" xfId="8260" xr:uid="{00000000-0005-0000-0000-000045200000}"/>
    <cellStyle name="Финансовый 6 5 2 2 2 2" xfId="8261" xr:uid="{00000000-0005-0000-0000-000046200000}"/>
    <cellStyle name="Финансовый 6 5 2 2 2 2 2" xfId="8262" xr:uid="{00000000-0005-0000-0000-000047200000}"/>
    <cellStyle name="Финансовый 6 5 2 2 2 2 2 2" xfId="8263" xr:uid="{00000000-0005-0000-0000-000048200000}"/>
    <cellStyle name="Финансовый 6 5 2 2 2 2 3" xfId="8264" xr:uid="{00000000-0005-0000-0000-000049200000}"/>
    <cellStyle name="Финансовый 6 5 2 2 2 3" xfId="8265" xr:uid="{00000000-0005-0000-0000-00004A200000}"/>
    <cellStyle name="Финансовый 6 5 2 2 2 3 2" xfId="8266" xr:uid="{00000000-0005-0000-0000-00004B200000}"/>
    <cellStyle name="Финансовый 6 5 2 2 2 4" xfId="8267" xr:uid="{00000000-0005-0000-0000-00004C200000}"/>
    <cellStyle name="Финансовый 6 5 2 2 3" xfId="8268" xr:uid="{00000000-0005-0000-0000-00004D200000}"/>
    <cellStyle name="Финансовый 6 5 2 2 3 2" xfId="8269" xr:uid="{00000000-0005-0000-0000-00004E200000}"/>
    <cellStyle name="Финансовый 6 5 2 2 3 2 2" xfId="8270" xr:uid="{00000000-0005-0000-0000-00004F200000}"/>
    <cellStyle name="Финансовый 6 5 2 2 3 3" xfId="8271" xr:uid="{00000000-0005-0000-0000-000050200000}"/>
    <cellStyle name="Финансовый 6 5 2 2 4" xfId="8272" xr:uid="{00000000-0005-0000-0000-000051200000}"/>
    <cellStyle name="Финансовый 6 5 2 2 4 2" xfId="8273" xr:uid="{00000000-0005-0000-0000-000052200000}"/>
    <cellStyle name="Финансовый 6 5 2 2 5" xfId="8274" xr:uid="{00000000-0005-0000-0000-000053200000}"/>
    <cellStyle name="Финансовый 6 5 2 3" xfId="8275" xr:uid="{00000000-0005-0000-0000-000054200000}"/>
    <cellStyle name="Финансовый 6 5 2 3 2" xfId="8276" xr:uid="{00000000-0005-0000-0000-000055200000}"/>
    <cellStyle name="Финансовый 6 5 2 3 2 2" xfId="8277" xr:uid="{00000000-0005-0000-0000-000056200000}"/>
    <cellStyle name="Финансовый 6 5 2 3 2 2 2" xfId="8278" xr:uid="{00000000-0005-0000-0000-000057200000}"/>
    <cellStyle name="Финансовый 6 5 2 3 2 3" xfId="8279" xr:uid="{00000000-0005-0000-0000-000058200000}"/>
    <cellStyle name="Финансовый 6 5 2 3 3" xfId="8280" xr:uid="{00000000-0005-0000-0000-000059200000}"/>
    <cellStyle name="Финансовый 6 5 2 3 3 2" xfId="8281" xr:uid="{00000000-0005-0000-0000-00005A200000}"/>
    <cellStyle name="Финансовый 6 5 2 3 4" xfId="8282" xr:uid="{00000000-0005-0000-0000-00005B200000}"/>
    <cellStyle name="Финансовый 6 5 2 4" xfId="8283" xr:uid="{00000000-0005-0000-0000-00005C200000}"/>
    <cellStyle name="Финансовый 6 5 2 4 2" xfId="8284" xr:uid="{00000000-0005-0000-0000-00005D200000}"/>
    <cellStyle name="Финансовый 6 5 2 4 2 2" xfId="8285" xr:uid="{00000000-0005-0000-0000-00005E200000}"/>
    <cellStyle name="Финансовый 6 5 2 4 3" xfId="8286" xr:uid="{00000000-0005-0000-0000-00005F200000}"/>
    <cellStyle name="Финансовый 6 5 2 5" xfId="8287" xr:uid="{00000000-0005-0000-0000-000060200000}"/>
    <cellStyle name="Финансовый 6 5 2 5 2" xfId="8288" xr:uid="{00000000-0005-0000-0000-000061200000}"/>
    <cellStyle name="Финансовый 6 5 2 6" xfId="8289" xr:uid="{00000000-0005-0000-0000-000062200000}"/>
    <cellStyle name="Финансовый 6 5 3" xfId="8290" xr:uid="{00000000-0005-0000-0000-000063200000}"/>
    <cellStyle name="Финансовый 6 5 3 2" xfId="8291" xr:uid="{00000000-0005-0000-0000-000064200000}"/>
    <cellStyle name="Финансовый 6 5 3 2 2" xfId="8292" xr:uid="{00000000-0005-0000-0000-000065200000}"/>
    <cellStyle name="Финансовый 6 5 3 2 2 2" xfId="8293" xr:uid="{00000000-0005-0000-0000-000066200000}"/>
    <cellStyle name="Финансовый 6 5 3 2 2 2 2" xfId="8294" xr:uid="{00000000-0005-0000-0000-000067200000}"/>
    <cellStyle name="Финансовый 6 5 3 2 2 3" xfId="8295" xr:uid="{00000000-0005-0000-0000-000068200000}"/>
    <cellStyle name="Финансовый 6 5 3 2 3" xfId="8296" xr:uid="{00000000-0005-0000-0000-000069200000}"/>
    <cellStyle name="Финансовый 6 5 3 2 3 2" xfId="8297" xr:uid="{00000000-0005-0000-0000-00006A200000}"/>
    <cellStyle name="Финансовый 6 5 3 2 4" xfId="8298" xr:uid="{00000000-0005-0000-0000-00006B200000}"/>
    <cellStyle name="Финансовый 6 5 3 3" xfId="8299" xr:uid="{00000000-0005-0000-0000-00006C200000}"/>
    <cellStyle name="Финансовый 6 5 3 3 2" xfId="8300" xr:uid="{00000000-0005-0000-0000-00006D200000}"/>
    <cellStyle name="Финансовый 6 5 3 3 2 2" xfId="8301" xr:uid="{00000000-0005-0000-0000-00006E200000}"/>
    <cellStyle name="Финансовый 6 5 3 3 3" xfId="8302" xr:uid="{00000000-0005-0000-0000-00006F200000}"/>
    <cellStyle name="Финансовый 6 5 3 4" xfId="8303" xr:uid="{00000000-0005-0000-0000-000070200000}"/>
    <cellStyle name="Финансовый 6 5 3 4 2" xfId="8304" xr:uid="{00000000-0005-0000-0000-000071200000}"/>
    <cellStyle name="Финансовый 6 5 3 5" xfId="8305" xr:uid="{00000000-0005-0000-0000-000072200000}"/>
    <cellStyle name="Финансовый 6 5 4" xfId="8306" xr:uid="{00000000-0005-0000-0000-000073200000}"/>
    <cellStyle name="Финансовый 6 5 4 2" xfId="8307" xr:uid="{00000000-0005-0000-0000-000074200000}"/>
    <cellStyle name="Финансовый 6 5 4 2 2" xfId="8308" xr:uid="{00000000-0005-0000-0000-000075200000}"/>
    <cellStyle name="Финансовый 6 5 4 2 2 2" xfId="8309" xr:uid="{00000000-0005-0000-0000-000076200000}"/>
    <cellStyle name="Финансовый 6 5 4 2 3" xfId="8310" xr:uid="{00000000-0005-0000-0000-000077200000}"/>
    <cellStyle name="Финансовый 6 5 4 3" xfId="8311" xr:uid="{00000000-0005-0000-0000-000078200000}"/>
    <cellStyle name="Финансовый 6 5 4 3 2" xfId="8312" xr:uid="{00000000-0005-0000-0000-000079200000}"/>
    <cellStyle name="Финансовый 6 5 4 4" xfId="8313" xr:uid="{00000000-0005-0000-0000-00007A200000}"/>
    <cellStyle name="Финансовый 6 5 5" xfId="8314" xr:uid="{00000000-0005-0000-0000-00007B200000}"/>
    <cellStyle name="Финансовый 6 5 5 2" xfId="8315" xr:uid="{00000000-0005-0000-0000-00007C200000}"/>
    <cellStyle name="Финансовый 6 5 5 2 2" xfId="8316" xr:uid="{00000000-0005-0000-0000-00007D200000}"/>
    <cellStyle name="Финансовый 6 5 5 3" xfId="8317" xr:uid="{00000000-0005-0000-0000-00007E200000}"/>
    <cellStyle name="Финансовый 6 5 6" xfId="8318" xr:uid="{00000000-0005-0000-0000-00007F200000}"/>
    <cellStyle name="Финансовый 6 5 6 2" xfId="8319" xr:uid="{00000000-0005-0000-0000-000080200000}"/>
    <cellStyle name="Финансовый 6 5 7" xfId="8320" xr:uid="{00000000-0005-0000-0000-000081200000}"/>
    <cellStyle name="Финансовый 6 6" xfId="8321" xr:uid="{00000000-0005-0000-0000-000082200000}"/>
    <cellStyle name="Финансовый 6 6 2" xfId="8322" xr:uid="{00000000-0005-0000-0000-000083200000}"/>
    <cellStyle name="Финансовый 6 6 2 2" xfId="8323" xr:uid="{00000000-0005-0000-0000-000084200000}"/>
    <cellStyle name="Финансовый 6 6 2 2 2" xfId="8324" xr:uid="{00000000-0005-0000-0000-000085200000}"/>
    <cellStyle name="Финансовый 6 6 2 2 2 2" xfId="8325" xr:uid="{00000000-0005-0000-0000-000086200000}"/>
    <cellStyle name="Финансовый 6 6 2 2 2 2 2" xfId="8326" xr:uid="{00000000-0005-0000-0000-000087200000}"/>
    <cellStyle name="Финансовый 6 6 2 2 2 3" xfId="8327" xr:uid="{00000000-0005-0000-0000-000088200000}"/>
    <cellStyle name="Финансовый 6 6 2 2 3" xfId="8328" xr:uid="{00000000-0005-0000-0000-000089200000}"/>
    <cellStyle name="Финансовый 6 6 2 2 3 2" xfId="8329" xr:uid="{00000000-0005-0000-0000-00008A200000}"/>
    <cellStyle name="Финансовый 6 6 2 2 4" xfId="8330" xr:uid="{00000000-0005-0000-0000-00008B200000}"/>
    <cellStyle name="Финансовый 6 6 2 3" xfId="8331" xr:uid="{00000000-0005-0000-0000-00008C200000}"/>
    <cellStyle name="Финансовый 6 6 2 3 2" xfId="8332" xr:uid="{00000000-0005-0000-0000-00008D200000}"/>
    <cellStyle name="Финансовый 6 6 2 3 2 2" xfId="8333" xr:uid="{00000000-0005-0000-0000-00008E200000}"/>
    <cellStyle name="Финансовый 6 6 2 3 3" xfId="8334" xr:uid="{00000000-0005-0000-0000-00008F200000}"/>
    <cellStyle name="Финансовый 6 6 2 4" xfId="8335" xr:uid="{00000000-0005-0000-0000-000090200000}"/>
    <cellStyle name="Финансовый 6 6 2 4 2" xfId="8336" xr:uid="{00000000-0005-0000-0000-000091200000}"/>
    <cellStyle name="Финансовый 6 6 2 5" xfId="8337" xr:uid="{00000000-0005-0000-0000-000092200000}"/>
    <cellStyle name="Финансовый 6 6 3" xfId="8338" xr:uid="{00000000-0005-0000-0000-000093200000}"/>
    <cellStyle name="Финансовый 6 6 3 2" xfId="8339" xr:uid="{00000000-0005-0000-0000-000094200000}"/>
    <cellStyle name="Финансовый 6 6 3 2 2" xfId="8340" xr:uid="{00000000-0005-0000-0000-000095200000}"/>
    <cellStyle name="Финансовый 6 6 3 2 2 2" xfId="8341" xr:uid="{00000000-0005-0000-0000-000096200000}"/>
    <cellStyle name="Финансовый 6 6 3 2 3" xfId="8342" xr:uid="{00000000-0005-0000-0000-000097200000}"/>
    <cellStyle name="Финансовый 6 6 3 3" xfId="8343" xr:uid="{00000000-0005-0000-0000-000098200000}"/>
    <cellStyle name="Финансовый 6 6 3 3 2" xfId="8344" xr:uid="{00000000-0005-0000-0000-000099200000}"/>
    <cellStyle name="Финансовый 6 6 3 4" xfId="8345" xr:uid="{00000000-0005-0000-0000-00009A200000}"/>
    <cellStyle name="Финансовый 6 6 4" xfId="8346" xr:uid="{00000000-0005-0000-0000-00009B200000}"/>
    <cellStyle name="Финансовый 6 6 4 2" xfId="8347" xr:uid="{00000000-0005-0000-0000-00009C200000}"/>
    <cellStyle name="Финансовый 6 6 4 2 2" xfId="8348" xr:uid="{00000000-0005-0000-0000-00009D200000}"/>
    <cellStyle name="Финансовый 6 6 4 3" xfId="8349" xr:uid="{00000000-0005-0000-0000-00009E200000}"/>
    <cellStyle name="Финансовый 6 6 5" xfId="8350" xr:uid="{00000000-0005-0000-0000-00009F200000}"/>
    <cellStyle name="Финансовый 6 6 5 2" xfId="8351" xr:uid="{00000000-0005-0000-0000-0000A0200000}"/>
    <cellStyle name="Финансовый 6 6 6" xfId="8352" xr:uid="{00000000-0005-0000-0000-0000A1200000}"/>
    <cellStyle name="Финансовый 6 7" xfId="8353" xr:uid="{00000000-0005-0000-0000-0000A2200000}"/>
    <cellStyle name="Финансовый 6 7 2" xfId="8354" xr:uid="{00000000-0005-0000-0000-0000A3200000}"/>
    <cellStyle name="Финансовый 6 7 2 2" xfId="8355" xr:uid="{00000000-0005-0000-0000-0000A4200000}"/>
    <cellStyle name="Финансовый 6 7 2 2 2" xfId="8356" xr:uid="{00000000-0005-0000-0000-0000A5200000}"/>
    <cellStyle name="Финансовый 6 7 2 2 2 2" xfId="8357" xr:uid="{00000000-0005-0000-0000-0000A6200000}"/>
    <cellStyle name="Финансовый 6 7 2 2 3" xfId="8358" xr:uid="{00000000-0005-0000-0000-0000A7200000}"/>
    <cellStyle name="Финансовый 6 7 2 3" xfId="8359" xr:uid="{00000000-0005-0000-0000-0000A8200000}"/>
    <cellStyle name="Финансовый 6 7 2 3 2" xfId="8360" xr:uid="{00000000-0005-0000-0000-0000A9200000}"/>
    <cellStyle name="Финансовый 6 7 2 4" xfId="8361" xr:uid="{00000000-0005-0000-0000-0000AA200000}"/>
    <cellStyle name="Финансовый 6 7 3" xfId="8362" xr:uid="{00000000-0005-0000-0000-0000AB200000}"/>
    <cellStyle name="Финансовый 6 7 3 2" xfId="8363" xr:uid="{00000000-0005-0000-0000-0000AC200000}"/>
    <cellStyle name="Финансовый 6 7 3 2 2" xfId="8364" xr:uid="{00000000-0005-0000-0000-0000AD200000}"/>
    <cellStyle name="Финансовый 6 7 3 3" xfId="8365" xr:uid="{00000000-0005-0000-0000-0000AE200000}"/>
    <cellStyle name="Финансовый 6 7 4" xfId="8366" xr:uid="{00000000-0005-0000-0000-0000AF200000}"/>
    <cellStyle name="Финансовый 6 7 4 2" xfId="8367" xr:uid="{00000000-0005-0000-0000-0000B0200000}"/>
    <cellStyle name="Финансовый 6 7 5" xfId="8368" xr:uid="{00000000-0005-0000-0000-0000B1200000}"/>
    <cellStyle name="Финансовый 6 8" xfId="8369" xr:uid="{00000000-0005-0000-0000-0000B2200000}"/>
    <cellStyle name="Финансовый 6 8 2" xfId="8370" xr:uid="{00000000-0005-0000-0000-0000B3200000}"/>
    <cellStyle name="Финансовый 6 8 2 2" xfId="8371" xr:uid="{00000000-0005-0000-0000-0000B4200000}"/>
    <cellStyle name="Финансовый 6 8 2 2 2" xfId="8372" xr:uid="{00000000-0005-0000-0000-0000B5200000}"/>
    <cellStyle name="Финансовый 6 8 2 3" xfId="8373" xr:uid="{00000000-0005-0000-0000-0000B6200000}"/>
    <cellStyle name="Финансовый 6 8 3" xfId="8374" xr:uid="{00000000-0005-0000-0000-0000B7200000}"/>
    <cellStyle name="Финансовый 6 8 3 2" xfId="8375" xr:uid="{00000000-0005-0000-0000-0000B8200000}"/>
    <cellStyle name="Финансовый 6 8 4" xfId="8376" xr:uid="{00000000-0005-0000-0000-0000B9200000}"/>
    <cellStyle name="Финансовый 6 9" xfId="8377" xr:uid="{00000000-0005-0000-0000-0000BA200000}"/>
    <cellStyle name="Финансовый 6 9 2" xfId="8378" xr:uid="{00000000-0005-0000-0000-0000BB200000}"/>
    <cellStyle name="Финансовый 6 9 2 2" xfId="8379" xr:uid="{00000000-0005-0000-0000-0000BC200000}"/>
    <cellStyle name="Финансовый 6 9 3" xfId="8380" xr:uid="{00000000-0005-0000-0000-0000BD200000}"/>
    <cellStyle name="Финансовый 7" xfId="8381" xr:uid="{00000000-0005-0000-0000-0000BE200000}"/>
    <cellStyle name="Финансовый 7 10" xfId="8382" xr:uid="{00000000-0005-0000-0000-0000BF200000}"/>
    <cellStyle name="Финансовый 7 10 2" xfId="8383" xr:uid="{00000000-0005-0000-0000-0000C0200000}"/>
    <cellStyle name="Финансовый 7 11" xfId="8384" xr:uid="{00000000-0005-0000-0000-0000C1200000}"/>
    <cellStyle name="Финансовый 7 2" xfId="8385" xr:uid="{00000000-0005-0000-0000-0000C2200000}"/>
    <cellStyle name="Финансовый 7 2 10" xfId="8386" xr:uid="{00000000-0005-0000-0000-0000C3200000}"/>
    <cellStyle name="Финансовый 7 2 2" xfId="8387" xr:uid="{00000000-0005-0000-0000-0000C4200000}"/>
    <cellStyle name="Финансовый 7 2 2 2" xfId="8388" xr:uid="{00000000-0005-0000-0000-0000C5200000}"/>
    <cellStyle name="Финансовый 7 2 2 2 2" xfId="8389" xr:uid="{00000000-0005-0000-0000-0000C6200000}"/>
    <cellStyle name="Финансовый 7 2 2 2 2 2" xfId="8390" xr:uid="{00000000-0005-0000-0000-0000C7200000}"/>
    <cellStyle name="Финансовый 7 2 2 2 2 2 2" xfId="8391" xr:uid="{00000000-0005-0000-0000-0000C8200000}"/>
    <cellStyle name="Финансовый 7 2 2 2 2 2 2 2" xfId="8392" xr:uid="{00000000-0005-0000-0000-0000C9200000}"/>
    <cellStyle name="Финансовый 7 2 2 2 2 2 2 2 2" xfId="8393" xr:uid="{00000000-0005-0000-0000-0000CA200000}"/>
    <cellStyle name="Финансовый 7 2 2 2 2 2 2 2 2 2" xfId="8394" xr:uid="{00000000-0005-0000-0000-0000CB200000}"/>
    <cellStyle name="Финансовый 7 2 2 2 2 2 2 2 2 2 2" xfId="8395" xr:uid="{00000000-0005-0000-0000-0000CC200000}"/>
    <cellStyle name="Финансовый 7 2 2 2 2 2 2 2 2 3" xfId="8396" xr:uid="{00000000-0005-0000-0000-0000CD200000}"/>
    <cellStyle name="Финансовый 7 2 2 2 2 2 2 2 3" xfId="8397" xr:uid="{00000000-0005-0000-0000-0000CE200000}"/>
    <cellStyle name="Финансовый 7 2 2 2 2 2 2 2 3 2" xfId="8398" xr:uid="{00000000-0005-0000-0000-0000CF200000}"/>
    <cellStyle name="Финансовый 7 2 2 2 2 2 2 2 4" xfId="8399" xr:uid="{00000000-0005-0000-0000-0000D0200000}"/>
    <cellStyle name="Финансовый 7 2 2 2 2 2 2 3" xfId="8400" xr:uid="{00000000-0005-0000-0000-0000D1200000}"/>
    <cellStyle name="Финансовый 7 2 2 2 2 2 2 3 2" xfId="8401" xr:uid="{00000000-0005-0000-0000-0000D2200000}"/>
    <cellStyle name="Финансовый 7 2 2 2 2 2 2 3 2 2" xfId="8402" xr:uid="{00000000-0005-0000-0000-0000D3200000}"/>
    <cellStyle name="Финансовый 7 2 2 2 2 2 2 3 3" xfId="8403" xr:uid="{00000000-0005-0000-0000-0000D4200000}"/>
    <cellStyle name="Финансовый 7 2 2 2 2 2 2 4" xfId="8404" xr:uid="{00000000-0005-0000-0000-0000D5200000}"/>
    <cellStyle name="Финансовый 7 2 2 2 2 2 2 4 2" xfId="8405" xr:uid="{00000000-0005-0000-0000-0000D6200000}"/>
    <cellStyle name="Финансовый 7 2 2 2 2 2 2 5" xfId="8406" xr:uid="{00000000-0005-0000-0000-0000D7200000}"/>
    <cellStyle name="Финансовый 7 2 2 2 2 2 3" xfId="8407" xr:uid="{00000000-0005-0000-0000-0000D8200000}"/>
    <cellStyle name="Финансовый 7 2 2 2 2 2 3 2" xfId="8408" xr:uid="{00000000-0005-0000-0000-0000D9200000}"/>
    <cellStyle name="Финансовый 7 2 2 2 2 2 3 2 2" xfId="8409" xr:uid="{00000000-0005-0000-0000-0000DA200000}"/>
    <cellStyle name="Финансовый 7 2 2 2 2 2 3 2 2 2" xfId="8410" xr:uid="{00000000-0005-0000-0000-0000DB200000}"/>
    <cellStyle name="Финансовый 7 2 2 2 2 2 3 2 3" xfId="8411" xr:uid="{00000000-0005-0000-0000-0000DC200000}"/>
    <cellStyle name="Финансовый 7 2 2 2 2 2 3 3" xfId="8412" xr:uid="{00000000-0005-0000-0000-0000DD200000}"/>
    <cellStyle name="Финансовый 7 2 2 2 2 2 3 3 2" xfId="8413" xr:uid="{00000000-0005-0000-0000-0000DE200000}"/>
    <cellStyle name="Финансовый 7 2 2 2 2 2 3 4" xfId="8414" xr:uid="{00000000-0005-0000-0000-0000DF200000}"/>
    <cellStyle name="Финансовый 7 2 2 2 2 2 4" xfId="8415" xr:uid="{00000000-0005-0000-0000-0000E0200000}"/>
    <cellStyle name="Финансовый 7 2 2 2 2 2 4 2" xfId="8416" xr:uid="{00000000-0005-0000-0000-0000E1200000}"/>
    <cellStyle name="Финансовый 7 2 2 2 2 2 4 2 2" xfId="8417" xr:uid="{00000000-0005-0000-0000-0000E2200000}"/>
    <cellStyle name="Финансовый 7 2 2 2 2 2 4 3" xfId="8418" xr:uid="{00000000-0005-0000-0000-0000E3200000}"/>
    <cellStyle name="Финансовый 7 2 2 2 2 2 5" xfId="8419" xr:uid="{00000000-0005-0000-0000-0000E4200000}"/>
    <cellStyle name="Финансовый 7 2 2 2 2 2 5 2" xfId="8420" xr:uid="{00000000-0005-0000-0000-0000E5200000}"/>
    <cellStyle name="Финансовый 7 2 2 2 2 2 6" xfId="8421" xr:uid="{00000000-0005-0000-0000-0000E6200000}"/>
    <cellStyle name="Финансовый 7 2 2 2 2 3" xfId="8422" xr:uid="{00000000-0005-0000-0000-0000E7200000}"/>
    <cellStyle name="Финансовый 7 2 2 2 2 3 2" xfId="8423" xr:uid="{00000000-0005-0000-0000-0000E8200000}"/>
    <cellStyle name="Финансовый 7 2 2 2 2 3 2 2" xfId="8424" xr:uid="{00000000-0005-0000-0000-0000E9200000}"/>
    <cellStyle name="Финансовый 7 2 2 2 2 3 2 2 2" xfId="8425" xr:uid="{00000000-0005-0000-0000-0000EA200000}"/>
    <cellStyle name="Финансовый 7 2 2 2 2 3 2 2 2 2" xfId="8426" xr:uid="{00000000-0005-0000-0000-0000EB200000}"/>
    <cellStyle name="Финансовый 7 2 2 2 2 3 2 2 3" xfId="8427" xr:uid="{00000000-0005-0000-0000-0000EC200000}"/>
    <cellStyle name="Финансовый 7 2 2 2 2 3 2 3" xfId="8428" xr:uid="{00000000-0005-0000-0000-0000ED200000}"/>
    <cellStyle name="Финансовый 7 2 2 2 2 3 2 3 2" xfId="8429" xr:uid="{00000000-0005-0000-0000-0000EE200000}"/>
    <cellStyle name="Финансовый 7 2 2 2 2 3 2 4" xfId="8430" xr:uid="{00000000-0005-0000-0000-0000EF200000}"/>
    <cellStyle name="Финансовый 7 2 2 2 2 3 3" xfId="8431" xr:uid="{00000000-0005-0000-0000-0000F0200000}"/>
    <cellStyle name="Финансовый 7 2 2 2 2 3 3 2" xfId="8432" xr:uid="{00000000-0005-0000-0000-0000F1200000}"/>
    <cellStyle name="Финансовый 7 2 2 2 2 3 3 2 2" xfId="8433" xr:uid="{00000000-0005-0000-0000-0000F2200000}"/>
    <cellStyle name="Финансовый 7 2 2 2 2 3 3 3" xfId="8434" xr:uid="{00000000-0005-0000-0000-0000F3200000}"/>
    <cellStyle name="Финансовый 7 2 2 2 2 3 4" xfId="8435" xr:uid="{00000000-0005-0000-0000-0000F4200000}"/>
    <cellStyle name="Финансовый 7 2 2 2 2 3 4 2" xfId="8436" xr:uid="{00000000-0005-0000-0000-0000F5200000}"/>
    <cellStyle name="Финансовый 7 2 2 2 2 3 5" xfId="8437" xr:uid="{00000000-0005-0000-0000-0000F6200000}"/>
    <cellStyle name="Финансовый 7 2 2 2 2 4" xfId="8438" xr:uid="{00000000-0005-0000-0000-0000F7200000}"/>
    <cellStyle name="Финансовый 7 2 2 2 2 4 2" xfId="8439" xr:uid="{00000000-0005-0000-0000-0000F8200000}"/>
    <cellStyle name="Финансовый 7 2 2 2 2 4 2 2" xfId="8440" xr:uid="{00000000-0005-0000-0000-0000F9200000}"/>
    <cellStyle name="Финансовый 7 2 2 2 2 4 2 2 2" xfId="8441" xr:uid="{00000000-0005-0000-0000-0000FA200000}"/>
    <cellStyle name="Финансовый 7 2 2 2 2 4 2 3" xfId="8442" xr:uid="{00000000-0005-0000-0000-0000FB200000}"/>
    <cellStyle name="Финансовый 7 2 2 2 2 4 3" xfId="8443" xr:uid="{00000000-0005-0000-0000-0000FC200000}"/>
    <cellStyle name="Финансовый 7 2 2 2 2 4 3 2" xfId="8444" xr:uid="{00000000-0005-0000-0000-0000FD200000}"/>
    <cellStyle name="Финансовый 7 2 2 2 2 4 4" xfId="8445" xr:uid="{00000000-0005-0000-0000-0000FE200000}"/>
    <cellStyle name="Финансовый 7 2 2 2 2 5" xfId="8446" xr:uid="{00000000-0005-0000-0000-0000FF200000}"/>
    <cellStyle name="Финансовый 7 2 2 2 2 5 2" xfId="8447" xr:uid="{00000000-0005-0000-0000-000000210000}"/>
    <cellStyle name="Финансовый 7 2 2 2 2 5 2 2" xfId="8448" xr:uid="{00000000-0005-0000-0000-000001210000}"/>
    <cellStyle name="Финансовый 7 2 2 2 2 5 3" xfId="8449" xr:uid="{00000000-0005-0000-0000-000002210000}"/>
    <cellStyle name="Финансовый 7 2 2 2 2 6" xfId="8450" xr:uid="{00000000-0005-0000-0000-000003210000}"/>
    <cellStyle name="Финансовый 7 2 2 2 2 6 2" xfId="8451" xr:uid="{00000000-0005-0000-0000-000004210000}"/>
    <cellStyle name="Финансовый 7 2 2 2 2 7" xfId="8452" xr:uid="{00000000-0005-0000-0000-000005210000}"/>
    <cellStyle name="Финансовый 7 2 2 2 3" xfId="8453" xr:uid="{00000000-0005-0000-0000-000006210000}"/>
    <cellStyle name="Финансовый 7 2 2 2 3 2" xfId="8454" xr:uid="{00000000-0005-0000-0000-000007210000}"/>
    <cellStyle name="Финансовый 7 2 2 2 3 2 2" xfId="8455" xr:uid="{00000000-0005-0000-0000-000008210000}"/>
    <cellStyle name="Финансовый 7 2 2 2 3 2 2 2" xfId="8456" xr:uid="{00000000-0005-0000-0000-000009210000}"/>
    <cellStyle name="Финансовый 7 2 2 2 3 2 2 2 2" xfId="8457" xr:uid="{00000000-0005-0000-0000-00000A210000}"/>
    <cellStyle name="Финансовый 7 2 2 2 3 2 2 2 2 2" xfId="8458" xr:uid="{00000000-0005-0000-0000-00000B210000}"/>
    <cellStyle name="Финансовый 7 2 2 2 3 2 2 2 3" xfId="8459" xr:uid="{00000000-0005-0000-0000-00000C210000}"/>
    <cellStyle name="Финансовый 7 2 2 2 3 2 2 3" xfId="8460" xr:uid="{00000000-0005-0000-0000-00000D210000}"/>
    <cellStyle name="Финансовый 7 2 2 2 3 2 2 3 2" xfId="8461" xr:uid="{00000000-0005-0000-0000-00000E210000}"/>
    <cellStyle name="Финансовый 7 2 2 2 3 2 2 4" xfId="8462" xr:uid="{00000000-0005-0000-0000-00000F210000}"/>
    <cellStyle name="Финансовый 7 2 2 2 3 2 3" xfId="8463" xr:uid="{00000000-0005-0000-0000-000010210000}"/>
    <cellStyle name="Финансовый 7 2 2 2 3 2 3 2" xfId="8464" xr:uid="{00000000-0005-0000-0000-000011210000}"/>
    <cellStyle name="Финансовый 7 2 2 2 3 2 3 2 2" xfId="8465" xr:uid="{00000000-0005-0000-0000-000012210000}"/>
    <cellStyle name="Финансовый 7 2 2 2 3 2 3 3" xfId="8466" xr:uid="{00000000-0005-0000-0000-000013210000}"/>
    <cellStyle name="Финансовый 7 2 2 2 3 2 4" xfId="8467" xr:uid="{00000000-0005-0000-0000-000014210000}"/>
    <cellStyle name="Финансовый 7 2 2 2 3 2 4 2" xfId="8468" xr:uid="{00000000-0005-0000-0000-000015210000}"/>
    <cellStyle name="Финансовый 7 2 2 2 3 2 5" xfId="8469" xr:uid="{00000000-0005-0000-0000-000016210000}"/>
    <cellStyle name="Финансовый 7 2 2 2 3 3" xfId="8470" xr:uid="{00000000-0005-0000-0000-000017210000}"/>
    <cellStyle name="Финансовый 7 2 2 2 3 3 2" xfId="8471" xr:uid="{00000000-0005-0000-0000-000018210000}"/>
    <cellStyle name="Финансовый 7 2 2 2 3 3 2 2" xfId="8472" xr:uid="{00000000-0005-0000-0000-000019210000}"/>
    <cellStyle name="Финансовый 7 2 2 2 3 3 2 2 2" xfId="8473" xr:uid="{00000000-0005-0000-0000-00001A210000}"/>
    <cellStyle name="Финансовый 7 2 2 2 3 3 2 3" xfId="8474" xr:uid="{00000000-0005-0000-0000-00001B210000}"/>
    <cellStyle name="Финансовый 7 2 2 2 3 3 3" xfId="8475" xr:uid="{00000000-0005-0000-0000-00001C210000}"/>
    <cellStyle name="Финансовый 7 2 2 2 3 3 3 2" xfId="8476" xr:uid="{00000000-0005-0000-0000-00001D210000}"/>
    <cellStyle name="Финансовый 7 2 2 2 3 3 4" xfId="8477" xr:uid="{00000000-0005-0000-0000-00001E210000}"/>
    <cellStyle name="Финансовый 7 2 2 2 3 4" xfId="8478" xr:uid="{00000000-0005-0000-0000-00001F210000}"/>
    <cellStyle name="Финансовый 7 2 2 2 3 4 2" xfId="8479" xr:uid="{00000000-0005-0000-0000-000020210000}"/>
    <cellStyle name="Финансовый 7 2 2 2 3 4 2 2" xfId="8480" xr:uid="{00000000-0005-0000-0000-000021210000}"/>
    <cellStyle name="Финансовый 7 2 2 2 3 4 3" xfId="8481" xr:uid="{00000000-0005-0000-0000-000022210000}"/>
    <cellStyle name="Финансовый 7 2 2 2 3 5" xfId="8482" xr:uid="{00000000-0005-0000-0000-000023210000}"/>
    <cellStyle name="Финансовый 7 2 2 2 3 5 2" xfId="8483" xr:uid="{00000000-0005-0000-0000-000024210000}"/>
    <cellStyle name="Финансовый 7 2 2 2 3 6" xfId="8484" xr:uid="{00000000-0005-0000-0000-000025210000}"/>
    <cellStyle name="Финансовый 7 2 2 2 4" xfId="8485" xr:uid="{00000000-0005-0000-0000-000026210000}"/>
    <cellStyle name="Финансовый 7 2 2 2 4 2" xfId="8486" xr:uid="{00000000-0005-0000-0000-000027210000}"/>
    <cellStyle name="Финансовый 7 2 2 2 4 2 2" xfId="8487" xr:uid="{00000000-0005-0000-0000-000028210000}"/>
    <cellStyle name="Финансовый 7 2 2 2 4 2 2 2" xfId="8488" xr:uid="{00000000-0005-0000-0000-000029210000}"/>
    <cellStyle name="Финансовый 7 2 2 2 4 2 2 2 2" xfId="8489" xr:uid="{00000000-0005-0000-0000-00002A210000}"/>
    <cellStyle name="Финансовый 7 2 2 2 4 2 2 3" xfId="8490" xr:uid="{00000000-0005-0000-0000-00002B210000}"/>
    <cellStyle name="Финансовый 7 2 2 2 4 2 3" xfId="8491" xr:uid="{00000000-0005-0000-0000-00002C210000}"/>
    <cellStyle name="Финансовый 7 2 2 2 4 2 3 2" xfId="8492" xr:uid="{00000000-0005-0000-0000-00002D210000}"/>
    <cellStyle name="Финансовый 7 2 2 2 4 2 4" xfId="8493" xr:uid="{00000000-0005-0000-0000-00002E210000}"/>
    <cellStyle name="Финансовый 7 2 2 2 4 3" xfId="8494" xr:uid="{00000000-0005-0000-0000-00002F210000}"/>
    <cellStyle name="Финансовый 7 2 2 2 4 3 2" xfId="8495" xr:uid="{00000000-0005-0000-0000-000030210000}"/>
    <cellStyle name="Финансовый 7 2 2 2 4 3 2 2" xfId="8496" xr:uid="{00000000-0005-0000-0000-000031210000}"/>
    <cellStyle name="Финансовый 7 2 2 2 4 3 3" xfId="8497" xr:uid="{00000000-0005-0000-0000-000032210000}"/>
    <cellStyle name="Финансовый 7 2 2 2 4 4" xfId="8498" xr:uid="{00000000-0005-0000-0000-000033210000}"/>
    <cellStyle name="Финансовый 7 2 2 2 4 4 2" xfId="8499" xr:uid="{00000000-0005-0000-0000-000034210000}"/>
    <cellStyle name="Финансовый 7 2 2 2 4 5" xfId="8500" xr:uid="{00000000-0005-0000-0000-000035210000}"/>
    <cellStyle name="Финансовый 7 2 2 2 5" xfId="8501" xr:uid="{00000000-0005-0000-0000-000036210000}"/>
    <cellStyle name="Финансовый 7 2 2 2 5 2" xfId="8502" xr:uid="{00000000-0005-0000-0000-000037210000}"/>
    <cellStyle name="Финансовый 7 2 2 2 5 2 2" xfId="8503" xr:uid="{00000000-0005-0000-0000-000038210000}"/>
    <cellStyle name="Финансовый 7 2 2 2 5 2 2 2" xfId="8504" xr:uid="{00000000-0005-0000-0000-000039210000}"/>
    <cellStyle name="Финансовый 7 2 2 2 5 2 3" xfId="8505" xr:uid="{00000000-0005-0000-0000-00003A210000}"/>
    <cellStyle name="Финансовый 7 2 2 2 5 3" xfId="8506" xr:uid="{00000000-0005-0000-0000-00003B210000}"/>
    <cellStyle name="Финансовый 7 2 2 2 5 3 2" xfId="8507" xr:uid="{00000000-0005-0000-0000-00003C210000}"/>
    <cellStyle name="Финансовый 7 2 2 2 5 4" xfId="8508" xr:uid="{00000000-0005-0000-0000-00003D210000}"/>
    <cellStyle name="Финансовый 7 2 2 2 6" xfId="8509" xr:uid="{00000000-0005-0000-0000-00003E210000}"/>
    <cellStyle name="Финансовый 7 2 2 2 6 2" xfId="8510" xr:uid="{00000000-0005-0000-0000-00003F210000}"/>
    <cellStyle name="Финансовый 7 2 2 2 6 2 2" xfId="8511" xr:uid="{00000000-0005-0000-0000-000040210000}"/>
    <cellStyle name="Финансовый 7 2 2 2 6 3" xfId="8512" xr:uid="{00000000-0005-0000-0000-000041210000}"/>
    <cellStyle name="Финансовый 7 2 2 2 7" xfId="8513" xr:uid="{00000000-0005-0000-0000-000042210000}"/>
    <cellStyle name="Финансовый 7 2 2 2 7 2" xfId="8514" xr:uid="{00000000-0005-0000-0000-000043210000}"/>
    <cellStyle name="Финансовый 7 2 2 2 8" xfId="8515" xr:uid="{00000000-0005-0000-0000-000044210000}"/>
    <cellStyle name="Финансовый 7 2 2 3" xfId="8516" xr:uid="{00000000-0005-0000-0000-000045210000}"/>
    <cellStyle name="Финансовый 7 2 2 3 2" xfId="8517" xr:uid="{00000000-0005-0000-0000-000046210000}"/>
    <cellStyle name="Финансовый 7 2 2 3 2 2" xfId="8518" xr:uid="{00000000-0005-0000-0000-000047210000}"/>
    <cellStyle name="Финансовый 7 2 2 3 2 2 2" xfId="8519" xr:uid="{00000000-0005-0000-0000-000048210000}"/>
    <cellStyle name="Финансовый 7 2 2 3 2 2 2 2" xfId="8520" xr:uid="{00000000-0005-0000-0000-000049210000}"/>
    <cellStyle name="Финансовый 7 2 2 3 2 2 2 2 2" xfId="8521" xr:uid="{00000000-0005-0000-0000-00004A210000}"/>
    <cellStyle name="Финансовый 7 2 2 3 2 2 2 2 2 2" xfId="8522" xr:uid="{00000000-0005-0000-0000-00004B210000}"/>
    <cellStyle name="Финансовый 7 2 2 3 2 2 2 2 3" xfId="8523" xr:uid="{00000000-0005-0000-0000-00004C210000}"/>
    <cellStyle name="Финансовый 7 2 2 3 2 2 2 3" xfId="8524" xr:uid="{00000000-0005-0000-0000-00004D210000}"/>
    <cellStyle name="Финансовый 7 2 2 3 2 2 2 3 2" xfId="8525" xr:uid="{00000000-0005-0000-0000-00004E210000}"/>
    <cellStyle name="Финансовый 7 2 2 3 2 2 2 4" xfId="8526" xr:uid="{00000000-0005-0000-0000-00004F210000}"/>
    <cellStyle name="Финансовый 7 2 2 3 2 2 3" xfId="8527" xr:uid="{00000000-0005-0000-0000-000050210000}"/>
    <cellStyle name="Финансовый 7 2 2 3 2 2 3 2" xfId="8528" xr:uid="{00000000-0005-0000-0000-000051210000}"/>
    <cellStyle name="Финансовый 7 2 2 3 2 2 3 2 2" xfId="8529" xr:uid="{00000000-0005-0000-0000-000052210000}"/>
    <cellStyle name="Финансовый 7 2 2 3 2 2 3 3" xfId="8530" xr:uid="{00000000-0005-0000-0000-000053210000}"/>
    <cellStyle name="Финансовый 7 2 2 3 2 2 4" xfId="8531" xr:uid="{00000000-0005-0000-0000-000054210000}"/>
    <cellStyle name="Финансовый 7 2 2 3 2 2 4 2" xfId="8532" xr:uid="{00000000-0005-0000-0000-000055210000}"/>
    <cellStyle name="Финансовый 7 2 2 3 2 2 5" xfId="8533" xr:uid="{00000000-0005-0000-0000-000056210000}"/>
    <cellStyle name="Финансовый 7 2 2 3 2 3" xfId="8534" xr:uid="{00000000-0005-0000-0000-000057210000}"/>
    <cellStyle name="Финансовый 7 2 2 3 2 3 2" xfId="8535" xr:uid="{00000000-0005-0000-0000-000058210000}"/>
    <cellStyle name="Финансовый 7 2 2 3 2 3 2 2" xfId="8536" xr:uid="{00000000-0005-0000-0000-000059210000}"/>
    <cellStyle name="Финансовый 7 2 2 3 2 3 2 2 2" xfId="8537" xr:uid="{00000000-0005-0000-0000-00005A210000}"/>
    <cellStyle name="Финансовый 7 2 2 3 2 3 2 3" xfId="8538" xr:uid="{00000000-0005-0000-0000-00005B210000}"/>
    <cellStyle name="Финансовый 7 2 2 3 2 3 3" xfId="8539" xr:uid="{00000000-0005-0000-0000-00005C210000}"/>
    <cellStyle name="Финансовый 7 2 2 3 2 3 3 2" xfId="8540" xr:uid="{00000000-0005-0000-0000-00005D210000}"/>
    <cellStyle name="Финансовый 7 2 2 3 2 3 4" xfId="8541" xr:uid="{00000000-0005-0000-0000-00005E210000}"/>
    <cellStyle name="Финансовый 7 2 2 3 2 4" xfId="8542" xr:uid="{00000000-0005-0000-0000-00005F210000}"/>
    <cellStyle name="Финансовый 7 2 2 3 2 4 2" xfId="8543" xr:uid="{00000000-0005-0000-0000-000060210000}"/>
    <cellStyle name="Финансовый 7 2 2 3 2 4 2 2" xfId="8544" xr:uid="{00000000-0005-0000-0000-000061210000}"/>
    <cellStyle name="Финансовый 7 2 2 3 2 4 3" xfId="8545" xr:uid="{00000000-0005-0000-0000-000062210000}"/>
    <cellStyle name="Финансовый 7 2 2 3 2 5" xfId="8546" xr:uid="{00000000-0005-0000-0000-000063210000}"/>
    <cellStyle name="Финансовый 7 2 2 3 2 5 2" xfId="8547" xr:uid="{00000000-0005-0000-0000-000064210000}"/>
    <cellStyle name="Финансовый 7 2 2 3 2 6" xfId="8548" xr:uid="{00000000-0005-0000-0000-000065210000}"/>
    <cellStyle name="Финансовый 7 2 2 3 3" xfId="8549" xr:uid="{00000000-0005-0000-0000-000066210000}"/>
    <cellStyle name="Финансовый 7 2 2 3 3 2" xfId="8550" xr:uid="{00000000-0005-0000-0000-000067210000}"/>
    <cellStyle name="Финансовый 7 2 2 3 3 2 2" xfId="8551" xr:uid="{00000000-0005-0000-0000-000068210000}"/>
    <cellStyle name="Финансовый 7 2 2 3 3 2 2 2" xfId="8552" xr:uid="{00000000-0005-0000-0000-000069210000}"/>
    <cellStyle name="Финансовый 7 2 2 3 3 2 2 2 2" xfId="8553" xr:uid="{00000000-0005-0000-0000-00006A210000}"/>
    <cellStyle name="Финансовый 7 2 2 3 3 2 2 3" xfId="8554" xr:uid="{00000000-0005-0000-0000-00006B210000}"/>
    <cellStyle name="Финансовый 7 2 2 3 3 2 3" xfId="8555" xr:uid="{00000000-0005-0000-0000-00006C210000}"/>
    <cellStyle name="Финансовый 7 2 2 3 3 2 3 2" xfId="8556" xr:uid="{00000000-0005-0000-0000-00006D210000}"/>
    <cellStyle name="Финансовый 7 2 2 3 3 2 4" xfId="8557" xr:uid="{00000000-0005-0000-0000-00006E210000}"/>
    <cellStyle name="Финансовый 7 2 2 3 3 3" xfId="8558" xr:uid="{00000000-0005-0000-0000-00006F210000}"/>
    <cellStyle name="Финансовый 7 2 2 3 3 3 2" xfId="8559" xr:uid="{00000000-0005-0000-0000-000070210000}"/>
    <cellStyle name="Финансовый 7 2 2 3 3 3 2 2" xfId="8560" xr:uid="{00000000-0005-0000-0000-000071210000}"/>
    <cellStyle name="Финансовый 7 2 2 3 3 3 3" xfId="8561" xr:uid="{00000000-0005-0000-0000-000072210000}"/>
    <cellStyle name="Финансовый 7 2 2 3 3 4" xfId="8562" xr:uid="{00000000-0005-0000-0000-000073210000}"/>
    <cellStyle name="Финансовый 7 2 2 3 3 4 2" xfId="8563" xr:uid="{00000000-0005-0000-0000-000074210000}"/>
    <cellStyle name="Финансовый 7 2 2 3 3 5" xfId="8564" xr:uid="{00000000-0005-0000-0000-000075210000}"/>
    <cellStyle name="Финансовый 7 2 2 3 4" xfId="8565" xr:uid="{00000000-0005-0000-0000-000076210000}"/>
    <cellStyle name="Финансовый 7 2 2 3 4 2" xfId="8566" xr:uid="{00000000-0005-0000-0000-000077210000}"/>
    <cellStyle name="Финансовый 7 2 2 3 4 2 2" xfId="8567" xr:uid="{00000000-0005-0000-0000-000078210000}"/>
    <cellStyle name="Финансовый 7 2 2 3 4 2 2 2" xfId="8568" xr:uid="{00000000-0005-0000-0000-000079210000}"/>
    <cellStyle name="Финансовый 7 2 2 3 4 2 3" xfId="8569" xr:uid="{00000000-0005-0000-0000-00007A210000}"/>
    <cellStyle name="Финансовый 7 2 2 3 4 3" xfId="8570" xr:uid="{00000000-0005-0000-0000-00007B210000}"/>
    <cellStyle name="Финансовый 7 2 2 3 4 3 2" xfId="8571" xr:uid="{00000000-0005-0000-0000-00007C210000}"/>
    <cellStyle name="Финансовый 7 2 2 3 4 4" xfId="8572" xr:uid="{00000000-0005-0000-0000-00007D210000}"/>
    <cellStyle name="Финансовый 7 2 2 3 5" xfId="8573" xr:uid="{00000000-0005-0000-0000-00007E210000}"/>
    <cellStyle name="Финансовый 7 2 2 3 5 2" xfId="8574" xr:uid="{00000000-0005-0000-0000-00007F210000}"/>
    <cellStyle name="Финансовый 7 2 2 3 5 2 2" xfId="8575" xr:uid="{00000000-0005-0000-0000-000080210000}"/>
    <cellStyle name="Финансовый 7 2 2 3 5 3" xfId="8576" xr:uid="{00000000-0005-0000-0000-000081210000}"/>
    <cellStyle name="Финансовый 7 2 2 3 6" xfId="8577" xr:uid="{00000000-0005-0000-0000-000082210000}"/>
    <cellStyle name="Финансовый 7 2 2 3 6 2" xfId="8578" xr:uid="{00000000-0005-0000-0000-000083210000}"/>
    <cellStyle name="Финансовый 7 2 2 3 7" xfId="8579" xr:uid="{00000000-0005-0000-0000-000084210000}"/>
    <cellStyle name="Финансовый 7 2 2 4" xfId="8580" xr:uid="{00000000-0005-0000-0000-000085210000}"/>
    <cellStyle name="Финансовый 7 2 2 4 2" xfId="8581" xr:uid="{00000000-0005-0000-0000-000086210000}"/>
    <cellStyle name="Финансовый 7 2 2 4 2 2" xfId="8582" xr:uid="{00000000-0005-0000-0000-000087210000}"/>
    <cellStyle name="Финансовый 7 2 2 4 2 2 2" xfId="8583" xr:uid="{00000000-0005-0000-0000-000088210000}"/>
    <cellStyle name="Финансовый 7 2 2 4 2 2 2 2" xfId="8584" xr:uid="{00000000-0005-0000-0000-000089210000}"/>
    <cellStyle name="Финансовый 7 2 2 4 2 2 2 2 2" xfId="8585" xr:uid="{00000000-0005-0000-0000-00008A210000}"/>
    <cellStyle name="Финансовый 7 2 2 4 2 2 2 3" xfId="8586" xr:uid="{00000000-0005-0000-0000-00008B210000}"/>
    <cellStyle name="Финансовый 7 2 2 4 2 2 3" xfId="8587" xr:uid="{00000000-0005-0000-0000-00008C210000}"/>
    <cellStyle name="Финансовый 7 2 2 4 2 2 3 2" xfId="8588" xr:uid="{00000000-0005-0000-0000-00008D210000}"/>
    <cellStyle name="Финансовый 7 2 2 4 2 2 4" xfId="8589" xr:uid="{00000000-0005-0000-0000-00008E210000}"/>
    <cellStyle name="Финансовый 7 2 2 4 2 3" xfId="8590" xr:uid="{00000000-0005-0000-0000-00008F210000}"/>
    <cellStyle name="Финансовый 7 2 2 4 2 3 2" xfId="8591" xr:uid="{00000000-0005-0000-0000-000090210000}"/>
    <cellStyle name="Финансовый 7 2 2 4 2 3 2 2" xfId="8592" xr:uid="{00000000-0005-0000-0000-000091210000}"/>
    <cellStyle name="Финансовый 7 2 2 4 2 3 3" xfId="8593" xr:uid="{00000000-0005-0000-0000-000092210000}"/>
    <cellStyle name="Финансовый 7 2 2 4 2 4" xfId="8594" xr:uid="{00000000-0005-0000-0000-000093210000}"/>
    <cellStyle name="Финансовый 7 2 2 4 2 4 2" xfId="8595" xr:uid="{00000000-0005-0000-0000-000094210000}"/>
    <cellStyle name="Финансовый 7 2 2 4 2 5" xfId="8596" xr:uid="{00000000-0005-0000-0000-000095210000}"/>
    <cellStyle name="Финансовый 7 2 2 4 3" xfId="8597" xr:uid="{00000000-0005-0000-0000-000096210000}"/>
    <cellStyle name="Финансовый 7 2 2 4 3 2" xfId="8598" xr:uid="{00000000-0005-0000-0000-000097210000}"/>
    <cellStyle name="Финансовый 7 2 2 4 3 2 2" xfId="8599" xr:uid="{00000000-0005-0000-0000-000098210000}"/>
    <cellStyle name="Финансовый 7 2 2 4 3 2 2 2" xfId="8600" xr:uid="{00000000-0005-0000-0000-000099210000}"/>
    <cellStyle name="Финансовый 7 2 2 4 3 2 3" xfId="8601" xr:uid="{00000000-0005-0000-0000-00009A210000}"/>
    <cellStyle name="Финансовый 7 2 2 4 3 3" xfId="8602" xr:uid="{00000000-0005-0000-0000-00009B210000}"/>
    <cellStyle name="Финансовый 7 2 2 4 3 3 2" xfId="8603" xr:uid="{00000000-0005-0000-0000-00009C210000}"/>
    <cellStyle name="Финансовый 7 2 2 4 3 4" xfId="8604" xr:uid="{00000000-0005-0000-0000-00009D210000}"/>
    <cellStyle name="Финансовый 7 2 2 4 4" xfId="8605" xr:uid="{00000000-0005-0000-0000-00009E210000}"/>
    <cellStyle name="Финансовый 7 2 2 4 4 2" xfId="8606" xr:uid="{00000000-0005-0000-0000-00009F210000}"/>
    <cellStyle name="Финансовый 7 2 2 4 4 2 2" xfId="8607" xr:uid="{00000000-0005-0000-0000-0000A0210000}"/>
    <cellStyle name="Финансовый 7 2 2 4 4 3" xfId="8608" xr:uid="{00000000-0005-0000-0000-0000A1210000}"/>
    <cellStyle name="Финансовый 7 2 2 4 5" xfId="8609" xr:uid="{00000000-0005-0000-0000-0000A2210000}"/>
    <cellStyle name="Финансовый 7 2 2 4 5 2" xfId="8610" xr:uid="{00000000-0005-0000-0000-0000A3210000}"/>
    <cellStyle name="Финансовый 7 2 2 4 6" xfId="8611" xr:uid="{00000000-0005-0000-0000-0000A4210000}"/>
    <cellStyle name="Финансовый 7 2 2 5" xfId="8612" xr:uid="{00000000-0005-0000-0000-0000A5210000}"/>
    <cellStyle name="Финансовый 7 2 2 5 2" xfId="8613" xr:uid="{00000000-0005-0000-0000-0000A6210000}"/>
    <cellStyle name="Финансовый 7 2 2 5 2 2" xfId="8614" xr:uid="{00000000-0005-0000-0000-0000A7210000}"/>
    <cellStyle name="Финансовый 7 2 2 5 2 2 2" xfId="8615" xr:uid="{00000000-0005-0000-0000-0000A8210000}"/>
    <cellStyle name="Финансовый 7 2 2 5 2 2 2 2" xfId="8616" xr:uid="{00000000-0005-0000-0000-0000A9210000}"/>
    <cellStyle name="Финансовый 7 2 2 5 2 2 3" xfId="8617" xr:uid="{00000000-0005-0000-0000-0000AA210000}"/>
    <cellStyle name="Финансовый 7 2 2 5 2 3" xfId="8618" xr:uid="{00000000-0005-0000-0000-0000AB210000}"/>
    <cellStyle name="Финансовый 7 2 2 5 2 3 2" xfId="8619" xr:uid="{00000000-0005-0000-0000-0000AC210000}"/>
    <cellStyle name="Финансовый 7 2 2 5 2 4" xfId="8620" xr:uid="{00000000-0005-0000-0000-0000AD210000}"/>
    <cellStyle name="Финансовый 7 2 2 5 3" xfId="8621" xr:uid="{00000000-0005-0000-0000-0000AE210000}"/>
    <cellStyle name="Финансовый 7 2 2 5 3 2" xfId="8622" xr:uid="{00000000-0005-0000-0000-0000AF210000}"/>
    <cellStyle name="Финансовый 7 2 2 5 3 2 2" xfId="8623" xr:uid="{00000000-0005-0000-0000-0000B0210000}"/>
    <cellStyle name="Финансовый 7 2 2 5 3 3" xfId="8624" xr:uid="{00000000-0005-0000-0000-0000B1210000}"/>
    <cellStyle name="Финансовый 7 2 2 5 4" xfId="8625" xr:uid="{00000000-0005-0000-0000-0000B2210000}"/>
    <cellStyle name="Финансовый 7 2 2 5 4 2" xfId="8626" xr:uid="{00000000-0005-0000-0000-0000B3210000}"/>
    <cellStyle name="Финансовый 7 2 2 5 5" xfId="8627" xr:uid="{00000000-0005-0000-0000-0000B4210000}"/>
    <cellStyle name="Финансовый 7 2 2 6" xfId="8628" xr:uid="{00000000-0005-0000-0000-0000B5210000}"/>
    <cellStyle name="Финансовый 7 2 2 6 2" xfId="8629" xr:uid="{00000000-0005-0000-0000-0000B6210000}"/>
    <cellStyle name="Финансовый 7 2 2 6 2 2" xfId="8630" xr:uid="{00000000-0005-0000-0000-0000B7210000}"/>
    <cellStyle name="Финансовый 7 2 2 6 2 2 2" xfId="8631" xr:uid="{00000000-0005-0000-0000-0000B8210000}"/>
    <cellStyle name="Финансовый 7 2 2 6 2 3" xfId="8632" xr:uid="{00000000-0005-0000-0000-0000B9210000}"/>
    <cellStyle name="Финансовый 7 2 2 6 3" xfId="8633" xr:uid="{00000000-0005-0000-0000-0000BA210000}"/>
    <cellStyle name="Финансовый 7 2 2 6 3 2" xfId="8634" xr:uid="{00000000-0005-0000-0000-0000BB210000}"/>
    <cellStyle name="Финансовый 7 2 2 6 4" xfId="8635" xr:uid="{00000000-0005-0000-0000-0000BC210000}"/>
    <cellStyle name="Финансовый 7 2 2 7" xfId="8636" xr:uid="{00000000-0005-0000-0000-0000BD210000}"/>
    <cellStyle name="Финансовый 7 2 2 7 2" xfId="8637" xr:uid="{00000000-0005-0000-0000-0000BE210000}"/>
    <cellStyle name="Финансовый 7 2 2 7 2 2" xfId="8638" xr:uid="{00000000-0005-0000-0000-0000BF210000}"/>
    <cellStyle name="Финансовый 7 2 2 7 3" xfId="8639" xr:uid="{00000000-0005-0000-0000-0000C0210000}"/>
    <cellStyle name="Финансовый 7 2 2 8" xfId="8640" xr:uid="{00000000-0005-0000-0000-0000C1210000}"/>
    <cellStyle name="Финансовый 7 2 2 8 2" xfId="8641" xr:uid="{00000000-0005-0000-0000-0000C2210000}"/>
    <cellStyle name="Финансовый 7 2 2 9" xfId="8642" xr:uid="{00000000-0005-0000-0000-0000C3210000}"/>
    <cellStyle name="Финансовый 7 2 3" xfId="8643" xr:uid="{00000000-0005-0000-0000-0000C4210000}"/>
    <cellStyle name="Финансовый 7 2 3 2" xfId="8644" xr:uid="{00000000-0005-0000-0000-0000C5210000}"/>
    <cellStyle name="Финансовый 7 2 3 2 2" xfId="8645" xr:uid="{00000000-0005-0000-0000-0000C6210000}"/>
    <cellStyle name="Финансовый 7 2 3 2 2 2" xfId="8646" xr:uid="{00000000-0005-0000-0000-0000C7210000}"/>
    <cellStyle name="Финансовый 7 2 3 2 2 2 2" xfId="8647" xr:uid="{00000000-0005-0000-0000-0000C8210000}"/>
    <cellStyle name="Финансовый 7 2 3 2 2 2 2 2" xfId="8648" xr:uid="{00000000-0005-0000-0000-0000C9210000}"/>
    <cellStyle name="Финансовый 7 2 3 2 2 2 2 2 2" xfId="8649" xr:uid="{00000000-0005-0000-0000-0000CA210000}"/>
    <cellStyle name="Финансовый 7 2 3 2 2 2 2 2 2 2" xfId="8650" xr:uid="{00000000-0005-0000-0000-0000CB210000}"/>
    <cellStyle name="Финансовый 7 2 3 2 2 2 2 2 3" xfId="8651" xr:uid="{00000000-0005-0000-0000-0000CC210000}"/>
    <cellStyle name="Финансовый 7 2 3 2 2 2 2 3" xfId="8652" xr:uid="{00000000-0005-0000-0000-0000CD210000}"/>
    <cellStyle name="Финансовый 7 2 3 2 2 2 2 3 2" xfId="8653" xr:uid="{00000000-0005-0000-0000-0000CE210000}"/>
    <cellStyle name="Финансовый 7 2 3 2 2 2 2 4" xfId="8654" xr:uid="{00000000-0005-0000-0000-0000CF210000}"/>
    <cellStyle name="Финансовый 7 2 3 2 2 2 3" xfId="8655" xr:uid="{00000000-0005-0000-0000-0000D0210000}"/>
    <cellStyle name="Финансовый 7 2 3 2 2 2 3 2" xfId="8656" xr:uid="{00000000-0005-0000-0000-0000D1210000}"/>
    <cellStyle name="Финансовый 7 2 3 2 2 2 3 2 2" xfId="8657" xr:uid="{00000000-0005-0000-0000-0000D2210000}"/>
    <cellStyle name="Финансовый 7 2 3 2 2 2 3 3" xfId="8658" xr:uid="{00000000-0005-0000-0000-0000D3210000}"/>
    <cellStyle name="Финансовый 7 2 3 2 2 2 4" xfId="8659" xr:uid="{00000000-0005-0000-0000-0000D4210000}"/>
    <cellStyle name="Финансовый 7 2 3 2 2 2 4 2" xfId="8660" xr:uid="{00000000-0005-0000-0000-0000D5210000}"/>
    <cellStyle name="Финансовый 7 2 3 2 2 2 5" xfId="8661" xr:uid="{00000000-0005-0000-0000-0000D6210000}"/>
    <cellStyle name="Финансовый 7 2 3 2 2 3" xfId="8662" xr:uid="{00000000-0005-0000-0000-0000D7210000}"/>
    <cellStyle name="Финансовый 7 2 3 2 2 3 2" xfId="8663" xr:uid="{00000000-0005-0000-0000-0000D8210000}"/>
    <cellStyle name="Финансовый 7 2 3 2 2 3 2 2" xfId="8664" xr:uid="{00000000-0005-0000-0000-0000D9210000}"/>
    <cellStyle name="Финансовый 7 2 3 2 2 3 2 2 2" xfId="8665" xr:uid="{00000000-0005-0000-0000-0000DA210000}"/>
    <cellStyle name="Финансовый 7 2 3 2 2 3 2 3" xfId="8666" xr:uid="{00000000-0005-0000-0000-0000DB210000}"/>
    <cellStyle name="Финансовый 7 2 3 2 2 3 3" xfId="8667" xr:uid="{00000000-0005-0000-0000-0000DC210000}"/>
    <cellStyle name="Финансовый 7 2 3 2 2 3 3 2" xfId="8668" xr:uid="{00000000-0005-0000-0000-0000DD210000}"/>
    <cellStyle name="Финансовый 7 2 3 2 2 3 4" xfId="8669" xr:uid="{00000000-0005-0000-0000-0000DE210000}"/>
    <cellStyle name="Финансовый 7 2 3 2 2 4" xfId="8670" xr:uid="{00000000-0005-0000-0000-0000DF210000}"/>
    <cellStyle name="Финансовый 7 2 3 2 2 4 2" xfId="8671" xr:uid="{00000000-0005-0000-0000-0000E0210000}"/>
    <cellStyle name="Финансовый 7 2 3 2 2 4 2 2" xfId="8672" xr:uid="{00000000-0005-0000-0000-0000E1210000}"/>
    <cellStyle name="Финансовый 7 2 3 2 2 4 3" xfId="8673" xr:uid="{00000000-0005-0000-0000-0000E2210000}"/>
    <cellStyle name="Финансовый 7 2 3 2 2 5" xfId="8674" xr:uid="{00000000-0005-0000-0000-0000E3210000}"/>
    <cellStyle name="Финансовый 7 2 3 2 2 5 2" xfId="8675" xr:uid="{00000000-0005-0000-0000-0000E4210000}"/>
    <cellStyle name="Финансовый 7 2 3 2 2 6" xfId="8676" xr:uid="{00000000-0005-0000-0000-0000E5210000}"/>
    <cellStyle name="Финансовый 7 2 3 2 3" xfId="8677" xr:uid="{00000000-0005-0000-0000-0000E6210000}"/>
    <cellStyle name="Финансовый 7 2 3 2 3 2" xfId="8678" xr:uid="{00000000-0005-0000-0000-0000E7210000}"/>
    <cellStyle name="Финансовый 7 2 3 2 3 2 2" xfId="8679" xr:uid="{00000000-0005-0000-0000-0000E8210000}"/>
    <cellStyle name="Финансовый 7 2 3 2 3 2 2 2" xfId="8680" xr:uid="{00000000-0005-0000-0000-0000E9210000}"/>
    <cellStyle name="Финансовый 7 2 3 2 3 2 2 2 2" xfId="8681" xr:uid="{00000000-0005-0000-0000-0000EA210000}"/>
    <cellStyle name="Финансовый 7 2 3 2 3 2 2 3" xfId="8682" xr:uid="{00000000-0005-0000-0000-0000EB210000}"/>
    <cellStyle name="Финансовый 7 2 3 2 3 2 3" xfId="8683" xr:uid="{00000000-0005-0000-0000-0000EC210000}"/>
    <cellStyle name="Финансовый 7 2 3 2 3 2 3 2" xfId="8684" xr:uid="{00000000-0005-0000-0000-0000ED210000}"/>
    <cellStyle name="Финансовый 7 2 3 2 3 2 4" xfId="8685" xr:uid="{00000000-0005-0000-0000-0000EE210000}"/>
    <cellStyle name="Финансовый 7 2 3 2 3 3" xfId="8686" xr:uid="{00000000-0005-0000-0000-0000EF210000}"/>
    <cellStyle name="Финансовый 7 2 3 2 3 3 2" xfId="8687" xr:uid="{00000000-0005-0000-0000-0000F0210000}"/>
    <cellStyle name="Финансовый 7 2 3 2 3 3 2 2" xfId="8688" xr:uid="{00000000-0005-0000-0000-0000F1210000}"/>
    <cellStyle name="Финансовый 7 2 3 2 3 3 3" xfId="8689" xr:uid="{00000000-0005-0000-0000-0000F2210000}"/>
    <cellStyle name="Финансовый 7 2 3 2 3 4" xfId="8690" xr:uid="{00000000-0005-0000-0000-0000F3210000}"/>
    <cellStyle name="Финансовый 7 2 3 2 3 4 2" xfId="8691" xr:uid="{00000000-0005-0000-0000-0000F4210000}"/>
    <cellStyle name="Финансовый 7 2 3 2 3 5" xfId="8692" xr:uid="{00000000-0005-0000-0000-0000F5210000}"/>
    <cellStyle name="Финансовый 7 2 3 2 4" xfId="8693" xr:uid="{00000000-0005-0000-0000-0000F6210000}"/>
    <cellStyle name="Финансовый 7 2 3 2 4 2" xfId="8694" xr:uid="{00000000-0005-0000-0000-0000F7210000}"/>
    <cellStyle name="Финансовый 7 2 3 2 4 2 2" xfId="8695" xr:uid="{00000000-0005-0000-0000-0000F8210000}"/>
    <cellStyle name="Финансовый 7 2 3 2 4 2 2 2" xfId="8696" xr:uid="{00000000-0005-0000-0000-0000F9210000}"/>
    <cellStyle name="Финансовый 7 2 3 2 4 2 3" xfId="8697" xr:uid="{00000000-0005-0000-0000-0000FA210000}"/>
    <cellStyle name="Финансовый 7 2 3 2 4 3" xfId="8698" xr:uid="{00000000-0005-0000-0000-0000FB210000}"/>
    <cellStyle name="Финансовый 7 2 3 2 4 3 2" xfId="8699" xr:uid="{00000000-0005-0000-0000-0000FC210000}"/>
    <cellStyle name="Финансовый 7 2 3 2 4 4" xfId="8700" xr:uid="{00000000-0005-0000-0000-0000FD210000}"/>
    <cellStyle name="Финансовый 7 2 3 2 5" xfId="8701" xr:uid="{00000000-0005-0000-0000-0000FE210000}"/>
    <cellStyle name="Финансовый 7 2 3 2 5 2" xfId="8702" xr:uid="{00000000-0005-0000-0000-0000FF210000}"/>
    <cellStyle name="Финансовый 7 2 3 2 5 2 2" xfId="8703" xr:uid="{00000000-0005-0000-0000-000000220000}"/>
    <cellStyle name="Финансовый 7 2 3 2 5 3" xfId="8704" xr:uid="{00000000-0005-0000-0000-000001220000}"/>
    <cellStyle name="Финансовый 7 2 3 2 6" xfId="8705" xr:uid="{00000000-0005-0000-0000-000002220000}"/>
    <cellStyle name="Финансовый 7 2 3 2 6 2" xfId="8706" xr:uid="{00000000-0005-0000-0000-000003220000}"/>
    <cellStyle name="Финансовый 7 2 3 2 7" xfId="8707" xr:uid="{00000000-0005-0000-0000-000004220000}"/>
    <cellStyle name="Финансовый 7 2 3 3" xfId="8708" xr:uid="{00000000-0005-0000-0000-000005220000}"/>
    <cellStyle name="Финансовый 7 2 3 3 2" xfId="8709" xr:uid="{00000000-0005-0000-0000-000006220000}"/>
    <cellStyle name="Финансовый 7 2 3 3 2 2" xfId="8710" xr:uid="{00000000-0005-0000-0000-000007220000}"/>
    <cellStyle name="Финансовый 7 2 3 3 2 2 2" xfId="8711" xr:uid="{00000000-0005-0000-0000-000008220000}"/>
    <cellStyle name="Финансовый 7 2 3 3 2 2 2 2" xfId="8712" xr:uid="{00000000-0005-0000-0000-000009220000}"/>
    <cellStyle name="Финансовый 7 2 3 3 2 2 2 2 2" xfId="8713" xr:uid="{00000000-0005-0000-0000-00000A220000}"/>
    <cellStyle name="Финансовый 7 2 3 3 2 2 2 3" xfId="8714" xr:uid="{00000000-0005-0000-0000-00000B220000}"/>
    <cellStyle name="Финансовый 7 2 3 3 2 2 3" xfId="8715" xr:uid="{00000000-0005-0000-0000-00000C220000}"/>
    <cellStyle name="Финансовый 7 2 3 3 2 2 3 2" xfId="8716" xr:uid="{00000000-0005-0000-0000-00000D220000}"/>
    <cellStyle name="Финансовый 7 2 3 3 2 2 4" xfId="8717" xr:uid="{00000000-0005-0000-0000-00000E220000}"/>
    <cellStyle name="Финансовый 7 2 3 3 2 3" xfId="8718" xr:uid="{00000000-0005-0000-0000-00000F220000}"/>
    <cellStyle name="Финансовый 7 2 3 3 2 3 2" xfId="8719" xr:uid="{00000000-0005-0000-0000-000010220000}"/>
    <cellStyle name="Финансовый 7 2 3 3 2 3 2 2" xfId="8720" xr:uid="{00000000-0005-0000-0000-000011220000}"/>
    <cellStyle name="Финансовый 7 2 3 3 2 3 3" xfId="8721" xr:uid="{00000000-0005-0000-0000-000012220000}"/>
    <cellStyle name="Финансовый 7 2 3 3 2 4" xfId="8722" xr:uid="{00000000-0005-0000-0000-000013220000}"/>
    <cellStyle name="Финансовый 7 2 3 3 2 4 2" xfId="8723" xr:uid="{00000000-0005-0000-0000-000014220000}"/>
    <cellStyle name="Финансовый 7 2 3 3 2 5" xfId="8724" xr:uid="{00000000-0005-0000-0000-000015220000}"/>
    <cellStyle name="Финансовый 7 2 3 3 3" xfId="8725" xr:uid="{00000000-0005-0000-0000-000016220000}"/>
    <cellStyle name="Финансовый 7 2 3 3 3 2" xfId="8726" xr:uid="{00000000-0005-0000-0000-000017220000}"/>
    <cellStyle name="Финансовый 7 2 3 3 3 2 2" xfId="8727" xr:uid="{00000000-0005-0000-0000-000018220000}"/>
    <cellStyle name="Финансовый 7 2 3 3 3 2 2 2" xfId="8728" xr:uid="{00000000-0005-0000-0000-000019220000}"/>
    <cellStyle name="Финансовый 7 2 3 3 3 2 3" xfId="8729" xr:uid="{00000000-0005-0000-0000-00001A220000}"/>
    <cellStyle name="Финансовый 7 2 3 3 3 3" xfId="8730" xr:uid="{00000000-0005-0000-0000-00001B220000}"/>
    <cellStyle name="Финансовый 7 2 3 3 3 3 2" xfId="8731" xr:uid="{00000000-0005-0000-0000-00001C220000}"/>
    <cellStyle name="Финансовый 7 2 3 3 3 4" xfId="8732" xr:uid="{00000000-0005-0000-0000-00001D220000}"/>
    <cellStyle name="Финансовый 7 2 3 3 4" xfId="8733" xr:uid="{00000000-0005-0000-0000-00001E220000}"/>
    <cellStyle name="Финансовый 7 2 3 3 4 2" xfId="8734" xr:uid="{00000000-0005-0000-0000-00001F220000}"/>
    <cellStyle name="Финансовый 7 2 3 3 4 2 2" xfId="8735" xr:uid="{00000000-0005-0000-0000-000020220000}"/>
    <cellStyle name="Финансовый 7 2 3 3 4 3" xfId="8736" xr:uid="{00000000-0005-0000-0000-000021220000}"/>
    <cellStyle name="Финансовый 7 2 3 3 5" xfId="8737" xr:uid="{00000000-0005-0000-0000-000022220000}"/>
    <cellStyle name="Финансовый 7 2 3 3 5 2" xfId="8738" xr:uid="{00000000-0005-0000-0000-000023220000}"/>
    <cellStyle name="Финансовый 7 2 3 3 6" xfId="8739" xr:uid="{00000000-0005-0000-0000-000024220000}"/>
    <cellStyle name="Финансовый 7 2 3 4" xfId="8740" xr:uid="{00000000-0005-0000-0000-000025220000}"/>
    <cellStyle name="Финансовый 7 2 3 4 2" xfId="8741" xr:uid="{00000000-0005-0000-0000-000026220000}"/>
    <cellStyle name="Финансовый 7 2 3 4 2 2" xfId="8742" xr:uid="{00000000-0005-0000-0000-000027220000}"/>
    <cellStyle name="Финансовый 7 2 3 4 2 2 2" xfId="8743" xr:uid="{00000000-0005-0000-0000-000028220000}"/>
    <cellStyle name="Финансовый 7 2 3 4 2 2 2 2" xfId="8744" xr:uid="{00000000-0005-0000-0000-000029220000}"/>
    <cellStyle name="Финансовый 7 2 3 4 2 2 3" xfId="8745" xr:uid="{00000000-0005-0000-0000-00002A220000}"/>
    <cellStyle name="Финансовый 7 2 3 4 2 3" xfId="8746" xr:uid="{00000000-0005-0000-0000-00002B220000}"/>
    <cellStyle name="Финансовый 7 2 3 4 2 3 2" xfId="8747" xr:uid="{00000000-0005-0000-0000-00002C220000}"/>
    <cellStyle name="Финансовый 7 2 3 4 2 4" xfId="8748" xr:uid="{00000000-0005-0000-0000-00002D220000}"/>
    <cellStyle name="Финансовый 7 2 3 4 3" xfId="8749" xr:uid="{00000000-0005-0000-0000-00002E220000}"/>
    <cellStyle name="Финансовый 7 2 3 4 3 2" xfId="8750" xr:uid="{00000000-0005-0000-0000-00002F220000}"/>
    <cellStyle name="Финансовый 7 2 3 4 3 2 2" xfId="8751" xr:uid="{00000000-0005-0000-0000-000030220000}"/>
    <cellStyle name="Финансовый 7 2 3 4 3 3" xfId="8752" xr:uid="{00000000-0005-0000-0000-000031220000}"/>
    <cellStyle name="Финансовый 7 2 3 4 4" xfId="8753" xr:uid="{00000000-0005-0000-0000-000032220000}"/>
    <cellStyle name="Финансовый 7 2 3 4 4 2" xfId="8754" xr:uid="{00000000-0005-0000-0000-000033220000}"/>
    <cellStyle name="Финансовый 7 2 3 4 5" xfId="8755" xr:uid="{00000000-0005-0000-0000-000034220000}"/>
    <cellStyle name="Финансовый 7 2 3 5" xfId="8756" xr:uid="{00000000-0005-0000-0000-000035220000}"/>
    <cellStyle name="Финансовый 7 2 3 5 2" xfId="8757" xr:uid="{00000000-0005-0000-0000-000036220000}"/>
    <cellStyle name="Финансовый 7 2 3 5 2 2" xfId="8758" xr:uid="{00000000-0005-0000-0000-000037220000}"/>
    <cellStyle name="Финансовый 7 2 3 5 2 2 2" xfId="8759" xr:uid="{00000000-0005-0000-0000-000038220000}"/>
    <cellStyle name="Финансовый 7 2 3 5 2 3" xfId="8760" xr:uid="{00000000-0005-0000-0000-000039220000}"/>
    <cellStyle name="Финансовый 7 2 3 5 3" xfId="8761" xr:uid="{00000000-0005-0000-0000-00003A220000}"/>
    <cellStyle name="Финансовый 7 2 3 5 3 2" xfId="8762" xr:uid="{00000000-0005-0000-0000-00003B220000}"/>
    <cellStyle name="Финансовый 7 2 3 5 4" xfId="8763" xr:uid="{00000000-0005-0000-0000-00003C220000}"/>
    <cellStyle name="Финансовый 7 2 3 6" xfId="8764" xr:uid="{00000000-0005-0000-0000-00003D220000}"/>
    <cellStyle name="Финансовый 7 2 3 6 2" xfId="8765" xr:uid="{00000000-0005-0000-0000-00003E220000}"/>
    <cellStyle name="Финансовый 7 2 3 6 2 2" xfId="8766" xr:uid="{00000000-0005-0000-0000-00003F220000}"/>
    <cellStyle name="Финансовый 7 2 3 6 3" xfId="8767" xr:uid="{00000000-0005-0000-0000-000040220000}"/>
    <cellStyle name="Финансовый 7 2 3 7" xfId="8768" xr:uid="{00000000-0005-0000-0000-000041220000}"/>
    <cellStyle name="Финансовый 7 2 3 7 2" xfId="8769" xr:uid="{00000000-0005-0000-0000-000042220000}"/>
    <cellStyle name="Финансовый 7 2 3 8" xfId="8770" xr:uid="{00000000-0005-0000-0000-000043220000}"/>
    <cellStyle name="Финансовый 7 2 4" xfId="8771" xr:uid="{00000000-0005-0000-0000-000044220000}"/>
    <cellStyle name="Финансовый 7 2 4 2" xfId="8772" xr:uid="{00000000-0005-0000-0000-000045220000}"/>
    <cellStyle name="Финансовый 7 2 4 2 2" xfId="8773" xr:uid="{00000000-0005-0000-0000-000046220000}"/>
    <cellStyle name="Финансовый 7 2 4 2 2 2" xfId="8774" xr:uid="{00000000-0005-0000-0000-000047220000}"/>
    <cellStyle name="Финансовый 7 2 4 2 2 2 2" xfId="8775" xr:uid="{00000000-0005-0000-0000-000048220000}"/>
    <cellStyle name="Финансовый 7 2 4 2 2 2 2 2" xfId="8776" xr:uid="{00000000-0005-0000-0000-000049220000}"/>
    <cellStyle name="Финансовый 7 2 4 2 2 2 2 2 2" xfId="8777" xr:uid="{00000000-0005-0000-0000-00004A220000}"/>
    <cellStyle name="Финансовый 7 2 4 2 2 2 2 3" xfId="8778" xr:uid="{00000000-0005-0000-0000-00004B220000}"/>
    <cellStyle name="Финансовый 7 2 4 2 2 2 3" xfId="8779" xr:uid="{00000000-0005-0000-0000-00004C220000}"/>
    <cellStyle name="Финансовый 7 2 4 2 2 2 3 2" xfId="8780" xr:uid="{00000000-0005-0000-0000-00004D220000}"/>
    <cellStyle name="Финансовый 7 2 4 2 2 2 4" xfId="8781" xr:uid="{00000000-0005-0000-0000-00004E220000}"/>
    <cellStyle name="Финансовый 7 2 4 2 2 3" xfId="8782" xr:uid="{00000000-0005-0000-0000-00004F220000}"/>
    <cellStyle name="Финансовый 7 2 4 2 2 3 2" xfId="8783" xr:uid="{00000000-0005-0000-0000-000050220000}"/>
    <cellStyle name="Финансовый 7 2 4 2 2 3 2 2" xfId="8784" xr:uid="{00000000-0005-0000-0000-000051220000}"/>
    <cellStyle name="Финансовый 7 2 4 2 2 3 3" xfId="8785" xr:uid="{00000000-0005-0000-0000-000052220000}"/>
    <cellStyle name="Финансовый 7 2 4 2 2 4" xfId="8786" xr:uid="{00000000-0005-0000-0000-000053220000}"/>
    <cellStyle name="Финансовый 7 2 4 2 2 4 2" xfId="8787" xr:uid="{00000000-0005-0000-0000-000054220000}"/>
    <cellStyle name="Финансовый 7 2 4 2 2 5" xfId="8788" xr:uid="{00000000-0005-0000-0000-000055220000}"/>
    <cellStyle name="Финансовый 7 2 4 2 3" xfId="8789" xr:uid="{00000000-0005-0000-0000-000056220000}"/>
    <cellStyle name="Финансовый 7 2 4 2 3 2" xfId="8790" xr:uid="{00000000-0005-0000-0000-000057220000}"/>
    <cellStyle name="Финансовый 7 2 4 2 3 2 2" xfId="8791" xr:uid="{00000000-0005-0000-0000-000058220000}"/>
    <cellStyle name="Финансовый 7 2 4 2 3 2 2 2" xfId="8792" xr:uid="{00000000-0005-0000-0000-000059220000}"/>
    <cellStyle name="Финансовый 7 2 4 2 3 2 3" xfId="8793" xr:uid="{00000000-0005-0000-0000-00005A220000}"/>
    <cellStyle name="Финансовый 7 2 4 2 3 3" xfId="8794" xr:uid="{00000000-0005-0000-0000-00005B220000}"/>
    <cellStyle name="Финансовый 7 2 4 2 3 3 2" xfId="8795" xr:uid="{00000000-0005-0000-0000-00005C220000}"/>
    <cellStyle name="Финансовый 7 2 4 2 3 4" xfId="8796" xr:uid="{00000000-0005-0000-0000-00005D220000}"/>
    <cellStyle name="Финансовый 7 2 4 2 4" xfId="8797" xr:uid="{00000000-0005-0000-0000-00005E220000}"/>
    <cellStyle name="Финансовый 7 2 4 2 4 2" xfId="8798" xr:uid="{00000000-0005-0000-0000-00005F220000}"/>
    <cellStyle name="Финансовый 7 2 4 2 4 2 2" xfId="8799" xr:uid="{00000000-0005-0000-0000-000060220000}"/>
    <cellStyle name="Финансовый 7 2 4 2 4 3" xfId="8800" xr:uid="{00000000-0005-0000-0000-000061220000}"/>
    <cellStyle name="Финансовый 7 2 4 2 5" xfId="8801" xr:uid="{00000000-0005-0000-0000-000062220000}"/>
    <cellStyle name="Финансовый 7 2 4 2 5 2" xfId="8802" xr:uid="{00000000-0005-0000-0000-000063220000}"/>
    <cellStyle name="Финансовый 7 2 4 2 6" xfId="8803" xr:uid="{00000000-0005-0000-0000-000064220000}"/>
    <cellStyle name="Финансовый 7 2 4 3" xfId="8804" xr:uid="{00000000-0005-0000-0000-000065220000}"/>
    <cellStyle name="Финансовый 7 2 4 3 2" xfId="8805" xr:uid="{00000000-0005-0000-0000-000066220000}"/>
    <cellStyle name="Финансовый 7 2 4 3 2 2" xfId="8806" xr:uid="{00000000-0005-0000-0000-000067220000}"/>
    <cellStyle name="Финансовый 7 2 4 3 2 2 2" xfId="8807" xr:uid="{00000000-0005-0000-0000-000068220000}"/>
    <cellStyle name="Финансовый 7 2 4 3 2 2 2 2" xfId="8808" xr:uid="{00000000-0005-0000-0000-000069220000}"/>
    <cellStyle name="Финансовый 7 2 4 3 2 2 3" xfId="8809" xr:uid="{00000000-0005-0000-0000-00006A220000}"/>
    <cellStyle name="Финансовый 7 2 4 3 2 3" xfId="8810" xr:uid="{00000000-0005-0000-0000-00006B220000}"/>
    <cellStyle name="Финансовый 7 2 4 3 2 3 2" xfId="8811" xr:uid="{00000000-0005-0000-0000-00006C220000}"/>
    <cellStyle name="Финансовый 7 2 4 3 2 4" xfId="8812" xr:uid="{00000000-0005-0000-0000-00006D220000}"/>
    <cellStyle name="Финансовый 7 2 4 3 3" xfId="8813" xr:uid="{00000000-0005-0000-0000-00006E220000}"/>
    <cellStyle name="Финансовый 7 2 4 3 3 2" xfId="8814" xr:uid="{00000000-0005-0000-0000-00006F220000}"/>
    <cellStyle name="Финансовый 7 2 4 3 3 2 2" xfId="8815" xr:uid="{00000000-0005-0000-0000-000070220000}"/>
    <cellStyle name="Финансовый 7 2 4 3 3 3" xfId="8816" xr:uid="{00000000-0005-0000-0000-000071220000}"/>
    <cellStyle name="Финансовый 7 2 4 3 4" xfId="8817" xr:uid="{00000000-0005-0000-0000-000072220000}"/>
    <cellStyle name="Финансовый 7 2 4 3 4 2" xfId="8818" xr:uid="{00000000-0005-0000-0000-000073220000}"/>
    <cellStyle name="Финансовый 7 2 4 3 5" xfId="8819" xr:uid="{00000000-0005-0000-0000-000074220000}"/>
    <cellStyle name="Финансовый 7 2 4 4" xfId="8820" xr:uid="{00000000-0005-0000-0000-000075220000}"/>
    <cellStyle name="Финансовый 7 2 4 4 2" xfId="8821" xr:uid="{00000000-0005-0000-0000-000076220000}"/>
    <cellStyle name="Финансовый 7 2 4 4 2 2" xfId="8822" xr:uid="{00000000-0005-0000-0000-000077220000}"/>
    <cellStyle name="Финансовый 7 2 4 4 2 2 2" xfId="8823" xr:uid="{00000000-0005-0000-0000-000078220000}"/>
    <cellStyle name="Финансовый 7 2 4 4 2 3" xfId="8824" xr:uid="{00000000-0005-0000-0000-000079220000}"/>
    <cellStyle name="Финансовый 7 2 4 4 3" xfId="8825" xr:uid="{00000000-0005-0000-0000-00007A220000}"/>
    <cellStyle name="Финансовый 7 2 4 4 3 2" xfId="8826" xr:uid="{00000000-0005-0000-0000-00007B220000}"/>
    <cellStyle name="Финансовый 7 2 4 4 4" xfId="8827" xr:uid="{00000000-0005-0000-0000-00007C220000}"/>
    <cellStyle name="Финансовый 7 2 4 5" xfId="8828" xr:uid="{00000000-0005-0000-0000-00007D220000}"/>
    <cellStyle name="Финансовый 7 2 4 5 2" xfId="8829" xr:uid="{00000000-0005-0000-0000-00007E220000}"/>
    <cellStyle name="Финансовый 7 2 4 5 2 2" xfId="8830" xr:uid="{00000000-0005-0000-0000-00007F220000}"/>
    <cellStyle name="Финансовый 7 2 4 5 3" xfId="8831" xr:uid="{00000000-0005-0000-0000-000080220000}"/>
    <cellStyle name="Финансовый 7 2 4 6" xfId="8832" xr:uid="{00000000-0005-0000-0000-000081220000}"/>
    <cellStyle name="Финансовый 7 2 4 6 2" xfId="8833" xr:uid="{00000000-0005-0000-0000-000082220000}"/>
    <cellStyle name="Финансовый 7 2 4 7" xfId="8834" xr:uid="{00000000-0005-0000-0000-000083220000}"/>
    <cellStyle name="Финансовый 7 2 5" xfId="8835" xr:uid="{00000000-0005-0000-0000-000084220000}"/>
    <cellStyle name="Финансовый 7 2 5 2" xfId="8836" xr:uid="{00000000-0005-0000-0000-000085220000}"/>
    <cellStyle name="Финансовый 7 2 5 2 2" xfId="8837" xr:uid="{00000000-0005-0000-0000-000086220000}"/>
    <cellStyle name="Финансовый 7 2 5 2 2 2" xfId="8838" xr:uid="{00000000-0005-0000-0000-000087220000}"/>
    <cellStyle name="Финансовый 7 2 5 2 2 2 2" xfId="8839" xr:uid="{00000000-0005-0000-0000-000088220000}"/>
    <cellStyle name="Финансовый 7 2 5 2 2 2 2 2" xfId="8840" xr:uid="{00000000-0005-0000-0000-000089220000}"/>
    <cellStyle name="Финансовый 7 2 5 2 2 2 3" xfId="8841" xr:uid="{00000000-0005-0000-0000-00008A220000}"/>
    <cellStyle name="Финансовый 7 2 5 2 2 3" xfId="8842" xr:uid="{00000000-0005-0000-0000-00008B220000}"/>
    <cellStyle name="Финансовый 7 2 5 2 2 3 2" xfId="8843" xr:uid="{00000000-0005-0000-0000-00008C220000}"/>
    <cellStyle name="Финансовый 7 2 5 2 2 4" xfId="8844" xr:uid="{00000000-0005-0000-0000-00008D220000}"/>
    <cellStyle name="Финансовый 7 2 5 2 3" xfId="8845" xr:uid="{00000000-0005-0000-0000-00008E220000}"/>
    <cellStyle name="Финансовый 7 2 5 2 3 2" xfId="8846" xr:uid="{00000000-0005-0000-0000-00008F220000}"/>
    <cellStyle name="Финансовый 7 2 5 2 3 2 2" xfId="8847" xr:uid="{00000000-0005-0000-0000-000090220000}"/>
    <cellStyle name="Финансовый 7 2 5 2 3 3" xfId="8848" xr:uid="{00000000-0005-0000-0000-000091220000}"/>
    <cellStyle name="Финансовый 7 2 5 2 4" xfId="8849" xr:uid="{00000000-0005-0000-0000-000092220000}"/>
    <cellStyle name="Финансовый 7 2 5 2 4 2" xfId="8850" xr:uid="{00000000-0005-0000-0000-000093220000}"/>
    <cellStyle name="Финансовый 7 2 5 2 5" xfId="8851" xr:uid="{00000000-0005-0000-0000-000094220000}"/>
    <cellStyle name="Финансовый 7 2 5 3" xfId="8852" xr:uid="{00000000-0005-0000-0000-000095220000}"/>
    <cellStyle name="Финансовый 7 2 5 3 2" xfId="8853" xr:uid="{00000000-0005-0000-0000-000096220000}"/>
    <cellStyle name="Финансовый 7 2 5 3 2 2" xfId="8854" xr:uid="{00000000-0005-0000-0000-000097220000}"/>
    <cellStyle name="Финансовый 7 2 5 3 2 2 2" xfId="8855" xr:uid="{00000000-0005-0000-0000-000098220000}"/>
    <cellStyle name="Финансовый 7 2 5 3 2 3" xfId="8856" xr:uid="{00000000-0005-0000-0000-000099220000}"/>
    <cellStyle name="Финансовый 7 2 5 3 3" xfId="8857" xr:uid="{00000000-0005-0000-0000-00009A220000}"/>
    <cellStyle name="Финансовый 7 2 5 3 3 2" xfId="8858" xr:uid="{00000000-0005-0000-0000-00009B220000}"/>
    <cellStyle name="Финансовый 7 2 5 3 4" xfId="8859" xr:uid="{00000000-0005-0000-0000-00009C220000}"/>
    <cellStyle name="Финансовый 7 2 5 4" xfId="8860" xr:uid="{00000000-0005-0000-0000-00009D220000}"/>
    <cellStyle name="Финансовый 7 2 5 4 2" xfId="8861" xr:uid="{00000000-0005-0000-0000-00009E220000}"/>
    <cellStyle name="Финансовый 7 2 5 4 2 2" xfId="8862" xr:uid="{00000000-0005-0000-0000-00009F220000}"/>
    <cellStyle name="Финансовый 7 2 5 4 3" xfId="8863" xr:uid="{00000000-0005-0000-0000-0000A0220000}"/>
    <cellStyle name="Финансовый 7 2 5 5" xfId="8864" xr:uid="{00000000-0005-0000-0000-0000A1220000}"/>
    <cellStyle name="Финансовый 7 2 5 5 2" xfId="8865" xr:uid="{00000000-0005-0000-0000-0000A2220000}"/>
    <cellStyle name="Финансовый 7 2 5 6" xfId="8866" xr:uid="{00000000-0005-0000-0000-0000A3220000}"/>
    <cellStyle name="Финансовый 7 2 6" xfId="8867" xr:uid="{00000000-0005-0000-0000-0000A4220000}"/>
    <cellStyle name="Финансовый 7 2 6 2" xfId="8868" xr:uid="{00000000-0005-0000-0000-0000A5220000}"/>
    <cellStyle name="Финансовый 7 2 6 2 2" xfId="8869" xr:uid="{00000000-0005-0000-0000-0000A6220000}"/>
    <cellStyle name="Финансовый 7 2 6 2 2 2" xfId="8870" xr:uid="{00000000-0005-0000-0000-0000A7220000}"/>
    <cellStyle name="Финансовый 7 2 6 2 2 2 2" xfId="8871" xr:uid="{00000000-0005-0000-0000-0000A8220000}"/>
    <cellStyle name="Финансовый 7 2 6 2 2 3" xfId="8872" xr:uid="{00000000-0005-0000-0000-0000A9220000}"/>
    <cellStyle name="Финансовый 7 2 6 2 3" xfId="8873" xr:uid="{00000000-0005-0000-0000-0000AA220000}"/>
    <cellStyle name="Финансовый 7 2 6 2 3 2" xfId="8874" xr:uid="{00000000-0005-0000-0000-0000AB220000}"/>
    <cellStyle name="Финансовый 7 2 6 2 4" xfId="8875" xr:uid="{00000000-0005-0000-0000-0000AC220000}"/>
    <cellStyle name="Финансовый 7 2 6 3" xfId="8876" xr:uid="{00000000-0005-0000-0000-0000AD220000}"/>
    <cellStyle name="Финансовый 7 2 6 3 2" xfId="8877" xr:uid="{00000000-0005-0000-0000-0000AE220000}"/>
    <cellStyle name="Финансовый 7 2 6 3 2 2" xfId="8878" xr:uid="{00000000-0005-0000-0000-0000AF220000}"/>
    <cellStyle name="Финансовый 7 2 6 3 3" xfId="8879" xr:uid="{00000000-0005-0000-0000-0000B0220000}"/>
    <cellStyle name="Финансовый 7 2 6 4" xfId="8880" xr:uid="{00000000-0005-0000-0000-0000B1220000}"/>
    <cellStyle name="Финансовый 7 2 6 4 2" xfId="8881" xr:uid="{00000000-0005-0000-0000-0000B2220000}"/>
    <cellStyle name="Финансовый 7 2 6 5" xfId="8882" xr:uid="{00000000-0005-0000-0000-0000B3220000}"/>
    <cellStyle name="Финансовый 7 2 7" xfId="8883" xr:uid="{00000000-0005-0000-0000-0000B4220000}"/>
    <cellStyle name="Финансовый 7 2 7 2" xfId="8884" xr:uid="{00000000-0005-0000-0000-0000B5220000}"/>
    <cellStyle name="Финансовый 7 2 7 2 2" xfId="8885" xr:uid="{00000000-0005-0000-0000-0000B6220000}"/>
    <cellStyle name="Финансовый 7 2 7 2 2 2" xfId="8886" xr:uid="{00000000-0005-0000-0000-0000B7220000}"/>
    <cellStyle name="Финансовый 7 2 7 2 3" xfId="8887" xr:uid="{00000000-0005-0000-0000-0000B8220000}"/>
    <cellStyle name="Финансовый 7 2 7 3" xfId="8888" xr:uid="{00000000-0005-0000-0000-0000B9220000}"/>
    <cellStyle name="Финансовый 7 2 7 3 2" xfId="8889" xr:uid="{00000000-0005-0000-0000-0000BA220000}"/>
    <cellStyle name="Финансовый 7 2 7 4" xfId="8890" xr:uid="{00000000-0005-0000-0000-0000BB220000}"/>
    <cellStyle name="Финансовый 7 2 8" xfId="8891" xr:uid="{00000000-0005-0000-0000-0000BC220000}"/>
    <cellStyle name="Финансовый 7 2 8 2" xfId="8892" xr:uid="{00000000-0005-0000-0000-0000BD220000}"/>
    <cellStyle name="Финансовый 7 2 8 2 2" xfId="8893" xr:uid="{00000000-0005-0000-0000-0000BE220000}"/>
    <cellStyle name="Финансовый 7 2 8 3" xfId="8894" xr:uid="{00000000-0005-0000-0000-0000BF220000}"/>
    <cellStyle name="Финансовый 7 2 9" xfId="8895" xr:uid="{00000000-0005-0000-0000-0000C0220000}"/>
    <cellStyle name="Финансовый 7 2 9 2" xfId="8896" xr:uid="{00000000-0005-0000-0000-0000C1220000}"/>
    <cellStyle name="Финансовый 7 3" xfId="8897" xr:uid="{00000000-0005-0000-0000-0000C2220000}"/>
    <cellStyle name="Финансовый 7 3 2" xfId="8898" xr:uid="{00000000-0005-0000-0000-0000C3220000}"/>
    <cellStyle name="Финансовый 7 3 2 2" xfId="8899" xr:uid="{00000000-0005-0000-0000-0000C4220000}"/>
    <cellStyle name="Финансовый 7 3 2 2 2" xfId="8900" xr:uid="{00000000-0005-0000-0000-0000C5220000}"/>
    <cellStyle name="Финансовый 7 3 2 2 2 2" xfId="8901" xr:uid="{00000000-0005-0000-0000-0000C6220000}"/>
    <cellStyle name="Финансовый 7 3 2 2 2 2 2" xfId="8902" xr:uid="{00000000-0005-0000-0000-0000C7220000}"/>
    <cellStyle name="Финансовый 7 3 2 2 2 2 2 2" xfId="8903" xr:uid="{00000000-0005-0000-0000-0000C8220000}"/>
    <cellStyle name="Финансовый 7 3 2 2 2 2 2 2 2" xfId="8904" xr:uid="{00000000-0005-0000-0000-0000C9220000}"/>
    <cellStyle name="Финансовый 7 3 2 2 2 2 2 2 2 2" xfId="8905" xr:uid="{00000000-0005-0000-0000-0000CA220000}"/>
    <cellStyle name="Финансовый 7 3 2 2 2 2 2 2 3" xfId="8906" xr:uid="{00000000-0005-0000-0000-0000CB220000}"/>
    <cellStyle name="Финансовый 7 3 2 2 2 2 2 3" xfId="8907" xr:uid="{00000000-0005-0000-0000-0000CC220000}"/>
    <cellStyle name="Финансовый 7 3 2 2 2 2 2 3 2" xfId="8908" xr:uid="{00000000-0005-0000-0000-0000CD220000}"/>
    <cellStyle name="Финансовый 7 3 2 2 2 2 2 4" xfId="8909" xr:uid="{00000000-0005-0000-0000-0000CE220000}"/>
    <cellStyle name="Финансовый 7 3 2 2 2 2 3" xfId="8910" xr:uid="{00000000-0005-0000-0000-0000CF220000}"/>
    <cellStyle name="Финансовый 7 3 2 2 2 2 3 2" xfId="8911" xr:uid="{00000000-0005-0000-0000-0000D0220000}"/>
    <cellStyle name="Финансовый 7 3 2 2 2 2 3 2 2" xfId="8912" xr:uid="{00000000-0005-0000-0000-0000D1220000}"/>
    <cellStyle name="Финансовый 7 3 2 2 2 2 3 3" xfId="8913" xr:uid="{00000000-0005-0000-0000-0000D2220000}"/>
    <cellStyle name="Финансовый 7 3 2 2 2 2 4" xfId="8914" xr:uid="{00000000-0005-0000-0000-0000D3220000}"/>
    <cellStyle name="Финансовый 7 3 2 2 2 2 4 2" xfId="8915" xr:uid="{00000000-0005-0000-0000-0000D4220000}"/>
    <cellStyle name="Финансовый 7 3 2 2 2 2 5" xfId="8916" xr:uid="{00000000-0005-0000-0000-0000D5220000}"/>
    <cellStyle name="Финансовый 7 3 2 2 2 3" xfId="8917" xr:uid="{00000000-0005-0000-0000-0000D6220000}"/>
    <cellStyle name="Финансовый 7 3 2 2 2 3 2" xfId="8918" xr:uid="{00000000-0005-0000-0000-0000D7220000}"/>
    <cellStyle name="Финансовый 7 3 2 2 2 3 2 2" xfId="8919" xr:uid="{00000000-0005-0000-0000-0000D8220000}"/>
    <cellStyle name="Финансовый 7 3 2 2 2 3 2 2 2" xfId="8920" xr:uid="{00000000-0005-0000-0000-0000D9220000}"/>
    <cellStyle name="Финансовый 7 3 2 2 2 3 2 3" xfId="8921" xr:uid="{00000000-0005-0000-0000-0000DA220000}"/>
    <cellStyle name="Финансовый 7 3 2 2 2 3 3" xfId="8922" xr:uid="{00000000-0005-0000-0000-0000DB220000}"/>
    <cellStyle name="Финансовый 7 3 2 2 2 3 3 2" xfId="8923" xr:uid="{00000000-0005-0000-0000-0000DC220000}"/>
    <cellStyle name="Финансовый 7 3 2 2 2 3 4" xfId="8924" xr:uid="{00000000-0005-0000-0000-0000DD220000}"/>
    <cellStyle name="Финансовый 7 3 2 2 2 4" xfId="8925" xr:uid="{00000000-0005-0000-0000-0000DE220000}"/>
    <cellStyle name="Финансовый 7 3 2 2 2 4 2" xfId="8926" xr:uid="{00000000-0005-0000-0000-0000DF220000}"/>
    <cellStyle name="Финансовый 7 3 2 2 2 4 2 2" xfId="8927" xr:uid="{00000000-0005-0000-0000-0000E0220000}"/>
    <cellStyle name="Финансовый 7 3 2 2 2 4 3" xfId="8928" xr:uid="{00000000-0005-0000-0000-0000E1220000}"/>
    <cellStyle name="Финансовый 7 3 2 2 2 5" xfId="8929" xr:uid="{00000000-0005-0000-0000-0000E2220000}"/>
    <cellStyle name="Финансовый 7 3 2 2 2 5 2" xfId="8930" xr:uid="{00000000-0005-0000-0000-0000E3220000}"/>
    <cellStyle name="Финансовый 7 3 2 2 2 6" xfId="8931" xr:uid="{00000000-0005-0000-0000-0000E4220000}"/>
    <cellStyle name="Финансовый 7 3 2 2 3" xfId="8932" xr:uid="{00000000-0005-0000-0000-0000E5220000}"/>
    <cellStyle name="Финансовый 7 3 2 2 3 2" xfId="8933" xr:uid="{00000000-0005-0000-0000-0000E6220000}"/>
    <cellStyle name="Финансовый 7 3 2 2 3 2 2" xfId="8934" xr:uid="{00000000-0005-0000-0000-0000E7220000}"/>
    <cellStyle name="Финансовый 7 3 2 2 3 2 2 2" xfId="8935" xr:uid="{00000000-0005-0000-0000-0000E8220000}"/>
    <cellStyle name="Финансовый 7 3 2 2 3 2 2 2 2" xfId="8936" xr:uid="{00000000-0005-0000-0000-0000E9220000}"/>
    <cellStyle name="Финансовый 7 3 2 2 3 2 2 3" xfId="8937" xr:uid="{00000000-0005-0000-0000-0000EA220000}"/>
    <cellStyle name="Финансовый 7 3 2 2 3 2 3" xfId="8938" xr:uid="{00000000-0005-0000-0000-0000EB220000}"/>
    <cellStyle name="Финансовый 7 3 2 2 3 2 3 2" xfId="8939" xr:uid="{00000000-0005-0000-0000-0000EC220000}"/>
    <cellStyle name="Финансовый 7 3 2 2 3 2 4" xfId="8940" xr:uid="{00000000-0005-0000-0000-0000ED220000}"/>
    <cellStyle name="Финансовый 7 3 2 2 3 3" xfId="8941" xr:uid="{00000000-0005-0000-0000-0000EE220000}"/>
    <cellStyle name="Финансовый 7 3 2 2 3 3 2" xfId="8942" xr:uid="{00000000-0005-0000-0000-0000EF220000}"/>
    <cellStyle name="Финансовый 7 3 2 2 3 3 2 2" xfId="8943" xr:uid="{00000000-0005-0000-0000-0000F0220000}"/>
    <cellStyle name="Финансовый 7 3 2 2 3 3 3" xfId="8944" xr:uid="{00000000-0005-0000-0000-0000F1220000}"/>
    <cellStyle name="Финансовый 7 3 2 2 3 4" xfId="8945" xr:uid="{00000000-0005-0000-0000-0000F2220000}"/>
    <cellStyle name="Финансовый 7 3 2 2 3 4 2" xfId="8946" xr:uid="{00000000-0005-0000-0000-0000F3220000}"/>
    <cellStyle name="Финансовый 7 3 2 2 3 5" xfId="8947" xr:uid="{00000000-0005-0000-0000-0000F4220000}"/>
    <cellStyle name="Финансовый 7 3 2 2 4" xfId="8948" xr:uid="{00000000-0005-0000-0000-0000F5220000}"/>
    <cellStyle name="Финансовый 7 3 2 2 4 2" xfId="8949" xr:uid="{00000000-0005-0000-0000-0000F6220000}"/>
    <cellStyle name="Финансовый 7 3 2 2 4 2 2" xfId="8950" xr:uid="{00000000-0005-0000-0000-0000F7220000}"/>
    <cellStyle name="Финансовый 7 3 2 2 4 2 2 2" xfId="8951" xr:uid="{00000000-0005-0000-0000-0000F8220000}"/>
    <cellStyle name="Финансовый 7 3 2 2 4 2 3" xfId="8952" xr:uid="{00000000-0005-0000-0000-0000F9220000}"/>
    <cellStyle name="Финансовый 7 3 2 2 4 3" xfId="8953" xr:uid="{00000000-0005-0000-0000-0000FA220000}"/>
    <cellStyle name="Финансовый 7 3 2 2 4 3 2" xfId="8954" xr:uid="{00000000-0005-0000-0000-0000FB220000}"/>
    <cellStyle name="Финансовый 7 3 2 2 4 4" xfId="8955" xr:uid="{00000000-0005-0000-0000-0000FC220000}"/>
    <cellStyle name="Финансовый 7 3 2 2 5" xfId="8956" xr:uid="{00000000-0005-0000-0000-0000FD220000}"/>
    <cellStyle name="Финансовый 7 3 2 2 5 2" xfId="8957" xr:uid="{00000000-0005-0000-0000-0000FE220000}"/>
    <cellStyle name="Финансовый 7 3 2 2 5 2 2" xfId="8958" xr:uid="{00000000-0005-0000-0000-0000FF220000}"/>
    <cellStyle name="Финансовый 7 3 2 2 5 3" xfId="8959" xr:uid="{00000000-0005-0000-0000-000000230000}"/>
    <cellStyle name="Финансовый 7 3 2 2 6" xfId="8960" xr:uid="{00000000-0005-0000-0000-000001230000}"/>
    <cellStyle name="Финансовый 7 3 2 2 6 2" xfId="8961" xr:uid="{00000000-0005-0000-0000-000002230000}"/>
    <cellStyle name="Финансовый 7 3 2 2 7" xfId="8962" xr:uid="{00000000-0005-0000-0000-000003230000}"/>
    <cellStyle name="Финансовый 7 3 2 3" xfId="8963" xr:uid="{00000000-0005-0000-0000-000004230000}"/>
    <cellStyle name="Финансовый 7 3 2 3 2" xfId="8964" xr:uid="{00000000-0005-0000-0000-000005230000}"/>
    <cellStyle name="Финансовый 7 3 2 3 2 2" xfId="8965" xr:uid="{00000000-0005-0000-0000-000006230000}"/>
    <cellStyle name="Финансовый 7 3 2 3 2 2 2" xfId="8966" xr:uid="{00000000-0005-0000-0000-000007230000}"/>
    <cellStyle name="Финансовый 7 3 2 3 2 2 2 2" xfId="8967" xr:uid="{00000000-0005-0000-0000-000008230000}"/>
    <cellStyle name="Финансовый 7 3 2 3 2 2 2 2 2" xfId="8968" xr:uid="{00000000-0005-0000-0000-000009230000}"/>
    <cellStyle name="Финансовый 7 3 2 3 2 2 2 3" xfId="8969" xr:uid="{00000000-0005-0000-0000-00000A230000}"/>
    <cellStyle name="Финансовый 7 3 2 3 2 2 3" xfId="8970" xr:uid="{00000000-0005-0000-0000-00000B230000}"/>
    <cellStyle name="Финансовый 7 3 2 3 2 2 3 2" xfId="8971" xr:uid="{00000000-0005-0000-0000-00000C230000}"/>
    <cellStyle name="Финансовый 7 3 2 3 2 2 4" xfId="8972" xr:uid="{00000000-0005-0000-0000-00000D230000}"/>
    <cellStyle name="Финансовый 7 3 2 3 2 3" xfId="8973" xr:uid="{00000000-0005-0000-0000-00000E230000}"/>
    <cellStyle name="Финансовый 7 3 2 3 2 3 2" xfId="8974" xr:uid="{00000000-0005-0000-0000-00000F230000}"/>
    <cellStyle name="Финансовый 7 3 2 3 2 3 2 2" xfId="8975" xr:uid="{00000000-0005-0000-0000-000010230000}"/>
    <cellStyle name="Финансовый 7 3 2 3 2 3 3" xfId="8976" xr:uid="{00000000-0005-0000-0000-000011230000}"/>
    <cellStyle name="Финансовый 7 3 2 3 2 4" xfId="8977" xr:uid="{00000000-0005-0000-0000-000012230000}"/>
    <cellStyle name="Финансовый 7 3 2 3 2 4 2" xfId="8978" xr:uid="{00000000-0005-0000-0000-000013230000}"/>
    <cellStyle name="Финансовый 7 3 2 3 2 5" xfId="8979" xr:uid="{00000000-0005-0000-0000-000014230000}"/>
    <cellStyle name="Финансовый 7 3 2 3 3" xfId="8980" xr:uid="{00000000-0005-0000-0000-000015230000}"/>
    <cellStyle name="Финансовый 7 3 2 3 3 2" xfId="8981" xr:uid="{00000000-0005-0000-0000-000016230000}"/>
    <cellStyle name="Финансовый 7 3 2 3 3 2 2" xfId="8982" xr:uid="{00000000-0005-0000-0000-000017230000}"/>
    <cellStyle name="Финансовый 7 3 2 3 3 2 2 2" xfId="8983" xr:uid="{00000000-0005-0000-0000-000018230000}"/>
    <cellStyle name="Финансовый 7 3 2 3 3 2 3" xfId="8984" xr:uid="{00000000-0005-0000-0000-000019230000}"/>
    <cellStyle name="Финансовый 7 3 2 3 3 3" xfId="8985" xr:uid="{00000000-0005-0000-0000-00001A230000}"/>
    <cellStyle name="Финансовый 7 3 2 3 3 3 2" xfId="8986" xr:uid="{00000000-0005-0000-0000-00001B230000}"/>
    <cellStyle name="Финансовый 7 3 2 3 3 4" xfId="8987" xr:uid="{00000000-0005-0000-0000-00001C230000}"/>
    <cellStyle name="Финансовый 7 3 2 3 4" xfId="8988" xr:uid="{00000000-0005-0000-0000-00001D230000}"/>
    <cellStyle name="Финансовый 7 3 2 3 4 2" xfId="8989" xr:uid="{00000000-0005-0000-0000-00001E230000}"/>
    <cellStyle name="Финансовый 7 3 2 3 4 2 2" xfId="8990" xr:uid="{00000000-0005-0000-0000-00001F230000}"/>
    <cellStyle name="Финансовый 7 3 2 3 4 3" xfId="8991" xr:uid="{00000000-0005-0000-0000-000020230000}"/>
    <cellStyle name="Финансовый 7 3 2 3 5" xfId="8992" xr:uid="{00000000-0005-0000-0000-000021230000}"/>
    <cellStyle name="Финансовый 7 3 2 3 5 2" xfId="8993" xr:uid="{00000000-0005-0000-0000-000022230000}"/>
    <cellStyle name="Финансовый 7 3 2 3 6" xfId="8994" xr:uid="{00000000-0005-0000-0000-000023230000}"/>
    <cellStyle name="Финансовый 7 3 2 4" xfId="8995" xr:uid="{00000000-0005-0000-0000-000024230000}"/>
    <cellStyle name="Финансовый 7 3 2 4 2" xfId="8996" xr:uid="{00000000-0005-0000-0000-000025230000}"/>
    <cellStyle name="Финансовый 7 3 2 4 2 2" xfId="8997" xr:uid="{00000000-0005-0000-0000-000026230000}"/>
    <cellStyle name="Финансовый 7 3 2 4 2 2 2" xfId="8998" xr:uid="{00000000-0005-0000-0000-000027230000}"/>
    <cellStyle name="Финансовый 7 3 2 4 2 2 2 2" xfId="8999" xr:uid="{00000000-0005-0000-0000-000028230000}"/>
    <cellStyle name="Финансовый 7 3 2 4 2 2 3" xfId="9000" xr:uid="{00000000-0005-0000-0000-000029230000}"/>
    <cellStyle name="Финансовый 7 3 2 4 2 3" xfId="9001" xr:uid="{00000000-0005-0000-0000-00002A230000}"/>
    <cellStyle name="Финансовый 7 3 2 4 2 3 2" xfId="9002" xr:uid="{00000000-0005-0000-0000-00002B230000}"/>
    <cellStyle name="Финансовый 7 3 2 4 2 4" xfId="9003" xr:uid="{00000000-0005-0000-0000-00002C230000}"/>
    <cellStyle name="Финансовый 7 3 2 4 3" xfId="9004" xr:uid="{00000000-0005-0000-0000-00002D230000}"/>
    <cellStyle name="Финансовый 7 3 2 4 3 2" xfId="9005" xr:uid="{00000000-0005-0000-0000-00002E230000}"/>
    <cellStyle name="Финансовый 7 3 2 4 3 2 2" xfId="9006" xr:uid="{00000000-0005-0000-0000-00002F230000}"/>
    <cellStyle name="Финансовый 7 3 2 4 3 3" xfId="9007" xr:uid="{00000000-0005-0000-0000-000030230000}"/>
    <cellStyle name="Финансовый 7 3 2 4 4" xfId="9008" xr:uid="{00000000-0005-0000-0000-000031230000}"/>
    <cellStyle name="Финансовый 7 3 2 4 4 2" xfId="9009" xr:uid="{00000000-0005-0000-0000-000032230000}"/>
    <cellStyle name="Финансовый 7 3 2 4 5" xfId="9010" xr:uid="{00000000-0005-0000-0000-000033230000}"/>
    <cellStyle name="Финансовый 7 3 2 5" xfId="9011" xr:uid="{00000000-0005-0000-0000-000034230000}"/>
    <cellStyle name="Финансовый 7 3 2 5 2" xfId="9012" xr:uid="{00000000-0005-0000-0000-000035230000}"/>
    <cellStyle name="Финансовый 7 3 2 5 2 2" xfId="9013" xr:uid="{00000000-0005-0000-0000-000036230000}"/>
    <cellStyle name="Финансовый 7 3 2 5 2 2 2" xfId="9014" xr:uid="{00000000-0005-0000-0000-000037230000}"/>
    <cellStyle name="Финансовый 7 3 2 5 2 3" xfId="9015" xr:uid="{00000000-0005-0000-0000-000038230000}"/>
    <cellStyle name="Финансовый 7 3 2 5 3" xfId="9016" xr:uid="{00000000-0005-0000-0000-000039230000}"/>
    <cellStyle name="Финансовый 7 3 2 5 3 2" xfId="9017" xr:uid="{00000000-0005-0000-0000-00003A230000}"/>
    <cellStyle name="Финансовый 7 3 2 5 4" xfId="9018" xr:uid="{00000000-0005-0000-0000-00003B230000}"/>
    <cellStyle name="Финансовый 7 3 2 6" xfId="9019" xr:uid="{00000000-0005-0000-0000-00003C230000}"/>
    <cellStyle name="Финансовый 7 3 2 6 2" xfId="9020" xr:uid="{00000000-0005-0000-0000-00003D230000}"/>
    <cellStyle name="Финансовый 7 3 2 6 2 2" xfId="9021" xr:uid="{00000000-0005-0000-0000-00003E230000}"/>
    <cellStyle name="Финансовый 7 3 2 6 3" xfId="9022" xr:uid="{00000000-0005-0000-0000-00003F230000}"/>
    <cellStyle name="Финансовый 7 3 2 7" xfId="9023" xr:uid="{00000000-0005-0000-0000-000040230000}"/>
    <cellStyle name="Финансовый 7 3 2 7 2" xfId="9024" xr:uid="{00000000-0005-0000-0000-000041230000}"/>
    <cellStyle name="Финансовый 7 3 2 8" xfId="9025" xr:uid="{00000000-0005-0000-0000-000042230000}"/>
    <cellStyle name="Финансовый 7 3 3" xfId="9026" xr:uid="{00000000-0005-0000-0000-000043230000}"/>
    <cellStyle name="Финансовый 7 3 3 2" xfId="9027" xr:uid="{00000000-0005-0000-0000-000044230000}"/>
    <cellStyle name="Финансовый 7 3 3 2 2" xfId="9028" xr:uid="{00000000-0005-0000-0000-000045230000}"/>
    <cellStyle name="Финансовый 7 3 3 2 2 2" xfId="9029" xr:uid="{00000000-0005-0000-0000-000046230000}"/>
    <cellStyle name="Финансовый 7 3 3 2 2 2 2" xfId="9030" xr:uid="{00000000-0005-0000-0000-000047230000}"/>
    <cellStyle name="Финансовый 7 3 3 2 2 2 2 2" xfId="9031" xr:uid="{00000000-0005-0000-0000-000048230000}"/>
    <cellStyle name="Финансовый 7 3 3 2 2 2 2 2 2" xfId="9032" xr:uid="{00000000-0005-0000-0000-000049230000}"/>
    <cellStyle name="Финансовый 7 3 3 2 2 2 2 3" xfId="9033" xr:uid="{00000000-0005-0000-0000-00004A230000}"/>
    <cellStyle name="Финансовый 7 3 3 2 2 2 3" xfId="9034" xr:uid="{00000000-0005-0000-0000-00004B230000}"/>
    <cellStyle name="Финансовый 7 3 3 2 2 2 3 2" xfId="9035" xr:uid="{00000000-0005-0000-0000-00004C230000}"/>
    <cellStyle name="Финансовый 7 3 3 2 2 2 4" xfId="9036" xr:uid="{00000000-0005-0000-0000-00004D230000}"/>
    <cellStyle name="Финансовый 7 3 3 2 2 3" xfId="9037" xr:uid="{00000000-0005-0000-0000-00004E230000}"/>
    <cellStyle name="Финансовый 7 3 3 2 2 3 2" xfId="9038" xr:uid="{00000000-0005-0000-0000-00004F230000}"/>
    <cellStyle name="Финансовый 7 3 3 2 2 3 2 2" xfId="9039" xr:uid="{00000000-0005-0000-0000-000050230000}"/>
    <cellStyle name="Финансовый 7 3 3 2 2 3 3" xfId="9040" xr:uid="{00000000-0005-0000-0000-000051230000}"/>
    <cellStyle name="Финансовый 7 3 3 2 2 4" xfId="9041" xr:uid="{00000000-0005-0000-0000-000052230000}"/>
    <cellStyle name="Финансовый 7 3 3 2 2 4 2" xfId="9042" xr:uid="{00000000-0005-0000-0000-000053230000}"/>
    <cellStyle name="Финансовый 7 3 3 2 2 5" xfId="9043" xr:uid="{00000000-0005-0000-0000-000054230000}"/>
    <cellStyle name="Финансовый 7 3 3 2 3" xfId="9044" xr:uid="{00000000-0005-0000-0000-000055230000}"/>
    <cellStyle name="Финансовый 7 3 3 2 3 2" xfId="9045" xr:uid="{00000000-0005-0000-0000-000056230000}"/>
    <cellStyle name="Финансовый 7 3 3 2 3 2 2" xfId="9046" xr:uid="{00000000-0005-0000-0000-000057230000}"/>
    <cellStyle name="Финансовый 7 3 3 2 3 2 2 2" xfId="9047" xr:uid="{00000000-0005-0000-0000-000058230000}"/>
    <cellStyle name="Финансовый 7 3 3 2 3 2 3" xfId="9048" xr:uid="{00000000-0005-0000-0000-000059230000}"/>
    <cellStyle name="Финансовый 7 3 3 2 3 3" xfId="9049" xr:uid="{00000000-0005-0000-0000-00005A230000}"/>
    <cellStyle name="Финансовый 7 3 3 2 3 3 2" xfId="9050" xr:uid="{00000000-0005-0000-0000-00005B230000}"/>
    <cellStyle name="Финансовый 7 3 3 2 3 4" xfId="9051" xr:uid="{00000000-0005-0000-0000-00005C230000}"/>
    <cellStyle name="Финансовый 7 3 3 2 4" xfId="9052" xr:uid="{00000000-0005-0000-0000-00005D230000}"/>
    <cellStyle name="Финансовый 7 3 3 2 4 2" xfId="9053" xr:uid="{00000000-0005-0000-0000-00005E230000}"/>
    <cellStyle name="Финансовый 7 3 3 2 4 2 2" xfId="9054" xr:uid="{00000000-0005-0000-0000-00005F230000}"/>
    <cellStyle name="Финансовый 7 3 3 2 4 3" xfId="9055" xr:uid="{00000000-0005-0000-0000-000060230000}"/>
    <cellStyle name="Финансовый 7 3 3 2 5" xfId="9056" xr:uid="{00000000-0005-0000-0000-000061230000}"/>
    <cellStyle name="Финансовый 7 3 3 2 5 2" xfId="9057" xr:uid="{00000000-0005-0000-0000-000062230000}"/>
    <cellStyle name="Финансовый 7 3 3 2 6" xfId="9058" xr:uid="{00000000-0005-0000-0000-000063230000}"/>
    <cellStyle name="Финансовый 7 3 3 3" xfId="9059" xr:uid="{00000000-0005-0000-0000-000064230000}"/>
    <cellStyle name="Финансовый 7 3 3 3 2" xfId="9060" xr:uid="{00000000-0005-0000-0000-000065230000}"/>
    <cellStyle name="Финансовый 7 3 3 3 2 2" xfId="9061" xr:uid="{00000000-0005-0000-0000-000066230000}"/>
    <cellStyle name="Финансовый 7 3 3 3 2 2 2" xfId="9062" xr:uid="{00000000-0005-0000-0000-000067230000}"/>
    <cellStyle name="Финансовый 7 3 3 3 2 2 2 2" xfId="9063" xr:uid="{00000000-0005-0000-0000-000068230000}"/>
    <cellStyle name="Финансовый 7 3 3 3 2 2 3" xfId="9064" xr:uid="{00000000-0005-0000-0000-000069230000}"/>
    <cellStyle name="Финансовый 7 3 3 3 2 3" xfId="9065" xr:uid="{00000000-0005-0000-0000-00006A230000}"/>
    <cellStyle name="Финансовый 7 3 3 3 2 3 2" xfId="9066" xr:uid="{00000000-0005-0000-0000-00006B230000}"/>
    <cellStyle name="Финансовый 7 3 3 3 2 4" xfId="9067" xr:uid="{00000000-0005-0000-0000-00006C230000}"/>
    <cellStyle name="Финансовый 7 3 3 3 3" xfId="9068" xr:uid="{00000000-0005-0000-0000-00006D230000}"/>
    <cellStyle name="Финансовый 7 3 3 3 3 2" xfId="9069" xr:uid="{00000000-0005-0000-0000-00006E230000}"/>
    <cellStyle name="Финансовый 7 3 3 3 3 2 2" xfId="9070" xr:uid="{00000000-0005-0000-0000-00006F230000}"/>
    <cellStyle name="Финансовый 7 3 3 3 3 3" xfId="9071" xr:uid="{00000000-0005-0000-0000-000070230000}"/>
    <cellStyle name="Финансовый 7 3 3 3 4" xfId="9072" xr:uid="{00000000-0005-0000-0000-000071230000}"/>
    <cellStyle name="Финансовый 7 3 3 3 4 2" xfId="9073" xr:uid="{00000000-0005-0000-0000-000072230000}"/>
    <cellStyle name="Финансовый 7 3 3 3 5" xfId="9074" xr:uid="{00000000-0005-0000-0000-000073230000}"/>
    <cellStyle name="Финансовый 7 3 3 4" xfId="9075" xr:uid="{00000000-0005-0000-0000-000074230000}"/>
    <cellStyle name="Финансовый 7 3 3 4 2" xfId="9076" xr:uid="{00000000-0005-0000-0000-000075230000}"/>
    <cellStyle name="Финансовый 7 3 3 4 2 2" xfId="9077" xr:uid="{00000000-0005-0000-0000-000076230000}"/>
    <cellStyle name="Финансовый 7 3 3 4 2 2 2" xfId="9078" xr:uid="{00000000-0005-0000-0000-000077230000}"/>
    <cellStyle name="Финансовый 7 3 3 4 2 3" xfId="9079" xr:uid="{00000000-0005-0000-0000-000078230000}"/>
    <cellStyle name="Финансовый 7 3 3 4 3" xfId="9080" xr:uid="{00000000-0005-0000-0000-000079230000}"/>
    <cellStyle name="Финансовый 7 3 3 4 3 2" xfId="9081" xr:uid="{00000000-0005-0000-0000-00007A230000}"/>
    <cellStyle name="Финансовый 7 3 3 4 4" xfId="9082" xr:uid="{00000000-0005-0000-0000-00007B230000}"/>
    <cellStyle name="Финансовый 7 3 3 5" xfId="9083" xr:uid="{00000000-0005-0000-0000-00007C230000}"/>
    <cellStyle name="Финансовый 7 3 3 5 2" xfId="9084" xr:uid="{00000000-0005-0000-0000-00007D230000}"/>
    <cellStyle name="Финансовый 7 3 3 5 2 2" xfId="9085" xr:uid="{00000000-0005-0000-0000-00007E230000}"/>
    <cellStyle name="Финансовый 7 3 3 5 3" xfId="9086" xr:uid="{00000000-0005-0000-0000-00007F230000}"/>
    <cellStyle name="Финансовый 7 3 3 6" xfId="9087" xr:uid="{00000000-0005-0000-0000-000080230000}"/>
    <cellStyle name="Финансовый 7 3 3 6 2" xfId="9088" xr:uid="{00000000-0005-0000-0000-000081230000}"/>
    <cellStyle name="Финансовый 7 3 3 7" xfId="9089" xr:uid="{00000000-0005-0000-0000-000082230000}"/>
    <cellStyle name="Финансовый 7 3 4" xfId="9090" xr:uid="{00000000-0005-0000-0000-000083230000}"/>
    <cellStyle name="Финансовый 7 3 4 2" xfId="9091" xr:uid="{00000000-0005-0000-0000-000084230000}"/>
    <cellStyle name="Финансовый 7 3 4 2 2" xfId="9092" xr:uid="{00000000-0005-0000-0000-000085230000}"/>
    <cellStyle name="Финансовый 7 3 4 2 2 2" xfId="9093" xr:uid="{00000000-0005-0000-0000-000086230000}"/>
    <cellStyle name="Финансовый 7 3 4 2 2 2 2" xfId="9094" xr:uid="{00000000-0005-0000-0000-000087230000}"/>
    <cellStyle name="Финансовый 7 3 4 2 2 2 2 2" xfId="9095" xr:uid="{00000000-0005-0000-0000-000088230000}"/>
    <cellStyle name="Финансовый 7 3 4 2 2 2 3" xfId="9096" xr:uid="{00000000-0005-0000-0000-000089230000}"/>
    <cellStyle name="Финансовый 7 3 4 2 2 3" xfId="9097" xr:uid="{00000000-0005-0000-0000-00008A230000}"/>
    <cellStyle name="Финансовый 7 3 4 2 2 3 2" xfId="9098" xr:uid="{00000000-0005-0000-0000-00008B230000}"/>
    <cellStyle name="Финансовый 7 3 4 2 2 4" xfId="9099" xr:uid="{00000000-0005-0000-0000-00008C230000}"/>
    <cellStyle name="Финансовый 7 3 4 2 3" xfId="9100" xr:uid="{00000000-0005-0000-0000-00008D230000}"/>
    <cellStyle name="Финансовый 7 3 4 2 3 2" xfId="9101" xr:uid="{00000000-0005-0000-0000-00008E230000}"/>
    <cellStyle name="Финансовый 7 3 4 2 3 2 2" xfId="9102" xr:uid="{00000000-0005-0000-0000-00008F230000}"/>
    <cellStyle name="Финансовый 7 3 4 2 3 3" xfId="9103" xr:uid="{00000000-0005-0000-0000-000090230000}"/>
    <cellStyle name="Финансовый 7 3 4 2 4" xfId="9104" xr:uid="{00000000-0005-0000-0000-000091230000}"/>
    <cellStyle name="Финансовый 7 3 4 2 4 2" xfId="9105" xr:uid="{00000000-0005-0000-0000-000092230000}"/>
    <cellStyle name="Финансовый 7 3 4 2 5" xfId="9106" xr:uid="{00000000-0005-0000-0000-000093230000}"/>
    <cellStyle name="Финансовый 7 3 4 3" xfId="9107" xr:uid="{00000000-0005-0000-0000-000094230000}"/>
    <cellStyle name="Финансовый 7 3 4 3 2" xfId="9108" xr:uid="{00000000-0005-0000-0000-000095230000}"/>
    <cellStyle name="Финансовый 7 3 4 3 2 2" xfId="9109" xr:uid="{00000000-0005-0000-0000-000096230000}"/>
    <cellStyle name="Финансовый 7 3 4 3 2 2 2" xfId="9110" xr:uid="{00000000-0005-0000-0000-000097230000}"/>
    <cellStyle name="Финансовый 7 3 4 3 2 3" xfId="9111" xr:uid="{00000000-0005-0000-0000-000098230000}"/>
    <cellStyle name="Финансовый 7 3 4 3 3" xfId="9112" xr:uid="{00000000-0005-0000-0000-000099230000}"/>
    <cellStyle name="Финансовый 7 3 4 3 3 2" xfId="9113" xr:uid="{00000000-0005-0000-0000-00009A230000}"/>
    <cellStyle name="Финансовый 7 3 4 3 4" xfId="9114" xr:uid="{00000000-0005-0000-0000-00009B230000}"/>
    <cellStyle name="Финансовый 7 3 4 4" xfId="9115" xr:uid="{00000000-0005-0000-0000-00009C230000}"/>
    <cellStyle name="Финансовый 7 3 4 4 2" xfId="9116" xr:uid="{00000000-0005-0000-0000-00009D230000}"/>
    <cellStyle name="Финансовый 7 3 4 4 2 2" xfId="9117" xr:uid="{00000000-0005-0000-0000-00009E230000}"/>
    <cellStyle name="Финансовый 7 3 4 4 3" xfId="9118" xr:uid="{00000000-0005-0000-0000-00009F230000}"/>
    <cellStyle name="Финансовый 7 3 4 5" xfId="9119" xr:uid="{00000000-0005-0000-0000-0000A0230000}"/>
    <cellStyle name="Финансовый 7 3 4 5 2" xfId="9120" xr:uid="{00000000-0005-0000-0000-0000A1230000}"/>
    <cellStyle name="Финансовый 7 3 4 6" xfId="9121" xr:uid="{00000000-0005-0000-0000-0000A2230000}"/>
    <cellStyle name="Финансовый 7 3 5" xfId="9122" xr:uid="{00000000-0005-0000-0000-0000A3230000}"/>
    <cellStyle name="Финансовый 7 3 5 2" xfId="9123" xr:uid="{00000000-0005-0000-0000-0000A4230000}"/>
    <cellStyle name="Финансовый 7 3 5 2 2" xfId="9124" xr:uid="{00000000-0005-0000-0000-0000A5230000}"/>
    <cellStyle name="Финансовый 7 3 5 2 2 2" xfId="9125" xr:uid="{00000000-0005-0000-0000-0000A6230000}"/>
    <cellStyle name="Финансовый 7 3 5 2 2 2 2" xfId="9126" xr:uid="{00000000-0005-0000-0000-0000A7230000}"/>
    <cellStyle name="Финансовый 7 3 5 2 2 3" xfId="9127" xr:uid="{00000000-0005-0000-0000-0000A8230000}"/>
    <cellStyle name="Финансовый 7 3 5 2 3" xfId="9128" xr:uid="{00000000-0005-0000-0000-0000A9230000}"/>
    <cellStyle name="Финансовый 7 3 5 2 3 2" xfId="9129" xr:uid="{00000000-0005-0000-0000-0000AA230000}"/>
    <cellStyle name="Финансовый 7 3 5 2 4" xfId="9130" xr:uid="{00000000-0005-0000-0000-0000AB230000}"/>
    <cellStyle name="Финансовый 7 3 5 3" xfId="9131" xr:uid="{00000000-0005-0000-0000-0000AC230000}"/>
    <cellStyle name="Финансовый 7 3 5 3 2" xfId="9132" xr:uid="{00000000-0005-0000-0000-0000AD230000}"/>
    <cellStyle name="Финансовый 7 3 5 3 2 2" xfId="9133" xr:uid="{00000000-0005-0000-0000-0000AE230000}"/>
    <cellStyle name="Финансовый 7 3 5 3 3" xfId="9134" xr:uid="{00000000-0005-0000-0000-0000AF230000}"/>
    <cellStyle name="Финансовый 7 3 5 4" xfId="9135" xr:uid="{00000000-0005-0000-0000-0000B0230000}"/>
    <cellStyle name="Финансовый 7 3 5 4 2" xfId="9136" xr:uid="{00000000-0005-0000-0000-0000B1230000}"/>
    <cellStyle name="Финансовый 7 3 5 5" xfId="9137" xr:uid="{00000000-0005-0000-0000-0000B2230000}"/>
    <cellStyle name="Финансовый 7 3 6" xfId="9138" xr:uid="{00000000-0005-0000-0000-0000B3230000}"/>
    <cellStyle name="Финансовый 7 3 6 2" xfId="9139" xr:uid="{00000000-0005-0000-0000-0000B4230000}"/>
    <cellStyle name="Финансовый 7 3 6 2 2" xfId="9140" xr:uid="{00000000-0005-0000-0000-0000B5230000}"/>
    <cellStyle name="Финансовый 7 3 6 2 2 2" xfId="9141" xr:uid="{00000000-0005-0000-0000-0000B6230000}"/>
    <cellStyle name="Финансовый 7 3 6 2 3" xfId="9142" xr:uid="{00000000-0005-0000-0000-0000B7230000}"/>
    <cellStyle name="Финансовый 7 3 6 3" xfId="9143" xr:uid="{00000000-0005-0000-0000-0000B8230000}"/>
    <cellStyle name="Финансовый 7 3 6 3 2" xfId="9144" xr:uid="{00000000-0005-0000-0000-0000B9230000}"/>
    <cellStyle name="Финансовый 7 3 6 4" xfId="9145" xr:uid="{00000000-0005-0000-0000-0000BA230000}"/>
    <cellStyle name="Финансовый 7 3 7" xfId="9146" xr:uid="{00000000-0005-0000-0000-0000BB230000}"/>
    <cellStyle name="Финансовый 7 3 7 2" xfId="9147" xr:uid="{00000000-0005-0000-0000-0000BC230000}"/>
    <cellStyle name="Финансовый 7 3 7 2 2" xfId="9148" xr:uid="{00000000-0005-0000-0000-0000BD230000}"/>
    <cellStyle name="Финансовый 7 3 7 3" xfId="9149" xr:uid="{00000000-0005-0000-0000-0000BE230000}"/>
    <cellStyle name="Финансовый 7 3 8" xfId="9150" xr:uid="{00000000-0005-0000-0000-0000BF230000}"/>
    <cellStyle name="Финансовый 7 3 8 2" xfId="9151" xr:uid="{00000000-0005-0000-0000-0000C0230000}"/>
    <cellStyle name="Финансовый 7 3 9" xfId="9152" xr:uid="{00000000-0005-0000-0000-0000C1230000}"/>
    <cellStyle name="Финансовый 7 4" xfId="9153" xr:uid="{00000000-0005-0000-0000-0000C2230000}"/>
    <cellStyle name="Финансовый 7 4 2" xfId="9154" xr:uid="{00000000-0005-0000-0000-0000C3230000}"/>
    <cellStyle name="Финансовый 7 4 2 2" xfId="9155" xr:uid="{00000000-0005-0000-0000-0000C4230000}"/>
    <cellStyle name="Финансовый 7 4 2 2 2" xfId="9156" xr:uid="{00000000-0005-0000-0000-0000C5230000}"/>
    <cellStyle name="Финансовый 7 4 2 2 2 2" xfId="9157" xr:uid="{00000000-0005-0000-0000-0000C6230000}"/>
    <cellStyle name="Финансовый 7 4 2 2 2 2 2" xfId="9158" xr:uid="{00000000-0005-0000-0000-0000C7230000}"/>
    <cellStyle name="Финансовый 7 4 2 2 2 2 2 2" xfId="9159" xr:uid="{00000000-0005-0000-0000-0000C8230000}"/>
    <cellStyle name="Финансовый 7 4 2 2 2 2 2 2 2" xfId="9160" xr:uid="{00000000-0005-0000-0000-0000C9230000}"/>
    <cellStyle name="Финансовый 7 4 2 2 2 2 2 3" xfId="9161" xr:uid="{00000000-0005-0000-0000-0000CA230000}"/>
    <cellStyle name="Финансовый 7 4 2 2 2 2 3" xfId="9162" xr:uid="{00000000-0005-0000-0000-0000CB230000}"/>
    <cellStyle name="Финансовый 7 4 2 2 2 2 3 2" xfId="9163" xr:uid="{00000000-0005-0000-0000-0000CC230000}"/>
    <cellStyle name="Финансовый 7 4 2 2 2 2 4" xfId="9164" xr:uid="{00000000-0005-0000-0000-0000CD230000}"/>
    <cellStyle name="Финансовый 7 4 2 2 2 3" xfId="9165" xr:uid="{00000000-0005-0000-0000-0000CE230000}"/>
    <cellStyle name="Финансовый 7 4 2 2 2 3 2" xfId="9166" xr:uid="{00000000-0005-0000-0000-0000CF230000}"/>
    <cellStyle name="Финансовый 7 4 2 2 2 3 2 2" xfId="9167" xr:uid="{00000000-0005-0000-0000-0000D0230000}"/>
    <cellStyle name="Финансовый 7 4 2 2 2 3 3" xfId="9168" xr:uid="{00000000-0005-0000-0000-0000D1230000}"/>
    <cellStyle name="Финансовый 7 4 2 2 2 4" xfId="9169" xr:uid="{00000000-0005-0000-0000-0000D2230000}"/>
    <cellStyle name="Финансовый 7 4 2 2 2 4 2" xfId="9170" xr:uid="{00000000-0005-0000-0000-0000D3230000}"/>
    <cellStyle name="Финансовый 7 4 2 2 2 5" xfId="9171" xr:uid="{00000000-0005-0000-0000-0000D4230000}"/>
    <cellStyle name="Финансовый 7 4 2 2 3" xfId="9172" xr:uid="{00000000-0005-0000-0000-0000D5230000}"/>
    <cellStyle name="Финансовый 7 4 2 2 3 2" xfId="9173" xr:uid="{00000000-0005-0000-0000-0000D6230000}"/>
    <cellStyle name="Финансовый 7 4 2 2 3 2 2" xfId="9174" xr:uid="{00000000-0005-0000-0000-0000D7230000}"/>
    <cellStyle name="Финансовый 7 4 2 2 3 2 2 2" xfId="9175" xr:uid="{00000000-0005-0000-0000-0000D8230000}"/>
    <cellStyle name="Финансовый 7 4 2 2 3 2 3" xfId="9176" xr:uid="{00000000-0005-0000-0000-0000D9230000}"/>
    <cellStyle name="Финансовый 7 4 2 2 3 3" xfId="9177" xr:uid="{00000000-0005-0000-0000-0000DA230000}"/>
    <cellStyle name="Финансовый 7 4 2 2 3 3 2" xfId="9178" xr:uid="{00000000-0005-0000-0000-0000DB230000}"/>
    <cellStyle name="Финансовый 7 4 2 2 3 4" xfId="9179" xr:uid="{00000000-0005-0000-0000-0000DC230000}"/>
    <cellStyle name="Финансовый 7 4 2 2 4" xfId="9180" xr:uid="{00000000-0005-0000-0000-0000DD230000}"/>
    <cellStyle name="Финансовый 7 4 2 2 4 2" xfId="9181" xr:uid="{00000000-0005-0000-0000-0000DE230000}"/>
    <cellStyle name="Финансовый 7 4 2 2 4 2 2" xfId="9182" xr:uid="{00000000-0005-0000-0000-0000DF230000}"/>
    <cellStyle name="Финансовый 7 4 2 2 4 3" xfId="9183" xr:uid="{00000000-0005-0000-0000-0000E0230000}"/>
    <cellStyle name="Финансовый 7 4 2 2 5" xfId="9184" xr:uid="{00000000-0005-0000-0000-0000E1230000}"/>
    <cellStyle name="Финансовый 7 4 2 2 5 2" xfId="9185" xr:uid="{00000000-0005-0000-0000-0000E2230000}"/>
    <cellStyle name="Финансовый 7 4 2 2 6" xfId="9186" xr:uid="{00000000-0005-0000-0000-0000E3230000}"/>
    <cellStyle name="Финансовый 7 4 2 3" xfId="9187" xr:uid="{00000000-0005-0000-0000-0000E4230000}"/>
    <cellStyle name="Финансовый 7 4 2 3 2" xfId="9188" xr:uid="{00000000-0005-0000-0000-0000E5230000}"/>
    <cellStyle name="Финансовый 7 4 2 3 2 2" xfId="9189" xr:uid="{00000000-0005-0000-0000-0000E6230000}"/>
    <cellStyle name="Финансовый 7 4 2 3 2 2 2" xfId="9190" xr:uid="{00000000-0005-0000-0000-0000E7230000}"/>
    <cellStyle name="Финансовый 7 4 2 3 2 2 2 2" xfId="9191" xr:uid="{00000000-0005-0000-0000-0000E8230000}"/>
    <cellStyle name="Финансовый 7 4 2 3 2 2 3" xfId="9192" xr:uid="{00000000-0005-0000-0000-0000E9230000}"/>
    <cellStyle name="Финансовый 7 4 2 3 2 3" xfId="9193" xr:uid="{00000000-0005-0000-0000-0000EA230000}"/>
    <cellStyle name="Финансовый 7 4 2 3 2 3 2" xfId="9194" xr:uid="{00000000-0005-0000-0000-0000EB230000}"/>
    <cellStyle name="Финансовый 7 4 2 3 2 4" xfId="9195" xr:uid="{00000000-0005-0000-0000-0000EC230000}"/>
    <cellStyle name="Финансовый 7 4 2 3 3" xfId="9196" xr:uid="{00000000-0005-0000-0000-0000ED230000}"/>
    <cellStyle name="Финансовый 7 4 2 3 3 2" xfId="9197" xr:uid="{00000000-0005-0000-0000-0000EE230000}"/>
    <cellStyle name="Финансовый 7 4 2 3 3 2 2" xfId="9198" xr:uid="{00000000-0005-0000-0000-0000EF230000}"/>
    <cellStyle name="Финансовый 7 4 2 3 3 3" xfId="9199" xr:uid="{00000000-0005-0000-0000-0000F0230000}"/>
    <cellStyle name="Финансовый 7 4 2 3 4" xfId="9200" xr:uid="{00000000-0005-0000-0000-0000F1230000}"/>
    <cellStyle name="Финансовый 7 4 2 3 4 2" xfId="9201" xr:uid="{00000000-0005-0000-0000-0000F2230000}"/>
    <cellStyle name="Финансовый 7 4 2 3 5" xfId="9202" xr:uid="{00000000-0005-0000-0000-0000F3230000}"/>
    <cellStyle name="Финансовый 7 4 2 4" xfId="9203" xr:uid="{00000000-0005-0000-0000-0000F4230000}"/>
    <cellStyle name="Финансовый 7 4 2 4 2" xfId="9204" xr:uid="{00000000-0005-0000-0000-0000F5230000}"/>
    <cellStyle name="Финансовый 7 4 2 4 2 2" xfId="9205" xr:uid="{00000000-0005-0000-0000-0000F6230000}"/>
    <cellStyle name="Финансовый 7 4 2 4 2 2 2" xfId="9206" xr:uid="{00000000-0005-0000-0000-0000F7230000}"/>
    <cellStyle name="Финансовый 7 4 2 4 2 3" xfId="9207" xr:uid="{00000000-0005-0000-0000-0000F8230000}"/>
    <cellStyle name="Финансовый 7 4 2 4 3" xfId="9208" xr:uid="{00000000-0005-0000-0000-0000F9230000}"/>
    <cellStyle name="Финансовый 7 4 2 4 3 2" xfId="9209" xr:uid="{00000000-0005-0000-0000-0000FA230000}"/>
    <cellStyle name="Финансовый 7 4 2 4 4" xfId="9210" xr:uid="{00000000-0005-0000-0000-0000FB230000}"/>
    <cellStyle name="Финансовый 7 4 2 5" xfId="9211" xr:uid="{00000000-0005-0000-0000-0000FC230000}"/>
    <cellStyle name="Финансовый 7 4 2 5 2" xfId="9212" xr:uid="{00000000-0005-0000-0000-0000FD230000}"/>
    <cellStyle name="Финансовый 7 4 2 5 2 2" xfId="9213" xr:uid="{00000000-0005-0000-0000-0000FE230000}"/>
    <cellStyle name="Финансовый 7 4 2 5 3" xfId="9214" xr:uid="{00000000-0005-0000-0000-0000FF230000}"/>
    <cellStyle name="Финансовый 7 4 2 6" xfId="9215" xr:uid="{00000000-0005-0000-0000-000000240000}"/>
    <cellStyle name="Финансовый 7 4 2 6 2" xfId="9216" xr:uid="{00000000-0005-0000-0000-000001240000}"/>
    <cellStyle name="Финансовый 7 4 2 7" xfId="9217" xr:uid="{00000000-0005-0000-0000-000002240000}"/>
    <cellStyle name="Финансовый 7 4 3" xfId="9218" xr:uid="{00000000-0005-0000-0000-000003240000}"/>
    <cellStyle name="Финансовый 7 4 3 2" xfId="9219" xr:uid="{00000000-0005-0000-0000-000004240000}"/>
    <cellStyle name="Финансовый 7 4 3 2 2" xfId="9220" xr:uid="{00000000-0005-0000-0000-000005240000}"/>
    <cellStyle name="Финансовый 7 4 3 2 2 2" xfId="9221" xr:uid="{00000000-0005-0000-0000-000006240000}"/>
    <cellStyle name="Финансовый 7 4 3 2 2 2 2" xfId="9222" xr:uid="{00000000-0005-0000-0000-000007240000}"/>
    <cellStyle name="Финансовый 7 4 3 2 2 2 2 2" xfId="9223" xr:uid="{00000000-0005-0000-0000-000008240000}"/>
    <cellStyle name="Финансовый 7 4 3 2 2 2 3" xfId="9224" xr:uid="{00000000-0005-0000-0000-000009240000}"/>
    <cellStyle name="Финансовый 7 4 3 2 2 3" xfId="9225" xr:uid="{00000000-0005-0000-0000-00000A240000}"/>
    <cellStyle name="Финансовый 7 4 3 2 2 3 2" xfId="9226" xr:uid="{00000000-0005-0000-0000-00000B240000}"/>
    <cellStyle name="Финансовый 7 4 3 2 2 4" xfId="9227" xr:uid="{00000000-0005-0000-0000-00000C240000}"/>
    <cellStyle name="Финансовый 7 4 3 2 3" xfId="9228" xr:uid="{00000000-0005-0000-0000-00000D240000}"/>
    <cellStyle name="Финансовый 7 4 3 2 3 2" xfId="9229" xr:uid="{00000000-0005-0000-0000-00000E240000}"/>
    <cellStyle name="Финансовый 7 4 3 2 3 2 2" xfId="9230" xr:uid="{00000000-0005-0000-0000-00000F240000}"/>
    <cellStyle name="Финансовый 7 4 3 2 3 3" xfId="9231" xr:uid="{00000000-0005-0000-0000-000010240000}"/>
    <cellStyle name="Финансовый 7 4 3 2 4" xfId="9232" xr:uid="{00000000-0005-0000-0000-000011240000}"/>
    <cellStyle name="Финансовый 7 4 3 2 4 2" xfId="9233" xr:uid="{00000000-0005-0000-0000-000012240000}"/>
    <cellStyle name="Финансовый 7 4 3 2 5" xfId="9234" xr:uid="{00000000-0005-0000-0000-000013240000}"/>
    <cellStyle name="Финансовый 7 4 3 3" xfId="9235" xr:uid="{00000000-0005-0000-0000-000014240000}"/>
    <cellStyle name="Финансовый 7 4 3 3 2" xfId="9236" xr:uid="{00000000-0005-0000-0000-000015240000}"/>
    <cellStyle name="Финансовый 7 4 3 3 2 2" xfId="9237" xr:uid="{00000000-0005-0000-0000-000016240000}"/>
    <cellStyle name="Финансовый 7 4 3 3 2 2 2" xfId="9238" xr:uid="{00000000-0005-0000-0000-000017240000}"/>
    <cellStyle name="Финансовый 7 4 3 3 2 3" xfId="9239" xr:uid="{00000000-0005-0000-0000-000018240000}"/>
    <cellStyle name="Финансовый 7 4 3 3 3" xfId="9240" xr:uid="{00000000-0005-0000-0000-000019240000}"/>
    <cellStyle name="Финансовый 7 4 3 3 3 2" xfId="9241" xr:uid="{00000000-0005-0000-0000-00001A240000}"/>
    <cellStyle name="Финансовый 7 4 3 3 4" xfId="9242" xr:uid="{00000000-0005-0000-0000-00001B240000}"/>
    <cellStyle name="Финансовый 7 4 3 4" xfId="9243" xr:uid="{00000000-0005-0000-0000-00001C240000}"/>
    <cellStyle name="Финансовый 7 4 3 4 2" xfId="9244" xr:uid="{00000000-0005-0000-0000-00001D240000}"/>
    <cellStyle name="Финансовый 7 4 3 4 2 2" xfId="9245" xr:uid="{00000000-0005-0000-0000-00001E240000}"/>
    <cellStyle name="Финансовый 7 4 3 4 3" xfId="9246" xr:uid="{00000000-0005-0000-0000-00001F240000}"/>
    <cellStyle name="Финансовый 7 4 3 5" xfId="9247" xr:uid="{00000000-0005-0000-0000-000020240000}"/>
    <cellStyle name="Финансовый 7 4 3 5 2" xfId="9248" xr:uid="{00000000-0005-0000-0000-000021240000}"/>
    <cellStyle name="Финансовый 7 4 3 6" xfId="9249" xr:uid="{00000000-0005-0000-0000-000022240000}"/>
    <cellStyle name="Финансовый 7 4 4" xfId="9250" xr:uid="{00000000-0005-0000-0000-000023240000}"/>
    <cellStyle name="Финансовый 7 4 4 2" xfId="9251" xr:uid="{00000000-0005-0000-0000-000024240000}"/>
    <cellStyle name="Финансовый 7 4 4 2 2" xfId="9252" xr:uid="{00000000-0005-0000-0000-000025240000}"/>
    <cellStyle name="Финансовый 7 4 4 2 2 2" xfId="9253" xr:uid="{00000000-0005-0000-0000-000026240000}"/>
    <cellStyle name="Финансовый 7 4 4 2 2 2 2" xfId="9254" xr:uid="{00000000-0005-0000-0000-000027240000}"/>
    <cellStyle name="Финансовый 7 4 4 2 2 3" xfId="9255" xr:uid="{00000000-0005-0000-0000-000028240000}"/>
    <cellStyle name="Финансовый 7 4 4 2 3" xfId="9256" xr:uid="{00000000-0005-0000-0000-000029240000}"/>
    <cellStyle name="Финансовый 7 4 4 2 3 2" xfId="9257" xr:uid="{00000000-0005-0000-0000-00002A240000}"/>
    <cellStyle name="Финансовый 7 4 4 2 4" xfId="9258" xr:uid="{00000000-0005-0000-0000-00002B240000}"/>
    <cellStyle name="Финансовый 7 4 4 3" xfId="9259" xr:uid="{00000000-0005-0000-0000-00002C240000}"/>
    <cellStyle name="Финансовый 7 4 4 3 2" xfId="9260" xr:uid="{00000000-0005-0000-0000-00002D240000}"/>
    <cellStyle name="Финансовый 7 4 4 3 2 2" xfId="9261" xr:uid="{00000000-0005-0000-0000-00002E240000}"/>
    <cellStyle name="Финансовый 7 4 4 3 3" xfId="9262" xr:uid="{00000000-0005-0000-0000-00002F240000}"/>
    <cellStyle name="Финансовый 7 4 4 4" xfId="9263" xr:uid="{00000000-0005-0000-0000-000030240000}"/>
    <cellStyle name="Финансовый 7 4 4 4 2" xfId="9264" xr:uid="{00000000-0005-0000-0000-000031240000}"/>
    <cellStyle name="Финансовый 7 4 4 5" xfId="9265" xr:uid="{00000000-0005-0000-0000-000032240000}"/>
    <cellStyle name="Финансовый 7 4 5" xfId="9266" xr:uid="{00000000-0005-0000-0000-000033240000}"/>
    <cellStyle name="Финансовый 7 4 5 2" xfId="9267" xr:uid="{00000000-0005-0000-0000-000034240000}"/>
    <cellStyle name="Финансовый 7 4 5 2 2" xfId="9268" xr:uid="{00000000-0005-0000-0000-000035240000}"/>
    <cellStyle name="Финансовый 7 4 5 2 2 2" xfId="9269" xr:uid="{00000000-0005-0000-0000-000036240000}"/>
    <cellStyle name="Финансовый 7 4 5 2 3" xfId="9270" xr:uid="{00000000-0005-0000-0000-000037240000}"/>
    <cellStyle name="Финансовый 7 4 5 3" xfId="9271" xr:uid="{00000000-0005-0000-0000-000038240000}"/>
    <cellStyle name="Финансовый 7 4 5 3 2" xfId="9272" xr:uid="{00000000-0005-0000-0000-000039240000}"/>
    <cellStyle name="Финансовый 7 4 5 4" xfId="9273" xr:uid="{00000000-0005-0000-0000-00003A240000}"/>
    <cellStyle name="Финансовый 7 4 6" xfId="9274" xr:uid="{00000000-0005-0000-0000-00003B240000}"/>
    <cellStyle name="Финансовый 7 4 6 2" xfId="9275" xr:uid="{00000000-0005-0000-0000-00003C240000}"/>
    <cellStyle name="Финансовый 7 4 6 2 2" xfId="9276" xr:uid="{00000000-0005-0000-0000-00003D240000}"/>
    <cellStyle name="Финансовый 7 4 6 3" xfId="9277" xr:uid="{00000000-0005-0000-0000-00003E240000}"/>
    <cellStyle name="Финансовый 7 4 7" xfId="9278" xr:uid="{00000000-0005-0000-0000-00003F240000}"/>
    <cellStyle name="Финансовый 7 4 7 2" xfId="9279" xr:uid="{00000000-0005-0000-0000-000040240000}"/>
    <cellStyle name="Финансовый 7 4 8" xfId="9280" xr:uid="{00000000-0005-0000-0000-000041240000}"/>
    <cellStyle name="Финансовый 7 5" xfId="9281" xr:uid="{00000000-0005-0000-0000-000042240000}"/>
    <cellStyle name="Финансовый 7 5 2" xfId="9282" xr:uid="{00000000-0005-0000-0000-000043240000}"/>
    <cellStyle name="Финансовый 7 5 2 2" xfId="9283" xr:uid="{00000000-0005-0000-0000-000044240000}"/>
    <cellStyle name="Финансовый 7 5 2 2 2" xfId="9284" xr:uid="{00000000-0005-0000-0000-000045240000}"/>
    <cellStyle name="Финансовый 7 5 2 2 2 2" xfId="9285" xr:uid="{00000000-0005-0000-0000-000046240000}"/>
    <cellStyle name="Финансовый 7 5 2 2 2 2 2" xfId="9286" xr:uid="{00000000-0005-0000-0000-000047240000}"/>
    <cellStyle name="Финансовый 7 5 2 2 2 2 2 2" xfId="9287" xr:uid="{00000000-0005-0000-0000-000048240000}"/>
    <cellStyle name="Финансовый 7 5 2 2 2 2 3" xfId="9288" xr:uid="{00000000-0005-0000-0000-000049240000}"/>
    <cellStyle name="Финансовый 7 5 2 2 2 3" xfId="9289" xr:uid="{00000000-0005-0000-0000-00004A240000}"/>
    <cellStyle name="Финансовый 7 5 2 2 2 3 2" xfId="9290" xr:uid="{00000000-0005-0000-0000-00004B240000}"/>
    <cellStyle name="Финансовый 7 5 2 2 2 4" xfId="9291" xr:uid="{00000000-0005-0000-0000-00004C240000}"/>
    <cellStyle name="Финансовый 7 5 2 2 3" xfId="9292" xr:uid="{00000000-0005-0000-0000-00004D240000}"/>
    <cellStyle name="Финансовый 7 5 2 2 3 2" xfId="9293" xr:uid="{00000000-0005-0000-0000-00004E240000}"/>
    <cellStyle name="Финансовый 7 5 2 2 3 2 2" xfId="9294" xr:uid="{00000000-0005-0000-0000-00004F240000}"/>
    <cellStyle name="Финансовый 7 5 2 2 3 3" xfId="9295" xr:uid="{00000000-0005-0000-0000-000050240000}"/>
    <cellStyle name="Финансовый 7 5 2 2 4" xfId="9296" xr:uid="{00000000-0005-0000-0000-000051240000}"/>
    <cellStyle name="Финансовый 7 5 2 2 4 2" xfId="9297" xr:uid="{00000000-0005-0000-0000-000052240000}"/>
    <cellStyle name="Финансовый 7 5 2 2 5" xfId="9298" xr:uid="{00000000-0005-0000-0000-000053240000}"/>
    <cellStyle name="Финансовый 7 5 2 3" xfId="9299" xr:uid="{00000000-0005-0000-0000-000054240000}"/>
    <cellStyle name="Финансовый 7 5 2 3 2" xfId="9300" xr:uid="{00000000-0005-0000-0000-000055240000}"/>
    <cellStyle name="Финансовый 7 5 2 3 2 2" xfId="9301" xr:uid="{00000000-0005-0000-0000-000056240000}"/>
    <cellStyle name="Финансовый 7 5 2 3 2 2 2" xfId="9302" xr:uid="{00000000-0005-0000-0000-000057240000}"/>
    <cellStyle name="Финансовый 7 5 2 3 2 3" xfId="9303" xr:uid="{00000000-0005-0000-0000-000058240000}"/>
    <cellStyle name="Финансовый 7 5 2 3 3" xfId="9304" xr:uid="{00000000-0005-0000-0000-000059240000}"/>
    <cellStyle name="Финансовый 7 5 2 3 3 2" xfId="9305" xr:uid="{00000000-0005-0000-0000-00005A240000}"/>
    <cellStyle name="Финансовый 7 5 2 3 4" xfId="9306" xr:uid="{00000000-0005-0000-0000-00005B240000}"/>
    <cellStyle name="Финансовый 7 5 2 4" xfId="9307" xr:uid="{00000000-0005-0000-0000-00005C240000}"/>
    <cellStyle name="Финансовый 7 5 2 4 2" xfId="9308" xr:uid="{00000000-0005-0000-0000-00005D240000}"/>
    <cellStyle name="Финансовый 7 5 2 4 2 2" xfId="9309" xr:uid="{00000000-0005-0000-0000-00005E240000}"/>
    <cellStyle name="Финансовый 7 5 2 4 3" xfId="9310" xr:uid="{00000000-0005-0000-0000-00005F240000}"/>
    <cellStyle name="Финансовый 7 5 2 5" xfId="9311" xr:uid="{00000000-0005-0000-0000-000060240000}"/>
    <cellStyle name="Финансовый 7 5 2 5 2" xfId="9312" xr:uid="{00000000-0005-0000-0000-000061240000}"/>
    <cellStyle name="Финансовый 7 5 2 6" xfId="9313" xr:uid="{00000000-0005-0000-0000-000062240000}"/>
    <cellStyle name="Финансовый 7 5 3" xfId="9314" xr:uid="{00000000-0005-0000-0000-000063240000}"/>
    <cellStyle name="Финансовый 7 5 3 2" xfId="9315" xr:uid="{00000000-0005-0000-0000-000064240000}"/>
    <cellStyle name="Финансовый 7 5 3 2 2" xfId="9316" xr:uid="{00000000-0005-0000-0000-000065240000}"/>
    <cellStyle name="Финансовый 7 5 3 2 2 2" xfId="9317" xr:uid="{00000000-0005-0000-0000-000066240000}"/>
    <cellStyle name="Финансовый 7 5 3 2 2 2 2" xfId="9318" xr:uid="{00000000-0005-0000-0000-000067240000}"/>
    <cellStyle name="Финансовый 7 5 3 2 2 3" xfId="9319" xr:uid="{00000000-0005-0000-0000-000068240000}"/>
    <cellStyle name="Финансовый 7 5 3 2 3" xfId="9320" xr:uid="{00000000-0005-0000-0000-000069240000}"/>
    <cellStyle name="Финансовый 7 5 3 2 3 2" xfId="9321" xr:uid="{00000000-0005-0000-0000-00006A240000}"/>
    <cellStyle name="Финансовый 7 5 3 2 4" xfId="9322" xr:uid="{00000000-0005-0000-0000-00006B240000}"/>
    <cellStyle name="Финансовый 7 5 3 3" xfId="9323" xr:uid="{00000000-0005-0000-0000-00006C240000}"/>
    <cellStyle name="Финансовый 7 5 3 3 2" xfId="9324" xr:uid="{00000000-0005-0000-0000-00006D240000}"/>
    <cellStyle name="Финансовый 7 5 3 3 2 2" xfId="9325" xr:uid="{00000000-0005-0000-0000-00006E240000}"/>
    <cellStyle name="Финансовый 7 5 3 3 3" xfId="9326" xr:uid="{00000000-0005-0000-0000-00006F240000}"/>
    <cellStyle name="Финансовый 7 5 3 4" xfId="9327" xr:uid="{00000000-0005-0000-0000-000070240000}"/>
    <cellStyle name="Финансовый 7 5 3 4 2" xfId="9328" xr:uid="{00000000-0005-0000-0000-000071240000}"/>
    <cellStyle name="Финансовый 7 5 3 5" xfId="9329" xr:uid="{00000000-0005-0000-0000-000072240000}"/>
    <cellStyle name="Финансовый 7 5 4" xfId="9330" xr:uid="{00000000-0005-0000-0000-000073240000}"/>
    <cellStyle name="Финансовый 7 5 4 2" xfId="9331" xr:uid="{00000000-0005-0000-0000-000074240000}"/>
    <cellStyle name="Финансовый 7 5 4 2 2" xfId="9332" xr:uid="{00000000-0005-0000-0000-000075240000}"/>
    <cellStyle name="Финансовый 7 5 4 2 2 2" xfId="9333" xr:uid="{00000000-0005-0000-0000-000076240000}"/>
    <cellStyle name="Финансовый 7 5 4 2 3" xfId="9334" xr:uid="{00000000-0005-0000-0000-000077240000}"/>
    <cellStyle name="Финансовый 7 5 4 3" xfId="9335" xr:uid="{00000000-0005-0000-0000-000078240000}"/>
    <cellStyle name="Финансовый 7 5 4 3 2" xfId="9336" xr:uid="{00000000-0005-0000-0000-000079240000}"/>
    <cellStyle name="Финансовый 7 5 4 4" xfId="9337" xr:uid="{00000000-0005-0000-0000-00007A240000}"/>
    <cellStyle name="Финансовый 7 5 5" xfId="9338" xr:uid="{00000000-0005-0000-0000-00007B240000}"/>
    <cellStyle name="Финансовый 7 5 5 2" xfId="9339" xr:uid="{00000000-0005-0000-0000-00007C240000}"/>
    <cellStyle name="Финансовый 7 5 5 2 2" xfId="9340" xr:uid="{00000000-0005-0000-0000-00007D240000}"/>
    <cellStyle name="Финансовый 7 5 5 3" xfId="9341" xr:uid="{00000000-0005-0000-0000-00007E240000}"/>
    <cellStyle name="Финансовый 7 5 6" xfId="9342" xr:uid="{00000000-0005-0000-0000-00007F240000}"/>
    <cellStyle name="Финансовый 7 5 6 2" xfId="9343" xr:uid="{00000000-0005-0000-0000-000080240000}"/>
    <cellStyle name="Финансовый 7 5 7" xfId="9344" xr:uid="{00000000-0005-0000-0000-000081240000}"/>
    <cellStyle name="Финансовый 7 6" xfId="9345" xr:uid="{00000000-0005-0000-0000-000082240000}"/>
    <cellStyle name="Финансовый 7 6 2" xfId="9346" xr:uid="{00000000-0005-0000-0000-000083240000}"/>
    <cellStyle name="Финансовый 7 6 2 2" xfId="9347" xr:uid="{00000000-0005-0000-0000-000084240000}"/>
    <cellStyle name="Финансовый 7 6 2 2 2" xfId="9348" xr:uid="{00000000-0005-0000-0000-000085240000}"/>
    <cellStyle name="Финансовый 7 6 2 2 2 2" xfId="9349" xr:uid="{00000000-0005-0000-0000-000086240000}"/>
    <cellStyle name="Финансовый 7 6 2 2 2 2 2" xfId="9350" xr:uid="{00000000-0005-0000-0000-000087240000}"/>
    <cellStyle name="Финансовый 7 6 2 2 2 3" xfId="9351" xr:uid="{00000000-0005-0000-0000-000088240000}"/>
    <cellStyle name="Финансовый 7 6 2 2 3" xfId="9352" xr:uid="{00000000-0005-0000-0000-000089240000}"/>
    <cellStyle name="Финансовый 7 6 2 2 3 2" xfId="9353" xr:uid="{00000000-0005-0000-0000-00008A240000}"/>
    <cellStyle name="Финансовый 7 6 2 2 4" xfId="9354" xr:uid="{00000000-0005-0000-0000-00008B240000}"/>
    <cellStyle name="Финансовый 7 6 2 3" xfId="9355" xr:uid="{00000000-0005-0000-0000-00008C240000}"/>
    <cellStyle name="Финансовый 7 6 2 3 2" xfId="9356" xr:uid="{00000000-0005-0000-0000-00008D240000}"/>
    <cellStyle name="Финансовый 7 6 2 3 2 2" xfId="9357" xr:uid="{00000000-0005-0000-0000-00008E240000}"/>
    <cellStyle name="Финансовый 7 6 2 3 3" xfId="9358" xr:uid="{00000000-0005-0000-0000-00008F240000}"/>
    <cellStyle name="Финансовый 7 6 2 4" xfId="9359" xr:uid="{00000000-0005-0000-0000-000090240000}"/>
    <cellStyle name="Финансовый 7 6 2 4 2" xfId="9360" xr:uid="{00000000-0005-0000-0000-000091240000}"/>
    <cellStyle name="Финансовый 7 6 2 5" xfId="9361" xr:uid="{00000000-0005-0000-0000-000092240000}"/>
    <cellStyle name="Финансовый 7 6 3" xfId="9362" xr:uid="{00000000-0005-0000-0000-000093240000}"/>
    <cellStyle name="Финансовый 7 6 3 2" xfId="9363" xr:uid="{00000000-0005-0000-0000-000094240000}"/>
    <cellStyle name="Финансовый 7 6 3 2 2" xfId="9364" xr:uid="{00000000-0005-0000-0000-000095240000}"/>
    <cellStyle name="Финансовый 7 6 3 2 2 2" xfId="9365" xr:uid="{00000000-0005-0000-0000-000096240000}"/>
    <cellStyle name="Финансовый 7 6 3 2 3" xfId="9366" xr:uid="{00000000-0005-0000-0000-000097240000}"/>
    <cellStyle name="Финансовый 7 6 3 3" xfId="9367" xr:uid="{00000000-0005-0000-0000-000098240000}"/>
    <cellStyle name="Финансовый 7 6 3 3 2" xfId="9368" xr:uid="{00000000-0005-0000-0000-000099240000}"/>
    <cellStyle name="Финансовый 7 6 3 4" xfId="9369" xr:uid="{00000000-0005-0000-0000-00009A240000}"/>
    <cellStyle name="Финансовый 7 6 4" xfId="9370" xr:uid="{00000000-0005-0000-0000-00009B240000}"/>
    <cellStyle name="Финансовый 7 6 4 2" xfId="9371" xr:uid="{00000000-0005-0000-0000-00009C240000}"/>
    <cellStyle name="Финансовый 7 6 4 2 2" xfId="9372" xr:uid="{00000000-0005-0000-0000-00009D240000}"/>
    <cellStyle name="Финансовый 7 6 4 3" xfId="9373" xr:uid="{00000000-0005-0000-0000-00009E240000}"/>
    <cellStyle name="Финансовый 7 6 5" xfId="9374" xr:uid="{00000000-0005-0000-0000-00009F240000}"/>
    <cellStyle name="Финансовый 7 6 5 2" xfId="9375" xr:uid="{00000000-0005-0000-0000-0000A0240000}"/>
    <cellStyle name="Финансовый 7 6 6" xfId="9376" xr:uid="{00000000-0005-0000-0000-0000A1240000}"/>
    <cellStyle name="Финансовый 7 7" xfId="9377" xr:uid="{00000000-0005-0000-0000-0000A2240000}"/>
    <cellStyle name="Финансовый 7 7 2" xfId="9378" xr:uid="{00000000-0005-0000-0000-0000A3240000}"/>
    <cellStyle name="Финансовый 7 7 2 2" xfId="9379" xr:uid="{00000000-0005-0000-0000-0000A4240000}"/>
    <cellStyle name="Финансовый 7 7 2 2 2" xfId="9380" xr:uid="{00000000-0005-0000-0000-0000A5240000}"/>
    <cellStyle name="Финансовый 7 7 2 2 2 2" xfId="9381" xr:uid="{00000000-0005-0000-0000-0000A6240000}"/>
    <cellStyle name="Финансовый 7 7 2 2 3" xfId="9382" xr:uid="{00000000-0005-0000-0000-0000A7240000}"/>
    <cellStyle name="Финансовый 7 7 2 3" xfId="9383" xr:uid="{00000000-0005-0000-0000-0000A8240000}"/>
    <cellStyle name="Финансовый 7 7 2 3 2" xfId="9384" xr:uid="{00000000-0005-0000-0000-0000A9240000}"/>
    <cellStyle name="Финансовый 7 7 2 4" xfId="9385" xr:uid="{00000000-0005-0000-0000-0000AA240000}"/>
    <cellStyle name="Финансовый 7 7 3" xfId="9386" xr:uid="{00000000-0005-0000-0000-0000AB240000}"/>
    <cellStyle name="Финансовый 7 7 3 2" xfId="9387" xr:uid="{00000000-0005-0000-0000-0000AC240000}"/>
    <cellStyle name="Финансовый 7 7 3 2 2" xfId="9388" xr:uid="{00000000-0005-0000-0000-0000AD240000}"/>
    <cellStyle name="Финансовый 7 7 3 3" xfId="9389" xr:uid="{00000000-0005-0000-0000-0000AE240000}"/>
    <cellStyle name="Финансовый 7 7 4" xfId="9390" xr:uid="{00000000-0005-0000-0000-0000AF240000}"/>
    <cellStyle name="Финансовый 7 7 4 2" xfId="9391" xr:uid="{00000000-0005-0000-0000-0000B0240000}"/>
    <cellStyle name="Финансовый 7 7 5" xfId="9392" xr:uid="{00000000-0005-0000-0000-0000B1240000}"/>
    <cellStyle name="Финансовый 7 8" xfId="9393" xr:uid="{00000000-0005-0000-0000-0000B2240000}"/>
    <cellStyle name="Финансовый 7 8 2" xfId="9394" xr:uid="{00000000-0005-0000-0000-0000B3240000}"/>
    <cellStyle name="Финансовый 7 8 2 2" xfId="9395" xr:uid="{00000000-0005-0000-0000-0000B4240000}"/>
    <cellStyle name="Финансовый 7 8 2 2 2" xfId="9396" xr:uid="{00000000-0005-0000-0000-0000B5240000}"/>
    <cellStyle name="Финансовый 7 8 2 3" xfId="9397" xr:uid="{00000000-0005-0000-0000-0000B6240000}"/>
    <cellStyle name="Финансовый 7 8 3" xfId="9398" xr:uid="{00000000-0005-0000-0000-0000B7240000}"/>
    <cellStyle name="Финансовый 7 8 3 2" xfId="9399" xr:uid="{00000000-0005-0000-0000-0000B8240000}"/>
    <cellStyle name="Финансовый 7 8 4" xfId="9400" xr:uid="{00000000-0005-0000-0000-0000B9240000}"/>
    <cellStyle name="Финансовый 7 9" xfId="9401" xr:uid="{00000000-0005-0000-0000-0000BA240000}"/>
    <cellStyle name="Финансовый 7 9 2" xfId="9402" xr:uid="{00000000-0005-0000-0000-0000BB240000}"/>
    <cellStyle name="Финансовый 7 9 2 2" xfId="9403" xr:uid="{00000000-0005-0000-0000-0000BC240000}"/>
    <cellStyle name="Финансовый 7 9 3" xfId="9404" xr:uid="{00000000-0005-0000-0000-0000BD240000}"/>
    <cellStyle name="Финансовый 8" xfId="9405" xr:uid="{00000000-0005-0000-0000-0000BE240000}"/>
    <cellStyle name="Финансовый 8 10" xfId="9406" xr:uid="{00000000-0005-0000-0000-0000BF240000}"/>
    <cellStyle name="Финансовый 8 10 2" xfId="9407" xr:uid="{00000000-0005-0000-0000-0000C0240000}"/>
    <cellStyle name="Финансовый 8 11" xfId="9408" xr:uid="{00000000-0005-0000-0000-0000C1240000}"/>
    <cellStyle name="Финансовый 8 2" xfId="9409" xr:uid="{00000000-0005-0000-0000-0000C2240000}"/>
    <cellStyle name="Финансовый 8 2 10" xfId="9410" xr:uid="{00000000-0005-0000-0000-0000C3240000}"/>
    <cellStyle name="Финансовый 8 2 2" xfId="9411" xr:uid="{00000000-0005-0000-0000-0000C4240000}"/>
    <cellStyle name="Финансовый 8 2 2 2" xfId="9412" xr:uid="{00000000-0005-0000-0000-0000C5240000}"/>
    <cellStyle name="Финансовый 8 2 2 2 2" xfId="9413" xr:uid="{00000000-0005-0000-0000-0000C6240000}"/>
    <cellStyle name="Финансовый 8 2 2 2 2 2" xfId="9414" xr:uid="{00000000-0005-0000-0000-0000C7240000}"/>
    <cellStyle name="Финансовый 8 2 2 2 2 2 2" xfId="9415" xr:uid="{00000000-0005-0000-0000-0000C8240000}"/>
    <cellStyle name="Финансовый 8 2 2 2 2 2 2 2" xfId="9416" xr:uid="{00000000-0005-0000-0000-0000C9240000}"/>
    <cellStyle name="Финансовый 8 2 2 2 2 2 2 2 2" xfId="9417" xr:uid="{00000000-0005-0000-0000-0000CA240000}"/>
    <cellStyle name="Финансовый 8 2 2 2 2 2 2 2 2 2" xfId="9418" xr:uid="{00000000-0005-0000-0000-0000CB240000}"/>
    <cellStyle name="Финансовый 8 2 2 2 2 2 2 2 2 2 2" xfId="9419" xr:uid="{00000000-0005-0000-0000-0000CC240000}"/>
    <cellStyle name="Финансовый 8 2 2 2 2 2 2 2 2 3" xfId="9420" xr:uid="{00000000-0005-0000-0000-0000CD240000}"/>
    <cellStyle name="Финансовый 8 2 2 2 2 2 2 2 3" xfId="9421" xr:uid="{00000000-0005-0000-0000-0000CE240000}"/>
    <cellStyle name="Финансовый 8 2 2 2 2 2 2 2 3 2" xfId="9422" xr:uid="{00000000-0005-0000-0000-0000CF240000}"/>
    <cellStyle name="Финансовый 8 2 2 2 2 2 2 2 4" xfId="9423" xr:uid="{00000000-0005-0000-0000-0000D0240000}"/>
    <cellStyle name="Финансовый 8 2 2 2 2 2 2 3" xfId="9424" xr:uid="{00000000-0005-0000-0000-0000D1240000}"/>
    <cellStyle name="Финансовый 8 2 2 2 2 2 2 3 2" xfId="9425" xr:uid="{00000000-0005-0000-0000-0000D2240000}"/>
    <cellStyle name="Финансовый 8 2 2 2 2 2 2 3 2 2" xfId="9426" xr:uid="{00000000-0005-0000-0000-0000D3240000}"/>
    <cellStyle name="Финансовый 8 2 2 2 2 2 2 3 3" xfId="9427" xr:uid="{00000000-0005-0000-0000-0000D4240000}"/>
    <cellStyle name="Финансовый 8 2 2 2 2 2 2 4" xfId="9428" xr:uid="{00000000-0005-0000-0000-0000D5240000}"/>
    <cellStyle name="Финансовый 8 2 2 2 2 2 2 4 2" xfId="9429" xr:uid="{00000000-0005-0000-0000-0000D6240000}"/>
    <cellStyle name="Финансовый 8 2 2 2 2 2 2 5" xfId="9430" xr:uid="{00000000-0005-0000-0000-0000D7240000}"/>
    <cellStyle name="Финансовый 8 2 2 2 2 2 3" xfId="9431" xr:uid="{00000000-0005-0000-0000-0000D8240000}"/>
    <cellStyle name="Финансовый 8 2 2 2 2 2 3 2" xfId="9432" xr:uid="{00000000-0005-0000-0000-0000D9240000}"/>
    <cellStyle name="Финансовый 8 2 2 2 2 2 3 2 2" xfId="9433" xr:uid="{00000000-0005-0000-0000-0000DA240000}"/>
    <cellStyle name="Финансовый 8 2 2 2 2 2 3 2 2 2" xfId="9434" xr:uid="{00000000-0005-0000-0000-0000DB240000}"/>
    <cellStyle name="Финансовый 8 2 2 2 2 2 3 2 3" xfId="9435" xr:uid="{00000000-0005-0000-0000-0000DC240000}"/>
    <cellStyle name="Финансовый 8 2 2 2 2 2 3 3" xfId="9436" xr:uid="{00000000-0005-0000-0000-0000DD240000}"/>
    <cellStyle name="Финансовый 8 2 2 2 2 2 3 3 2" xfId="9437" xr:uid="{00000000-0005-0000-0000-0000DE240000}"/>
    <cellStyle name="Финансовый 8 2 2 2 2 2 3 4" xfId="9438" xr:uid="{00000000-0005-0000-0000-0000DF240000}"/>
    <cellStyle name="Финансовый 8 2 2 2 2 2 4" xfId="9439" xr:uid="{00000000-0005-0000-0000-0000E0240000}"/>
    <cellStyle name="Финансовый 8 2 2 2 2 2 4 2" xfId="9440" xr:uid="{00000000-0005-0000-0000-0000E1240000}"/>
    <cellStyle name="Финансовый 8 2 2 2 2 2 4 2 2" xfId="9441" xr:uid="{00000000-0005-0000-0000-0000E2240000}"/>
    <cellStyle name="Финансовый 8 2 2 2 2 2 4 3" xfId="9442" xr:uid="{00000000-0005-0000-0000-0000E3240000}"/>
    <cellStyle name="Финансовый 8 2 2 2 2 2 5" xfId="9443" xr:uid="{00000000-0005-0000-0000-0000E4240000}"/>
    <cellStyle name="Финансовый 8 2 2 2 2 2 5 2" xfId="9444" xr:uid="{00000000-0005-0000-0000-0000E5240000}"/>
    <cellStyle name="Финансовый 8 2 2 2 2 2 6" xfId="9445" xr:uid="{00000000-0005-0000-0000-0000E6240000}"/>
    <cellStyle name="Финансовый 8 2 2 2 2 3" xfId="9446" xr:uid="{00000000-0005-0000-0000-0000E7240000}"/>
    <cellStyle name="Финансовый 8 2 2 2 2 3 2" xfId="9447" xr:uid="{00000000-0005-0000-0000-0000E8240000}"/>
    <cellStyle name="Финансовый 8 2 2 2 2 3 2 2" xfId="9448" xr:uid="{00000000-0005-0000-0000-0000E9240000}"/>
    <cellStyle name="Финансовый 8 2 2 2 2 3 2 2 2" xfId="9449" xr:uid="{00000000-0005-0000-0000-0000EA240000}"/>
    <cellStyle name="Финансовый 8 2 2 2 2 3 2 2 2 2" xfId="9450" xr:uid="{00000000-0005-0000-0000-0000EB240000}"/>
    <cellStyle name="Финансовый 8 2 2 2 2 3 2 2 3" xfId="9451" xr:uid="{00000000-0005-0000-0000-0000EC240000}"/>
    <cellStyle name="Финансовый 8 2 2 2 2 3 2 3" xfId="9452" xr:uid="{00000000-0005-0000-0000-0000ED240000}"/>
    <cellStyle name="Финансовый 8 2 2 2 2 3 2 3 2" xfId="9453" xr:uid="{00000000-0005-0000-0000-0000EE240000}"/>
    <cellStyle name="Финансовый 8 2 2 2 2 3 2 4" xfId="9454" xr:uid="{00000000-0005-0000-0000-0000EF240000}"/>
    <cellStyle name="Финансовый 8 2 2 2 2 3 3" xfId="9455" xr:uid="{00000000-0005-0000-0000-0000F0240000}"/>
    <cellStyle name="Финансовый 8 2 2 2 2 3 3 2" xfId="9456" xr:uid="{00000000-0005-0000-0000-0000F1240000}"/>
    <cellStyle name="Финансовый 8 2 2 2 2 3 3 2 2" xfId="9457" xr:uid="{00000000-0005-0000-0000-0000F2240000}"/>
    <cellStyle name="Финансовый 8 2 2 2 2 3 3 3" xfId="9458" xr:uid="{00000000-0005-0000-0000-0000F3240000}"/>
    <cellStyle name="Финансовый 8 2 2 2 2 3 4" xfId="9459" xr:uid="{00000000-0005-0000-0000-0000F4240000}"/>
    <cellStyle name="Финансовый 8 2 2 2 2 3 4 2" xfId="9460" xr:uid="{00000000-0005-0000-0000-0000F5240000}"/>
    <cellStyle name="Финансовый 8 2 2 2 2 3 5" xfId="9461" xr:uid="{00000000-0005-0000-0000-0000F6240000}"/>
    <cellStyle name="Финансовый 8 2 2 2 2 4" xfId="9462" xr:uid="{00000000-0005-0000-0000-0000F7240000}"/>
    <cellStyle name="Финансовый 8 2 2 2 2 4 2" xfId="9463" xr:uid="{00000000-0005-0000-0000-0000F8240000}"/>
    <cellStyle name="Финансовый 8 2 2 2 2 4 2 2" xfId="9464" xr:uid="{00000000-0005-0000-0000-0000F9240000}"/>
    <cellStyle name="Финансовый 8 2 2 2 2 4 2 2 2" xfId="9465" xr:uid="{00000000-0005-0000-0000-0000FA240000}"/>
    <cellStyle name="Финансовый 8 2 2 2 2 4 2 3" xfId="9466" xr:uid="{00000000-0005-0000-0000-0000FB240000}"/>
    <cellStyle name="Финансовый 8 2 2 2 2 4 3" xfId="9467" xr:uid="{00000000-0005-0000-0000-0000FC240000}"/>
    <cellStyle name="Финансовый 8 2 2 2 2 4 3 2" xfId="9468" xr:uid="{00000000-0005-0000-0000-0000FD240000}"/>
    <cellStyle name="Финансовый 8 2 2 2 2 4 4" xfId="9469" xr:uid="{00000000-0005-0000-0000-0000FE240000}"/>
    <cellStyle name="Финансовый 8 2 2 2 2 5" xfId="9470" xr:uid="{00000000-0005-0000-0000-0000FF240000}"/>
    <cellStyle name="Финансовый 8 2 2 2 2 5 2" xfId="9471" xr:uid="{00000000-0005-0000-0000-000000250000}"/>
    <cellStyle name="Финансовый 8 2 2 2 2 5 2 2" xfId="9472" xr:uid="{00000000-0005-0000-0000-000001250000}"/>
    <cellStyle name="Финансовый 8 2 2 2 2 5 3" xfId="9473" xr:uid="{00000000-0005-0000-0000-000002250000}"/>
    <cellStyle name="Финансовый 8 2 2 2 2 6" xfId="9474" xr:uid="{00000000-0005-0000-0000-000003250000}"/>
    <cellStyle name="Финансовый 8 2 2 2 2 6 2" xfId="9475" xr:uid="{00000000-0005-0000-0000-000004250000}"/>
    <cellStyle name="Финансовый 8 2 2 2 2 7" xfId="9476" xr:uid="{00000000-0005-0000-0000-000005250000}"/>
    <cellStyle name="Финансовый 8 2 2 2 3" xfId="9477" xr:uid="{00000000-0005-0000-0000-000006250000}"/>
    <cellStyle name="Финансовый 8 2 2 2 3 2" xfId="9478" xr:uid="{00000000-0005-0000-0000-000007250000}"/>
    <cellStyle name="Финансовый 8 2 2 2 3 2 2" xfId="9479" xr:uid="{00000000-0005-0000-0000-000008250000}"/>
    <cellStyle name="Финансовый 8 2 2 2 3 2 2 2" xfId="9480" xr:uid="{00000000-0005-0000-0000-000009250000}"/>
    <cellStyle name="Финансовый 8 2 2 2 3 2 2 2 2" xfId="9481" xr:uid="{00000000-0005-0000-0000-00000A250000}"/>
    <cellStyle name="Финансовый 8 2 2 2 3 2 2 2 2 2" xfId="9482" xr:uid="{00000000-0005-0000-0000-00000B250000}"/>
    <cellStyle name="Финансовый 8 2 2 2 3 2 2 2 3" xfId="9483" xr:uid="{00000000-0005-0000-0000-00000C250000}"/>
    <cellStyle name="Финансовый 8 2 2 2 3 2 2 3" xfId="9484" xr:uid="{00000000-0005-0000-0000-00000D250000}"/>
    <cellStyle name="Финансовый 8 2 2 2 3 2 2 3 2" xfId="9485" xr:uid="{00000000-0005-0000-0000-00000E250000}"/>
    <cellStyle name="Финансовый 8 2 2 2 3 2 2 4" xfId="9486" xr:uid="{00000000-0005-0000-0000-00000F250000}"/>
    <cellStyle name="Финансовый 8 2 2 2 3 2 3" xfId="9487" xr:uid="{00000000-0005-0000-0000-000010250000}"/>
    <cellStyle name="Финансовый 8 2 2 2 3 2 3 2" xfId="9488" xr:uid="{00000000-0005-0000-0000-000011250000}"/>
    <cellStyle name="Финансовый 8 2 2 2 3 2 3 2 2" xfId="9489" xr:uid="{00000000-0005-0000-0000-000012250000}"/>
    <cellStyle name="Финансовый 8 2 2 2 3 2 3 3" xfId="9490" xr:uid="{00000000-0005-0000-0000-000013250000}"/>
    <cellStyle name="Финансовый 8 2 2 2 3 2 4" xfId="9491" xr:uid="{00000000-0005-0000-0000-000014250000}"/>
    <cellStyle name="Финансовый 8 2 2 2 3 2 4 2" xfId="9492" xr:uid="{00000000-0005-0000-0000-000015250000}"/>
    <cellStyle name="Финансовый 8 2 2 2 3 2 5" xfId="9493" xr:uid="{00000000-0005-0000-0000-000016250000}"/>
    <cellStyle name="Финансовый 8 2 2 2 3 3" xfId="9494" xr:uid="{00000000-0005-0000-0000-000017250000}"/>
    <cellStyle name="Финансовый 8 2 2 2 3 3 2" xfId="9495" xr:uid="{00000000-0005-0000-0000-000018250000}"/>
    <cellStyle name="Финансовый 8 2 2 2 3 3 2 2" xfId="9496" xr:uid="{00000000-0005-0000-0000-000019250000}"/>
    <cellStyle name="Финансовый 8 2 2 2 3 3 2 2 2" xfId="9497" xr:uid="{00000000-0005-0000-0000-00001A250000}"/>
    <cellStyle name="Финансовый 8 2 2 2 3 3 2 3" xfId="9498" xr:uid="{00000000-0005-0000-0000-00001B250000}"/>
    <cellStyle name="Финансовый 8 2 2 2 3 3 3" xfId="9499" xr:uid="{00000000-0005-0000-0000-00001C250000}"/>
    <cellStyle name="Финансовый 8 2 2 2 3 3 3 2" xfId="9500" xr:uid="{00000000-0005-0000-0000-00001D250000}"/>
    <cellStyle name="Финансовый 8 2 2 2 3 3 4" xfId="9501" xr:uid="{00000000-0005-0000-0000-00001E250000}"/>
    <cellStyle name="Финансовый 8 2 2 2 3 4" xfId="9502" xr:uid="{00000000-0005-0000-0000-00001F250000}"/>
    <cellStyle name="Финансовый 8 2 2 2 3 4 2" xfId="9503" xr:uid="{00000000-0005-0000-0000-000020250000}"/>
    <cellStyle name="Финансовый 8 2 2 2 3 4 2 2" xfId="9504" xr:uid="{00000000-0005-0000-0000-000021250000}"/>
    <cellStyle name="Финансовый 8 2 2 2 3 4 3" xfId="9505" xr:uid="{00000000-0005-0000-0000-000022250000}"/>
    <cellStyle name="Финансовый 8 2 2 2 3 5" xfId="9506" xr:uid="{00000000-0005-0000-0000-000023250000}"/>
    <cellStyle name="Финансовый 8 2 2 2 3 5 2" xfId="9507" xr:uid="{00000000-0005-0000-0000-000024250000}"/>
    <cellStyle name="Финансовый 8 2 2 2 3 6" xfId="9508" xr:uid="{00000000-0005-0000-0000-000025250000}"/>
    <cellStyle name="Финансовый 8 2 2 2 4" xfId="9509" xr:uid="{00000000-0005-0000-0000-000026250000}"/>
    <cellStyle name="Финансовый 8 2 2 2 4 2" xfId="9510" xr:uid="{00000000-0005-0000-0000-000027250000}"/>
    <cellStyle name="Финансовый 8 2 2 2 4 2 2" xfId="9511" xr:uid="{00000000-0005-0000-0000-000028250000}"/>
    <cellStyle name="Финансовый 8 2 2 2 4 2 2 2" xfId="9512" xr:uid="{00000000-0005-0000-0000-000029250000}"/>
    <cellStyle name="Финансовый 8 2 2 2 4 2 2 2 2" xfId="9513" xr:uid="{00000000-0005-0000-0000-00002A250000}"/>
    <cellStyle name="Финансовый 8 2 2 2 4 2 2 3" xfId="9514" xr:uid="{00000000-0005-0000-0000-00002B250000}"/>
    <cellStyle name="Финансовый 8 2 2 2 4 2 3" xfId="9515" xr:uid="{00000000-0005-0000-0000-00002C250000}"/>
    <cellStyle name="Финансовый 8 2 2 2 4 2 3 2" xfId="9516" xr:uid="{00000000-0005-0000-0000-00002D250000}"/>
    <cellStyle name="Финансовый 8 2 2 2 4 2 4" xfId="9517" xr:uid="{00000000-0005-0000-0000-00002E250000}"/>
    <cellStyle name="Финансовый 8 2 2 2 4 3" xfId="9518" xr:uid="{00000000-0005-0000-0000-00002F250000}"/>
    <cellStyle name="Финансовый 8 2 2 2 4 3 2" xfId="9519" xr:uid="{00000000-0005-0000-0000-000030250000}"/>
    <cellStyle name="Финансовый 8 2 2 2 4 3 2 2" xfId="9520" xr:uid="{00000000-0005-0000-0000-000031250000}"/>
    <cellStyle name="Финансовый 8 2 2 2 4 3 3" xfId="9521" xr:uid="{00000000-0005-0000-0000-000032250000}"/>
    <cellStyle name="Финансовый 8 2 2 2 4 4" xfId="9522" xr:uid="{00000000-0005-0000-0000-000033250000}"/>
    <cellStyle name="Финансовый 8 2 2 2 4 4 2" xfId="9523" xr:uid="{00000000-0005-0000-0000-000034250000}"/>
    <cellStyle name="Финансовый 8 2 2 2 4 5" xfId="9524" xr:uid="{00000000-0005-0000-0000-000035250000}"/>
    <cellStyle name="Финансовый 8 2 2 2 5" xfId="9525" xr:uid="{00000000-0005-0000-0000-000036250000}"/>
    <cellStyle name="Финансовый 8 2 2 2 5 2" xfId="9526" xr:uid="{00000000-0005-0000-0000-000037250000}"/>
    <cellStyle name="Финансовый 8 2 2 2 5 2 2" xfId="9527" xr:uid="{00000000-0005-0000-0000-000038250000}"/>
    <cellStyle name="Финансовый 8 2 2 2 5 2 2 2" xfId="9528" xr:uid="{00000000-0005-0000-0000-000039250000}"/>
    <cellStyle name="Финансовый 8 2 2 2 5 2 3" xfId="9529" xr:uid="{00000000-0005-0000-0000-00003A250000}"/>
    <cellStyle name="Финансовый 8 2 2 2 5 3" xfId="9530" xr:uid="{00000000-0005-0000-0000-00003B250000}"/>
    <cellStyle name="Финансовый 8 2 2 2 5 3 2" xfId="9531" xr:uid="{00000000-0005-0000-0000-00003C250000}"/>
    <cellStyle name="Финансовый 8 2 2 2 5 4" xfId="9532" xr:uid="{00000000-0005-0000-0000-00003D250000}"/>
    <cellStyle name="Финансовый 8 2 2 2 6" xfId="9533" xr:uid="{00000000-0005-0000-0000-00003E250000}"/>
    <cellStyle name="Финансовый 8 2 2 2 6 2" xfId="9534" xr:uid="{00000000-0005-0000-0000-00003F250000}"/>
    <cellStyle name="Финансовый 8 2 2 2 6 2 2" xfId="9535" xr:uid="{00000000-0005-0000-0000-000040250000}"/>
    <cellStyle name="Финансовый 8 2 2 2 6 3" xfId="9536" xr:uid="{00000000-0005-0000-0000-000041250000}"/>
    <cellStyle name="Финансовый 8 2 2 2 7" xfId="9537" xr:uid="{00000000-0005-0000-0000-000042250000}"/>
    <cellStyle name="Финансовый 8 2 2 2 7 2" xfId="9538" xr:uid="{00000000-0005-0000-0000-000043250000}"/>
    <cellStyle name="Финансовый 8 2 2 2 8" xfId="9539" xr:uid="{00000000-0005-0000-0000-000044250000}"/>
    <cellStyle name="Финансовый 8 2 2 3" xfId="9540" xr:uid="{00000000-0005-0000-0000-000045250000}"/>
    <cellStyle name="Финансовый 8 2 2 3 2" xfId="9541" xr:uid="{00000000-0005-0000-0000-000046250000}"/>
    <cellStyle name="Финансовый 8 2 2 3 2 2" xfId="9542" xr:uid="{00000000-0005-0000-0000-000047250000}"/>
    <cellStyle name="Финансовый 8 2 2 3 2 2 2" xfId="9543" xr:uid="{00000000-0005-0000-0000-000048250000}"/>
    <cellStyle name="Финансовый 8 2 2 3 2 2 2 2" xfId="9544" xr:uid="{00000000-0005-0000-0000-000049250000}"/>
    <cellStyle name="Финансовый 8 2 2 3 2 2 2 2 2" xfId="9545" xr:uid="{00000000-0005-0000-0000-00004A250000}"/>
    <cellStyle name="Финансовый 8 2 2 3 2 2 2 2 2 2" xfId="9546" xr:uid="{00000000-0005-0000-0000-00004B250000}"/>
    <cellStyle name="Финансовый 8 2 2 3 2 2 2 2 3" xfId="9547" xr:uid="{00000000-0005-0000-0000-00004C250000}"/>
    <cellStyle name="Финансовый 8 2 2 3 2 2 2 3" xfId="9548" xr:uid="{00000000-0005-0000-0000-00004D250000}"/>
    <cellStyle name="Финансовый 8 2 2 3 2 2 2 3 2" xfId="9549" xr:uid="{00000000-0005-0000-0000-00004E250000}"/>
    <cellStyle name="Финансовый 8 2 2 3 2 2 2 4" xfId="9550" xr:uid="{00000000-0005-0000-0000-00004F250000}"/>
    <cellStyle name="Финансовый 8 2 2 3 2 2 3" xfId="9551" xr:uid="{00000000-0005-0000-0000-000050250000}"/>
    <cellStyle name="Финансовый 8 2 2 3 2 2 3 2" xfId="9552" xr:uid="{00000000-0005-0000-0000-000051250000}"/>
    <cellStyle name="Финансовый 8 2 2 3 2 2 3 2 2" xfId="9553" xr:uid="{00000000-0005-0000-0000-000052250000}"/>
    <cellStyle name="Финансовый 8 2 2 3 2 2 3 3" xfId="9554" xr:uid="{00000000-0005-0000-0000-000053250000}"/>
    <cellStyle name="Финансовый 8 2 2 3 2 2 4" xfId="9555" xr:uid="{00000000-0005-0000-0000-000054250000}"/>
    <cellStyle name="Финансовый 8 2 2 3 2 2 4 2" xfId="9556" xr:uid="{00000000-0005-0000-0000-000055250000}"/>
    <cellStyle name="Финансовый 8 2 2 3 2 2 5" xfId="9557" xr:uid="{00000000-0005-0000-0000-000056250000}"/>
    <cellStyle name="Финансовый 8 2 2 3 2 3" xfId="9558" xr:uid="{00000000-0005-0000-0000-000057250000}"/>
    <cellStyle name="Финансовый 8 2 2 3 2 3 2" xfId="9559" xr:uid="{00000000-0005-0000-0000-000058250000}"/>
    <cellStyle name="Финансовый 8 2 2 3 2 3 2 2" xfId="9560" xr:uid="{00000000-0005-0000-0000-000059250000}"/>
    <cellStyle name="Финансовый 8 2 2 3 2 3 2 2 2" xfId="9561" xr:uid="{00000000-0005-0000-0000-00005A250000}"/>
    <cellStyle name="Финансовый 8 2 2 3 2 3 2 3" xfId="9562" xr:uid="{00000000-0005-0000-0000-00005B250000}"/>
    <cellStyle name="Финансовый 8 2 2 3 2 3 3" xfId="9563" xr:uid="{00000000-0005-0000-0000-00005C250000}"/>
    <cellStyle name="Финансовый 8 2 2 3 2 3 3 2" xfId="9564" xr:uid="{00000000-0005-0000-0000-00005D250000}"/>
    <cellStyle name="Финансовый 8 2 2 3 2 3 4" xfId="9565" xr:uid="{00000000-0005-0000-0000-00005E250000}"/>
    <cellStyle name="Финансовый 8 2 2 3 2 4" xfId="9566" xr:uid="{00000000-0005-0000-0000-00005F250000}"/>
    <cellStyle name="Финансовый 8 2 2 3 2 4 2" xfId="9567" xr:uid="{00000000-0005-0000-0000-000060250000}"/>
    <cellStyle name="Финансовый 8 2 2 3 2 4 2 2" xfId="9568" xr:uid="{00000000-0005-0000-0000-000061250000}"/>
    <cellStyle name="Финансовый 8 2 2 3 2 4 3" xfId="9569" xr:uid="{00000000-0005-0000-0000-000062250000}"/>
    <cellStyle name="Финансовый 8 2 2 3 2 5" xfId="9570" xr:uid="{00000000-0005-0000-0000-000063250000}"/>
    <cellStyle name="Финансовый 8 2 2 3 2 5 2" xfId="9571" xr:uid="{00000000-0005-0000-0000-000064250000}"/>
    <cellStyle name="Финансовый 8 2 2 3 2 6" xfId="9572" xr:uid="{00000000-0005-0000-0000-000065250000}"/>
    <cellStyle name="Финансовый 8 2 2 3 3" xfId="9573" xr:uid="{00000000-0005-0000-0000-000066250000}"/>
    <cellStyle name="Финансовый 8 2 2 3 3 2" xfId="9574" xr:uid="{00000000-0005-0000-0000-000067250000}"/>
    <cellStyle name="Финансовый 8 2 2 3 3 2 2" xfId="9575" xr:uid="{00000000-0005-0000-0000-000068250000}"/>
    <cellStyle name="Финансовый 8 2 2 3 3 2 2 2" xfId="9576" xr:uid="{00000000-0005-0000-0000-000069250000}"/>
    <cellStyle name="Финансовый 8 2 2 3 3 2 2 2 2" xfId="9577" xr:uid="{00000000-0005-0000-0000-00006A250000}"/>
    <cellStyle name="Финансовый 8 2 2 3 3 2 2 3" xfId="9578" xr:uid="{00000000-0005-0000-0000-00006B250000}"/>
    <cellStyle name="Финансовый 8 2 2 3 3 2 3" xfId="9579" xr:uid="{00000000-0005-0000-0000-00006C250000}"/>
    <cellStyle name="Финансовый 8 2 2 3 3 2 3 2" xfId="9580" xr:uid="{00000000-0005-0000-0000-00006D250000}"/>
    <cellStyle name="Финансовый 8 2 2 3 3 2 4" xfId="9581" xr:uid="{00000000-0005-0000-0000-00006E250000}"/>
    <cellStyle name="Финансовый 8 2 2 3 3 3" xfId="9582" xr:uid="{00000000-0005-0000-0000-00006F250000}"/>
    <cellStyle name="Финансовый 8 2 2 3 3 3 2" xfId="9583" xr:uid="{00000000-0005-0000-0000-000070250000}"/>
    <cellStyle name="Финансовый 8 2 2 3 3 3 2 2" xfId="9584" xr:uid="{00000000-0005-0000-0000-000071250000}"/>
    <cellStyle name="Финансовый 8 2 2 3 3 3 3" xfId="9585" xr:uid="{00000000-0005-0000-0000-000072250000}"/>
    <cellStyle name="Финансовый 8 2 2 3 3 4" xfId="9586" xr:uid="{00000000-0005-0000-0000-000073250000}"/>
    <cellStyle name="Финансовый 8 2 2 3 3 4 2" xfId="9587" xr:uid="{00000000-0005-0000-0000-000074250000}"/>
    <cellStyle name="Финансовый 8 2 2 3 3 5" xfId="9588" xr:uid="{00000000-0005-0000-0000-000075250000}"/>
    <cellStyle name="Финансовый 8 2 2 3 4" xfId="9589" xr:uid="{00000000-0005-0000-0000-000076250000}"/>
    <cellStyle name="Финансовый 8 2 2 3 4 2" xfId="9590" xr:uid="{00000000-0005-0000-0000-000077250000}"/>
    <cellStyle name="Финансовый 8 2 2 3 4 2 2" xfId="9591" xr:uid="{00000000-0005-0000-0000-000078250000}"/>
    <cellStyle name="Финансовый 8 2 2 3 4 2 2 2" xfId="9592" xr:uid="{00000000-0005-0000-0000-000079250000}"/>
    <cellStyle name="Финансовый 8 2 2 3 4 2 3" xfId="9593" xr:uid="{00000000-0005-0000-0000-00007A250000}"/>
    <cellStyle name="Финансовый 8 2 2 3 4 3" xfId="9594" xr:uid="{00000000-0005-0000-0000-00007B250000}"/>
    <cellStyle name="Финансовый 8 2 2 3 4 3 2" xfId="9595" xr:uid="{00000000-0005-0000-0000-00007C250000}"/>
    <cellStyle name="Финансовый 8 2 2 3 4 4" xfId="9596" xr:uid="{00000000-0005-0000-0000-00007D250000}"/>
    <cellStyle name="Финансовый 8 2 2 3 5" xfId="9597" xr:uid="{00000000-0005-0000-0000-00007E250000}"/>
    <cellStyle name="Финансовый 8 2 2 3 5 2" xfId="9598" xr:uid="{00000000-0005-0000-0000-00007F250000}"/>
    <cellStyle name="Финансовый 8 2 2 3 5 2 2" xfId="9599" xr:uid="{00000000-0005-0000-0000-000080250000}"/>
    <cellStyle name="Финансовый 8 2 2 3 5 3" xfId="9600" xr:uid="{00000000-0005-0000-0000-000081250000}"/>
    <cellStyle name="Финансовый 8 2 2 3 6" xfId="9601" xr:uid="{00000000-0005-0000-0000-000082250000}"/>
    <cellStyle name="Финансовый 8 2 2 3 6 2" xfId="9602" xr:uid="{00000000-0005-0000-0000-000083250000}"/>
    <cellStyle name="Финансовый 8 2 2 3 7" xfId="9603" xr:uid="{00000000-0005-0000-0000-000084250000}"/>
    <cellStyle name="Финансовый 8 2 2 4" xfId="9604" xr:uid="{00000000-0005-0000-0000-000085250000}"/>
    <cellStyle name="Финансовый 8 2 2 4 2" xfId="9605" xr:uid="{00000000-0005-0000-0000-000086250000}"/>
    <cellStyle name="Финансовый 8 2 2 4 2 2" xfId="9606" xr:uid="{00000000-0005-0000-0000-000087250000}"/>
    <cellStyle name="Финансовый 8 2 2 4 2 2 2" xfId="9607" xr:uid="{00000000-0005-0000-0000-000088250000}"/>
    <cellStyle name="Финансовый 8 2 2 4 2 2 2 2" xfId="9608" xr:uid="{00000000-0005-0000-0000-000089250000}"/>
    <cellStyle name="Финансовый 8 2 2 4 2 2 2 2 2" xfId="9609" xr:uid="{00000000-0005-0000-0000-00008A250000}"/>
    <cellStyle name="Финансовый 8 2 2 4 2 2 2 3" xfId="9610" xr:uid="{00000000-0005-0000-0000-00008B250000}"/>
    <cellStyle name="Финансовый 8 2 2 4 2 2 3" xfId="9611" xr:uid="{00000000-0005-0000-0000-00008C250000}"/>
    <cellStyle name="Финансовый 8 2 2 4 2 2 3 2" xfId="9612" xr:uid="{00000000-0005-0000-0000-00008D250000}"/>
    <cellStyle name="Финансовый 8 2 2 4 2 2 4" xfId="9613" xr:uid="{00000000-0005-0000-0000-00008E250000}"/>
    <cellStyle name="Финансовый 8 2 2 4 2 3" xfId="9614" xr:uid="{00000000-0005-0000-0000-00008F250000}"/>
    <cellStyle name="Финансовый 8 2 2 4 2 3 2" xfId="9615" xr:uid="{00000000-0005-0000-0000-000090250000}"/>
    <cellStyle name="Финансовый 8 2 2 4 2 3 2 2" xfId="9616" xr:uid="{00000000-0005-0000-0000-000091250000}"/>
    <cellStyle name="Финансовый 8 2 2 4 2 3 3" xfId="9617" xr:uid="{00000000-0005-0000-0000-000092250000}"/>
    <cellStyle name="Финансовый 8 2 2 4 2 4" xfId="9618" xr:uid="{00000000-0005-0000-0000-000093250000}"/>
    <cellStyle name="Финансовый 8 2 2 4 2 4 2" xfId="9619" xr:uid="{00000000-0005-0000-0000-000094250000}"/>
    <cellStyle name="Финансовый 8 2 2 4 2 5" xfId="9620" xr:uid="{00000000-0005-0000-0000-000095250000}"/>
    <cellStyle name="Финансовый 8 2 2 4 3" xfId="9621" xr:uid="{00000000-0005-0000-0000-000096250000}"/>
    <cellStyle name="Финансовый 8 2 2 4 3 2" xfId="9622" xr:uid="{00000000-0005-0000-0000-000097250000}"/>
    <cellStyle name="Финансовый 8 2 2 4 3 2 2" xfId="9623" xr:uid="{00000000-0005-0000-0000-000098250000}"/>
    <cellStyle name="Финансовый 8 2 2 4 3 2 2 2" xfId="9624" xr:uid="{00000000-0005-0000-0000-000099250000}"/>
    <cellStyle name="Финансовый 8 2 2 4 3 2 3" xfId="9625" xr:uid="{00000000-0005-0000-0000-00009A250000}"/>
    <cellStyle name="Финансовый 8 2 2 4 3 3" xfId="9626" xr:uid="{00000000-0005-0000-0000-00009B250000}"/>
    <cellStyle name="Финансовый 8 2 2 4 3 3 2" xfId="9627" xr:uid="{00000000-0005-0000-0000-00009C250000}"/>
    <cellStyle name="Финансовый 8 2 2 4 3 4" xfId="9628" xr:uid="{00000000-0005-0000-0000-00009D250000}"/>
    <cellStyle name="Финансовый 8 2 2 4 4" xfId="9629" xr:uid="{00000000-0005-0000-0000-00009E250000}"/>
    <cellStyle name="Финансовый 8 2 2 4 4 2" xfId="9630" xr:uid="{00000000-0005-0000-0000-00009F250000}"/>
    <cellStyle name="Финансовый 8 2 2 4 4 2 2" xfId="9631" xr:uid="{00000000-0005-0000-0000-0000A0250000}"/>
    <cellStyle name="Финансовый 8 2 2 4 4 3" xfId="9632" xr:uid="{00000000-0005-0000-0000-0000A1250000}"/>
    <cellStyle name="Финансовый 8 2 2 4 5" xfId="9633" xr:uid="{00000000-0005-0000-0000-0000A2250000}"/>
    <cellStyle name="Финансовый 8 2 2 4 5 2" xfId="9634" xr:uid="{00000000-0005-0000-0000-0000A3250000}"/>
    <cellStyle name="Финансовый 8 2 2 4 6" xfId="9635" xr:uid="{00000000-0005-0000-0000-0000A4250000}"/>
    <cellStyle name="Финансовый 8 2 2 5" xfId="9636" xr:uid="{00000000-0005-0000-0000-0000A5250000}"/>
    <cellStyle name="Финансовый 8 2 2 5 2" xfId="9637" xr:uid="{00000000-0005-0000-0000-0000A6250000}"/>
    <cellStyle name="Финансовый 8 2 2 5 2 2" xfId="9638" xr:uid="{00000000-0005-0000-0000-0000A7250000}"/>
    <cellStyle name="Финансовый 8 2 2 5 2 2 2" xfId="9639" xr:uid="{00000000-0005-0000-0000-0000A8250000}"/>
    <cellStyle name="Финансовый 8 2 2 5 2 2 2 2" xfId="9640" xr:uid="{00000000-0005-0000-0000-0000A9250000}"/>
    <cellStyle name="Финансовый 8 2 2 5 2 2 3" xfId="9641" xr:uid="{00000000-0005-0000-0000-0000AA250000}"/>
    <cellStyle name="Финансовый 8 2 2 5 2 3" xfId="9642" xr:uid="{00000000-0005-0000-0000-0000AB250000}"/>
    <cellStyle name="Финансовый 8 2 2 5 2 3 2" xfId="9643" xr:uid="{00000000-0005-0000-0000-0000AC250000}"/>
    <cellStyle name="Финансовый 8 2 2 5 2 4" xfId="9644" xr:uid="{00000000-0005-0000-0000-0000AD250000}"/>
    <cellStyle name="Финансовый 8 2 2 5 3" xfId="9645" xr:uid="{00000000-0005-0000-0000-0000AE250000}"/>
    <cellStyle name="Финансовый 8 2 2 5 3 2" xfId="9646" xr:uid="{00000000-0005-0000-0000-0000AF250000}"/>
    <cellStyle name="Финансовый 8 2 2 5 3 2 2" xfId="9647" xr:uid="{00000000-0005-0000-0000-0000B0250000}"/>
    <cellStyle name="Финансовый 8 2 2 5 3 3" xfId="9648" xr:uid="{00000000-0005-0000-0000-0000B1250000}"/>
    <cellStyle name="Финансовый 8 2 2 5 4" xfId="9649" xr:uid="{00000000-0005-0000-0000-0000B2250000}"/>
    <cellStyle name="Финансовый 8 2 2 5 4 2" xfId="9650" xr:uid="{00000000-0005-0000-0000-0000B3250000}"/>
    <cellStyle name="Финансовый 8 2 2 5 5" xfId="9651" xr:uid="{00000000-0005-0000-0000-0000B4250000}"/>
    <cellStyle name="Финансовый 8 2 2 6" xfId="9652" xr:uid="{00000000-0005-0000-0000-0000B5250000}"/>
    <cellStyle name="Финансовый 8 2 2 6 2" xfId="9653" xr:uid="{00000000-0005-0000-0000-0000B6250000}"/>
    <cellStyle name="Финансовый 8 2 2 6 2 2" xfId="9654" xr:uid="{00000000-0005-0000-0000-0000B7250000}"/>
    <cellStyle name="Финансовый 8 2 2 6 2 2 2" xfId="9655" xr:uid="{00000000-0005-0000-0000-0000B8250000}"/>
    <cellStyle name="Финансовый 8 2 2 6 2 3" xfId="9656" xr:uid="{00000000-0005-0000-0000-0000B9250000}"/>
    <cellStyle name="Финансовый 8 2 2 6 3" xfId="9657" xr:uid="{00000000-0005-0000-0000-0000BA250000}"/>
    <cellStyle name="Финансовый 8 2 2 6 3 2" xfId="9658" xr:uid="{00000000-0005-0000-0000-0000BB250000}"/>
    <cellStyle name="Финансовый 8 2 2 6 4" xfId="9659" xr:uid="{00000000-0005-0000-0000-0000BC250000}"/>
    <cellStyle name="Финансовый 8 2 2 7" xfId="9660" xr:uid="{00000000-0005-0000-0000-0000BD250000}"/>
    <cellStyle name="Финансовый 8 2 2 7 2" xfId="9661" xr:uid="{00000000-0005-0000-0000-0000BE250000}"/>
    <cellStyle name="Финансовый 8 2 2 7 2 2" xfId="9662" xr:uid="{00000000-0005-0000-0000-0000BF250000}"/>
    <cellStyle name="Финансовый 8 2 2 7 3" xfId="9663" xr:uid="{00000000-0005-0000-0000-0000C0250000}"/>
    <cellStyle name="Финансовый 8 2 2 8" xfId="9664" xr:uid="{00000000-0005-0000-0000-0000C1250000}"/>
    <cellStyle name="Финансовый 8 2 2 8 2" xfId="9665" xr:uid="{00000000-0005-0000-0000-0000C2250000}"/>
    <cellStyle name="Финансовый 8 2 2 9" xfId="9666" xr:uid="{00000000-0005-0000-0000-0000C3250000}"/>
    <cellStyle name="Финансовый 8 2 3" xfId="9667" xr:uid="{00000000-0005-0000-0000-0000C4250000}"/>
    <cellStyle name="Финансовый 8 2 3 2" xfId="9668" xr:uid="{00000000-0005-0000-0000-0000C5250000}"/>
    <cellStyle name="Финансовый 8 2 3 2 2" xfId="9669" xr:uid="{00000000-0005-0000-0000-0000C6250000}"/>
    <cellStyle name="Финансовый 8 2 3 2 2 2" xfId="9670" xr:uid="{00000000-0005-0000-0000-0000C7250000}"/>
    <cellStyle name="Финансовый 8 2 3 2 2 2 2" xfId="9671" xr:uid="{00000000-0005-0000-0000-0000C8250000}"/>
    <cellStyle name="Финансовый 8 2 3 2 2 2 2 2" xfId="9672" xr:uid="{00000000-0005-0000-0000-0000C9250000}"/>
    <cellStyle name="Финансовый 8 2 3 2 2 2 2 2 2" xfId="9673" xr:uid="{00000000-0005-0000-0000-0000CA250000}"/>
    <cellStyle name="Финансовый 8 2 3 2 2 2 2 2 2 2" xfId="9674" xr:uid="{00000000-0005-0000-0000-0000CB250000}"/>
    <cellStyle name="Финансовый 8 2 3 2 2 2 2 2 3" xfId="9675" xr:uid="{00000000-0005-0000-0000-0000CC250000}"/>
    <cellStyle name="Финансовый 8 2 3 2 2 2 2 3" xfId="9676" xr:uid="{00000000-0005-0000-0000-0000CD250000}"/>
    <cellStyle name="Финансовый 8 2 3 2 2 2 2 3 2" xfId="9677" xr:uid="{00000000-0005-0000-0000-0000CE250000}"/>
    <cellStyle name="Финансовый 8 2 3 2 2 2 2 4" xfId="9678" xr:uid="{00000000-0005-0000-0000-0000CF250000}"/>
    <cellStyle name="Финансовый 8 2 3 2 2 2 3" xfId="9679" xr:uid="{00000000-0005-0000-0000-0000D0250000}"/>
    <cellStyle name="Финансовый 8 2 3 2 2 2 3 2" xfId="9680" xr:uid="{00000000-0005-0000-0000-0000D1250000}"/>
    <cellStyle name="Финансовый 8 2 3 2 2 2 3 2 2" xfId="9681" xr:uid="{00000000-0005-0000-0000-0000D2250000}"/>
    <cellStyle name="Финансовый 8 2 3 2 2 2 3 3" xfId="9682" xr:uid="{00000000-0005-0000-0000-0000D3250000}"/>
    <cellStyle name="Финансовый 8 2 3 2 2 2 4" xfId="9683" xr:uid="{00000000-0005-0000-0000-0000D4250000}"/>
    <cellStyle name="Финансовый 8 2 3 2 2 2 4 2" xfId="9684" xr:uid="{00000000-0005-0000-0000-0000D5250000}"/>
    <cellStyle name="Финансовый 8 2 3 2 2 2 5" xfId="9685" xr:uid="{00000000-0005-0000-0000-0000D6250000}"/>
    <cellStyle name="Финансовый 8 2 3 2 2 3" xfId="9686" xr:uid="{00000000-0005-0000-0000-0000D7250000}"/>
    <cellStyle name="Финансовый 8 2 3 2 2 3 2" xfId="9687" xr:uid="{00000000-0005-0000-0000-0000D8250000}"/>
    <cellStyle name="Финансовый 8 2 3 2 2 3 2 2" xfId="9688" xr:uid="{00000000-0005-0000-0000-0000D9250000}"/>
    <cellStyle name="Финансовый 8 2 3 2 2 3 2 2 2" xfId="9689" xr:uid="{00000000-0005-0000-0000-0000DA250000}"/>
    <cellStyle name="Финансовый 8 2 3 2 2 3 2 3" xfId="9690" xr:uid="{00000000-0005-0000-0000-0000DB250000}"/>
    <cellStyle name="Финансовый 8 2 3 2 2 3 3" xfId="9691" xr:uid="{00000000-0005-0000-0000-0000DC250000}"/>
    <cellStyle name="Финансовый 8 2 3 2 2 3 3 2" xfId="9692" xr:uid="{00000000-0005-0000-0000-0000DD250000}"/>
    <cellStyle name="Финансовый 8 2 3 2 2 3 4" xfId="9693" xr:uid="{00000000-0005-0000-0000-0000DE250000}"/>
    <cellStyle name="Финансовый 8 2 3 2 2 4" xfId="9694" xr:uid="{00000000-0005-0000-0000-0000DF250000}"/>
    <cellStyle name="Финансовый 8 2 3 2 2 4 2" xfId="9695" xr:uid="{00000000-0005-0000-0000-0000E0250000}"/>
    <cellStyle name="Финансовый 8 2 3 2 2 4 2 2" xfId="9696" xr:uid="{00000000-0005-0000-0000-0000E1250000}"/>
    <cellStyle name="Финансовый 8 2 3 2 2 4 3" xfId="9697" xr:uid="{00000000-0005-0000-0000-0000E2250000}"/>
    <cellStyle name="Финансовый 8 2 3 2 2 5" xfId="9698" xr:uid="{00000000-0005-0000-0000-0000E3250000}"/>
    <cellStyle name="Финансовый 8 2 3 2 2 5 2" xfId="9699" xr:uid="{00000000-0005-0000-0000-0000E4250000}"/>
    <cellStyle name="Финансовый 8 2 3 2 2 6" xfId="9700" xr:uid="{00000000-0005-0000-0000-0000E5250000}"/>
    <cellStyle name="Финансовый 8 2 3 2 3" xfId="9701" xr:uid="{00000000-0005-0000-0000-0000E6250000}"/>
    <cellStyle name="Финансовый 8 2 3 2 3 2" xfId="9702" xr:uid="{00000000-0005-0000-0000-0000E7250000}"/>
    <cellStyle name="Финансовый 8 2 3 2 3 2 2" xfId="9703" xr:uid="{00000000-0005-0000-0000-0000E8250000}"/>
    <cellStyle name="Финансовый 8 2 3 2 3 2 2 2" xfId="9704" xr:uid="{00000000-0005-0000-0000-0000E9250000}"/>
    <cellStyle name="Финансовый 8 2 3 2 3 2 2 2 2" xfId="9705" xr:uid="{00000000-0005-0000-0000-0000EA250000}"/>
    <cellStyle name="Финансовый 8 2 3 2 3 2 2 3" xfId="9706" xr:uid="{00000000-0005-0000-0000-0000EB250000}"/>
    <cellStyle name="Финансовый 8 2 3 2 3 2 3" xfId="9707" xr:uid="{00000000-0005-0000-0000-0000EC250000}"/>
    <cellStyle name="Финансовый 8 2 3 2 3 2 3 2" xfId="9708" xr:uid="{00000000-0005-0000-0000-0000ED250000}"/>
    <cellStyle name="Финансовый 8 2 3 2 3 2 4" xfId="9709" xr:uid="{00000000-0005-0000-0000-0000EE250000}"/>
    <cellStyle name="Финансовый 8 2 3 2 3 3" xfId="9710" xr:uid="{00000000-0005-0000-0000-0000EF250000}"/>
    <cellStyle name="Финансовый 8 2 3 2 3 3 2" xfId="9711" xr:uid="{00000000-0005-0000-0000-0000F0250000}"/>
    <cellStyle name="Финансовый 8 2 3 2 3 3 2 2" xfId="9712" xr:uid="{00000000-0005-0000-0000-0000F1250000}"/>
    <cellStyle name="Финансовый 8 2 3 2 3 3 3" xfId="9713" xr:uid="{00000000-0005-0000-0000-0000F2250000}"/>
    <cellStyle name="Финансовый 8 2 3 2 3 4" xfId="9714" xr:uid="{00000000-0005-0000-0000-0000F3250000}"/>
    <cellStyle name="Финансовый 8 2 3 2 3 4 2" xfId="9715" xr:uid="{00000000-0005-0000-0000-0000F4250000}"/>
    <cellStyle name="Финансовый 8 2 3 2 3 5" xfId="9716" xr:uid="{00000000-0005-0000-0000-0000F5250000}"/>
    <cellStyle name="Финансовый 8 2 3 2 4" xfId="9717" xr:uid="{00000000-0005-0000-0000-0000F6250000}"/>
    <cellStyle name="Финансовый 8 2 3 2 4 2" xfId="9718" xr:uid="{00000000-0005-0000-0000-0000F7250000}"/>
    <cellStyle name="Финансовый 8 2 3 2 4 2 2" xfId="9719" xr:uid="{00000000-0005-0000-0000-0000F8250000}"/>
    <cellStyle name="Финансовый 8 2 3 2 4 2 2 2" xfId="9720" xr:uid="{00000000-0005-0000-0000-0000F9250000}"/>
    <cellStyle name="Финансовый 8 2 3 2 4 2 3" xfId="9721" xr:uid="{00000000-0005-0000-0000-0000FA250000}"/>
    <cellStyle name="Финансовый 8 2 3 2 4 3" xfId="9722" xr:uid="{00000000-0005-0000-0000-0000FB250000}"/>
    <cellStyle name="Финансовый 8 2 3 2 4 3 2" xfId="9723" xr:uid="{00000000-0005-0000-0000-0000FC250000}"/>
    <cellStyle name="Финансовый 8 2 3 2 4 4" xfId="9724" xr:uid="{00000000-0005-0000-0000-0000FD250000}"/>
    <cellStyle name="Финансовый 8 2 3 2 5" xfId="9725" xr:uid="{00000000-0005-0000-0000-0000FE250000}"/>
    <cellStyle name="Финансовый 8 2 3 2 5 2" xfId="9726" xr:uid="{00000000-0005-0000-0000-0000FF250000}"/>
    <cellStyle name="Финансовый 8 2 3 2 5 2 2" xfId="9727" xr:uid="{00000000-0005-0000-0000-000000260000}"/>
    <cellStyle name="Финансовый 8 2 3 2 5 3" xfId="9728" xr:uid="{00000000-0005-0000-0000-000001260000}"/>
    <cellStyle name="Финансовый 8 2 3 2 6" xfId="9729" xr:uid="{00000000-0005-0000-0000-000002260000}"/>
    <cellStyle name="Финансовый 8 2 3 2 6 2" xfId="9730" xr:uid="{00000000-0005-0000-0000-000003260000}"/>
    <cellStyle name="Финансовый 8 2 3 2 7" xfId="9731" xr:uid="{00000000-0005-0000-0000-000004260000}"/>
    <cellStyle name="Финансовый 8 2 3 3" xfId="9732" xr:uid="{00000000-0005-0000-0000-000005260000}"/>
    <cellStyle name="Финансовый 8 2 3 3 2" xfId="9733" xr:uid="{00000000-0005-0000-0000-000006260000}"/>
    <cellStyle name="Финансовый 8 2 3 3 2 2" xfId="9734" xr:uid="{00000000-0005-0000-0000-000007260000}"/>
    <cellStyle name="Финансовый 8 2 3 3 2 2 2" xfId="9735" xr:uid="{00000000-0005-0000-0000-000008260000}"/>
    <cellStyle name="Финансовый 8 2 3 3 2 2 2 2" xfId="9736" xr:uid="{00000000-0005-0000-0000-000009260000}"/>
    <cellStyle name="Финансовый 8 2 3 3 2 2 2 2 2" xfId="9737" xr:uid="{00000000-0005-0000-0000-00000A260000}"/>
    <cellStyle name="Финансовый 8 2 3 3 2 2 2 3" xfId="9738" xr:uid="{00000000-0005-0000-0000-00000B260000}"/>
    <cellStyle name="Финансовый 8 2 3 3 2 2 3" xfId="9739" xr:uid="{00000000-0005-0000-0000-00000C260000}"/>
    <cellStyle name="Финансовый 8 2 3 3 2 2 3 2" xfId="9740" xr:uid="{00000000-0005-0000-0000-00000D260000}"/>
    <cellStyle name="Финансовый 8 2 3 3 2 2 4" xfId="9741" xr:uid="{00000000-0005-0000-0000-00000E260000}"/>
    <cellStyle name="Финансовый 8 2 3 3 2 3" xfId="9742" xr:uid="{00000000-0005-0000-0000-00000F260000}"/>
    <cellStyle name="Финансовый 8 2 3 3 2 3 2" xfId="9743" xr:uid="{00000000-0005-0000-0000-000010260000}"/>
    <cellStyle name="Финансовый 8 2 3 3 2 3 2 2" xfId="9744" xr:uid="{00000000-0005-0000-0000-000011260000}"/>
    <cellStyle name="Финансовый 8 2 3 3 2 3 3" xfId="9745" xr:uid="{00000000-0005-0000-0000-000012260000}"/>
    <cellStyle name="Финансовый 8 2 3 3 2 4" xfId="9746" xr:uid="{00000000-0005-0000-0000-000013260000}"/>
    <cellStyle name="Финансовый 8 2 3 3 2 4 2" xfId="9747" xr:uid="{00000000-0005-0000-0000-000014260000}"/>
    <cellStyle name="Финансовый 8 2 3 3 2 5" xfId="9748" xr:uid="{00000000-0005-0000-0000-000015260000}"/>
    <cellStyle name="Финансовый 8 2 3 3 3" xfId="9749" xr:uid="{00000000-0005-0000-0000-000016260000}"/>
    <cellStyle name="Финансовый 8 2 3 3 3 2" xfId="9750" xr:uid="{00000000-0005-0000-0000-000017260000}"/>
    <cellStyle name="Финансовый 8 2 3 3 3 2 2" xfId="9751" xr:uid="{00000000-0005-0000-0000-000018260000}"/>
    <cellStyle name="Финансовый 8 2 3 3 3 2 2 2" xfId="9752" xr:uid="{00000000-0005-0000-0000-000019260000}"/>
    <cellStyle name="Финансовый 8 2 3 3 3 2 3" xfId="9753" xr:uid="{00000000-0005-0000-0000-00001A260000}"/>
    <cellStyle name="Финансовый 8 2 3 3 3 3" xfId="9754" xr:uid="{00000000-0005-0000-0000-00001B260000}"/>
    <cellStyle name="Финансовый 8 2 3 3 3 3 2" xfId="9755" xr:uid="{00000000-0005-0000-0000-00001C260000}"/>
    <cellStyle name="Финансовый 8 2 3 3 3 4" xfId="9756" xr:uid="{00000000-0005-0000-0000-00001D260000}"/>
    <cellStyle name="Финансовый 8 2 3 3 4" xfId="9757" xr:uid="{00000000-0005-0000-0000-00001E260000}"/>
    <cellStyle name="Финансовый 8 2 3 3 4 2" xfId="9758" xr:uid="{00000000-0005-0000-0000-00001F260000}"/>
    <cellStyle name="Финансовый 8 2 3 3 4 2 2" xfId="9759" xr:uid="{00000000-0005-0000-0000-000020260000}"/>
    <cellStyle name="Финансовый 8 2 3 3 4 3" xfId="9760" xr:uid="{00000000-0005-0000-0000-000021260000}"/>
    <cellStyle name="Финансовый 8 2 3 3 5" xfId="9761" xr:uid="{00000000-0005-0000-0000-000022260000}"/>
    <cellStyle name="Финансовый 8 2 3 3 5 2" xfId="9762" xr:uid="{00000000-0005-0000-0000-000023260000}"/>
    <cellStyle name="Финансовый 8 2 3 3 6" xfId="9763" xr:uid="{00000000-0005-0000-0000-000024260000}"/>
    <cellStyle name="Финансовый 8 2 3 4" xfId="9764" xr:uid="{00000000-0005-0000-0000-000025260000}"/>
    <cellStyle name="Финансовый 8 2 3 4 2" xfId="9765" xr:uid="{00000000-0005-0000-0000-000026260000}"/>
    <cellStyle name="Финансовый 8 2 3 4 2 2" xfId="9766" xr:uid="{00000000-0005-0000-0000-000027260000}"/>
    <cellStyle name="Финансовый 8 2 3 4 2 2 2" xfId="9767" xr:uid="{00000000-0005-0000-0000-000028260000}"/>
    <cellStyle name="Финансовый 8 2 3 4 2 2 2 2" xfId="9768" xr:uid="{00000000-0005-0000-0000-000029260000}"/>
    <cellStyle name="Финансовый 8 2 3 4 2 2 3" xfId="9769" xr:uid="{00000000-0005-0000-0000-00002A260000}"/>
    <cellStyle name="Финансовый 8 2 3 4 2 3" xfId="9770" xr:uid="{00000000-0005-0000-0000-00002B260000}"/>
    <cellStyle name="Финансовый 8 2 3 4 2 3 2" xfId="9771" xr:uid="{00000000-0005-0000-0000-00002C260000}"/>
    <cellStyle name="Финансовый 8 2 3 4 2 4" xfId="9772" xr:uid="{00000000-0005-0000-0000-00002D260000}"/>
    <cellStyle name="Финансовый 8 2 3 4 3" xfId="9773" xr:uid="{00000000-0005-0000-0000-00002E260000}"/>
    <cellStyle name="Финансовый 8 2 3 4 3 2" xfId="9774" xr:uid="{00000000-0005-0000-0000-00002F260000}"/>
    <cellStyle name="Финансовый 8 2 3 4 3 2 2" xfId="9775" xr:uid="{00000000-0005-0000-0000-000030260000}"/>
    <cellStyle name="Финансовый 8 2 3 4 3 3" xfId="9776" xr:uid="{00000000-0005-0000-0000-000031260000}"/>
    <cellStyle name="Финансовый 8 2 3 4 4" xfId="9777" xr:uid="{00000000-0005-0000-0000-000032260000}"/>
    <cellStyle name="Финансовый 8 2 3 4 4 2" xfId="9778" xr:uid="{00000000-0005-0000-0000-000033260000}"/>
    <cellStyle name="Финансовый 8 2 3 4 5" xfId="9779" xr:uid="{00000000-0005-0000-0000-000034260000}"/>
    <cellStyle name="Финансовый 8 2 3 5" xfId="9780" xr:uid="{00000000-0005-0000-0000-000035260000}"/>
    <cellStyle name="Финансовый 8 2 3 5 2" xfId="9781" xr:uid="{00000000-0005-0000-0000-000036260000}"/>
    <cellStyle name="Финансовый 8 2 3 5 2 2" xfId="9782" xr:uid="{00000000-0005-0000-0000-000037260000}"/>
    <cellStyle name="Финансовый 8 2 3 5 2 2 2" xfId="9783" xr:uid="{00000000-0005-0000-0000-000038260000}"/>
    <cellStyle name="Финансовый 8 2 3 5 2 3" xfId="9784" xr:uid="{00000000-0005-0000-0000-000039260000}"/>
    <cellStyle name="Финансовый 8 2 3 5 3" xfId="9785" xr:uid="{00000000-0005-0000-0000-00003A260000}"/>
    <cellStyle name="Финансовый 8 2 3 5 3 2" xfId="9786" xr:uid="{00000000-0005-0000-0000-00003B260000}"/>
    <cellStyle name="Финансовый 8 2 3 5 4" xfId="9787" xr:uid="{00000000-0005-0000-0000-00003C260000}"/>
    <cellStyle name="Финансовый 8 2 3 6" xfId="9788" xr:uid="{00000000-0005-0000-0000-00003D260000}"/>
    <cellStyle name="Финансовый 8 2 3 6 2" xfId="9789" xr:uid="{00000000-0005-0000-0000-00003E260000}"/>
    <cellStyle name="Финансовый 8 2 3 6 2 2" xfId="9790" xr:uid="{00000000-0005-0000-0000-00003F260000}"/>
    <cellStyle name="Финансовый 8 2 3 6 3" xfId="9791" xr:uid="{00000000-0005-0000-0000-000040260000}"/>
    <cellStyle name="Финансовый 8 2 3 7" xfId="9792" xr:uid="{00000000-0005-0000-0000-000041260000}"/>
    <cellStyle name="Финансовый 8 2 3 7 2" xfId="9793" xr:uid="{00000000-0005-0000-0000-000042260000}"/>
    <cellStyle name="Финансовый 8 2 3 8" xfId="9794" xr:uid="{00000000-0005-0000-0000-000043260000}"/>
    <cellStyle name="Финансовый 8 2 4" xfId="9795" xr:uid="{00000000-0005-0000-0000-000044260000}"/>
    <cellStyle name="Финансовый 8 2 4 2" xfId="9796" xr:uid="{00000000-0005-0000-0000-000045260000}"/>
    <cellStyle name="Финансовый 8 2 4 2 2" xfId="9797" xr:uid="{00000000-0005-0000-0000-000046260000}"/>
    <cellStyle name="Финансовый 8 2 4 2 2 2" xfId="9798" xr:uid="{00000000-0005-0000-0000-000047260000}"/>
    <cellStyle name="Финансовый 8 2 4 2 2 2 2" xfId="9799" xr:uid="{00000000-0005-0000-0000-000048260000}"/>
    <cellStyle name="Финансовый 8 2 4 2 2 2 2 2" xfId="9800" xr:uid="{00000000-0005-0000-0000-000049260000}"/>
    <cellStyle name="Финансовый 8 2 4 2 2 2 2 2 2" xfId="9801" xr:uid="{00000000-0005-0000-0000-00004A260000}"/>
    <cellStyle name="Финансовый 8 2 4 2 2 2 2 3" xfId="9802" xr:uid="{00000000-0005-0000-0000-00004B260000}"/>
    <cellStyle name="Финансовый 8 2 4 2 2 2 3" xfId="9803" xr:uid="{00000000-0005-0000-0000-00004C260000}"/>
    <cellStyle name="Финансовый 8 2 4 2 2 2 3 2" xfId="9804" xr:uid="{00000000-0005-0000-0000-00004D260000}"/>
    <cellStyle name="Финансовый 8 2 4 2 2 2 4" xfId="9805" xr:uid="{00000000-0005-0000-0000-00004E260000}"/>
    <cellStyle name="Финансовый 8 2 4 2 2 3" xfId="9806" xr:uid="{00000000-0005-0000-0000-00004F260000}"/>
    <cellStyle name="Финансовый 8 2 4 2 2 3 2" xfId="9807" xr:uid="{00000000-0005-0000-0000-000050260000}"/>
    <cellStyle name="Финансовый 8 2 4 2 2 3 2 2" xfId="9808" xr:uid="{00000000-0005-0000-0000-000051260000}"/>
    <cellStyle name="Финансовый 8 2 4 2 2 3 3" xfId="9809" xr:uid="{00000000-0005-0000-0000-000052260000}"/>
    <cellStyle name="Финансовый 8 2 4 2 2 4" xfId="9810" xr:uid="{00000000-0005-0000-0000-000053260000}"/>
    <cellStyle name="Финансовый 8 2 4 2 2 4 2" xfId="9811" xr:uid="{00000000-0005-0000-0000-000054260000}"/>
    <cellStyle name="Финансовый 8 2 4 2 2 5" xfId="9812" xr:uid="{00000000-0005-0000-0000-000055260000}"/>
    <cellStyle name="Финансовый 8 2 4 2 3" xfId="9813" xr:uid="{00000000-0005-0000-0000-000056260000}"/>
    <cellStyle name="Финансовый 8 2 4 2 3 2" xfId="9814" xr:uid="{00000000-0005-0000-0000-000057260000}"/>
    <cellStyle name="Финансовый 8 2 4 2 3 2 2" xfId="9815" xr:uid="{00000000-0005-0000-0000-000058260000}"/>
    <cellStyle name="Финансовый 8 2 4 2 3 2 2 2" xfId="9816" xr:uid="{00000000-0005-0000-0000-000059260000}"/>
    <cellStyle name="Финансовый 8 2 4 2 3 2 3" xfId="9817" xr:uid="{00000000-0005-0000-0000-00005A260000}"/>
    <cellStyle name="Финансовый 8 2 4 2 3 3" xfId="9818" xr:uid="{00000000-0005-0000-0000-00005B260000}"/>
    <cellStyle name="Финансовый 8 2 4 2 3 3 2" xfId="9819" xr:uid="{00000000-0005-0000-0000-00005C260000}"/>
    <cellStyle name="Финансовый 8 2 4 2 3 4" xfId="9820" xr:uid="{00000000-0005-0000-0000-00005D260000}"/>
    <cellStyle name="Финансовый 8 2 4 2 4" xfId="9821" xr:uid="{00000000-0005-0000-0000-00005E260000}"/>
    <cellStyle name="Финансовый 8 2 4 2 4 2" xfId="9822" xr:uid="{00000000-0005-0000-0000-00005F260000}"/>
    <cellStyle name="Финансовый 8 2 4 2 4 2 2" xfId="9823" xr:uid="{00000000-0005-0000-0000-000060260000}"/>
    <cellStyle name="Финансовый 8 2 4 2 4 3" xfId="9824" xr:uid="{00000000-0005-0000-0000-000061260000}"/>
    <cellStyle name="Финансовый 8 2 4 2 5" xfId="9825" xr:uid="{00000000-0005-0000-0000-000062260000}"/>
    <cellStyle name="Финансовый 8 2 4 2 5 2" xfId="9826" xr:uid="{00000000-0005-0000-0000-000063260000}"/>
    <cellStyle name="Финансовый 8 2 4 2 6" xfId="9827" xr:uid="{00000000-0005-0000-0000-000064260000}"/>
    <cellStyle name="Финансовый 8 2 4 3" xfId="9828" xr:uid="{00000000-0005-0000-0000-000065260000}"/>
    <cellStyle name="Финансовый 8 2 4 3 2" xfId="9829" xr:uid="{00000000-0005-0000-0000-000066260000}"/>
    <cellStyle name="Финансовый 8 2 4 3 2 2" xfId="9830" xr:uid="{00000000-0005-0000-0000-000067260000}"/>
    <cellStyle name="Финансовый 8 2 4 3 2 2 2" xfId="9831" xr:uid="{00000000-0005-0000-0000-000068260000}"/>
    <cellStyle name="Финансовый 8 2 4 3 2 2 2 2" xfId="9832" xr:uid="{00000000-0005-0000-0000-000069260000}"/>
    <cellStyle name="Финансовый 8 2 4 3 2 2 3" xfId="9833" xr:uid="{00000000-0005-0000-0000-00006A260000}"/>
    <cellStyle name="Финансовый 8 2 4 3 2 3" xfId="9834" xr:uid="{00000000-0005-0000-0000-00006B260000}"/>
    <cellStyle name="Финансовый 8 2 4 3 2 3 2" xfId="9835" xr:uid="{00000000-0005-0000-0000-00006C260000}"/>
    <cellStyle name="Финансовый 8 2 4 3 2 4" xfId="9836" xr:uid="{00000000-0005-0000-0000-00006D260000}"/>
    <cellStyle name="Финансовый 8 2 4 3 3" xfId="9837" xr:uid="{00000000-0005-0000-0000-00006E260000}"/>
    <cellStyle name="Финансовый 8 2 4 3 3 2" xfId="9838" xr:uid="{00000000-0005-0000-0000-00006F260000}"/>
    <cellStyle name="Финансовый 8 2 4 3 3 2 2" xfId="9839" xr:uid="{00000000-0005-0000-0000-000070260000}"/>
    <cellStyle name="Финансовый 8 2 4 3 3 3" xfId="9840" xr:uid="{00000000-0005-0000-0000-000071260000}"/>
    <cellStyle name="Финансовый 8 2 4 3 4" xfId="9841" xr:uid="{00000000-0005-0000-0000-000072260000}"/>
    <cellStyle name="Финансовый 8 2 4 3 4 2" xfId="9842" xr:uid="{00000000-0005-0000-0000-000073260000}"/>
    <cellStyle name="Финансовый 8 2 4 3 5" xfId="9843" xr:uid="{00000000-0005-0000-0000-000074260000}"/>
    <cellStyle name="Финансовый 8 2 4 4" xfId="9844" xr:uid="{00000000-0005-0000-0000-000075260000}"/>
    <cellStyle name="Финансовый 8 2 4 4 2" xfId="9845" xr:uid="{00000000-0005-0000-0000-000076260000}"/>
    <cellStyle name="Финансовый 8 2 4 4 2 2" xfId="9846" xr:uid="{00000000-0005-0000-0000-000077260000}"/>
    <cellStyle name="Финансовый 8 2 4 4 2 2 2" xfId="9847" xr:uid="{00000000-0005-0000-0000-000078260000}"/>
    <cellStyle name="Финансовый 8 2 4 4 2 3" xfId="9848" xr:uid="{00000000-0005-0000-0000-000079260000}"/>
    <cellStyle name="Финансовый 8 2 4 4 3" xfId="9849" xr:uid="{00000000-0005-0000-0000-00007A260000}"/>
    <cellStyle name="Финансовый 8 2 4 4 3 2" xfId="9850" xr:uid="{00000000-0005-0000-0000-00007B260000}"/>
    <cellStyle name="Финансовый 8 2 4 4 4" xfId="9851" xr:uid="{00000000-0005-0000-0000-00007C260000}"/>
    <cellStyle name="Финансовый 8 2 4 5" xfId="9852" xr:uid="{00000000-0005-0000-0000-00007D260000}"/>
    <cellStyle name="Финансовый 8 2 4 5 2" xfId="9853" xr:uid="{00000000-0005-0000-0000-00007E260000}"/>
    <cellStyle name="Финансовый 8 2 4 5 2 2" xfId="9854" xr:uid="{00000000-0005-0000-0000-00007F260000}"/>
    <cellStyle name="Финансовый 8 2 4 5 3" xfId="9855" xr:uid="{00000000-0005-0000-0000-000080260000}"/>
    <cellStyle name="Финансовый 8 2 4 6" xfId="9856" xr:uid="{00000000-0005-0000-0000-000081260000}"/>
    <cellStyle name="Финансовый 8 2 4 6 2" xfId="9857" xr:uid="{00000000-0005-0000-0000-000082260000}"/>
    <cellStyle name="Финансовый 8 2 4 7" xfId="9858" xr:uid="{00000000-0005-0000-0000-000083260000}"/>
    <cellStyle name="Финансовый 8 2 5" xfId="9859" xr:uid="{00000000-0005-0000-0000-000084260000}"/>
    <cellStyle name="Финансовый 8 2 5 2" xfId="9860" xr:uid="{00000000-0005-0000-0000-000085260000}"/>
    <cellStyle name="Финансовый 8 2 5 2 2" xfId="9861" xr:uid="{00000000-0005-0000-0000-000086260000}"/>
    <cellStyle name="Финансовый 8 2 5 2 2 2" xfId="9862" xr:uid="{00000000-0005-0000-0000-000087260000}"/>
    <cellStyle name="Финансовый 8 2 5 2 2 2 2" xfId="9863" xr:uid="{00000000-0005-0000-0000-000088260000}"/>
    <cellStyle name="Финансовый 8 2 5 2 2 2 2 2" xfId="9864" xr:uid="{00000000-0005-0000-0000-000089260000}"/>
    <cellStyle name="Финансовый 8 2 5 2 2 2 3" xfId="9865" xr:uid="{00000000-0005-0000-0000-00008A260000}"/>
    <cellStyle name="Финансовый 8 2 5 2 2 3" xfId="9866" xr:uid="{00000000-0005-0000-0000-00008B260000}"/>
    <cellStyle name="Финансовый 8 2 5 2 2 3 2" xfId="9867" xr:uid="{00000000-0005-0000-0000-00008C260000}"/>
    <cellStyle name="Финансовый 8 2 5 2 2 4" xfId="9868" xr:uid="{00000000-0005-0000-0000-00008D260000}"/>
    <cellStyle name="Финансовый 8 2 5 2 3" xfId="9869" xr:uid="{00000000-0005-0000-0000-00008E260000}"/>
    <cellStyle name="Финансовый 8 2 5 2 3 2" xfId="9870" xr:uid="{00000000-0005-0000-0000-00008F260000}"/>
    <cellStyle name="Финансовый 8 2 5 2 3 2 2" xfId="9871" xr:uid="{00000000-0005-0000-0000-000090260000}"/>
    <cellStyle name="Финансовый 8 2 5 2 3 3" xfId="9872" xr:uid="{00000000-0005-0000-0000-000091260000}"/>
    <cellStyle name="Финансовый 8 2 5 2 4" xfId="9873" xr:uid="{00000000-0005-0000-0000-000092260000}"/>
    <cellStyle name="Финансовый 8 2 5 2 4 2" xfId="9874" xr:uid="{00000000-0005-0000-0000-000093260000}"/>
    <cellStyle name="Финансовый 8 2 5 2 5" xfId="9875" xr:uid="{00000000-0005-0000-0000-000094260000}"/>
    <cellStyle name="Финансовый 8 2 5 3" xfId="9876" xr:uid="{00000000-0005-0000-0000-000095260000}"/>
    <cellStyle name="Финансовый 8 2 5 3 2" xfId="9877" xr:uid="{00000000-0005-0000-0000-000096260000}"/>
    <cellStyle name="Финансовый 8 2 5 3 2 2" xfId="9878" xr:uid="{00000000-0005-0000-0000-000097260000}"/>
    <cellStyle name="Финансовый 8 2 5 3 2 2 2" xfId="9879" xr:uid="{00000000-0005-0000-0000-000098260000}"/>
    <cellStyle name="Финансовый 8 2 5 3 2 3" xfId="9880" xr:uid="{00000000-0005-0000-0000-000099260000}"/>
    <cellStyle name="Финансовый 8 2 5 3 3" xfId="9881" xr:uid="{00000000-0005-0000-0000-00009A260000}"/>
    <cellStyle name="Финансовый 8 2 5 3 3 2" xfId="9882" xr:uid="{00000000-0005-0000-0000-00009B260000}"/>
    <cellStyle name="Финансовый 8 2 5 3 4" xfId="9883" xr:uid="{00000000-0005-0000-0000-00009C260000}"/>
    <cellStyle name="Финансовый 8 2 5 4" xfId="9884" xr:uid="{00000000-0005-0000-0000-00009D260000}"/>
    <cellStyle name="Финансовый 8 2 5 4 2" xfId="9885" xr:uid="{00000000-0005-0000-0000-00009E260000}"/>
    <cellStyle name="Финансовый 8 2 5 4 2 2" xfId="9886" xr:uid="{00000000-0005-0000-0000-00009F260000}"/>
    <cellStyle name="Финансовый 8 2 5 4 3" xfId="9887" xr:uid="{00000000-0005-0000-0000-0000A0260000}"/>
    <cellStyle name="Финансовый 8 2 5 5" xfId="9888" xr:uid="{00000000-0005-0000-0000-0000A1260000}"/>
    <cellStyle name="Финансовый 8 2 5 5 2" xfId="9889" xr:uid="{00000000-0005-0000-0000-0000A2260000}"/>
    <cellStyle name="Финансовый 8 2 5 6" xfId="9890" xr:uid="{00000000-0005-0000-0000-0000A3260000}"/>
    <cellStyle name="Финансовый 8 2 6" xfId="9891" xr:uid="{00000000-0005-0000-0000-0000A4260000}"/>
    <cellStyle name="Финансовый 8 2 6 2" xfId="9892" xr:uid="{00000000-0005-0000-0000-0000A5260000}"/>
    <cellStyle name="Финансовый 8 2 6 2 2" xfId="9893" xr:uid="{00000000-0005-0000-0000-0000A6260000}"/>
    <cellStyle name="Финансовый 8 2 6 2 2 2" xfId="9894" xr:uid="{00000000-0005-0000-0000-0000A7260000}"/>
    <cellStyle name="Финансовый 8 2 6 2 2 2 2" xfId="9895" xr:uid="{00000000-0005-0000-0000-0000A8260000}"/>
    <cellStyle name="Финансовый 8 2 6 2 2 3" xfId="9896" xr:uid="{00000000-0005-0000-0000-0000A9260000}"/>
    <cellStyle name="Финансовый 8 2 6 2 3" xfId="9897" xr:uid="{00000000-0005-0000-0000-0000AA260000}"/>
    <cellStyle name="Финансовый 8 2 6 2 3 2" xfId="9898" xr:uid="{00000000-0005-0000-0000-0000AB260000}"/>
    <cellStyle name="Финансовый 8 2 6 2 4" xfId="9899" xr:uid="{00000000-0005-0000-0000-0000AC260000}"/>
    <cellStyle name="Финансовый 8 2 6 3" xfId="9900" xr:uid="{00000000-0005-0000-0000-0000AD260000}"/>
    <cellStyle name="Финансовый 8 2 6 3 2" xfId="9901" xr:uid="{00000000-0005-0000-0000-0000AE260000}"/>
    <cellStyle name="Финансовый 8 2 6 3 2 2" xfId="9902" xr:uid="{00000000-0005-0000-0000-0000AF260000}"/>
    <cellStyle name="Финансовый 8 2 6 3 3" xfId="9903" xr:uid="{00000000-0005-0000-0000-0000B0260000}"/>
    <cellStyle name="Финансовый 8 2 6 4" xfId="9904" xr:uid="{00000000-0005-0000-0000-0000B1260000}"/>
    <cellStyle name="Финансовый 8 2 6 4 2" xfId="9905" xr:uid="{00000000-0005-0000-0000-0000B2260000}"/>
    <cellStyle name="Финансовый 8 2 6 5" xfId="9906" xr:uid="{00000000-0005-0000-0000-0000B3260000}"/>
    <cellStyle name="Финансовый 8 2 7" xfId="9907" xr:uid="{00000000-0005-0000-0000-0000B4260000}"/>
    <cellStyle name="Финансовый 8 2 7 2" xfId="9908" xr:uid="{00000000-0005-0000-0000-0000B5260000}"/>
    <cellStyle name="Финансовый 8 2 7 2 2" xfId="9909" xr:uid="{00000000-0005-0000-0000-0000B6260000}"/>
    <cellStyle name="Финансовый 8 2 7 2 2 2" xfId="9910" xr:uid="{00000000-0005-0000-0000-0000B7260000}"/>
    <cellStyle name="Финансовый 8 2 7 2 3" xfId="9911" xr:uid="{00000000-0005-0000-0000-0000B8260000}"/>
    <cellStyle name="Финансовый 8 2 7 3" xfId="9912" xr:uid="{00000000-0005-0000-0000-0000B9260000}"/>
    <cellStyle name="Финансовый 8 2 7 3 2" xfId="9913" xr:uid="{00000000-0005-0000-0000-0000BA260000}"/>
    <cellStyle name="Финансовый 8 2 7 4" xfId="9914" xr:uid="{00000000-0005-0000-0000-0000BB260000}"/>
    <cellStyle name="Финансовый 8 2 8" xfId="9915" xr:uid="{00000000-0005-0000-0000-0000BC260000}"/>
    <cellStyle name="Финансовый 8 2 8 2" xfId="9916" xr:uid="{00000000-0005-0000-0000-0000BD260000}"/>
    <cellStyle name="Финансовый 8 2 8 2 2" xfId="9917" xr:uid="{00000000-0005-0000-0000-0000BE260000}"/>
    <cellStyle name="Финансовый 8 2 8 3" xfId="9918" xr:uid="{00000000-0005-0000-0000-0000BF260000}"/>
    <cellStyle name="Финансовый 8 2 9" xfId="9919" xr:uid="{00000000-0005-0000-0000-0000C0260000}"/>
    <cellStyle name="Финансовый 8 2 9 2" xfId="9920" xr:uid="{00000000-0005-0000-0000-0000C1260000}"/>
    <cellStyle name="Финансовый 8 3" xfId="9921" xr:uid="{00000000-0005-0000-0000-0000C2260000}"/>
    <cellStyle name="Финансовый 8 3 2" xfId="9922" xr:uid="{00000000-0005-0000-0000-0000C3260000}"/>
    <cellStyle name="Финансовый 8 3 2 2" xfId="9923" xr:uid="{00000000-0005-0000-0000-0000C4260000}"/>
    <cellStyle name="Финансовый 8 3 2 2 2" xfId="9924" xr:uid="{00000000-0005-0000-0000-0000C5260000}"/>
    <cellStyle name="Финансовый 8 3 2 2 2 2" xfId="9925" xr:uid="{00000000-0005-0000-0000-0000C6260000}"/>
    <cellStyle name="Финансовый 8 3 2 2 2 2 2" xfId="9926" xr:uid="{00000000-0005-0000-0000-0000C7260000}"/>
    <cellStyle name="Финансовый 8 3 2 2 2 2 2 2" xfId="9927" xr:uid="{00000000-0005-0000-0000-0000C8260000}"/>
    <cellStyle name="Финансовый 8 3 2 2 2 2 2 2 2" xfId="9928" xr:uid="{00000000-0005-0000-0000-0000C9260000}"/>
    <cellStyle name="Финансовый 8 3 2 2 2 2 2 2 2 2" xfId="9929" xr:uid="{00000000-0005-0000-0000-0000CA260000}"/>
    <cellStyle name="Финансовый 8 3 2 2 2 2 2 2 3" xfId="9930" xr:uid="{00000000-0005-0000-0000-0000CB260000}"/>
    <cellStyle name="Финансовый 8 3 2 2 2 2 2 3" xfId="9931" xr:uid="{00000000-0005-0000-0000-0000CC260000}"/>
    <cellStyle name="Финансовый 8 3 2 2 2 2 2 3 2" xfId="9932" xr:uid="{00000000-0005-0000-0000-0000CD260000}"/>
    <cellStyle name="Финансовый 8 3 2 2 2 2 2 4" xfId="9933" xr:uid="{00000000-0005-0000-0000-0000CE260000}"/>
    <cellStyle name="Финансовый 8 3 2 2 2 2 3" xfId="9934" xr:uid="{00000000-0005-0000-0000-0000CF260000}"/>
    <cellStyle name="Финансовый 8 3 2 2 2 2 3 2" xfId="9935" xr:uid="{00000000-0005-0000-0000-0000D0260000}"/>
    <cellStyle name="Финансовый 8 3 2 2 2 2 3 2 2" xfId="9936" xr:uid="{00000000-0005-0000-0000-0000D1260000}"/>
    <cellStyle name="Финансовый 8 3 2 2 2 2 3 3" xfId="9937" xr:uid="{00000000-0005-0000-0000-0000D2260000}"/>
    <cellStyle name="Финансовый 8 3 2 2 2 2 4" xfId="9938" xr:uid="{00000000-0005-0000-0000-0000D3260000}"/>
    <cellStyle name="Финансовый 8 3 2 2 2 2 4 2" xfId="9939" xr:uid="{00000000-0005-0000-0000-0000D4260000}"/>
    <cellStyle name="Финансовый 8 3 2 2 2 2 5" xfId="9940" xr:uid="{00000000-0005-0000-0000-0000D5260000}"/>
    <cellStyle name="Финансовый 8 3 2 2 2 3" xfId="9941" xr:uid="{00000000-0005-0000-0000-0000D6260000}"/>
    <cellStyle name="Финансовый 8 3 2 2 2 3 2" xfId="9942" xr:uid="{00000000-0005-0000-0000-0000D7260000}"/>
    <cellStyle name="Финансовый 8 3 2 2 2 3 2 2" xfId="9943" xr:uid="{00000000-0005-0000-0000-0000D8260000}"/>
    <cellStyle name="Финансовый 8 3 2 2 2 3 2 2 2" xfId="9944" xr:uid="{00000000-0005-0000-0000-0000D9260000}"/>
    <cellStyle name="Финансовый 8 3 2 2 2 3 2 3" xfId="9945" xr:uid="{00000000-0005-0000-0000-0000DA260000}"/>
    <cellStyle name="Финансовый 8 3 2 2 2 3 3" xfId="9946" xr:uid="{00000000-0005-0000-0000-0000DB260000}"/>
    <cellStyle name="Финансовый 8 3 2 2 2 3 3 2" xfId="9947" xr:uid="{00000000-0005-0000-0000-0000DC260000}"/>
    <cellStyle name="Финансовый 8 3 2 2 2 3 4" xfId="9948" xr:uid="{00000000-0005-0000-0000-0000DD260000}"/>
    <cellStyle name="Финансовый 8 3 2 2 2 4" xfId="9949" xr:uid="{00000000-0005-0000-0000-0000DE260000}"/>
    <cellStyle name="Финансовый 8 3 2 2 2 4 2" xfId="9950" xr:uid="{00000000-0005-0000-0000-0000DF260000}"/>
    <cellStyle name="Финансовый 8 3 2 2 2 4 2 2" xfId="9951" xr:uid="{00000000-0005-0000-0000-0000E0260000}"/>
    <cellStyle name="Финансовый 8 3 2 2 2 4 3" xfId="9952" xr:uid="{00000000-0005-0000-0000-0000E1260000}"/>
    <cellStyle name="Финансовый 8 3 2 2 2 5" xfId="9953" xr:uid="{00000000-0005-0000-0000-0000E2260000}"/>
    <cellStyle name="Финансовый 8 3 2 2 2 5 2" xfId="9954" xr:uid="{00000000-0005-0000-0000-0000E3260000}"/>
    <cellStyle name="Финансовый 8 3 2 2 2 6" xfId="9955" xr:uid="{00000000-0005-0000-0000-0000E4260000}"/>
    <cellStyle name="Финансовый 8 3 2 2 3" xfId="9956" xr:uid="{00000000-0005-0000-0000-0000E5260000}"/>
    <cellStyle name="Финансовый 8 3 2 2 3 2" xfId="9957" xr:uid="{00000000-0005-0000-0000-0000E6260000}"/>
    <cellStyle name="Финансовый 8 3 2 2 3 2 2" xfId="9958" xr:uid="{00000000-0005-0000-0000-0000E7260000}"/>
    <cellStyle name="Финансовый 8 3 2 2 3 2 2 2" xfId="9959" xr:uid="{00000000-0005-0000-0000-0000E8260000}"/>
    <cellStyle name="Финансовый 8 3 2 2 3 2 2 2 2" xfId="9960" xr:uid="{00000000-0005-0000-0000-0000E9260000}"/>
    <cellStyle name="Финансовый 8 3 2 2 3 2 2 3" xfId="9961" xr:uid="{00000000-0005-0000-0000-0000EA260000}"/>
    <cellStyle name="Финансовый 8 3 2 2 3 2 3" xfId="9962" xr:uid="{00000000-0005-0000-0000-0000EB260000}"/>
    <cellStyle name="Финансовый 8 3 2 2 3 2 3 2" xfId="9963" xr:uid="{00000000-0005-0000-0000-0000EC260000}"/>
    <cellStyle name="Финансовый 8 3 2 2 3 2 4" xfId="9964" xr:uid="{00000000-0005-0000-0000-0000ED260000}"/>
    <cellStyle name="Финансовый 8 3 2 2 3 3" xfId="9965" xr:uid="{00000000-0005-0000-0000-0000EE260000}"/>
    <cellStyle name="Финансовый 8 3 2 2 3 3 2" xfId="9966" xr:uid="{00000000-0005-0000-0000-0000EF260000}"/>
    <cellStyle name="Финансовый 8 3 2 2 3 3 2 2" xfId="9967" xr:uid="{00000000-0005-0000-0000-0000F0260000}"/>
    <cellStyle name="Финансовый 8 3 2 2 3 3 3" xfId="9968" xr:uid="{00000000-0005-0000-0000-0000F1260000}"/>
    <cellStyle name="Финансовый 8 3 2 2 3 4" xfId="9969" xr:uid="{00000000-0005-0000-0000-0000F2260000}"/>
    <cellStyle name="Финансовый 8 3 2 2 3 4 2" xfId="9970" xr:uid="{00000000-0005-0000-0000-0000F3260000}"/>
    <cellStyle name="Финансовый 8 3 2 2 3 5" xfId="9971" xr:uid="{00000000-0005-0000-0000-0000F4260000}"/>
    <cellStyle name="Финансовый 8 3 2 2 4" xfId="9972" xr:uid="{00000000-0005-0000-0000-0000F5260000}"/>
    <cellStyle name="Финансовый 8 3 2 2 4 2" xfId="9973" xr:uid="{00000000-0005-0000-0000-0000F6260000}"/>
    <cellStyle name="Финансовый 8 3 2 2 4 2 2" xfId="9974" xr:uid="{00000000-0005-0000-0000-0000F7260000}"/>
    <cellStyle name="Финансовый 8 3 2 2 4 2 2 2" xfId="9975" xr:uid="{00000000-0005-0000-0000-0000F8260000}"/>
    <cellStyle name="Финансовый 8 3 2 2 4 2 3" xfId="9976" xr:uid="{00000000-0005-0000-0000-0000F9260000}"/>
    <cellStyle name="Финансовый 8 3 2 2 4 3" xfId="9977" xr:uid="{00000000-0005-0000-0000-0000FA260000}"/>
    <cellStyle name="Финансовый 8 3 2 2 4 3 2" xfId="9978" xr:uid="{00000000-0005-0000-0000-0000FB260000}"/>
    <cellStyle name="Финансовый 8 3 2 2 4 4" xfId="9979" xr:uid="{00000000-0005-0000-0000-0000FC260000}"/>
    <cellStyle name="Финансовый 8 3 2 2 5" xfId="9980" xr:uid="{00000000-0005-0000-0000-0000FD260000}"/>
    <cellStyle name="Финансовый 8 3 2 2 5 2" xfId="9981" xr:uid="{00000000-0005-0000-0000-0000FE260000}"/>
    <cellStyle name="Финансовый 8 3 2 2 5 2 2" xfId="9982" xr:uid="{00000000-0005-0000-0000-0000FF260000}"/>
    <cellStyle name="Финансовый 8 3 2 2 5 3" xfId="9983" xr:uid="{00000000-0005-0000-0000-000000270000}"/>
    <cellStyle name="Финансовый 8 3 2 2 6" xfId="9984" xr:uid="{00000000-0005-0000-0000-000001270000}"/>
    <cellStyle name="Финансовый 8 3 2 2 6 2" xfId="9985" xr:uid="{00000000-0005-0000-0000-000002270000}"/>
    <cellStyle name="Финансовый 8 3 2 2 7" xfId="9986" xr:uid="{00000000-0005-0000-0000-000003270000}"/>
    <cellStyle name="Финансовый 8 3 2 3" xfId="9987" xr:uid="{00000000-0005-0000-0000-000004270000}"/>
    <cellStyle name="Финансовый 8 3 2 3 2" xfId="9988" xr:uid="{00000000-0005-0000-0000-000005270000}"/>
    <cellStyle name="Финансовый 8 3 2 3 2 2" xfId="9989" xr:uid="{00000000-0005-0000-0000-000006270000}"/>
    <cellStyle name="Финансовый 8 3 2 3 2 2 2" xfId="9990" xr:uid="{00000000-0005-0000-0000-000007270000}"/>
    <cellStyle name="Финансовый 8 3 2 3 2 2 2 2" xfId="9991" xr:uid="{00000000-0005-0000-0000-000008270000}"/>
    <cellStyle name="Финансовый 8 3 2 3 2 2 2 2 2" xfId="9992" xr:uid="{00000000-0005-0000-0000-000009270000}"/>
    <cellStyle name="Финансовый 8 3 2 3 2 2 2 3" xfId="9993" xr:uid="{00000000-0005-0000-0000-00000A270000}"/>
    <cellStyle name="Финансовый 8 3 2 3 2 2 3" xfId="9994" xr:uid="{00000000-0005-0000-0000-00000B270000}"/>
    <cellStyle name="Финансовый 8 3 2 3 2 2 3 2" xfId="9995" xr:uid="{00000000-0005-0000-0000-00000C270000}"/>
    <cellStyle name="Финансовый 8 3 2 3 2 2 4" xfId="9996" xr:uid="{00000000-0005-0000-0000-00000D270000}"/>
    <cellStyle name="Финансовый 8 3 2 3 2 3" xfId="9997" xr:uid="{00000000-0005-0000-0000-00000E270000}"/>
    <cellStyle name="Финансовый 8 3 2 3 2 3 2" xfId="9998" xr:uid="{00000000-0005-0000-0000-00000F270000}"/>
    <cellStyle name="Финансовый 8 3 2 3 2 3 2 2" xfId="9999" xr:uid="{00000000-0005-0000-0000-000010270000}"/>
    <cellStyle name="Финансовый 8 3 2 3 2 3 3" xfId="10000" xr:uid="{00000000-0005-0000-0000-000011270000}"/>
    <cellStyle name="Финансовый 8 3 2 3 2 4" xfId="10001" xr:uid="{00000000-0005-0000-0000-000012270000}"/>
    <cellStyle name="Финансовый 8 3 2 3 2 4 2" xfId="10002" xr:uid="{00000000-0005-0000-0000-000013270000}"/>
    <cellStyle name="Финансовый 8 3 2 3 2 5" xfId="10003" xr:uid="{00000000-0005-0000-0000-000014270000}"/>
    <cellStyle name="Финансовый 8 3 2 3 3" xfId="10004" xr:uid="{00000000-0005-0000-0000-000015270000}"/>
    <cellStyle name="Финансовый 8 3 2 3 3 2" xfId="10005" xr:uid="{00000000-0005-0000-0000-000016270000}"/>
    <cellStyle name="Финансовый 8 3 2 3 3 2 2" xfId="10006" xr:uid="{00000000-0005-0000-0000-000017270000}"/>
    <cellStyle name="Финансовый 8 3 2 3 3 2 2 2" xfId="10007" xr:uid="{00000000-0005-0000-0000-000018270000}"/>
    <cellStyle name="Финансовый 8 3 2 3 3 2 3" xfId="10008" xr:uid="{00000000-0005-0000-0000-000019270000}"/>
    <cellStyle name="Финансовый 8 3 2 3 3 3" xfId="10009" xr:uid="{00000000-0005-0000-0000-00001A270000}"/>
    <cellStyle name="Финансовый 8 3 2 3 3 3 2" xfId="10010" xr:uid="{00000000-0005-0000-0000-00001B270000}"/>
    <cellStyle name="Финансовый 8 3 2 3 3 4" xfId="10011" xr:uid="{00000000-0005-0000-0000-00001C270000}"/>
    <cellStyle name="Финансовый 8 3 2 3 4" xfId="10012" xr:uid="{00000000-0005-0000-0000-00001D270000}"/>
    <cellStyle name="Финансовый 8 3 2 3 4 2" xfId="10013" xr:uid="{00000000-0005-0000-0000-00001E270000}"/>
    <cellStyle name="Финансовый 8 3 2 3 4 2 2" xfId="10014" xr:uid="{00000000-0005-0000-0000-00001F270000}"/>
    <cellStyle name="Финансовый 8 3 2 3 4 3" xfId="10015" xr:uid="{00000000-0005-0000-0000-000020270000}"/>
    <cellStyle name="Финансовый 8 3 2 3 5" xfId="10016" xr:uid="{00000000-0005-0000-0000-000021270000}"/>
    <cellStyle name="Финансовый 8 3 2 3 5 2" xfId="10017" xr:uid="{00000000-0005-0000-0000-000022270000}"/>
    <cellStyle name="Финансовый 8 3 2 3 6" xfId="10018" xr:uid="{00000000-0005-0000-0000-000023270000}"/>
    <cellStyle name="Финансовый 8 3 2 4" xfId="10019" xr:uid="{00000000-0005-0000-0000-000024270000}"/>
    <cellStyle name="Финансовый 8 3 2 4 2" xfId="10020" xr:uid="{00000000-0005-0000-0000-000025270000}"/>
    <cellStyle name="Финансовый 8 3 2 4 2 2" xfId="10021" xr:uid="{00000000-0005-0000-0000-000026270000}"/>
    <cellStyle name="Финансовый 8 3 2 4 2 2 2" xfId="10022" xr:uid="{00000000-0005-0000-0000-000027270000}"/>
    <cellStyle name="Финансовый 8 3 2 4 2 2 2 2" xfId="10023" xr:uid="{00000000-0005-0000-0000-000028270000}"/>
    <cellStyle name="Финансовый 8 3 2 4 2 2 3" xfId="10024" xr:uid="{00000000-0005-0000-0000-000029270000}"/>
    <cellStyle name="Финансовый 8 3 2 4 2 3" xfId="10025" xr:uid="{00000000-0005-0000-0000-00002A270000}"/>
    <cellStyle name="Финансовый 8 3 2 4 2 3 2" xfId="10026" xr:uid="{00000000-0005-0000-0000-00002B270000}"/>
    <cellStyle name="Финансовый 8 3 2 4 2 4" xfId="10027" xr:uid="{00000000-0005-0000-0000-00002C270000}"/>
    <cellStyle name="Финансовый 8 3 2 4 3" xfId="10028" xr:uid="{00000000-0005-0000-0000-00002D270000}"/>
    <cellStyle name="Финансовый 8 3 2 4 3 2" xfId="10029" xr:uid="{00000000-0005-0000-0000-00002E270000}"/>
    <cellStyle name="Финансовый 8 3 2 4 3 2 2" xfId="10030" xr:uid="{00000000-0005-0000-0000-00002F270000}"/>
    <cellStyle name="Финансовый 8 3 2 4 3 3" xfId="10031" xr:uid="{00000000-0005-0000-0000-000030270000}"/>
    <cellStyle name="Финансовый 8 3 2 4 4" xfId="10032" xr:uid="{00000000-0005-0000-0000-000031270000}"/>
    <cellStyle name="Финансовый 8 3 2 4 4 2" xfId="10033" xr:uid="{00000000-0005-0000-0000-000032270000}"/>
    <cellStyle name="Финансовый 8 3 2 4 5" xfId="10034" xr:uid="{00000000-0005-0000-0000-000033270000}"/>
    <cellStyle name="Финансовый 8 3 2 5" xfId="10035" xr:uid="{00000000-0005-0000-0000-000034270000}"/>
    <cellStyle name="Финансовый 8 3 2 5 2" xfId="10036" xr:uid="{00000000-0005-0000-0000-000035270000}"/>
    <cellStyle name="Финансовый 8 3 2 5 2 2" xfId="10037" xr:uid="{00000000-0005-0000-0000-000036270000}"/>
    <cellStyle name="Финансовый 8 3 2 5 2 2 2" xfId="10038" xr:uid="{00000000-0005-0000-0000-000037270000}"/>
    <cellStyle name="Финансовый 8 3 2 5 2 3" xfId="10039" xr:uid="{00000000-0005-0000-0000-000038270000}"/>
    <cellStyle name="Финансовый 8 3 2 5 3" xfId="10040" xr:uid="{00000000-0005-0000-0000-000039270000}"/>
    <cellStyle name="Финансовый 8 3 2 5 3 2" xfId="10041" xr:uid="{00000000-0005-0000-0000-00003A270000}"/>
    <cellStyle name="Финансовый 8 3 2 5 4" xfId="10042" xr:uid="{00000000-0005-0000-0000-00003B270000}"/>
    <cellStyle name="Финансовый 8 3 2 6" xfId="10043" xr:uid="{00000000-0005-0000-0000-00003C270000}"/>
    <cellStyle name="Финансовый 8 3 2 6 2" xfId="10044" xr:uid="{00000000-0005-0000-0000-00003D270000}"/>
    <cellStyle name="Финансовый 8 3 2 6 2 2" xfId="10045" xr:uid="{00000000-0005-0000-0000-00003E270000}"/>
    <cellStyle name="Финансовый 8 3 2 6 3" xfId="10046" xr:uid="{00000000-0005-0000-0000-00003F270000}"/>
    <cellStyle name="Финансовый 8 3 2 7" xfId="10047" xr:uid="{00000000-0005-0000-0000-000040270000}"/>
    <cellStyle name="Финансовый 8 3 2 7 2" xfId="10048" xr:uid="{00000000-0005-0000-0000-000041270000}"/>
    <cellStyle name="Финансовый 8 3 2 8" xfId="10049" xr:uid="{00000000-0005-0000-0000-000042270000}"/>
    <cellStyle name="Финансовый 8 3 3" xfId="10050" xr:uid="{00000000-0005-0000-0000-000043270000}"/>
    <cellStyle name="Финансовый 8 3 3 2" xfId="10051" xr:uid="{00000000-0005-0000-0000-000044270000}"/>
    <cellStyle name="Финансовый 8 3 3 2 2" xfId="10052" xr:uid="{00000000-0005-0000-0000-000045270000}"/>
    <cellStyle name="Финансовый 8 3 3 2 2 2" xfId="10053" xr:uid="{00000000-0005-0000-0000-000046270000}"/>
    <cellStyle name="Финансовый 8 3 3 2 2 2 2" xfId="10054" xr:uid="{00000000-0005-0000-0000-000047270000}"/>
    <cellStyle name="Финансовый 8 3 3 2 2 2 2 2" xfId="10055" xr:uid="{00000000-0005-0000-0000-000048270000}"/>
    <cellStyle name="Финансовый 8 3 3 2 2 2 2 2 2" xfId="10056" xr:uid="{00000000-0005-0000-0000-000049270000}"/>
    <cellStyle name="Финансовый 8 3 3 2 2 2 2 3" xfId="10057" xr:uid="{00000000-0005-0000-0000-00004A270000}"/>
    <cellStyle name="Финансовый 8 3 3 2 2 2 3" xfId="10058" xr:uid="{00000000-0005-0000-0000-00004B270000}"/>
    <cellStyle name="Финансовый 8 3 3 2 2 2 3 2" xfId="10059" xr:uid="{00000000-0005-0000-0000-00004C270000}"/>
    <cellStyle name="Финансовый 8 3 3 2 2 2 4" xfId="10060" xr:uid="{00000000-0005-0000-0000-00004D270000}"/>
    <cellStyle name="Финансовый 8 3 3 2 2 3" xfId="10061" xr:uid="{00000000-0005-0000-0000-00004E270000}"/>
    <cellStyle name="Финансовый 8 3 3 2 2 3 2" xfId="10062" xr:uid="{00000000-0005-0000-0000-00004F270000}"/>
    <cellStyle name="Финансовый 8 3 3 2 2 3 2 2" xfId="10063" xr:uid="{00000000-0005-0000-0000-000050270000}"/>
    <cellStyle name="Финансовый 8 3 3 2 2 3 3" xfId="10064" xr:uid="{00000000-0005-0000-0000-000051270000}"/>
    <cellStyle name="Финансовый 8 3 3 2 2 4" xfId="10065" xr:uid="{00000000-0005-0000-0000-000052270000}"/>
    <cellStyle name="Финансовый 8 3 3 2 2 4 2" xfId="10066" xr:uid="{00000000-0005-0000-0000-000053270000}"/>
    <cellStyle name="Финансовый 8 3 3 2 2 5" xfId="10067" xr:uid="{00000000-0005-0000-0000-000054270000}"/>
    <cellStyle name="Финансовый 8 3 3 2 3" xfId="10068" xr:uid="{00000000-0005-0000-0000-000055270000}"/>
    <cellStyle name="Финансовый 8 3 3 2 3 2" xfId="10069" xr:uid="{00000000-0005-0000-0000-000056270000}"/>
    <cellStyle name="Финансовый 8 3 3 2 3 2 2" xfId="10070" xr:uid="{00000000-0005-0000-0000-000057270000}"/>
    <cellStyle name="Финансовый 8 3 3 2 3 2 2 2" xfId="10071" xr:uid="{00000000-0005-0000-0000-000058270000}"/>
    <cellStyle name="Финансовый 8 3 3 2 3 2 3" xfId="10072" xr:uid="{00000000-0005-0000-0000-000059270000}"/>
    <cellStyle name="Финансовый 8 3 3 2 3 3" xfId="10073" xr:uid="{00000000-0005-0000-0000-00005A270000}"/>
    <cellStyle name="Финансовый 8 3 3 2 3 3 2" xfId="10074" xr:uid="{00000000-0005-0000-0000-00005B270000}"/>
    <cellStyle name="Финансовый 8 3 3 2 3 4" xfId="10075" xr:uid="{00000000-0005-0000-0000-00005C270000}"/>
    <cellStyle name="Финансовый 8 3 3 2 4" xfId="10076" xr:uid="{00000000-0005-0000-0000-00005D270000}"/>
    <cellStyle name="Финансовый 8 3 3 2 4 2" xfId="10077" xr:uid="{00000000-0005-0000-0000-00005E270000}"/>
    <cellStyle name="Финансовый 8 3 3 2 4 2 2" xfId="10078" xr:uid="{00000000-0005-0000-0000-00005F270000}"/>
    <cellStyle name="Финансовый 8 3 3 2 4 3" xfId="10079" xr:uid="{00000000-0005-0000-0000-000060270000}"/>
    <cellStyle name="Финансовый 8 3 3 2 5" xfId="10080" xr:uid="{00000000-0005-0000-0000-000061270000}"/>
    <cellStyle name="Финансовый 8 3 3 2 5 2" xfId="10081" xr:uid="{00000000-0005-0000-0000-000062270000}"/>
    <cellStyle name="Финансовый 8 3 3 2 6" xfId="10082" xr:uid="{00000000-0005-0000-0000-000063270000}"/>
    <cellStyle name="Финансовый 8 3 3 3" xfId="10083" xr:uid="{00000000-0005-0000-0000-000064270000}"/>
    <cellStyle name="Финансовый 8 3 3 3 2" xfId="10084" xr:uid="{00000000-0005-0000-0000-000065270000}"/>
    <cellStyle name="Финансовый 8 3 3 3 2 2" xfId="10085" xr:uid="{00000000-0005-0000-0000-000066270000}"/>
    <cellStyle name="Финансовый 8 3 3 3 2 2 2" xfId="10086" xr:uid="{00000000-0005-0000-0000-000067270000}"/>
    <cellStyle name="Финансовый 8 3 3 3 2 2 2 2" xfId="10087" xr:uid="{00000000-0005-0000-0000-000068270000}"/>
    <cellStyle name="Финансовый 8 3 3 3 2 2 3" xfId="10088" xr:uid="{00000000-0005-0000-0000-000069270000}"/>
    <cellStyle name="Финансовый 8 3 3 3 2 3" xfId="10089" xr:uid="{00000000-0005-0000-0000-00006A270000}"/>
    <cellStyle name="Финансовый 8 3 3 3 2 3 2" xfId="10090" xr:uid="{00000000-0005-0000-0000-00006B270000}"/>
    <cellStyle name="Финансовый 8 3 3 3 2 4" xfId="10091" xr:uid="{00000000-0005-0000-0000-00006C270000}"/>
    <cellStyle name="Финансовый 8 3 3 3 3" xfId="10092" xr:uid="{00000000-0005-0000-0000-00006D270000}"/>
    <cellStyle name="Финансовый 8 3 3 3 3 2" xfId="10093" xr:uid="{00000000-0005-0000-0000-00006E270000}"/>
    <cellStyle name="Финансовый 8 3 3 3 3 2 2" xfId="10094" xr:uid="{00000000-0005-0000-0000-00006F270000}"/>
    <cellStyle name="Финансовый 8 3 3 3 3 3" xfId="10095" xr:uid="{00000000-0005-0000-0000-000070270000}"/>
    <cellStyle name="Финансовый 8 3 3 3 4" xfId="10096" xr:uid="{00000000-0005-0000-0000-000071270000}"/>
    <cellStyle name="Финансовый 8 3 3 3 4 2" xfId="10097" xr:uid="{00000000-0005-0000-0000-000072270000}"/>
    <cellStyle name="Финансовый 8 3 3 3 5" xfId="10098" xr:uid="{00000000-0005-0000-0000-000073270000}"/>
    <cellStyle name="Финансовый 8 3 3 4" xfId="10099" xr:uid="{00000000-0005-0000-0000-000074270000}"/>
    <cellStyle name="Финансовый 8 3 3 4 2" xfId="10100" xr:uid="{00000000-0005-0000-0000-000075270000}"/>
    <cellStyle name="Финансовый 8 3 3 4 2 2" xfId="10101" xr:uid="{00000000-0005-0000-0000-000076270000}"/>
    <cellStyle name="Финансовый 8 3 3 4 2 2 2" xfId="10102" xr:uid="{00000000-0005-0000-0000-000077270000}"/>
    <cellStyle name="Финансовый 8 3 3 4 2 3" xfId="10103" xr:uid="{00000000-0005-0000-0000-000078270000}"/>
    <cellStyle name="Финансовый 8 3 3 4 3" xfId="10104" xr:uid="{00000000-0005-0000-0000-000079270000}"/>
    <cellStyle name="Финансовый 8 3 3 4 3 2" xfId="10105" xr:uid="{00000000-0005-0000-0000-00007A270000}"/>
    <cellStyle name="Финансовый 8 3 3 4 4" xfId="10106" xr:uid="{00000000-0005-0000-0000-00007B270000}"/>
    <cellStyle name="Финансовый 8 3 3 5" xfId="10107" xr:uid="{00000000-0005-0000-0000-00007C270000}"/>
    <cellStyle name="Финансовый 8 3 3 5 2" xfId="10108" xr:uid="{00000000-0005-0000-0000-00007D270000}"/>
    <cellStyle name="Финансовый 8 3 3 5 2 2" xfId="10109" xr:uid="{00000000-0005-0000-0000-00007E270000}"/>
    <cellStyle name="Финансовый 8 3 3 5 3" xfId="10110" xr:uid="{00000000-0005-0000-0000-00007F270000}"/>
    <cellStyle name="Финансовый 8 3 3 6" xfId="10111" xr:uid="{00000000-0005-0000-0000-000080270000}"/>
    <cellStyle name="Финансовый 8 3 3 6 2" xfId="10112" xr:uid="{00000000-0005-0000-0000-000081270000}"/>
    <cellStyle name="Финансовый 8 3 3 7" xfId="10113" xr:uid="{00000000-0005-0000-0000-000082270000}"/>
    <cellStyle name="Финансовый 8 3 4" xfId="10114" xr:uid="{00000000-0005-0000-0000-000083270000}"/>
    <cellStyle name="Финансовый 8 3 4 2" xfId="10115" xr:uid="{00000000-0005-0000-0000-000084270000}"/>
    <cellStyle name="Финансовый 8 3 4 2 2" xfId="10116" xr:uid="{00000000-0005-0000-0000-000085270000}"/>
    <cellStyle name="Финансовый 8 3 4 2 2 2" xfId="10117" xr:uid="{00000000-0005-0000-0000-000086270000}"/>
    <cellStyle name="Финансовый 8 3 4 2 2 2 2" xfId="10118" xr:uid="{00000000-0005-0000-0000-000087270000}"/>
    <cellStyle name="Финансовый 8 3 4 2 2 2 2 2" xfId="10119" xr:uid="{00000000-0005-0000-0000-000088270000}"/>
    <cellStyle name="Финансовый 8 3 4 2 2 2 3" xfId="10120" xr:uid="{00000000-0005-0000-0000-000089270000}"/>
    <cellStyle name="Финансовый 8 3 4 2 2 3" xfId="10121" xr:uid="{00000000-0005-0000-0000-00008A270000}"/>
    <cellStyle name="Финансовый 8 3 4 2 2 3 2" xfId="10122" xr:uid="{00000000-0005-0000-0000-00008B270000}"/>
    <cellStyle name="Финансовый 8 3 4 2 2 4" xfId="10123" xr:uid="{00000000-0005-0000-0000-00008C270000}"/>
    <cellStyle name="Финансовый 8 3 4 2 3" xfId="10124" xr:uid="{00000000-0005-0000-0000-00008D270000}"/>
    <cellStyle name="Финансовый 8 3 4 2 3 2" xfId="10125" xr:uid="{00000000-0005-0000-0000-00008E270000}"/>
    <cellStyle name="Финансовый 8 3 4 2 3 2 2" xfId="10126" xr:uid="{00000000-0005-0000-0000-00008F270000}"/>
    <cellStyle name="Финансовый 8 3 4 2 3 3" xfId="10127" xr:uid="{00000000-0005-0000-0000-000090270000}"/>
    <cellStyle name="Финансовый 8 3 4 2 4" xfId="10128" xr:uid="{00000000-0005-0000-0000-000091270000}"/>
    <cellStyle name="Финансовый 8 3 4 2 4 2" xfId="10129" xr:uid="{00000000-0005-0000-0000-000092270000}"/>
    <cellStyle name="Финансовый 8 3 4 2 5" xfId="10130" xr:uid="{00000000-0005-0000-0000-000093270000}"/>
    <cellStyle name="Финансовый 8 3 4 3" xfId="10131" xr:uid="{00000000-0005-0000-0000-000094270000}"/>
    <cellStyle name="Финансовый 8 3 4 3 2" xfId="10132" xr:uid="{00000000-0005-0000-0000-000095270000}"/>
    <cellStyle name="Финансовый 8 3 4 3 2 2" xfId="10133" xr:uid="{00000000-0005-0000-0000-000096270000}"/>
    <cellStyle name="Финансовый 8 3 4 3 2 2 2" xfId="10134" xr:uid="{00000000-0005-0000-0000-000097270000}"/>
    <cellStyle name="Финансовый 8 3 4 3 2 3" xfId="10135" xr:uid="{00000000-0005-0000-0000-000098270000}"/>
    <cellStyle name="Финансовый 8 3 4 3 3" xfId="10136" xr:uid="{00000000-0005-0000-0000-000099270000}"/>
    <cellStyle name="Финансовый 8 3 4 3 3 2" xfId="10137" xr:uid="{00000000-0005-0000-0000-00009A270000}"/>
    <cellStyle name="Финансовый 8 3 4 3 4" xfId="10138" xr:uid="{00000000-0005-0000-0000-00009B270000}"/>
    <cellStyle name="Финансовый 8 3 4 4" xfId="10139" xr:uid="{00000000-0005-0000-0000-00009C270000}"/>
    <cellStyle name="Финансовый 8 3 4 4 2" xfId="10140" xr:uid="{00000000-0005-0000-0000-00009D270000}"/>
    <cellStyle name="Финансовый 8 3 4 4 2 2" xfId="10141" xr:uid="{00000000-0005-0000-0000-00009E270000}"/>
    <cellStyle name="Финансовый 8 3 4 4 3" xfId="10142" xr:uid="{00000000-0005-0000-0000-00009F270000}"/>
    <cellStyle name="Финансовый 8 3 4 5" xfId="10143" xr:uid="{00000000-0005-0000-0000-0000A0270000}"/>
    <cellStyle name="Финансовый 8 3 4 5 2" xfId="10144" xr:uid="{00000000-0005-0000-0000-0000A1270000}"/>
    <cellStyle name="Финансовый 8 3 4 6" xfId="10145" xr:uid="{00000000-0005-0000-0000-0000A2270000}"/>
    <cellStyle name="Финансовый 8 3 5" xfId="10146" xr:uid="{00000000-0005-0000-0000-0000A3270000}"/>
    <cellStyle name="Финансовый 8 3 5 2" xfId="10147" xr:uid="{00000000-0005-0000-0000-0000A4270000}"/>
    <cellStyle name="Финансовый 8 3 5 2 2" xfId="10148" xr:uid="{00000000-0005-0000-0000-0000A5270000}"/>
    <cellStyle name="Финансовый 8 3 5 2 2 2" xfId="10149" xr:uid="{00000000-0005-0000-0000-0000A6270000}"/>
    <cellStyle name="Финансовый 8 3 5 2 2 2 2" xfId="10150" xr:uid="{00000000-0005-0000-0000-0000A7270000}"/>
    <cellStyle name="Финансовый 8 3 5 2 2 3" xfId="10151" xr:uid="{00000000-0005-0000-0000-0000A8270000}"/>
    <cellStyle name="Финансовый 8 3 5 2 3" xfId="10152" xr:uid="{00000000-0005-0000-0000-0000A9270000}"/>
    <cellStyle name="Финансовый 8 3 5 2 3 2" xfId="10153" xr:uid="{00000000-0005-0000-0000-0000AA270000}"/>
    <cellStyle name="Финансовый 8 3 5 2 4" xfId="10154" xr:uid="{00000000-0005-0000-0000-0000AB270000}"/>
    <cellStyle name="Финансовый 8 3 5 3" xfId="10155" xr:uid="{00000000-0005-0000-0000-0000AC270000}"/>
    <cellStyle name="Финансовый 8 3 5 3 2" xfId="10156" xr:uid="{00000000-0005-0000-0000-0000AD270000}"/>
    <cellStyle name="Финансовый 8 3 5 3 2 2" xfId="10157" xr:uid="{00000000-0005-0000-0000-0000AE270000}"/>
    <cellStyle name="Финансовый 8 3 5 3 3" xfId="10158" xr:uid="{00000000-0005-0000-0000-0000AF270000}"/>
    <cellStyle name="Финансовый 8 3 5 4" xfId="10159" xr:uid="{00000000-0005-0000-0000-0000B0270000}"/>
    <cellStyle name="Финансовый 8 3 5 4 2" xfId="10160" xr:uid="{00000000-0005-0000-0000-0000B1270000}"/>
    <cellStyle name="Финансовый 8 3 5 5" xfId="10161" xr:uid="{00000000-0005-0000-0000-0000B2270000}"/>
    <cellStyle name="Финансовый 8 3 6" xfId="10162" xr:uid="{00000000-0005-0000-0000-0000B3270000}"/>
    <cellStyle name="Финансовый 8 3 6 2" xfId="10163" xr:uid="{00000000-0005-0000-0000-0000B4270000}"/>
    <cellStyle name="Финансовый 8 3 6 2 2" xfId="10164" xr:uid="{00000000-0005-0000-0000-0000B5270000}"/>
    <cellStyle name="Финансовый 8 3 6 2 2 2" xfId="10165" xr:uid="{00000000-0005-0000-0000-0000B6270000}"/>
    <cellStyle name="Финансовый 8 3 6 2 3" xfId="10166" xr:uid="{00000000-0005-0000-0000-0000B7270000}"/>
    <cellStyle name="Финансовый 8 3 6 3" xfId="10167" xr:uid="{00000000-0005-0000-0000-0000B8270000}"/>
    <cellStyle name="Финансовый 8 3 6 3 2" xfId="10168" xr:uid="{00000000-0005-0000-0000-0000B9270000}"/>
    <cellStyle name="Финансовый 8 3 6 4" xfId="10169" xr:uid="{00000000-0005-0000-0000-0000BA270000}"/>
    <cellStyle name="Финансовый 8 3 7" xfId="10170" xr:uid="{00000000-0005-0000-0000-0000BB270000}"/>
    <cellStyle name="Финансовый 8 3 7 2" xfId="10171" xr:uid="{00000000-0005-0000-0000-0000BC270000}"/>
    <cellStyle name="Финансовый 8 3 7 2 2" xfId="10172" xr:uid="{00000000-0005-0000-0000-0000BD270000}"/>
    <cellStyle name="Финансовый 8 3 7 3" xfId="10173" xr:uid="{00000000-0005-0000-0000-0000BE270000}"/>
    <cellStyle name="Финансовый 8 3 8" xfId="10174" xr:uid="{00000000-0005-0000-0000-0000BF270000}"/>
    <cellStyle name="Финансовый 8 3 8 2" xfId="10175" xr:uid="{00000000-0005-0000-0000-0000C0270000}"/>
    <cellStyle name="Финансовый 8 3 9" xfId="10176" xr:uid="{00000000-0005-0000-0000-0000C1270000}"/>
    <cellStyle name="Финансовый 8 4" xfId="10177" xr:uid="{00000000-0005-0000-0000-0000C2270000}"/>
    <cellStyle name="Финансовый 8 4 2" xfId="10178" xr:uid="{00000000-0005-0000-0000-0000C3270000}"/>
    <cellStyle name="Финансовый 8 4 2 2" xfId="10179" xr:uid="{00000000-0005-0000-0000-0000C4270000}"/>
    <cellStyle name="Финансовый 8 4 2 2 2" xfId="10180" xr:uid="{00000000-0005-0000-0000-0000C5270000}"/>
    <cellStyle name="Финансовый 8 4 2 2 2 2" xfId="10181" xr:uid="{00000000-0005-0000-0000-0000C6270000}"/>
    <cellStyle name="Финансовый 8 4 2 2 2 2 2" xfId="10182" xr:uid="{00000000-0005-0000-0000-0000C7270000}"/>
    <cellStyle name="Финансовый 8 4 2 2 2 2 2 2" xfId="10183" xr:uid="{00000000-0005-0000-0000-0000C8270000}"/>
    <cellStyle name="Финансовый 8 4 2 2 2 2 2 2 2" xfId="10184" xr:uid="{00000000-0005-0000-0000-0000C9270000}"/>
    <cellStyle name="Финансовый 8 4 2 2 2 2 2 3" xfId="10185" xr:uid="{00000000-0005-0000-0000-0000CA270000}"/>
    <cellStyle name="Финансовый 8 4 2 2 2 2 3" xfId="10186" xr:uid="{00000000-0005-0000-0000-0000CB270000}"/>
    <cellStyle name="Финансовый 8 4 2 2 2 2 3 2" xfId="10187" xr:uid="{00000000-0005-0000-0000-0000CC270000}"/>
    <cellStyle name="Финансовый 8 4 2 2 2 2 4" xfId="10188" xr:uid="{00000000-0005-0000-0000-0000CD270000}"/>
    <cellStyle name="Финансовый 8 4 2 2 2 3" xfId="10189" xr:uid="{00000000-0005-0000-0000-0000CE270000}"/>
    <cellStyle name="Финансовый 8 4 2 2 2 3 2" xfId="10190" xr:uid="{00000000-0005-0000-0000-0000CF270000}"/>
    <cellStyle name="Финансовый 8 4 2 2 2 3 2 2" xfId="10191" xr:uid="{00000000-0005-0000-0000-0000D0270000}"/>
    <cellStyle name="Финансовый 8 4 2 2 2 3 3" xfId="10192" xr:uid="{00000000-0005-0000-0000-0000D1270000}"/>
    <cellStyle name="Финансовый 8 4 2 2 2 4" xfId="10193" xr:uid="{00000000-0005-0000-0000-0000D2270000}"/>
    <cellStyle name="Финансовый 8 4 2 2 2 4 2" xfId="10194" xr:uid="{00000000-0005-0000-0000-0000D3270000}"/>
    <cellStyle name="Финансовый 8 4 2 2 2 5" xfId="10195" xr:uid="{00000000-0005-0000-0000-0000D4270000}"/>
    <cellStyle name="Финансовый 8 4 2 2 3" xfId="10196" xr:uid="{00000000-0005-0000-0000-0000D5270000}"/>
    <cellStyle name="Финансовый 8 4 2 2 3 2" xfId="10197" xr:uid="{00000000-0005-0000-0000-0000D6270000}"/>
    <cellStyle name="Финансовый 8 4 2 2 3 2 2" xfId="10198" xr:uid="{00000000-0005-0000-0000-0000D7270000}"/>
    <cellStyle name="Финансовый 8 4 2 2 3 2 2 2" xfId="10199" xr:uid="{00000000-0005-0000-0000-0000D8270000}"/>
    <cellStyle name="Финансовый 8 4 2 2 3 2 3" xfId="10200" xr:uid="{00000000-0005-0000-0000-0000D9270000}"/>
    <cellStyle name="Финансовый 8 4 2 2 3 3" xfId="10201" xr:uid="{00000000-0005-0000-0000-0000DA270000}"/>
    <cellStyle name="Финансовый 8 4 2 2 3 3 2" xfId="10202" xr:uid="{00000000-0005-0000-0000-0000DB270000}"/>
    <cellStyle name="Финансовый 8 4 2 2 3 4" xfId="10203" xr:uid="{00000000-0005-0000-0000-0000DC270000}"/>
    <cellStyle name="Финансовый 8 4 2 2 4" xfId="10204" xr:uid="{00000000-0005-0000-0000-0000DD270000}"/>
    <cellStyle name="Финансовый 8 4 2 2 4 2" xfId="10205" xr:uid="{00000000-0005-0000-0000-0000DE270000}"/>
    <cellStyle name="Финансовый 8 4 2 2 4 2 2" xfId="10206" xr:uid="{00000000-0005-0000-0000-0000DF270000}"/>
    <cellStyle name="Финансовый 8 4 2 2 4 3" xfId="10207" xr:uid="{00000000-0005-0000-0000-0000E0270000}"/>
    <cellStyle name="Финансовый 8 4 2 2 5" xfId="10208" xr:uid="{00000000-0005-0000-0000-0000E1270000}"/>
    <cellStyle name="Финансовый 8 4 2 2 5 2" xfId="10209" xr:uid="{00000000-0005-0000-0000-0000E2270000}"/>
    <cellStyle name="Финансовый 8 4 2 2 6" xfId="10210" xr:uid="{00000000-0005-0000-0000-0000E3270000}"/>
    <cellStyle name="Финансовый 8 4 2 3" xfId="10211" xr:uid="{00000000-0005-0000-0000-0000E4270000}"/>
    <cellStyle name="Финансовый 8 4 2 3 2" xfId="10212" xr:uid="{00000000-0005-0000-0000-0000E5270000}"/>
    <cellStyle name="Финансовый 8 4 2 3 2 2" xfId="10213" xr:uid="{00000000-0005-0000-0000-0000E6270000}"/>
    <cellStyle name="Финансовый 8 4 2 3 2 2 2" xfId="10214" xr:uid="{00000000-0005-0000-0000-0000E7270000}"/>
    <cellStyle name="Финансовый 8 4 2 3 2 2 2 2" xfId="10215" xr:uid="{00000000-0005-0000-0000-0000E8270000}"/>
    <cellStyle name="Финансовый 8 4 2 3 2 2 3" xfId="10216" xr:uid="{00000000-0005-0000-0000-0000E9270000}"/>
    <cellStyle name="Финансовый 8 4 2 3 2 3" xfId="10217" xr:uid="{00000000-0005-0000-0000-0000EA270000}"/>
    <cellStyle name="Финансовый 8 4 2 3 2 3 2" xfId="10218" xr:uid="{00000000-0005-0000-0000-0000EB270000}"/>
    <cellStyle name="Финансовый 8 4 2 3 2 4" xfId="10219" xr:uid="{00000000-0005-0000-0000-0000EC270000}"/>
    <cellStyle name="Финансовый 8 4 2 3 3" xfId="10220" xr:uid="{00000000-0005-0000-0000-0000ED270000}"/>
    <cellStyle name="Финансовый 8 4 2 3 3 2" xfId="10221" xr:uid="{00000000-0005-0000-0000-0000EE270000}"/>
    <cellStyle name="Финансовый 8 4 2 3 3 2 2" xfId="10222" xr:uid="{00000000-0005-0000-0000-0000EF270000}"/>
    <cellStyle name="Финансовый 8 4 2 3 3 3" xfId="10223" xr:uid="{00000000-0005-0000-0000-0000F0270000}"/>
    <cellStyle name="Финансовый 8 4 2 3 4" xfId="10224" xr:uid="{00000000-0005-0000-0000-0000F1270000}"/>
    <cellStyle name="Финансовый 8 4 2 3 4 2" xfId="10225" xr:uid="{00000000-0005-0000-0000-0000F2270000}"/>
    <cellStyle name="Финансовый 8 4 2 3 5" xfId="10226" xr:uid="{00000000-0005-0000-0000-0000F3270000}"/>
    <cellStyle name="Финансовый 8 4 2 4" xfId="10227" xr:uid="{00000000-0005-0000-0000-0000F4270000}"/>
    <cellStyle name="Финансовый 8 4 2 4 2" xfId="10228" xr:uid="{00000000-0005-0000-0000-0000F5270000}"/>
    <cellStyle name="Финансовый 8 4 2 4 2 2" xfId="10229" xr:uid="{00000000-0005-0000-0000-0000F6270000}"/>
    <cellStyle name="Финансовый 8 4 2 4 2 2 2" xfId="10230" xr:uid="{00000000-0005-0000-0000-0000F7270000}"/>
    <cellStyle name="Финансовый 8 4 2 4 2 3" xfId="10231" xr:uid="{00000000-0005-0000-0000-0000F8270000}"/>
    <cellStyle name="Финансовый 8 4 2 4 3" xfId="10232" xr:uid="{00000000-0005-0000-0000-0000F9270000}"/>
    <cellStyle name="Финансовый 8 4 2 4 3 2" xfId="10233" xr:uid="{00000000-0005-0000-0000-0000FA270000}"/>
    <cellStyle name="Финансовый 8 4 2 4 4" xfId="10234" xr:uid="{00000000-0005-0000-0000-0000FB270000}"/>
    <cellStyle name="Финансовый 8 4 2 5" xfId="10235" xr:uid="{00000000-0005-0000-0000-0000FC270000}"/>
    <cellStyle name="Финансовый 8 4 2 5 2" xfId="10236" xr:uid="{00000000-0005-0000-0000-0000FD270000}"/>
    <cellStyle name="Финансовый 8 4 2 5 2 2" xfId="10237" xr:uid="{00000000-0005-0000-0000-0000FE270000}"/>
    <cellStyle name="Финансовый 8 4 2 5 3" xfId="10238" xr:uid="{00000000-0005-0000-0000-0000FF270000}"/>
    <cellStyle name="Финансовый 8 4 2 6" xfId="10239" xr:uid="{00000000-0005-0000-0000-000000280000}"/>
    <cellStyle name="Финансовый 8 4 2 6 2" xfId="10240" xr:uid="{00000000-0005-0000-0000-000001280000}"/>
    <cellStyle name="Финансовый 8 4 2 7" xfId="10241" xr:uid="{00000000-0005-0000-0000-000002280000}"/>
    <cellStyle name="Финансовый 8 4 3" xfId="10242" xr:uid="{00000000-0005-0000-0000-000003280000}"/>
    <cellStyle name="Финансовый 8 4 3 2" xfId="10243" xr:uid="{00000000-0005-0000-0000-000004280000}"/>
    <cellStyle name="Финансовый 8 4 3 2 2" xfId="10244" xr:uid="{00000000-0005-0000-0000-000005280000}"/>
    <cellStyle name="Финансовый 8 4 3 2 2 2" xfId="10245" xr:uid="{00000000-0005-0000-0000-000006280000}"/>
    <cellStyle name="Финансовый 8 4 3 2 2 2 2" xfId="10246" xr:uid="{00000000-0005-0000-0000-000007280000}"/>
    <cellStyle name="Финансовый 8 4 3 2 2 2 2 2" xfId="10247" xr:uid="{00000000-0005-0000-0000-000008280000}"/>
    <cellStyle name="Финансовый 8 4 3 2 2 2 3" xfId="10248" xr:uid="{00000000-0005-0000-0000-000009280000}"/>
    <cellStyle name="Финансовый 8 4 3 2 2 3" xfId="10249" xr:uid="{00000000-0005-0000-0000-00000A280000}"/>
    <cellStyle name="Финансовый 8 4 3 2 2 3 2" xfId="10250" xr:uid="{00000000-0005-0000-0000-00000B280000}"/>
    <cellStyle name="Финансовый 8 4 3 2 2 4" xfId="10251" xr:uid="{00000000-0005-0000-0000-00000C280000}"/>
    <cellStyle name="Финансовый 8 4 3 2 3" xfId="10252" xr:uid="{00000000-0005-0000-0000-00000D280000}"/>
    <cellStyle name="Финансовый 8 4 3 2 3 2" xfId="10253" xr:uid="{00000000-0005-0000-0000-00000E280000}"/>
    <cellStyle name="Финансовый 8 4 3 2 3 2 2" xfId="10254" xr:uid="{00000000-0005-0000-0000-00000F280000}"/>
    <cellStyle name="Финансовый 8 4 3 2 3 3" xfId="10255" xr:uid="{00000000-0005-0000-0000-000010280000}"/>
    <cellStyle name="Финансовый 8 4 3 2 4" xfId="10256" xr:uid="{00000000-0005-0000-0000-000011280000}"/>
    <cellStyle name="Финансовый 8 4 3 2 4 2" xfId="10257" xr:uid="{00000000-0005-0000-0000-000012280000}"/>
    <cellStyle name="Финансовый 8 4 3 2 5" xfId="10258" xr:uid="{00000000-0005-0000-0000-000013280000}"/>
    <cellStyle name="Финансовый 8 4 3 3" xfId="10259" xr:uid="{00000000-0005-0000-0000-000014280000}"/>
    <cellStyle name="Финансовый 8 4 3 3 2" xfId="10260" xr:uid="{00000000-0005-0000-0000-000015280000}"/>
    <cellStyle name="Финансовый 8 4 3 3 2 2" xfId="10261" xr:uid="{00000000-0005-0000-0000-000016280000}"/>
    <cellStyle name="Финансовый 8 4 3 3 2 2 2" xfId="10262" xr:uid="{00000000-0005-0000-0000-000017280000}"/>
    <cellStyle name="Финансовый 8 4 3 3 2 3" xfId="10263" xr:uid="{00000000-0005-0000-0000-000018280000}"/>
    <cellStyle name="Финансовый 8 4 3 3 3" xfId="10264" xr:uid="{00000000-0005-0000-0000-000019280000}"/>
    <cellStyle name="Финансовый 8 4 3 3 3 2" xfId="10265" xr:uid="{00000000-0005-0000-0000-00001A280000}"/>
    <cellStyle name="Финансовый 8 4 3 3 4" xfId="10266" xr:uid="{00000000-0005-0000-0000-00001B280000}"/>
    <cellStyle name="Финансовый 8 4 3 4" xfId="10267" xr:uid="{00000000-0005-0000-0000-00001C280000}"/>
    <cellStyle name="Финансовый 8 4 3 4 2" xfId="10268" xr:uid="{00000000-0005-0000-0000-00001D280000}"/>
    <cellStyle name="Финансовый 8 4 3 4 2 2" xfId="10269" xr:uid="{00000000-0005-0000-0000-00001E280000}"/>
    <cellStyle name="Финансовый 8 4 3 4 3" xfId="10270" xr:uid="{00000000-0005-0000-0000-00001F280000}"/>
    <cellStyle name="Финансовый 8 4 3 5" xfId="10271" xr:uid="{00000000-0005-0000-0000-000020280000}"/>
    <cellStyle name="Финансовый 8 4 3 5 2" xfId="10272" xr:uid="{00000000-0005-0000-0000-000021280000}"/>
    <cellStyle name="Финансовый 8 4 3 6" xfId="10273" xr:uid="{00000000-0005-0000-0000-000022280000}"/>
    <cellStyle name="Финансовый 8 4 4" xfId="10274" xr:uid="{00000000-0005-0000-0000-000023280000}"/>
    <cellStyle name="Финансовый 8 4 4 2" xfId="10275" xr:uid="{00000000-0005-0000-0000-000024280000}"/>
    <cellStyle name="Финансовый 8 4 4 2 2" xfId="10276" xr:uid="{00000000-0005-0000-0000-000025280000}"/>
    <cellStyle name="Финансовый 8 4 4 2 2 2" xfId="10277" xr:uid="{00000000-0005-0000-0000-000026280000}"/>
    <cellStyle name="Финансовый 8 4 4 2 2 2 2" xfId="10278" xr:uid="{00000000-0005-0000-0000-000027280000}"/>
    <cellStyle name="Финансовый 8 4 4 2 2 3" xfId="10279" xr:uid="{00000000-0005-0000-0000-000028280000}"/>
    <cellStyle name="Финансовый 8 4 4 2 3" xfId="10280" xr:uid="{00000000-0005-0000-0000-000029280000}"/>
    <cellStyle name="Финансовый 8 4 4 2 3 2" xfId="10281" xr:uid="{00000000-0005-0000-0000-00002A280000}"/>
    <cellStyle name="Финансовый 8 4 4 2 4" xfId="10282" xr:uid="{00000000-0005-0000-0000-00002B280000}"/>
    <cellStyle name="Финансовый 8 4 4 3" xfId="10283" xr:uid="{00000000-0005-0000-0000-00002C280000}"/>
    <cellStyle name="Финансовый 8 4 4 3 2" xfId="10284" xr:uid="{00000000-0005-0000-0000-00002D280000}"/>
    <cellStyle name="Финансовый 8 4 4 3 2 2" xfId="10285" xr:uid="{00000000-0005-0000-0000-00002E280000}"/>
    <cellStyle name="Финансовый 8 4 4 3 3" xfId="10286" xr:uid="{00000000-0005-0000-0000-00002F280000}"/>
    <cellStyle name="Финансовый 8 4 4 4" xfId="10287" xr:uid="{00000000-0005-0000-0000-000030280000}"/>
    <cellStyle name="Финансовый 8 4 4 4 2" xfId="10288" xr:uid="{00000000-0005-0000-0000-000031280000}"/>
    <cellStyle name="Финансовый 8 4 4 5" xfId="10289" xr:uid="{00000000-0005-0000-0000-000032280000}"/>
    <cellStyle name="Финансовый 8 4 5" xfId="10290" xr:uid="{00000000-0005-0000-0000-000033280000}"/>
    <cellStyle name="Финансовый 8 4 5 2" xfId="10291" xr:uid="{00000000-0005-0000-0000-000034280000}"/>
    <cellStyle name="Финансовый 8 4 5 2 2" xfId="10292" xr:uid="{00000000-0005-0000-0000-000035280000}"/>
    <cellStyle name="Финансовый 8 4 5 2 2 2" xfId="10293" xr:uid="{00000000-0005-0000-0000-000036280000}"/>
    <cellStyle name="Финансовый 8 4 5 2 3" xfId="10294" xr:uid="{00000000-0005-0000-0000-000037280000}"/>
    <cellStyle name="Финансовый 8 4 5 3" xfId="10295" xr:uid="{00000000-0005-0000-0000-000038280000}"/>
    <cellStyle name="Финансовый 8 4 5 3 2" xfId="10296" xr:uid="{00000000-0005-0000-0000-000039280000}"/>
    <cellStyle name="Финансовый 8 4 5 4" xfId="10297" xr:uid="{00000000-0005-0000-0000-00003A280000}"/>
    <cellStyle name="Финансовый 8 4 6" xfId="10298" xr:uid="{00000000-0005-0000-0000-00003B280000}"/>
    <cellStyle name="Финансовый 8 4 6 2" xfId="10299" xr:uid="{00000000-0005-0000-0000-00003C280000}"/>
    <cellStyle name="Финансовый 8 4 6 2 2" xfId="10300" xr:uid="{00000000-0005-0000-0000-00003D280000}"/>
    <cellStyle name="Финансовый 8 4 6 3" xfId="10301" xr:uid="{00000000-0005-0000-0000-00003E280000}"/>
    <cellStyle name="Финансовый 8 4 7" xfId="10302" xr:uid="{00000000-0005-0000-0000-00003F280000}"/>
    <cellStyle name="Финансовый 8 4 7 2" xfId="10303" xr:uid="{00000000-0005-0000-0000-000040280000}"/>
    <cellStyle name="Финансовый 8 4 8" xfId="10304" xr:uid="{00000000-0005-0000-0000-000041280000}"/>
    <cellStyle name="Финансовый 8 5" xfId="10305" xr:uid="{00000000-0005-0000-0000-000042280000}"/>
    <cellStyle name="Финансовый 8 5 2" xfId="10306" xr:uid="{00000000-0005-0000-0000-000043280000}"/>
    <cellStyle name="Финансовый 8 5 2 2" xfId="10307" xr:uid="{00000000-0005-0000-0000-000044280000}"/>
    <cellStyle name="Финансовый 8 5 2 2 2" xfId="10308" xr:uid="{00000000-0005-0000-0000-000045280000}"/>
    <cellStyle name="Финансовый 8 5 2 2 2 2" xfId="10309" xr:uid="{00000000-0005-0000-0000-000046280000}"/>
    <cellStyle name="Финансовый 8 5 2 2 2 2 2" xfId="10310" xr:uid="{00000000-0005-0000-0000-000047280000}"/>
    <cellStyle name="Финансовый 8 5 2 2 2 2 2 2" xfId="10311" xr:uid="{00000000-0005-0000-0000-000048280000}"/>
    <cellStyle name="Финансовый 8 5 2 2 2 2 3" xfId="10312" xr:uid="{00000000-0005-0000-0000-000049280000}"/>
    <cellStyle name="Финансовый 8 5 2 2 2 3" xfId="10313" xr:uid="{00000000-0005-0000-0000-00004A280000}"/>
    <cellStyle name="Финансовый 8 5 2 2 2 3 2" xfId="10314" xr:uid="{00000000-0005-0000-0000-00004B280000}"/>
    <cellStyle name="Финансовый 8 5 2 2 2 4" xfId="10315" xr:uid="{00000000-0005-0000-0000-00004C280000}"/>
    <cellStyle name="Финансовый 8 5 2 2 3" xfId="10316" xr:uid="{00000000-0005-0000-0000-00004D280000}"/>
    <cellStyle name="Финансовый 8 5 2 2 3 2" xfId="10317" xr:uid="{00000000-0005-0000-0000-00004E280000}"/>
    <cellStyle name="Финансовый 8 5 2 2 3 2 2" xfId="10318" xr:uid="{00000000-0005-0000-0000-00004F280000}"/>
    <cellStyle name="Финансовый 8 5 2 2 3 3" xfId="10319" xr:uid="{00000000-0005-0000-0000-000050280000}"/>
    <cellStyle name="Финансовый 8 5 2 2 4" xfId="10320" xr:uid="{00000000-0005-0000-0000-000051280000}"/>
    <cellStyle name="Финансовый 8 5 2 2 4 2" xfId="10321" xr:uid="{00000000-0005-0000-0000-000052280000}"/>
    <cellStyle name="Финансовый 8 5 2 2 5" xfId="10322" xr:uid="{00000000-0005-0000-0000-000053280000}"/>
    <cellStyle name="Финансовый 8 5 2 3" xfId="10323" xr:uid="{00000000-0005-0000-0000-000054280000}"/>
    <cellStyle name="Финансовый 8 5 2 3 2" xfId="10324" xr:uid="{00000000-0005-0000-0000-000055280000}"/>
    <cellStyle name="Финансовый 8 5 2 3 2 2" xfId="10325" xr:uid="{00000000-0005-0000-0000-000056280000}"/>
    <cellStyle name="Финансовый 8 5 2 3 2 2 2" xfId="10326" xr:uid="{00000000-0005-0000-0000-000057280000}"/>
    <cellStyle name="Финансовый 8 5 2 3 2 3" xfId="10327" xr:uid="{00000000-0005-0000-0000-000058280000}"/>
    <cellStyle name="Финансовый 8 5 2 3 3" xfId="10328" xr:uid="{00000000-0005-0000-0000-000059280000}"/>
    <cellStyle name="Финансовый 8 5 2 3 3 2" xfId="10329" xr:uid="{00000000-0005-0000-0000-00005A280000}"/>
    <cellStyle name="Финансовый 8 5 2 3 4" xfId="10330" xr:uid="{00000000-0005-0000-0000-00005B280000}"/>
    <cellStyle name="Финансовый 8 5 2 4" xfId="10331" xr:uid="{00000000-0005-0000-0000-00005C280000}"/>
    <cellStyle name="Финансовый 8 5 2 4 2" xfId="10332" xr:uid="{00000000-0005-0000-0000-00005D280000}"/>
    <cellStyle name="Финансовый 8 5 2 4 2 2" xfId="10333" xr:uid="{00000000-0005-0000-0000-00005E280000}"/>
    <cellStyle name="Финансовый 8 5 2 4 3" xfId="10334" xr:uid="{00000000-0005-0000-0000-00005F280000}"/>
    <cellStyle name="Финансовый 8 5 2 5" xfId="10335" xr:uid="{00000000-0005-0000-0000-000060280000}"/>
    <cellStyle name="Финансовый 8 5 2 5 2" xfId="10336" xr:uid="{00000000-0005-0000-0000-000061280000}"/>
    <cellStyle name="Финансовый 8 5 2 6" xfId="10337" xr:uid="{00000000-0005-0000-0000-000062280000}"/>
    <cellStyle name="Финансовый 8 5 3" xfId="10338" xr:uid="{00000000-0005-0000-0000-000063280000}"/>
    <cellStyle name="Финансовый 8 5 3 2" xfId="10339" xr:uid="{00000000-0005-0000-0000-000064280000}"/>
    <cellStyle name="Финансовый 8 5 3 2 2" xfId="10340" xr:uid="{00000000-0005-0000-0000-000065280000}"/>
    <cellStyle name="Финансовый 8 5 3 2 2 2" xfId="10341" xr:uid="{00000000-0005-0000-0000-000066280000}"/>
    <cellStyle name="Финансовый 8 5 3 2 2 2 2" xfId="10342" xr:uid="{00000000-0005-0000-0000-000067280000}"/>
    <cellStyle name="Финансовый 8 5 3 2 2 3" xfId="10343" xr:uid="{00000000-0005-0000-0000-000068280000}"/>
    <cellStyle name="Финансовый 8 5 3 2 3" xfId="10344" xr:uid="{00000000-0005-0000-0000-000069280000}"/>
    <cellStyle name="Финансовый 8 5 3 2 3 2" xfId="10345" xr:uid="{00000000-0005-0000-0000-00006A280000}"/>
    <cellStyle name="Финансовый 8 5 3 2 4" xfId="10346" xr:uid="{00000000-0005-0000-0000-00006B280000}"/>
    <cellStyle name="Финансовый 8 5 3 3" xfId="10347" xr:uid="{00000000-0005-0000-0000-00006C280000}"/>
    <cellStyle name="Финансовый 8 5 3 3 2" xfId="10348" xr:uid="{00000000-0005-0000-0000-00006D280000}"/>
    <cellStyle name="Финансовый 8 5 3 3 2 2" xfId="10349" xr:uid="{00000000-0005-0000-0000-00006E280000}"/>
    <cellStyle name="Финансовый 8 5 3 3 3" xfId="10350" xr:uid="{00000000-0005-0000-0000-00006F280000}"/>
    <cellStyle name="Финансовый 8 5 3 4" xfId="10351" xr:uid="{00000000-0005-0000-0000-000070280000}"/>
    <cellStyle name="Финансовый 8 5 3 4 2" xfId="10352" xr:uid="{00000000-0005-0000-0000-000071280000}"/>
    <cellStyle name="Финансовый 8 5 3 5" xfId="10353" xr:uid="{00000000-0005-0000-0000-000072280000}"/>
    <cellStyle name="Финансовый 8 5 4" xfId="10354" xr:uid="{00000000-0005-0000-0000-000073280000}"/>
    <cellStyle name="Финансовый 8 5 4 2" xfId="10355" xr:uid="{00000000-0005-0000-0000-000074280000}"/>
    <cellStyle name="Финансовый 8 5 4 2 2" xfId="10356" xr:uid="{00000000-0005-0000-0000-000075280000}"/>
    <cellStyle name="Финансовый 8 5 4 2 2 2" xfId="10357" xr:uid="{00000000-0005-0000-0000-000076280000}"/>
    <cellStyle name="Финансовый 8 5 4 2 3" xfId="10358" xr:uid="{00000000-0005-0000-0000-000077280000}"/>
    <cellStyle name="Финансовый 8 5 4 3" xfId="10359" xr:uid="{00000000-0005-0000-0000-000078280000}"/>
    <cellStyle name="Финансовый 8 5 4 3 2" xfId="10360" xr:uid="{00000000-0005-0000-0000-000079280000}"/>
    <cellStyle name="Финансовый 8 5 4 4" xfId="10361" xr:uid="{00000000-0005-0000-0000-00007A280000}"/>
    <cellStyle name="Финансовый 8 5 5" xfId="10362" xr:uid="{00000000-0005-0000-0000-00007B280000}"/>
    <cellStyle name="Финансовый 8 5 5 2" xfId="10363" xr:uid="{00000000-0005-0000-0000-00007C280000}"/>
    <cellStyle name="Финансовый 8 5 5 2 2" xfId="10364" xr:uid="{00000000-0005-0000-0000-00007D280000}"/>
    <cellStyle name="Финансовый 8 5 5 3" xfId="10365" xr:uid="{00000000-0005-0000-0000-00007E280000}"/>
    <cellStyle name="Финансовый 8 5 6" xfId="10366" xr:uid="{00000000-0005-0000-0000-00007F280000}"/>
    <cellStyle name="Финансовый 8 5 6 2" xfId="10367" xr:uid="{00000000-0005-0000-0000-000080280000}"/>
    <cellStyle name="Финансовый 8 5 7" xfId="10368" xr:uid="{00000000-0005-0000-0000-000081280000}"/>
    <cellStyle name="Финансовый 8 6" xfId="10369" xr:uid="{00000000-0005-0000-0000-000082280000}"/>
    <cellStyle name="Финансовый 8 6 2" xfId="10370" xr:uid="{00000000-0005-0000-0000-000083280000}"/>
    <cellStyle name="Финансовый 8 6 2 2" xfId="10371" xr:uid="{00000000-0005-0000-0000-000084280000}"/>
    <cellStyle name="Финансовый 8 6 2 2 2" xfId="10372" xr:uid="{00000000-0005-0000-0000-000085280000}"/>
    <cellStyle name="Финансовый 8 6 2 2 2 2" xfId="10373" xr:uid="{00000000-0005-0000-0000-000086280000}"/>
    <cellStyle name="Финансовый 8 6 2 2 2 2 2" xfId="10374" xr:uid="{00000000-0005-0000-0000-000087280000}"/>
    <cellStyle name="Финансовый 8 6 2 2 2 3" xfId="10375" xr:uid="{00000000-0005-0000-0000-000088280000}"/>
    <cellStyle name="Финансовый 8 6 2 2 3" xfId="10376" xr:uid="{00000000-0005-0000-0000-000089280000}"/>
    <cellStyle name="Финансовый 8 6 2 2 3 2" xfId="10377" xr:uid="{00000000-0005-0000-0000-00008A280000}"/>
    <cellStyle name="Финансовый 8 6 2 2 4" xfId="10378" xr:uid="{00000000-0005-0000-0000-00008B280000}"/>
    <cellStyle name="Финансовый 8 6 2 3" xfId="10379" xr:uid="{00000000-0005-0000-0000-00008C280000}"/>
    <cellStyle name="Финансовый 8 6 2 3 2" xfId="10380" xr:uid="{00000000-0005-0000-0000-00008D280000}"/>
    <cellStyle name="Финансовый 8 6 2 3 2 2" xfId="10381" xr:uid="{00000000-0005-0000-0000-00008E280000}"/>
    <cellStyle name="Финансовый 8 6 2 3 3" xfId="10382" xr:uid="{00000000-0005-0000-0000-00008F280000}"/>
    <cellStyle name="Финансовый 8 6 2 4" xfId="10383" xr:uid="{00000000-0005-0000-0000-000090280000}"/>
    <cellStyle name="Финансовый 8 6 2 4 2" xfId="10384" xr:uid="{00000000-0005-0000-0000-000091280000}"/>
    <cellStyle name="Финансовый 8 6 2 5" xfId="10385" xr:uid="{00000000-0005-0000-0000-000092280000}"/>
    <cellStyle name="Финансовый 8 6 3" xfId="10386" xr:uid="{00000000-0005-0000-0000-000093280000}"/>
    <cellStyle name="Финансовый 8 6 3 2" xfId="10387" xr:uid="{00000000-0005-0000-0000-000094280000}"/>
    <cellStyle name="Финансовый 8 6 3 2 2" xfId="10388" xr:uid="{00000000-0005-0000-0000-000095280000}"/>
    <cellStyle name="Финансовый 8 6 3 2 2 2" xfId="10389" xr:uid="{00000000-0005-0000-0000-000096280000}"/>
    <cellStyle name="Финансовый 8 6 3 2 3" xfId="10390" xr:uid="{00000000-0005-0000-0000-000097280000}"/>
    <cellStyle name="Финансовый 8 6 3 3" xfId="10391" xr:uid="{00000000-0005-0000-0000-000098280000}"/>
    <cellStyle name="Финансовый 8 6 3 3 2" xfId="10392" xr:uid="{00000000-0005-0000-0000-000099280000}"/>
    <cellStyle name="Финансовый 8 6 3 4" xfId="10393" xr:uid="{00000000-0005-0000-0000-00009A280000}"/>
    <cellStyle name="Финансовый 8 6 4" xfId="10394" xr:uid="{00000000-0005-0000-0000-00009B280000}"/>
    <cellStyle name="Финансовый 8 6 4 2" xfId="10395" xr:uid="{00000000-0005-0000-0000-00009C280000}"/>
    <cellStyle name="Финансовый 8 6 4 2 2" xfId="10396" xr:uid="{00000000-0005-0000-0000-00009D280000}"/>
    <cellStyle name="Финансовый 8 6 4 3" xfId="10397" xr:uid="{00000000-0005-0000-0000-00009E280000}"/>
    <cellStyle name="Финансовый 8 6 5" xfId="10398" xr:uid="{00000000-0005-0000-0000-00009F280000}"/>
    <cellStyle name="Финансовый 8 6 5 2" xfId="10399" xr:uid="{00000000-0005-0000-0000-0000A0280000}"/>
    <cellStyle name="Финансовый 8 6 6" xfId="10400" xr:uid="{00000000-0005-0000-0000-0000A1280000}"/>
    <cellStyle name="Финансовый 8 7" xfId="10401" xr:uid="{00000000-0005-0000-0000-0000A2280000}"/>
    <cellStyle name="Финансовый 8 7 2" xfId="10402" xr:uid="{00000000-0005-0000-0000-0000A3280000}"/>
    <cellStyle name="Финансовый 8 7 2 2" xfId="10403" xr:uid="{00000000-0005-0000-0000-0000A4280000}"/>
    <cellStyle name="Финансовый 8 7 2 2 2" xfId="10404" xr:uid="{00000000-0005-0000-0000-0000A5280000}"/>
    <cellStyle name="Финансовый 8 7 2 2 2 2" xfId="10405" xr:uid="{00000000-0005-0000-0000-0000A6280000}"/>
    <cellStyle name="Финансовый 8 7 2 2 3" xfId="10406" xr:uid="{00000000-0005-0000-0000-0000A7280000}"/>
    <cellStyle name="Финансовый 8 7 2 3" xfId="10407" xr:uid="{00000000-0005-0000-0000-0000A8280000}"/>
    <cellStyle name="Финансовый 8 7 2 3 2" xfId="10408" xr:uid="{00000000-0005-0000-0000-0000A9280000}"/>
    <cellStyle name="Финансовый 8 7 2 4" xfId="10409" xr:uid="{00000000-0005-0000-0000-0000AA280000}"/>
    <cellStyle name="Финансовый 8 7 3" xfId="10410" xr:uid="{00000000-0005-0000-0000-0000AB280000}"/>
    <cellStyle name="Финансовый 8 7 3 2" xfId="10411" xr:uid="{00000000-0005-0000-0000-0000AC280000}"/>
    <cellStyle name="Финансовый 8 7 3 2 2" xfId="10412" xr:uid="{00000000-0005-0000-0000-0000AD280000}"/>
    <cellStyle name="Финансовый 8 7 3 3" xfId="10413" xr:uid="{00000000-0005-0000-0000-0000AE280000}"/>
    <cellStyle name="Финансовый 8 7 4" xfId="10414" xr:uid="{00000000-0005-0000-0000-0000AF280000}"/>
    <cellStyle name="Финансовый 8 7 4 2" xfId="10415" xr:uid="{00000000-0005-0000-0000-0000B0280000}"/>
    <cellStyle name="Финансовый 8 7 5" xfId="10416" xr:uid="{00000000-0005-0000-0000-0000B1280000}"/>
    <cellStyle name="Финансовый 8 8" xfId="10417" xr:uid="{00000000-0005-0000-0000-0000B2280000}"/>
    <cellStyle name="Финансовый 8 8 2" xfId="10418" xr:uid="{00000000-0005-0000-0000-0000B3280000}"/>
    <cellStyle name="Финансовый 8 8 2 2" xfId="10419" xr:uid="{00000000-0005-0000-0000-0000B4280000}"/>
    <cellStyle name="Финансовый 8 8 2 2 2" xfId="10420" xr:uid="{00000000-0005-0000-0000-0000B5280000}"/>
    <cellStyle name="Финансовый 8 8 2 3" xfId="10421" xr:uid="{00000000-0005-0000-0000-0000B6280000}"/>
    <cellStyle name="Финансовый 8 8 3" xfId="10422" xr:uid="{00000000-0005-0000-0000-0000B7280000}"/>
    <cellStyle name="Финансовый 8 8 3 2" xfId="10423" xr:uid="{00000000-0005-0000-0000-0000B8280000}"/>
    <cellStyle name="Финансовый 8 8 4" xfId="10424" xr:uid="{00000000-0005-0000-0000-0000B9280000}"/>
    <cellStyle name="Финансовый 8 9" xfId="10425" xr:uid="{00000000-0005-0000-0000-0000BA280000}"/>
    <cellStyle name="Финансовый 8 9 2" xfId="10426" xr:uid="{00000000-0005-0000-0000-0000BB280000}"/>
    <cellStyle name="Финансовый 8 9 2 2" xfId="10427" xr:uid="{00000000-0005-0000-0000-0000BC280000}"/>
    <cellStyle name="Финансовый 8 9 3" xfId="10428" xr:uid="{00000000-0005-0000-0000-0000BD280000}"/>
    <cellStyle name="Финансовый 9" xfId="10429" xr:uid="{00000000-0005-0000-0000-0000BE280000}"/>
    <cellStyle name="Финансовый 9 10" xfId="10430" xr:uid="{00000000-0005-0000-0000-0000BF280000}"/>
    <cellStyle name="Финансовый 9 10 2" xfId="10431" xr:uid="{00000000-0005-0000-0000-0000C0280000}"/>
    <cellStyle name="Финансовый 9 11" xfId="10432" xr:uid="{00000000-0005-0000-0000-0000C1280000}"/>
    <cellStyle name="Финансовый 9 2" xfId="10433" xr:uid="{00000000-0005-0000-0000-0000C2280000}"/>
    <cellStyle name="Финансовый 9 2 10" xfId="10434" xr:uid="{00000000-0005-0000-0000-0000C3280000}"/>
    <cellStyle name="Финансовый 9 2 2" xfId="10435" xr:uid="{00000000-0005-0000-0000-0000C4280000}"/>
    <cellStyle name="Финансовый 9 2 2 2" xfId="10436" xr:uid="{00000000-0005-0000-0000-0000C5280000}"/>
    <cellStyle name="Финансовый 9 2 2 2 2" xfId="10437" xr:uid="{00000000-0005-0000-0000-0000C6280000}"/>
    <cellStyle name="Финансовый 9 2 2 2 2 2" xfId="10438" xr:uid="{00000000-0005-0000-0000-0000C7280000}"/>
    <cellStyle name="Финансовый 9 2 2 2 2 2 2" xfId="10439" xr:uid="{00000000-0005-0000-0000-0000C8280000}"/>
    <cellStyle name="Финансовый 9 2 2 2 2 2 2 2" xfId="10440" xr:uid="{00000000-0005-0000-0000-0000C9280000}"/>
    <cellStyle name="Финансовый 9 2 2 2 2 2 2 2 2" xfId="10441" xr:uid="{00000000-0005-0000-0000-0000CA280000}"/>
    <cellStyle name="Финансовый 9 2 2 2 2 2 2 2 2 2" xfId="10442" xr:uid="{00000000-0005-0000-0000-0000CB280000}"/>
    <cellStyle name="Финансовый 9 2 2 2 2 2 2 2 2 2 2" xfId="10443" xr:uid="{00000000-0005-0000-0000-0000CC280000}"/>
    <cellStyle name="Финансовый 9 2 2 2 2 2 2 2 2 3" xfId="10444" xr:uid="{00000000-0005-0000-0000-0000CD280000}"/>
    <cellStyle name="Финансовый 9 2 2 2 2 2 2 2 3" xfId="10445" xr:uid="{00000000-0005-0000-0000-0000CE280000}"/>
    <cellStyle name="Финансовый 9 2 2 2 2 2 2 2 3 2" xfId="10446" xr:uid="{00000000-0005-0000-0000-0000CF280000}"/>
    <cellStyle name="Финансовый 9 2 2 2 2 2 2 2 4" xfId="10447" xr:uid="{00000000-0005-0000-0000-0000D0280000}"/>
    <cellStyle name="Финансовый 9 2 2 2 2 2 2 3" xfId="10448" xr:uid="{00000000-0005-0000-0000-0000D1280000}"/>
    <cellStyle name="Финансовый 9 2 2 2 2 2 2 3 2" xfId="10449" xr:uid="{00000000-0005-0000-0000-0000D2280000}"/>
    <cellStyle name="Финансовый 9 2 2 2 2 2 2 3 2 2" xfId="10450" xr:uid="{00000000-0005-0000-0000-0000D3280000}"/>
    <cellStyle name="Финансовый 9 2 2 2 2 2 2 3 3" xfId="10451" xr:uid="{00000000-0005-0000-0000-0000D4280000}"/>
    <cellStyle name="Финансовый 9 2 2 2 2 2 2 4" xfId="10452" xr:uid="{00000000-0005-0000-0000-0000D5280000}"/>
    <cellStyle name="Финансовый 9 2 2 2 2 2 2 4 2" xfId="10453" xr:uid="{00000000-0005-0000-0000-0000D6280000}"/>
    <cellStyle name="Финансовый 9 2 2 2 2 2 2 5" xfId="10454" xr:uid="{00000000-0005-0000-0000-0000D7280000}"/>
    <cellStyle name="Финансовый 9 2 2 2 2 2 3" xfId="10455" xr:uid="{00000000-0005-0000-0000-0000D8280000}"/>
    <cellStyle name="Финансовый 9 2 2 2 2 2 3 2" xfId="10456" xr:uid="{00000000-0005-0000-0000-0000D9280000}"/>
    <cellStyle name="Финансовый 9 2 2 2 2 2 3 2 2" xfId="10457" xr:uid="{00000000-0005-0000-0000-0000DA280000}"/>
    <cellStyle name="Финансовый 9 2 2 2 2 2 3 2 2 2" xfId="10458" xr:uid="{00000000-0005-0000-0000-0000DB280000}"/>
    <cellStyle name="Финансовый 9 2 2 2 2 2 3 2 3" xfId="10459" xr:uid="{00000000-0005-0000-0000-0000DC280000}"/>
    <cellStyle name="Финансовый 9 2 2 2 2 2 3 3" xfId="10460" xr:uid="{00000000-0005-0000-0000-0000DD280000}"/>
    <cellStyle name="Финансовый 9 2 2 2 2 2 3 3 2" xfId="10461" xr:uid="{00000000-0005-0000-0000-0000DE280000}"/>
    <cellStyle name="Финансовый 9 2 2 2 2 2 3 4" xfId="10462" xr:uid="{00000000-0005-0000-0000-0000DF280000}"/>
    <cellStyle name="Финансовый 9 2 2 2 2 2 4" xfId="10463" xr:uid="{00000000-0005-0000-0000-0000E0280000}"/>
    <cellStyle name="Финансовый 9 2 2 2 2 2 4 2" xfId="10464" xr:uid="{00000000-0005-0000-0000-0000E1280000}"/>
    <cellStyle name="Финансовый 9 2 2 2 2 2 4 2 2" xfId="10465" xr:uid="{00000000-0005-0000-0000-0000E2280000}"/>
    <cellStyle name="Финансовый 9 2 2 2 2 2 4 3" xfId="10466" xr:uid="{00000000-0005-0000-0000-0000E3280000}"/>
    <cellStyle name="Финансовый 9 2 2 2 2 2 5" xfId="10467" xr:uid="{00000000-0005-0000-0000-0000E4280000}"/>
    <cellStyle name="Финансовый 9 2 2 2 2 2 5 2" xfId="10468" xr:uid="{00000000-0005-0000-0000-0000E5280000}"/>
    <cellStyle name="Финансовый 9 2 2 2 2 2 6" xfId="10469" xr:uid="{00000000-0005-0000-0000-0000E6280000}"/>
    <cellStyle name="Финансовый 9 2 2 2 2 3" xfId="10470" xr:uid="{00000000-0005-0000-0000-0000E7280000}"/>
    <cellStyle name="Финансовый 9 2 2 2 2 3 2" xfId="10471" xr:uid="{00000000-0005-0000-0000-0000E8280000}"/>
    <cellStyle name="Финансовый 9 2 2 2 2 3 2 2" xfId="10472" xr:uid="{00000000-0005-0000-0000-0000E9280000}"/>
    <cellStyle name="Финансовый 9 2 2 2 2 3 2 2 2" xfId="10473" xr:uid="{00000000-0005-0000-0000-0000EA280000}"/>
    <cellStyle name="Финансовый 9 2 2 2 2 3 2 2 2 2" xfId="10474" xr:uid="{00000000-0005-0000-0000-0000EB280000}"/>
    <cellStyle name="Финансовый 9 2 2 2 2 3 2 2 3" xfId="10475" xr:uid="{00000000-0005-0000-0000-0000EC280000}"/>
    <cellStyle name="Финансовый 9 2 2 2 2 3 2 3" xfId="10476" xr:uid="{00000000-0005-0000-0000-0000ED280000}"/>
    <cellStyle name="Финансовый 9 2 2 2 2 3 2 3 2" xfId="10477" xr:uid="{00000000-0005-0000-0000-0000EE280000}"/>
    <cellStyle name="Финансовый 9 2 2 2 2 3 2 4" xfId="10478" xr:uid="{00000000-0005-0000-0000-0000EF280000}"/>
    <cellStyle name="Финансовый 9 2 2 2 2 3 3" xfId="10479" xr:uid="{00000000-0005-0000-0000-0000F0280000}"/>
    <cellStyle name="Финансовый 9 2 2 2 2 3 3 2" xfId="10480" xr:uid="{00000000-0005-0000-0000-0000F1280000}"/>
    <cellStyle name="Финансовый 9 2 2 2 2 3 3 2 2" xfId="10481" xr:uid="{00000000-0005-0000-0000-0000F2280000}"/>
    <cellStyle name="Финансовый 9 2 2 2 2 3 3 3" xfId="10482" xr:uid="{00000000-0005-0000-0000-0000F3280000}"/>
    <cellStyle name="Финансовый 9 2 2 2 2 3 4" xfId="10483" xr:uid="{00000000-0005-0000-0000-0000F4280000}"/>
    <cellStyle name="Финансовый 9 2 2 2 2 3 4 2" xfId="10484" xr:uid="{00000000-0005-0000-0000-0000F5280000}"/>
    <cellStyle name="Финансовый 9 2 2 2 2 3 5" xfId="10485" xr:uid="{00000000-0005-0000-0000-0000F6280000}"/>
    <cellStyle name="Финансовый 9 2 2 2 2 4" xfId="10486" xr:uid="{00000000-0005-0000-0000-0000F7280000}"/>
    <cellStyle name="Финансовый 9 2 2 2 2 4 2" xfId="10487" xr:uid="{00000000-0005-0000-0000-0000F8280000}"/>
    <cellStyle name="Финансовый 9 2 2 2 2 4 2 2" xfId="10488" xr:uid="{00000000-0005-0000-0000-0000F9280000}"/>
    <cellStyle name="Финансовый 9 2 2 2 2 4 2 2 2" xfId="10489" xr:uid="{00000000-0005-0000-0000-0000FA280000}"/>
    <cellStyle name="Финансовый 9 2 2 2 2 4 2 3" xfId="10490" xr:uid="{00000000-0005-0000-0000-0000FB280000}"/>
    <cellStyle name="Финансовый 9 2 2 2 2 4 3" xfId="10491" xr:uid="{00000000-0005-0000-0000-0000FC280000}"/>
    <cellStyle name="Финансовый 9 2 2 2 2 4 3 2" xfId="10492" xr:uid="{00000000-0005-0000-0000-0000FD280000}"/>
    <cellStyle name="Финансовый 9 2 2 2 2 4 4" xfId="10493" xr:uid="{00000000-0005-0000-0000-0000FE280000}"/>
    <cellStyle name="Финансовый 9 2 2 2 2 5" xfId="10494" xr:uid="{00000000-0005-0000-0000-0000FF280000}"/>
    <cellStyle name="Финансовый 9 2 2 2 2 5 2" xfId="10495" xr:uid="{00000000-0005-0000-0000-000000290000}"/>
    <cellStyle name="Финансовый 9 2 2 2 2 5 2 2" xfId="10496" xr:uid="{00000000-0005-0000-0000-000001290000}"/>
    <cellStyle name="Финансовый 9 2 2 2 2 5 3" xfId="10497" xr:uid="{00000000-0005-0000-0000-000002290000}"/>
    <cellStyle name="Финансовый 9 2 2 2 2 6" xfId="10498" xr:uid="{00000000-0005-0000-0000-000003290000}"/>
    <cellStyle name="Финансовый 9 2 2 2 2 6 2" xfId="10499" xr:uid="{00000000-0005-0000-0000-000004290000}"/>
    <cellStyle name="Финансовый 9 2 2 2 2 7" xfId="10500" xr:uid="{00000000-0005-0000-0000-000005290000}"/>
    <cellStyle name="Финансовый 9 2 2 2 3" xfId="10501" xr:uid="{00000000-0005-0000-0000-000006290000}"/>
    <cellStyle name="Финансовый 9 2 2 2 3 2" xfId="10502" xr:uid="{00000000-0005-0000-0000-000007290000}"/>
    <cellStyle name="Финансовый 9 2 2 2 3 2 2" xfId="10503" xr:uid="{00000000-0005-0000-0000-000008290000}"/>
    <cellStyle name="Финансовый 9 2 2 2 3 2 2 2" xfId="10504" xr:uid="{00000000-0005-0000-0000-000009290000}"/>
    <cellStyle name="Финансовый 9 2 2 2 3 2 2 2 2" xfId="10505" xr:uid="{00000000-0005-0000-0000-00000A290000}"/>
    <cellStyle name="Финансовый 9 2 2 2 3 2 2 2 2 2" xfId="10506" xr:uid="{00000000-0005-0000-0000-00000B290000}"/>
    <cellStyle name="Финансовый 9 2 2 2 3 2 2 2 3" xfId="10507" xr:uid="{00000000-0005-0000-0000-00000C290000}"/>
    <cellStyle name="Финансовый 9 2 2 2 3 2 2 3" xfId="10508" xr:uid="{00000000-0005-0000-0000-00000D290000}"/>
    <cellStyle name="Финансовый 9 2 2 2 3 2 2 3 2" xfId="10509" xr:uid="{00000000-0005-0000-0000-00000E290000}"/>
    <cellStyle name="Финансовый 9 2 2 2 3 2 2 4" xfId="10510" xr:uid="{00000000-0005-0000-0000-00000F290000}"/>
    <cellStyle name="Финансовый 9 2 2 2 3 2 3" xfId="10511" xr:uid="{00000000-0005-0000-0000-000010290000}"/>
    <cellStyle name="Финансовый 9 2 2 2 3 2 3 2" xfId="10512" xr:uid="{00000000-0005-0000-0000-000011290000}"/>
    <cellStyle name="Финансовый 9 2 2 2 3 2 3 2 2" xfId="10513" xr:uid="{00000000-0005-0000-0000-000012290000}"/>
    <cellStyle name="Финансовый 9 2 2 2 3 2 3 3" xfId="10514" xr:uid="{00000000-0005-0000-0000-000013290000}"/>
    <cellStyle name="Финансовый 9 2 2 2 3 2 4" xfId="10515" xr:uid="{00000000-0005-0000-0000-000014290000}"/>
    <cellStyle name="Финансовый 9 2 2 2 3 2 4 2" xfId="10516" xr:uid="{00000000-0005-0000-0000-000015290000}"/>
    <cellStyle name="Финансовый 9 2 2 2 3 2 5" xfId="10517" xr:uid="{00000000-0005-0000-0000-000016290000}"/>
    <cellStyle name="Финансовый 9 2 2 2 3 3" xfId="10518" xr:uid="{00000000-0005-0000-0000-000017290000}"/>
    <cellStyle name="Финансовый 9 2 2 2 3 3 2" xfId="10519" xr:uid="{00000000-0005-0000-0000-000018290000}"/>
    <cellStyle name="Финансовый 9 2 2 2 3 3 2 2" xfId="10520" xr:uid="{00000000-0005-0000-0000-000019290000}"/>
    <cellStyle name="Финансовый 9 2 2 2 3 3 2 2 2" xfId="10521" xr:uid="{00000000-0005-0000-0000-00001A290000}"/>
    <cellStyle name="Финансовый 9 2 2 2 3 3 2 3" xfId="10522" xr:uid="{00000000-0005-0000-0000-00001B290000}"/>
    <cellStyle name="Финансовый 9 2 2 2 3 3 3" xfId="10523" xr:uid="{00000000-0005-0000-0000-00001C290000}"/>
    <cellStyle name="Финансовый 9 2 2 2 3 3 3 2" xfId="10524" xr:uid="{00000000-0005-0000-0000-00001D290000}"/>
    <cellStyle name="Финансовый 9 2 2 2 3 3 4" xfId="10525" xr:uid="{00000000-0005-0000-0000-00001E290000}"/>
    <cellStyle name="Финансовый 9 2 2 2 3 4" xfId="10526" xr:uid="{00000000-0005-0000-0000-00001F290000}"/>
    <cellStyle name="Финансовый 9 2 2 2 3 4 2" xfId="10527" xr:uid="{00000000-0005-0000-0000-000020290000}"/>
    <cellStyle name="Финансовый 9 2 2 2 3 4 2 2" xfId="10528" xr:uid="{00000000-0005-0000-0000-000021290000}"/>
    <cellStyle name="Финансовый 9 2 2 2 3 4 3" xfId="10529" xr:uid="{00000000-0005-0000-0000-000022290000}"/>
    <cellStyle name="Финансовый 9 2 2 2 3 5" xfId="10530" xr:uid="{00000000-0005-0000-0000-000023290000}"/>
    <cellStyle name="Финансовый 9 2 2 2 3 5 2" xfId="10531" xr:uid="{00000000-0005-0000-0000-000024290000}"/>
    <cellStyle name="Финансовый 9 2 2 2 3 6" xfId="10532" xr:uid="{00000000-0005-0000-0000-000025290000}"/>
    <cellStyle name="Финансовый 9 2 2 2 4" xfId="10533" xr:uid="{00000000-0005-0000-0000-000026290000}"/>
    <cellStyle name="Финансовый 9 2 2 2 4 2" xfId="10534" xr:uid="{00000000-0005-0000-0000-000027290000}"/>
    <cellStyle name="Финансовый 9 2 2 2 4 2 2" xfId="10535" xr:uid="{00000000-0005-0000-0000-000028290000}"/>
    <cellStyle name="Финансовый 9 2 2 2 4 2 2 2" xfId="10536" xr:uid="{00000000-0005-0000-0000-000029290000}"/>
    <cellStyle name="Финансовый 9 2 2 2 4 2 2 2 2" xfId="10537" xr:uid="{00000000-0005-0000-0000-00002A290000}"/>
    <cellStyle name="Финансовый 9 2 2 2 4 2 2 3" xfId="10538" xr:uid="{00000000-0005-0000-0000-00002B290000}"/>
    <cellStyle name="Финансовый 9 2 2 2 4 2 3" xfId="10539" xr:uid="{00000000-0005-0000-0000-00002C290000}"/>
    <cellStyle name="Финансовый 9 2 2 2 4 2 3 2" xfId="10540" xr:uid="{00000000-0005-0000-0000-00002D290000}"/>
    <cellStyle name="Финансовый 9 2 2 2 4 2 4" xfId="10541" xr:uid="{00000000-0005-0000-0000-00002E290000}"/>
    <cellStyle name="Финансовый 9 2 2 2 4 3" xfId="10542" xr:uid="{00000000-0005-0000-0000-00002F290000}"/>
    <cellStyle name="Финансовый 9 2 2 2 4 3 2" xfId="10543" xr:uid="{00000000-0005-0000-0000-000030290000}"/>
    <cellStyle name="Финансовый 9 2 2 2 4 3 2 2" xfId="10544" xr:uid="{00000000-0005-0000-0000-000031290000}"/>
    <cellStyle name="Финансовый 9 2 2 2 4 3 3" xfId="10545" xr:uid="{00000000-0005-0000-0000-000032290000}"/>
    <cellStyle name="Финансовый 9 2 2 2 4 4" xfId="10546" xr:uid="{00000000-0005-0000-0000-000033290000}"/>
    <cellStyle name="Финансовый 9 2 2 2 4 4 2" xfId="10547" xr:uid="{00000000-0005-0000-0000-000034290000}"/>
    <cellStyle name="Финансовый 9 2 2 2 4 5" xfId="10548" xr:uid="{00000000-0005-0000-0000-000035290000}"/>
    <cellStyle name="Финансовый 9 2 2 2 5" xfId="10549" xr:uid="{00000000-0005-0000-0000-000036290000}"/>
    <cellStyle name="Финансовый 9 2 2 2 5 2" xfId="10550" xr:uid="{00000000-0005-0000-0000-000037290000}"/>
    <cellStyle name="Финансовый 9 2 2 2 5 2 2" xfId="10551" xr:uid="{00000000-0005-0000-0000-000038290000}"/>
    <cellStyle name="Финансовый 9 2 2 2 5 2 2 2" xfId="10552" xr:uid="{00000000-0005-0000-0000-000039290000}"/>
    <cellStyle name="Финансовый 9 2 2 2 5 2 3" xfId="10553" xr:uid="{00000000-0005-0000-0000-00003A290000}"/>
    <cellStyle name="Финансовый 9 2 2 2 5 3" xfId="10554" xr:uid="{00000000-0005-0000-0000-00003B290000}"/>
    <cellStyle name="Финансовый 9 2 2 2 5 3 2" xfId="10555" xr:uid="{00000000-0005-0000-0000-00003C290000}"/>
    <cellStyle name="Финансовый 9 2 2 2 5 4" xfId="10556" xr:uid="{00000000-0005-0000-0000-00003D290000}"/>
    <cellStyle name="Финансовый 9 2 2 2 6" xfId="10557" xr:uid="{00000000-0005-0000-0000-00003E290000}"/>
    <cellStyle name="Финансовый 9 2 2 2 6 2" xfId="10558" xr:uid="{00000000-0005-0000-0000-00003F290000}"/>
    <cellStyle name="Финансовый 9 2 2 2 6 2 2" xfId="10559" xr:uid="{00000000-0005-0000-0000-000040290000}"/>
    <cellStyle name="Финансовый 9 2 2 2 6 3" xfId="10560" xr:uid="{00000000-0005-0000-0000-000041290000}"/>
    <cellStyle name="Финансовый 9 2 2 2 7" xfId="10561" xr:uid="{00000000-0005-0000-0000-000042290000}"/>
    <cellStyle name="Финансовый 9 2 2 2 7 2" xfId="10562" xr:uid="{00000000-0005-0000-0000-000043290000}"/>
    <cellStyle name="Финансовый 9 2 2 2 8" xfId="10563" xr:uid="{00000000-0005-0000-0000-000044290000}"/>
    <cellStyle name="Финансовый 9 2 2 3" xfId="10564" xr:uid="{00000000-0005-0000-0000-000045290000}"/>
    <cellStyle name="Финансовый 9 2 2 3 2" xfId="10565" xr:uid="{00000000-0005-0000-0000-000046290000}"/>
    <cellStyle name="Финансовый 9 2 2 3 2 2" xfId="10566" xr:uid="{00000000-0005-0000-0000-000047290000}"/>
    <cellStyle name="Финансовый 9 2 2 3 2 2 2" xfId="10567" xr:uid="{00000000-0005-0000-0000-000048290000}"/>
    <cellStyle name="Финансовый 9 2 2 3 2 2 2 2" xfId="10568" xr:uid="{00000000-0005-0000-0000-000049290000}"/>
    <cellStyle name="Финансовый 9 2 2 3 2 2 2 2 2" xfId="10569" xr:uid="{00000000-0005-0000-0000-00004A290000}"/>
    <cellStyle name="Финансовый 9 2 2 3 2 2 2 2 2 2" xfId="10570" xr:uid="{00000000-0005-0000-0000-00004B290000}"/>
    <cellStyle name="Финансовый 9 2 2 3 2 2 2 2 3" xfId="10571" xr:uid="{00000000-0005-0000-0000-00004C290000}"/>
    <cellStyle name="Финансовый 9 2 2 3 2 2 2 3" xfId="10572" xr:uid="{00000000-0005-0000-0000-00004D290000}"/>
    <cellStyle name="Финансовый 9 2 2 3 2 2 2 3 2" xfId="10573" xr:uid="{00000000-0005-0000-0000-00004E290000}"/>
    <cellStyle name="Финансовый 9 2 2 3 2 2 2 4" xfId="10574" xr:uid="{00000000-0005-0000-0000-00004F290000}"/>
    <cellStyle name="Финансовый 9 2 2 3 2 2 3" xfId="10575" xr:uid="{00000000-0005-0000-0000-000050290000}"/>
    <cellStyle name="Финансовый 9 2 2 3 2 2 3 2" xfId="10576" xr:uid="{00000000-0005-0000-0000-000051290000}"/>
    <cellStyle name="Финансовый 9 2 2 3 2 2 3 2 2" xfId="10577" xr:uid="{00000000-0005-0000-0000-000052290000}"/>
    <cellStyle name="Финансовый 9 2 2 3 2 2 3 3" xfId="10578" xr:uid="{00000000-0005-0000-0000-000053290000}"/>
    <cellStyle name="Финансовый 9 2 2 3 2 2 4" xfId="10579" xr:uid="{00000000-0005-0000-0000-000054290000}"/>
    <cellStyle name="Финансовый 9 2 2 3 2 2 4 2" xfId="10580" xr:uid="{00000000-0005-0000-0000-000055290000}"/>
    <cellStyle name="Финансовый 9 2 2 3 2 2 5" xfId="10581" xr:uid="{00000000-0005-0000-0000-000056290000}"/>
    <cellStyle name="Финансовый 9 2 2 3 2 3" xfId="10582" xr:uid="{00000000-0005-0000-0000-000057290000}"/>
    <cellStyle name="Финансовый 9 2 2 3 2 3 2" xfId="10583" xr:uid="{00000000-0005-0000-0000-000058290000}"/>
    <cellStyle name="Финансовый 9 2 2 3 2 3 2 2" xfId="10584" xr:uid="{00000000-0005-0000-0000-000059290000}"/>
    <cellStyle name="Финансовый 9 2 2 3 2 3 2 2 2" xfId="10585" xr:uid="{00000000-0005-0000-0000-00005A290000}"/>
    <cellStyle name="Финансовый 9 2 2 3 2 3 2 3" xfId="10586" xr:uid="{00000000-0005-0000-0000-00005B290000}"/>
    <cellStyle name="Финансовый 9 2 2 3 2 3 3" xfId="10587" xr:uid="{00000000-0005-0000-0000-00005C290000}"/>
    <cellStyle name="Финансовый 9 2 2 3 2 3 3 2" xfId="10588" xr:uid="{00000000-0005-0000-0000-00005D290000}"/>
    <cellStyle name="Финансовый 9 2 2 3 2 3 4" xfId="10589" xr:uid="{00000000-0005-0000-0000-00005E290000}"/>
    <cellStyle name="Финансовый 9 2 2 3 2 4" xfId="10590" xr:uid="{00000000-0005-0000-0000-00005F290000}"/>
    <cellStyle name="Финансовый 9 2 2 3 2 4 2" xfId="10591" xr:uid="{00000000-0005-0000-0000-000060290000}"/>
    <cellStyle name="Финансовый 9 2 2 3 2 4 2 2" xfId="10592" xr:uid="{00000000-0005-0000-0000-000061290000}"/>
    <cellStyle name="Финансовый 9 2 2 3 2 4 3" xfId="10593" xr:uid="{00000000-0005-0000-0000-000062290000}"/>
    <cellStyle name="Финансовый 9 2 2 3 2 5" xfId="10594" xr:uid="{00000000-0005-0000-0000-000063290000}"/>
    <cellStyle name="Финансовый 9 2 2 3 2 5 2" xfId="10595" xr:uid="{00000000-0005-0000-0000-000064290000}"/>
    <cellStyle name="Финансовый 9 2 2 3 2 6" xfId="10596" xr:uid="{00000000-0005-0000-0000-000065290000}"/>
    <cellStyle name="Финансовый 9 2 2 3 3" xfId="10597" xr:uid="{00000000-0005-0000-0000-000066290000}"/>
    <cellStyle name="Финансовый 9 2 2 3 3 2" xfId="10598" xr:uid="{00000000-0005-0000-0000-000067290000}"/>
    <cellStyle name="Финансовый 9 2 2 3 3 2 2" xfId="10599" xr:uid="{00000000-0005-0000-0000-000068290000}"/>
    <cellStyle name="Финансовый 9 2 2 3 3 2 2 2" xfId="10600" xr:uid="{00000000-0005-0000-0000-000069290000}"/>
    <cellStyle name="Финансовый 9 2 2 3 3 2 2 2 2" xfId="10601" xr:uid="{00000000-0005-0000-0000-00006A290000}"/>
    <cellStyle name="Финансовый 9 2 2 3 3 2 2 3" xfId="10602" xr:uid="{00000000-0005-0000-0000-00006B290000}"/>
    <cellStyle name="Финансовый 9 2 2 3 3 2 3" xfId="10603" xr:uid="{00000000-0005-0000-0000-00006C290000}"/>
    <cellStyle name="Финансовый 9 2 2 3 3 2 3 2" xfId="10604" xr:uid="{00000000-0005-0000-0000-00006D290000}"/>
    <cellStyle name="Финансовый 9 2 2 3 3 2 4" xfId="10605" xr:uid="{00000000-0005-0000-0000-00006E290000}"/>
    <cellStyle name="Финансовый 9 2 2 3 3 3" xfId="10606" xr:uid="{00000000-0005-0000-0000-00006F290000}"/>
    <cellStyle name="Финансовый 9 2 2 3 3 3 2" xfId="10607" xr:uid="{00000000-0005-0000-0000-000070290000}"/>
    <cellStyle name="Финансовый 9 2 2 3 3 3 2 2" xfId="10608" xr:uid="{00000000-0005-0000-0000-000071290000}"/>
    <cellStyle name="Финансовый 9 2 2 3 3 3 3" xfId="10609" xr:uid="{00000000-0005-0000-0000-000072290000}"/>
    <cellStyle name="Финансовый 9 2 2 3 3 4" xfId="10610" xr:uid="{00000000-0005-0000-0000-000073290000}"/>
    <cellStyle name="Финансовый 9 2 2 3 3 4 2" xfId="10611" xr:uid="{00000000-0005-0000-0000-000074290000}"/>
    <cellStyle name="Финансовый 9 2 2 3 3 5" xfId="10612" xr:uid="{00000000-0005-0000-0000-000075290000}"/>
    <cellStyle name="Финансовый 9 2 2 3 4" xfId="10613" xr:uid="{00000000-0005-0000-0000-000076290000}"/>
    <cellStyle name="Финансовый 9 2 2 3 4 2" xfId="10614" xr:uid="{00000000-0005-0000-0000-000077290000}"/>
    <cellStyle name="Финансовый 9 2 2 3 4 2 2" xfId="10615" xr:uid="{00000000-0005-0000-0000-000078290000}"/>
    <cellStyle name="Финансовый 9 2 2 3 4 2 2 2" xfId="10616" xr:uid="{00000000-0005-0000-0000-000079290000}"/>
    <cellStyle name="Финансовый 9 2 2 3 4 2 3" xfId="10617" xr:uid="{00000000-0005-0000-0000-00007A290000}"/>
    <cellStyle name="Финансовый 9 2 2 3 4 3" xfId="10618" xr:uid="{00000000-0005-0000-0000-00007B290000}"/>
    <cellStyle name="Финансовый 9 2 2 3 4 3 2" xfId="10619" xr:uid="{00000000-0005-0000-0000-00007C290000}"/>
    <cellStyle name="Финансовый 9 2 2 3 4 4" xfId="10620" xr:uid="{00000000-0005-0000-0000-00007D290000}"/>
    <cellStyle name="Финансовый 9 2 2 3 5" xfId="10621" xr:uid="{00000000-0005-0000-0000-00007E290000}"/>
    <cellStyle name="Финансовый 9 2 2 3 5 2" xfId="10622" xr:uid="{00000000-0005-0000-0000-00007F290000}"/>
    <cellStyle name="Финансовый 9 2 2 3 5 2 2" xfId="10623" xr:uid="{00000000-0005-0000-0000-000080290000}"/>
    <cellStyle name="Финансовый 9 2 2 3 5 3" xfId="10624" xr:uid="{00000000-0005-0000-0000-000081290000}"/>
    <cellStyle name="Финансовый 9 2 2 3 6" xfId="10625" xr:uid="{00000000-0005-0000-0000-000082290000}"/>
    <cellStyle name="Финансовый 9 2 2 3 6 2" xfId="10626" xr:uid="{00000000-0005-0000-0000-000083290000}"/>
    <cellStyle name="Финансовый 9 2 2 3 7" xfId="10627" xr:uid="{00000000-0005-0000-0000-000084290000}"/>
    <cellStyle name="Финансовый 9 2 2 4" xfId="10628" xr:uid="{00000000-0005-0000-0000-000085290000}"/>
    <cellStyle name="Финансовый 9 2 2 4 2" xfId="10629" xr:uid="{00000000-0005-0000-0000-000086290000}"/>
    <cellStyle name="Финансовый 9 2 2 4 2 2" xfId="10630" xr:uid="{00000000-0005-0000-0000-000087290000}"/>
    <cellStyle name="Финансовый 9 2 2 4 2 2 2" xfId="10631" xr:uid="{00000000-0005-0000-0000-000088290000}"/>
    <cellStyle name="Финансовый 9 2 2 4 2 2 2 2" xfId="10632" xr:uid="{00000000-0005-0000-0000-000089290000}"/>
    <cellStyle name="Финансовый 9 2 2 4 2 2 2 2 2" xfId="10633" xr:uid="{00000000-0005-0000-0000-00008A290000}"/>
    <cellStyle name="Финансовый 9 2 2 4 2 2 2 3" xfId="10634" xr:uid="{00000000-0005-0000-0000-00008B290000}"/>
    <cellStyle name="Финансовый 9 2 2 4 2 2 3" xfId="10635" xr:uid="{00000000-0005-0000-0000-00008C290000}"/>
    <cellStyle name="Финансовый 9 2 2 4 2 2 3 2" xfId="10636" xr:uid="{00000000-0005-0000-0000-00008D290000}"/>
    <cellStyle name="Финансовый 9 2 2 4 2 2 4" xfId="10637" xr:uid="{00000000-0005-0000-0000-00008E290000}"/>
    <cellStyle name="Финансовый 9 2 2 4 2 3" xfId="10638" xr:uid="{00000000-0005-0000-0000-00008F290000}"/>
    <cellStyle name="Финансовый 9 2 2 4 2 3 2" xfId="10639" xr:uid="{00000000-0005-0000-0000-000090290000}"/>
    <cellStyle name="Финансовый 9 2 2 4 2 3 2 2" xfId="10640" xr:uid="{00000000-0005-0000-0000-000091290000}"/>
    <cellStyle name="Финансовый 9 2 2 4 2 3 3" xfId="10641" xr:uid="{00000000-0005-0000-0000-000092290000}"/>
    <cellStyle name="Финансовый 9 2 2 4 2 4" xfId="10642" xr:uid="{00000000-0005-0000-0000-000093290000}"/>
    <cellStyle name="Финансовый 9 2 2 4 2 4 2" xfId="10643" xr:uid="{00000000-0005-0000-0000-000094290000}"/>
    <cellStyle name="Финансовый 9 2 2 4 2 5" xfId="10644" xr:uid="{00000000-0005-0000-0000-000095290000}"/>
    <cellStyle name="Финансовый 9 2 2 4 3" xfId="10645" xr:uid="{00000000-0005-0000-0000-000096290000}"/>
    <cellStyle name="Финансовый 9 2 2 4 3 2" xfId="10646" xr:uid="{00000000-0005-0000-0000-000097290000}"/>
    <cellStyle name="Финансовый 9 2 2 4 3 2 2" xfId="10647" xr:uid="{00000000-0005-0000-0000-000098290000}"/>
    <cellStyle name="Финансовый 9 2 2 4 3 2 2 2" xfId="10648" xr:uid="{00000000-0005-0000-0000-000099290000}"/>
    <cellStyle name="Финансовый 9 2 2 4 3 2 3" xfId="10649" xr:uid="{00000000-0005-0000-0000-00009A290000}"/>
    <cellStyle name="Финансовый 9 2 2 4 3 3" xfId="10650" xr:uid="{00000000-0005-0000-0000-00009B290000}"/>
    <cellStyle name="Финансовый 9 2 2 4 3 3 2" xfId="10651" xr:uid="{00000000-0005-0000-0000-00009C290000}"/>
    <cellStyle name="Финансовый 9 2 2 4 3 4" xfId="10652" xr:uid="{00000000-0005-0000-0000-00009D290000}"/>
    <cellStyle name="Финансовый 9 2 2 4 4" xfId="10653" xr:uid="{00000000-0005-0000-0000-00009E290000}"/>
    <cellStyle name="Финансовый 9 2 2 4 4 2" xfId="10654" xr:uid="{00000000-0005-0000-0000-00009F290000}"/>
    <cellStyle name="Финансовый 9 2 2 4 4 2 2" xfId="10655" xr:uid="{00000000-0005-0000-0000-0000A0290000}"/>
    <cellStyle name="Финансовый 9 2 2 4 4 3" xfId="10656" xr:uid="{00000000-0005-0000-0000-0000A1290000}"/>
    <cellStyle name="Финансовый 9 2 2 4 5" xfId="10657" xr:uid="{00000000-0005-0000-0000-0000A2290000}"/>
    <cellStyle name="Финансовый 9 2 2 4 5 2" xfId="10658" xr:uid="{00000000-0005-0000-0000-0000A3290000}"/>
    <cellStyle name="Финансовый 9 2 2 4 6" xfId="10659" xr:uid="{00000000-0005-0000-0000-0000A4290000}"/>
    <cellStyle name="Финансовый 9 2 2 5" xfId="10660" xr:uid="{00000000-0005-0000-0000-0000A5290000}"/>
    <cellStyle name="Финансовый 9 2 2 5 2" xfId="10661" xr:uid="{00000000-0005-0000-0000-0000A6290000}"/>
    <cellStyle name="Финансовый 9 2 2 5 2 2" xfId="10662" xr:uid="{00000000-0005-0000-0000-0000A7290000}"/>
    <cellStyle name="Финансовый 9 2 2 5 2 2 2" xfId="10663" xr:uid="{00000000-0005-0000-0000-0000A8290000}"/>
    <cellStyle name="Финансовый 9 2 2 5 2 2 2 2" xfId="10664" xr:uid="{00000000-0005-0000-0000-0000A9290000}"/>
    <cellStyle name="Финансовый 9 2 2 5 2 2 3" xfId="10665" xr:uid="{00000000-0005-0000-0000-0000AA290000}"/>
    <cellStyle name="Финансовый 9 2 2 5 2 3" xfId="10666" xr:uid="{00000000-0005-0000-0000-0000AB290000}"/>
    <cellStyle name="Финансовый 9 2 2 5 2 3 2" xfId="10667" xr:uid="{00000000-0005-0000-0000-0000AC290000}"/>
    <cellStyle name="Финансовый 9 2 2 5 2 4" xfId="10668" xr:uid="{00000000-0005-0000-0000-0000AD290000}"/>
    <cellStyle name="Финансовый 9 2 2 5 3" xfId="10669" xr:uid="{00000000-0005-0000-0000-0000AE290000}"/>
    <cellStyle name="Финансовый 9 2 2 5 3 2" xfId="10670" xr:uid="{00000000-0005-0000-0000-0000AF290000}"/>
    <cellStyle name="Финансовый 9 2 2 5 3 2 2" xfId="10671" xr:uid="{00000000-0005-0000-0000-0000B0290000}"/>
    <cellStyle name="Финансовый 9 2 2 5 3 3" xfId="10672" xr:uid="{00000000-0005-0000-0000-0000B1290000}"/>
    <cellStyle name="Финансовый 9 2 2 5 4" xfId="10673" xr:uid="{00000000-0005-0000-0000-0000B2290000}"/>
    <cellStyle name="Финансовый 9 2 2 5 4 2" xfId="10674" xr:uid="{00000000-0005-0000-0000-0000B3290000}"/>
    <cellStyle name="Финансовый 9 2 2 5 5" xfId="10675" xr:uid="{00000000-0005-0000-0000-0000B4290000}"/>
    <cellStyle name="Финансовый 9 2 2 6" xfId="10676" xr:uid="{00000000-0005-0000-0000-0000B5290000}"/>
    <cellStyle name="Финансовый 9 2 2 6 2" xfId="10677" xr:uid="{00000000-0005-0000-0000-0000B6290000}"/>
    <cellStyle name="Финансовый 9 2 2 6 2 2" xfId="10678" xr:uid="{00000000-0005-0000-0000-0000B7290000}"/>
    <cellStyle name="Финансовый 9 2 2 6 2 2 2" xfId="10679" xr:uid="{00000000-0005-0000-0000-0000B8290000}"/>
    <cellStyle name="Финансовый 9 2 2 6 2 3" xfId="10680" xr:uid="{00000000-0005-0000-0000-0000B9290000}"/>
    <cellStyle name="Финансовый 9 2 2 6 3" xfId="10681" xr:uid="{00000000-0005-0000-0000-0000BA290000}"/>
    <cellStyle name="Финансовый 9 2 2 6 3 2" xfId="10682" xr:uid="{00000000-0005-0000-0000-0000BB290000}"/>
    <cellStyle name="Финансовый 9 2 2 6 4" xfId="10683" xr:uid="{00000000-0005-0000-0000-0000BC290000}"/>
    <cellStyle name="Финансовый 9 2 2 7" xfId="10684" xr:uid="{00000000-0005-0000-0000-0000BD290000}"/>
    <cellStyle name="Финансовый 9 2 2 7 2" xfId="10685" xr:uid="{00000000-0005-0000-0000-0000BE290000}"/>
    <cellStyle name="Финансовый 9 2 2 7 2 2" xfId="10686" xr:uid="{00000000-0005-0000-0000-0000BF290000}"/>
    <cellStyle name="Финансовый 9 2 2 7 3" xfId="10687" xr:uid="{00000000-0005-0000-0000-0000C0290000}"/>
    <cellStyle name="Финансовый 9 2 2 8" xfId="10688" xr:uid="{00000000-0005-0000-0000-0000C1290000}"/>
    <cellStyle name="Финансовый 9 2 2 8 2" xfId="10689" xr:uid="{00000000-0005-0000-0000-0000C2290000}"/>
    <cellStyle name="Финансовый 9 2 2 9" xfId="10690" xr:uid="{00000000-0005-0000-0000-0000C3290000}"/>
    <cellStyle name="Финансовый 9 2 3" xfId="10691" xr:uid="{00000000-0005-0000-0000-0000C4290000}"/>
    <cellStyle name="Финансовый 9 2 3 2" xfId="10692" xr:uid="{00000000-0005-0000-0000-0000C5290000}"/>
    <cellStyle name="Финансовый 9 2 3 2 2" xfId="10693" xr:uid="{00000000-0005-0000-0000-0000C6290000}"/>
    <cellStyle name="Финансовый 9 2 3 2 2 2" xfId="10694" xr:uid="{00000000-0005-0000-0000-0000C7290000}"/>
    <cellStyle name="Финансовый 9 2 3 2 2 2 2" xfId="10695" xr:uid="{00000000-0005-0000-0000-0000C8290000}"/>
    <cellStyle name="Финансовый 9 2 3 2 2 2 2 2" xfId="10696" xr:uid="{00000000-0005-0000-0000-0000C9290000}"/>
    <cellStyle name="Финансовый 9 2 3 2 2 2 2 2 2" xfId="10697" xr:uid="{00000000-0005-0000-0000-0000CA290000}"/>
    <cellStyle name="Финансовый 9 2 3 2 2 2 2 2 2 2" xfId="10698" xr:uid="{00000000-0005-0000-0000-0000CB290000}"/>
    <cellStyle name="Финансовый 9 2 3 2 2 2 2 2 3" xfId="10699" xr:uid="{00000000-0005-0000-0000-0000CC290000}"/>
    <cellStyle name="Финансовый 9 2 3 2 2 2 2 3" xfId="10700" xr:uid="{00000000-0005-0000-0000-0000CD290000}"/>
    <cellStyle name="Финансовый 9 2 3 2 2 2 2 3 2" xfId="10701" xr:uid="{00000000-0005-0000-0000-0000CE290000}"/>
    <cellStyle name="Финансовый 9 2 3 2 2 2 2 4" xfId="10702" xr:uid="{00000000-0005-0000-0000-0000CF290000}"/>
    <cellStyle name="Финансовый 9 2 3 2 2 2 3" xfId="10703" xr:uid="{00000000-0005-0000-0000-0000D0290000}"/>
    <cellStyle name="Финансовый 9 2 3 2 2 2 3 2" xfId="10704" xr:uid="{00000000-0005-0000-0000-0000D1290000}"/>
    <cellStyle name="Финансовый 9 2 3 2 2 2 3 2 2" xfId="10705" xr:uid="{00000000-0005-0000-0000-0000D2290000}"/>
    <cellStyle name="Финансовый 9 2 3 2 2 2 3 3" xfId="10706" xr:uid="{00000000-0005-0000-0000-0000D3290000}"/>
    <cellStyle name="Финансовый 9 2 3 2 2 2 4" xfId="10707" xr:uid="{00000000-0005-0000-0000-0000D4290000}"/>
    <cellStyle name="Финансовый 9 2 3 2 2 2 4 2" xfId="10708" xr:uid="{00000000-0005-0000-0000-0000D5290000}"/>
    <cellStyle name="Финансовый 9 2 3 2 2 2 5" xfId="10709" xr:uid="{00000000-0005-0000-0000-0000D6290000}"/>
    <cellStyle name="Финансовый 9 2 3 2 2 3" xfId="10710" xr:uid="{00000000-0005-0000-0000-0000D7290000}"/>
    <cellStyle name="Финансовый 9 2 3 2 2 3 2" xfId="10711" xr:uid="{00000000-0005-0000-0000-0000D8290000}"/>
    <cellStyle name="Финансовый 9 2 3 2 2 3 2 2" xfId="10712" xr:uid="{00000000-0005-0000-0000-0000D9290000}"/>
    <cellStyle name="Финансовый 9 2 3 2 2 3 2 2 2" xfId="10713" xr:uid="{00000000-0005-0000-0000-0000DA290000}"/>
    <cellStyle name="Финансовый 9 2 3 2 2 3 2 3" xfId="10714" xr:uid="{00000000-0005-0000-0000-0000DB290000}"/>
    <cellStyle name="Финансовый 9 2 3 2 2 3 3" xfId="10715" xr:uid="{00000000-0005-0000-0000-0000DC290000}"/>
    <cellStyle name="Финансовый 9 2 3 2 2 3 3 2" xfId="10716" xr:uid="{00000000-0005-0000-0000-0000DD290000}"/>
    <cellStyle name="Финансовый 9 2 3 2 2 3 4" xfId="10717" xr:uid="{00000000-0005-0000-0000-0000DE290000}"/>
    <cellStyle name="Финансовый 9 2 3 2 2 4" xfId="10718" xr:uid="{00000000-0005-0000-0000-0000DF290000}"/>
    <cellStyle name="Финансовый 9 2 3 2 2 4 2" xfId="10719" xr:uid="{00000000-0005-0000-0000-0000E0290000}"/>
    <cellStyle name="Финансовый 9 2 3 2 2 4 2 2" xfId="10720" xr:uid="{00000000-0005-0000-0000-0000E1290000}"/>
    <cellStyle name="Финансовый 9 2 3 2 2 4 3" xfId="10721" xr:uid="{00000000-0005-0000-0000-0000E2290000}"/>
    <cellStyle name="Финансовый 9 2 3 2 2 5" xfId="10722" xr:uid="{00000000-0005-0000-0000-0000E3290000}"/>
    <cellStyle name="Финансовый 9 2 3 2 2 5 2" xfId="10723" xr:uid="{00000000-0005-0000-0000-0000E4290000}"/>
    <cellStyle name="Финансовый 9 2 3 2 2 6" xfId="10724" xr:uid="{00000000-0005-0000-0000-0000E5290000}"/>
    <cellStyle name="Финансовый 9 2 3 2 3" xfId="10725" xr:uid="{00000000-0005-0000-0000-0000E6290000}"/>
    <cellStyle name="Финансовый 9 2 3 2 3 2" xfId="10726" xr:uid="{00000000-0005-0000-0000-0000E7290000}"/>
    <cellStyle name="Финансовый 9 2 3 2 3 2 2" xfId="10727" xr:uid="{00000000-0005-0000-0000-0000E8290000}"/>
    <cellStyle name="Финансовый 9 2 3 2 3 2 2 2" xfId="10728" xr:uid="{00000000-0005-0000-0000-0000E9290000}"/>
    <cellStyle name="Финансовый 9 2 3 2 3 2 2 2 2" xfId="10729" xr:uid="{00000000-0005-0000-0000-0000EA290000}"/>
    <cellStyle name="Финансовый 9 2 3 2 3 2 2 3" xfId="10730" xr:uid="{00000000-0005-0000-0000-0000EB290000}"/>
    <cellStyle name="Финансовый 9 2 3 2 3 2 3" xfId="10731" xr:uid="{00000000-0005-0000-0000-0000EC290000}"/>
    <cellStyle name="Финансовый 9 2 3 2 3 2 3 2" xfId="10732" xr:uid="{00000000-0005-0000-0000-0000ED290000}"/>
    <cellStyle name="Финансовый 9 2 3 2 3 2 4" xfId="10733" xr:uid="{00000000-0005-0000-0000-0000EE290000}"/>
    <cellStyle name="Финансовый 9 2 3 2 3 3" xfId="10734" xr:uid="{00000000-0005-0000-0000-0000EF290000}"/>
    <cellStyle name="Финансовый 9 2 3 2 3 3 2" xfId="10735" xr:uid="{00000000-0005-0000-0000-0000F0290000}"/>
    <cellStyle name="Финансовый 9 2 3 2 3 3 2 2" xfId="10736" xr:uid="{00000000-0005-0000-0000-0000F1290000}"/>
    <cellStyle name="Финансовый 9 2 3 2 3 3 3" xfId="10737" xr:uid="{00000000-0005-0000-0000-0000F2290000}"/>
    <cellStyle name="Финансовый 9 2 3 2 3 4" xfId="10738" xr:uid="{00000000-0005-0000-0000-0000F3290000}"/>
    <cellStyle name="Финансовый 9 2 3 2 3 4 2" xfId="10739" xr:uid="{00000000-0005-0000-0000-0000F4290000}"/>
    <cellStyle name="Финансовый 9 2 3 2 3 5" xfId="10740" xr:uid="{00000000-0005-0000-0000-0000F5290000}"/>
    <cellStyle name="Финансовый 9 2 3 2 4" xfId="10741" xr:uid="{00000000-0005-0000-0000-0000F6290000}"/>
    <cellStyle name="Финансовый 9 2 3 2 4 2" xfId="10742" xr:uid="{00000000-0005-0000-0000-0000F7290000}"/>
    <cellStyle name="Финансовый 9 2 3 2 4 2 2" xfId="10743" xr:uid="{00000000-0005-0000-0000-0000F8290000}"/>
    <cellStyle name="Финансовый 9 2 3 2 4 2 2 2" xfId="10744" xr:uid="{00000000-0005-0000-0000-0000F9290000}"/>
    <cellStyle name="Финансовый 9 2 3 2 4 2 3" xfId="10745" xr:uid="{00000000-0005-0000-0000-0000FA290000}"/>
    <cellStyle name="Финансовый 9 2 3 2 4 3" xfId="10746" xr:uid="{00000000-0005-0000-0000-0000FB290000}"/>
    <cellStyle name="Финансовый 9 2 3 2 4 3 2" xfId="10747" xr:uid="{00000000-0005-0000-0000-0000FC290000}"/>
    <cellStyle name="Финансовый 9 2 3 2 4 4" xfId="10748" xr:uid="{00000000-0005-0000-0000-0000FD290000}"/>
    <cellStyle name="Финансовый 9 2 3 2 5" xfId="10749" xr:uid="{00000000-0005-0000-0000-0000FE290000}"/>
    <cellStyle name="Финансовый 9 2 3 2 5 2" xfId="10750" xr:uid="{00000000-0005-0000-0000-0000FF290000}"/>
    <cellStyle name="Финансовый 9 2 3 2 5 2 2" xfId="10751" xr:uid="{00000000-0005-0000-0000-0000002A0000}"/>
    <cellStyle name="Финансовый 9 2 3 2 5 3" xfId="10752" xr:uid="{00000000-0005-0000-0000-0000012A0000}"/>
    <cellStyle name="Финансовый 9 2 3 2 6" xfId="10753" xr:uid="{00000000-0005-0000-0000-0000022A0000}"/>
    <cellStyle name="Финансовый 9 2 3 2 6 2" xfId="10754" xr:uid="{00000000-0005-0000-0000-0000032A0000}"/>
    <cellStyle name="Финансовый 9 2 3 2 7" xfId="10755" xr:uid="{00000000-0005-0000-0000-0000042A0000}"/>
    <cellStyle name="Финансовый 9 2 3 3" xfId="10756" xr:uid="{00000000-0005-0000-0000-0000052A0000}"/>
    <cellStyle name="Финансовый 9 2 3 3 2" xfId="10757" xr:uid="{00000000-0005-0000-0000-0000062A0000}"/>
    <cellStyle name="Финансовый 9 2 3 3 2 2" xfId="10758" xr:uid="{00000000-0005-0000-0000-0000072A0000}"/>
    <cellStyle name="Финансовый 9 2 3 3 2 2 2" xfId="10759" xr:uid="{00000000-0005-0000-0000-0000082A0000}"/>
    <cellStyle name="Финансовый 9 2 3 3 2 2 2 2" xfId="10760" xr:uid="{00000000-0005-0000-0000-0000092A0000}"/>
    <cellStyle name="Финансовый 9 2 3 3 2 2 2 2 2" xfId="10761" xr:uid="{00000000-0005-0000-0000-00000A2A0000}"/>
    <cellStyle name="Финансовый 9 2 3 3 2 2 2 3" xfId="10762" xr:uid="{00000000-0005-0000-0000-00000B2A0000}"/>
    <cellStyle name="Финансовый 9 2 3 3 2 2 3" xfId="10763" xr:uid="{00000000-0005-0000-0000-00000C2A0000}"/>
    <cellStyle name="Финансовый 9 2 3 3 2 2 3 2" xfId="10764" xr:uid="{00000000-0005-0000-0000-00000D2A0000}"/>
    <cellStyle name="Финансовый 9 2 3 3 2 2 4" xfId="10765" xr:uid="{00000000-0005-0000-0000-00000E2A0000}"/>
    <cellStyle name="Финансовый 9 2 3 3 2 3" xfId="10766" xr:uid="{00000000-0005-0000-0000-00000F2A0000}"/>
    <cellStyle name="Финансовый 9 2 3 3 2 3 2" xfId="10767" xr:uid="{00000000-0005-0000-0000-0000102A0000}"/>
    <cellStyle name="Финансовый 9 2 3 3 2 3 2 2" xfId="10768" xr:uid="{00000000-0005-0000-0000-0000112A0000}"/>
    <cellStyle name="Финансовый 9 2 3 3 2 3 3" xfId="10769" xr:uid="{00000000-0005-0000-0000-0000122A0000}"/>
    <cellStyle name="Финансовый 9 2 3 3 2 4" xfId="10770" xr:uid="{00000000-0005-0000-0000-0000132A0000}"/>
    <cellStyle name="Финансовый 9 2 3 3 2 4 2" xfId="10771" xr:uid="{00000000-0005-0000-0000-0000142A0000}"/>
    <cellStyle name="Финансовый 9 2 3 3 2 5" xfId="10772" xr:uid="{00000000-0005-0000-0000-0000152A0000}"/>
    <cellStyle name="Финансовый 9 2 3 3 3" xfId="10773" xr:uid="{00000000-0005-0000-0000-0000162A0000}"/>
    <cellStyle name="Финансовый 9 2 3 3 3 2" xfId="10774" xr:uid="{00000000-0005-0000-0000-0000172A0000}"/>
    <cellStyle name="Финансовый 9 2 3 3 3 2 2" xfId="10775" xr:uid="{00000000-0005-0000-0000-0000182A0000}"/>
    <cellStyle name="Финансовый 9 2 3 3 3 2 2 2" xfId="10776" xr:uid="{00000000-0005-0000-0000-0000192A0000}"/>
    <cellStyle name="Финансовый 9 2 3 3 3 2 3" xfId="10777" xr:uid="{00000000-0005-0000-0000-00001A2A0000}"/>
    <cellStyle name="Финансовый 9 2 3 3 3 3" xfId="10778" xr:uid="{00000000-0005-0000-0000-00001B2A0000}"/>
    <cellStyle name="Финансовый 9 2 3 3 3 3 2" xfId="10779" xr:uid="{00000000-0005-0000-0000-00001C2A0000}"/>
    <cellStyle name="Финансовый 9 2 3 3 3 4" xfId="10780" xr:uid="{00000000-0005-0000-0000-00001D2A0000}"/>
    <cellStyle name="Финансовый 9 2 3 3 4" xfId="10781" xr:uid="{00000000-0005-0000-0000-00001E2A0000}"/>
    <cellStyle name="Финансовый 9 2 3 3 4 2" xfId="10782" xr:uid="{00000000-0005-0000-0000-00001F2A0000}"/>
    <cellStyle name="Финансовый 9 2 3 3 4 2 2" xfId="10783" xr:uid="{00000000-0005-0000-0000-0000202A0000}"/>
    <cellStyle name="Финансовый 9 2 3 3 4 3" xfId="10784" xr:uid="{00000000-0005-0000-0000-0000212A0000}"/>
    <cellStyle name="Финансовый 9 2 3 3 5" xfId="10785" xr:uid="{00000000-0005-0000-0000-0000222A0000}"/>
    <cellStyle name="Финансовый 9 2 3 3 5 2" xfId="10786" xr:uid="{00000000-0005-0000-0000-0000232A0000}"/>
    <cellStyle name="Финансовый 9 2 3 3 6" xfId="10787" xr:uid="{00000000-0005-0000-0000-0000242A0000}"/>
    <cellStyle name="Финансовый 9 2 3 4" xfId="10788" xr:uid="{00000000-0005-0000-0000-0000252A0000}"/>
    <cellStyle name="Финансовый 9 2 3 4 2" xfId="10789" xr:uid="{00000000-0005-0000-0000-0000262A0000}"/>
    <cellStyle name="Финансовый 9 2 3 4 2 2" xfId="10790" xr:uid="{00000000-0005-0000-0000-0000272A0000}"/>
    <cellStyle name="Финансовый 9 2 3 4 2 2 2" xfId="10791" xr:uid="{00000000-0005-0000-0000-0000282A0000}"/>
    <cellStyle name="Финансовый 9 2 3 4 2 2 2 2" xfId="10792" xr:uid="{00000000-0005-0000-0000-0000292A0000}"/>
    <cellStyle name="Финансовый 9 2 3 4 2 2 3" xfId="10793" xr:uid="{00000000-0005-0000-0000-00002A2A0000}"/>
    <cellStyle name="Финансовый 9 2 3 4 2 3" xfId="10794" xr:uid="{00000000-0005-0000-0000-00002B2A0000}"/>
    <cellStyle name="Финансовый 9 2 3 4 2 3 2" xfId="10795" xr:uid="{00000000-0005-0000-0000-00002C2A0000}"/>
    <cellStyle name="Финансовый 9 2 3 4 2 4" xfId="10796" xr:uid="{00000000-0005-0000-0000-00002D2A0000}"/>
    <cellStyle name="Финансовый 9 2 3 4 3" xfId="10797" xr:uid="{00000000-0005-0000-0000-00002E2A0000}"/>
    <cellStyle name="Финансовый 9 2 3 4 3 2" xfId="10798" xr:uid="{00000000-0005-0000-0000-00002F2A0000}"/>
    <cellStyle name="Финансовый 9 2 3 4 3 2 2" xfId="10799" xr:uid="{00000000-0005-0000-0000-0000302A0000}"/>
    <cellStyle name="Финансовый 9 2 3 4 3 3" xfId="10800" xr:uid="{00000000-0005-0000-0000-0000312A0000}"/>
    <cellStyle name="Финансовый 9 2 3 4 4" xfId="10801" xr:uid="{00000000-0005-0000-0000-0000322A0000}"/>
    <cellStyle name="Финансовый 9 2 3 4 4 2" xfId="10802" xr:uid="{00000000-0005-0000-0000-0000332A0000}"/>
    <cellStyle name="Финансовый 9 2 3 4 5" xfId="10803" xr:uid="{00000000-0005-0000-0000-0000342A0000}"/>
    <cellStyle name="Финансовый 9 2 3 5" xfId="10804" xr:uid="{00000000-0005-0000-0000-0000352A0000}"/>
    <cellStyle name="Финансовый 9 2 3 5 2" xfId="10805" xr:uid="{00000000-0005-0000-0000-0000362A0000}"/>
    <cellStyle name="Финансовый 9 2 3 5 2 2" xfId="10806" xr:uid="{00000000-0005-0000-0000-0000372A0000}"/>
    <cellStyle name="Финансовый 9 2 3 5 2 2 2" xfId="10807" xr:uid="{00000000-0005-0000-0000-0000382A0000}"/>
    <cellStyle name="Финансовый 9 2 3 5 2 3" xfId="10808" xr:uid="{00000000-0005-0000-0000-0000392A0000}"/>
    <cellStyle name="Финансовый 9 2 3 5 3" xfId="10809" xr:uid="{00000000-0005-0000-0000-00003A2A0000}"/>
    <cellStyle name="Финансовый 9 2 3 5 3 2" xfId="10810" xr:uid="{00000000-0005-0000-0000-00003B2A0000}"/>
    <cellStyle name="Финансовый 9 2 3 5 4" xfId="10811" xr:uid="{00000000-0005-0000-0000-00003C2A0000}"/>
    <cellStyle name="Финансовый 9 2 3 6" xfId="10812" xr:uid="{00000000-0005-0000-0000-00003D2A0000}"/>
    <cellStyle name="Финансовый 9 2 3 6 2" xfId="10813" xr:uid="{00000000-0005-0000-0000-00003E2A0000}"/>
    <cellStyle name="Финансовый 9 2 3 6 2 2" xfId="10814" xr:uid="{00000000-0005-0000-0000-00003F2A0000}"/>
    <cellStyle name="Финансовый 9 2 3 6 3" xfId="10815" xr:uid="{00000000-0005-0000-0000-0000402A0000}"/>
    <cellStyle name="Финансовый 9 2 3 7" xfId="10816" xr:uid="{00000000-0005-0000-0000-0000412A0000}"/>
    <cellStyle name="Финансовый 9 2 3 7 2" xfId="10817" xr:uid="{00000000-0005-0000-0000-0000422A0000}"/>
    <cellStyle name="Финансовый 9 2 3 8" xfId="10818" xr:uid="{00000000-0005-0000-0000-0000432A0000}"/>
    <cellStyle name="Финансовый 9 2 4" xfId="10819" xr:uid="{00000000-0005-0000-0000-0000442A0000}"/>
    <cellStyle name="Финансовый 9 2 4 2" xfId="10820" xr:uid="{00000000-0005-0000-0000-0000452A0000}"/>
    <cellStyle name="Финансовый 9 2 4 2 2" xfId="10821" xr:uid="{00000000-0005-0000-0000-0000462A0000}"/>
    <cellStyle name="Финансовый 9 2 4 2 2 2" xfId="10822" xr:uid="{00000000-0005-0000-0000-0000472A0000}"/>
    <cellStyle name="Финансовый 9 2 4 2 2 2 2" xfId="10823" xr:uid="{00000000-0005-0000-0000-0000482A0000}"/>
    <cellStyle name="Финансовый 9 2 4 2 2 2 2 2" xfId="10824" xr:uid="{00000000-0005-0000-0000-0000492A0000}"/>
    <cellStyle name="Финансовый 9 2 4 2 2 2 2 2 2" xfId="10825" xr:uid="{00000000-0005-0000-0000-00004A2A0000}"/>
    <cellStyle name="Финансовый 9 2 4 2 2 2 2 3" xfId="10826" xr:uid="{00000000-0005-0000-0000-00004B2A0000}"/>
    <cellStyle name="Финансовый 9 2 4 2 2 2 3" xfId="10827" xr:uid="{00000000-0005-0000-0000-00004C2A0000}"/>
    <cellStyle name="Финансовый 9 2 4 2 2 2 3 2" xfId="10828" xr:uid="{00000000-0005-0000-0000-00004D2A0000}"/>
    <cellStyle name="Финансовый 9 2 4 2 2 2 4" xfId="10829" xr:uid="{00000000-0005-0000-0000-00004E2A0000}"/>
    <cellStyle name="Финансовый 9 2 4 2 2 3" xfId="10830" xr:uid="{00000000-0005-0000-0000-00004F2A0000}"/>
    <cellStyle name="Финансовый 9 2 4 2 2 3 2" xfId="10831" xr:uid="{00000000-0005-0000-0000-0000502A0000}"/>
    <cellStyle name="Финансовый 9 2 4 2 2 3 2 2" xfId="10832" xr:uid="{00000000-0005-0000-0000-0000512A0000}"/>
    <cellStyle name="Финансовый 9 2 4 2 2 3 3" xfId="10833" xr:uid="{00000000-0005-0000-0000-0000522A0000}"/>
    <cellStyle name="Финансовый 9 2 4 2 2 4" xfId="10834" xr:uid="{00000000-0005-0000-0000-0000532A0000}"/>
    <cellStyle name="Финансовый 9 2 4 2 2 4 2" xfId="10835" xr:uid="{00000000-0005-0000-0000-0000542A0000}"/>
    <cellStyle name="Финансовый 9 2 4 2 2 5" xfId="10836" xr:uid="{00000000-0005-0000-0000-0000552A0000}"/>
    <cellStyle name="Финансовый 9 2 4 2 3" xfId="10837" xr:uid="{00000000-0005-0000-0000-0000562A0000}"/>
    <cellStyle name="Финансовый 9 2 4 2 3 2" xfId="10838" xr:uid="{00000000-0005-0000-0000-0000572A0000}"/>
    <cellStyle name="Финансовый 9 2 4 2 3 2 2" xfId="10839" xr:uid="{00000000-0005-0000-0000-0000582A0000}"/>
    <cellStyle name="Финансовый 9 2 4 2 3 2 2 2" xfId="10840" xr:uid="{00000000-0005-0000-0000-0000592A0000}"/>
    <cellStyle name="Финансовый 9 2 4 2 3 2 3" xfId="10841" xr:uid="{00000000-0005-0000-0000-00005A2A0000}"/>
    <cellStyle name="Финансовый 9 2 4 2 3 3" xfId="10842" xr:uid="{00000000-0005-0000-0000-00005B2A0000}"/>
    <cellStyle name="Финансовый 9 2 4 2 3 3 2" xfId="10843" xr:uid="{00000000-0005-0000-0000-00005C2A0000}"/>
    <cellStyle name="Финансовый 9 2 4 2 3 4" xfId="10844" xr:uid="{00000000-0005-0000-0000-00005D2A0000}"/>
    <cellStyle name="Финансовый 9 2 4 2 4" xfId="10845" xr:uid="{00000000-0005-0000-0000-00005E2A0000}"/>
    <cellStyle name="Финансовый 9 2 4 2 4 2" xfId="10846" xr:uid="{00000000-0005-0000-0000-00005F2A0000}"/>
    <cellStyle name="Финансовый 9 2 4 2 4 2 2" xfId="10847" xr:uid="{00000000-0005-0000-0000-0000602A0000}"/>
    <cellStyle name="Финансовый 9 2 4 2 4 3" xfId="10848" xr:uid="{00000000-0005-0000-0000-0000612A0000}"/>
    <cellStyle name="Финансовый 9 2 4 2 5" xfId="10849" xr:uid="{00000000-0005-0000-0000-0000622A0000}"/>
    <cellStyle name="Финансовый 9 2 4 2 5 2" xfId="10850" xr:uid="{00000000-0005-0000-0000-0000632A0000}"/>
    <cellStyle name="Финансовый 9 2 4 2 6" xfId="10851" xr:uid="{00000000-0005-0000-0000-0000642A0000}"/>
    <cellStyle name="Финансовый 9 2 4 3" xfId="10852" xr:uid="{00000000-0005-0000-0000-0000652A0000}"/>
    <cellStyle name="Финансовый 9 2 4 3 2" xfId="10853" xr:uid="{00000000-0005-0000-0000-0000662A0000}"/>
    <cellStyle name="Финансовый 9 2 4 3 2 2" xfId="10854" xr:uid="{00000000-0005-0000-0000-0000672A0000}"/>
    <cellStyle name="Финансовый 9 2 4 3 2 2 2" xfId="10855" xr:uid="{00000000-0005-0000-0000-0000682A0000}"/>
    <cellStyle name="Финансовый 9 2 4 3 2 2 2 2" xfId="10856" xr:uid="{00000000-0005-0000-0000-0000692A0000}"/>
    <cellStyle name="Финансовый 9 2 4 3 2 2 3" xfId="10857" xr:uid="{00000000-0005-0000-0000-00006A2A0000}"/>
    <cellStyle name="Финансовый 9 2 4 3 2 3" xfId="10858" xr:uid="{00000000-0005-0000-0000-00006B2A0000}"/>
    <cellStyle name="Финансовый 9 2 4 3 2 3 2" xfId="10859" xr:uid="{00000000-0005-0000-0000-00006C2A0000}"/>
    <cellStyle name="Финансовый 9 2 4 3 2 4" xfId="10860" xr:uid="{00000000-0005-0000-0000-00006D2A0000}"/>
    <cellStyle name="Финансовый 9 2 4 3 3" xfId="10861" xr:uid="{00000000-0005-0000-0000-00006E2A0000}"/>
    <cellStyle name="Финансовый 9 2 4 3 3 2" xfId="10862" xr:uid="{00000000-0005-0000-0000-00006F2A0000}"/>
    <cellStyle name="Финансовый 9 2 4 3 3 2 2" xfId="10863" xr:uid="{00000000-0005-0000-0000-0000702A0000}"/>
    <cellStyle name="Финансовый 9 2 4 3 3 3" xfId="10864" xr:uid="{00000000-0005-0000-0000-0000712A0000}"/>
    <cellStyle name="Финансовый 9 2 4 3 4" xfId="10865" xr:uid="{00000000-0005-0000-0000-0000722A0000}"/>
    <cellStyle name="Финансовый 9 2 4 3 4 2" xfId="10866" xr:uid="{00000000-0005-0000-0000-0000732A0000}"/>
    <cellStyle name="Финансовый 9 2 4 3 5" xfId="10867" xr:uid="{00000000-0005-0000-0000-0000742A0000}"/>
    <cellStyle name="Финансовый 9 2 4 4" xfId="10868" xr:uid="{00000000-0005-0000-0000-0000752A0000}"/>
    <cellStyle name="Финансовый 9 2 4 4 2" xfId="10869" xr:uid="{00000000-0005-0000-0000-0000762A0000}"/>
    <cellStyle name="Финансовый 9 2 4 4 2 2" xfId="10870" xr:uid="{00000000-0005-0000-0000-0000772A0000}"/>
    <cellStyle name="Финансовый 9 2 4 4 2 2 2" xfId="10871" xr:uid="{00000000-0005-0000-0000-0000782A0000}"/>
    <cellStyle name="Финансовый 9 2 4 4 2 3" xfId="10872" xr:uid="{00000000-0005-0000-0000-0000792A0000}"/>
    <cellStyle name="Финансовый 9 2 4 4 3" xfId="10873" xr:uid="{00000000-0005-0000-0000-00007A2A0000}"/>
    <cellStyle name="Финансовый 9 2 4 4 3 2" xfId="10874" xr:uid="{00000000-0005-0000-0000-00007B2A0000}"/>
    <cellStyle name="Финансовый 9 2 4 4 4" xfId="10875" xr:uid="{00000000-0005-0000-0000-00007C2A0000}"/>
    <cellStyle name="Финансовый 9 2 4 5" xfId="10876" xr:uid="{00000000-0005-0000-0000-00007D2A0000}"/>
    <cellStyle name="Финансовый 9 2 4 5 2" xfId="10877" xr:uid="{00000000-0005-0000-0000-00007E2A0000}"/>
    <cellStyle name="Финансовый 9 2 4 5 2 2" xfId="10878" xr:uid="{00000000-0005-0000-0000-00007F2A0000}"/>
    <cellStyle name="Финансовый 9 2 4 5 3" xfId="10879" xr:uid="{00000000-0005-0000-0000-0000802A0000}"/>
    <cellStyle name="Финансовый 9 2 4 6" xfId="10880" xr:uid="{00000000-0005-0000-0000-0000812A0000}"/>
    <cellStyle name="Финансовый 9 2 4 6 2" xfId="10881" xr:uid="{00000000-0005-0000-0000-0000822A0000}"/>
    <cellStyle name="Финансовый 9 2 4 7" xfId="10882" xr:uid="{00000000-0005-0000-0000-0000832A0000}"/>
    <cellStyle name="Финансовый 9 2 5" xfId="10883" xr:uid="{00000000-0005-0000-0000-0000842A0000}"/>
    <cellStyle name="Финансовый 9 2 5 2" xfId="10884" xr:uid="{00000000-0005-0000-0000-0000852A0000}"/>
    <cellStyle name="Финансовый 9 2 5 2 2" xfId="10885" xr:uid="{00000000-0005-0000-0000-0000862A0000}"/>
    <cellStyle name="Финансовый 9 2 5 2 2 2" xfId="10886" xr:uid="{00000000-0005-0000-0000-0000872A0000}"/>
    <cellStyle name="Финансовый 9 2 5 2 2 2 2" xfId="10887" xr:uid="{00000000-0005-0000-0000-0000882A0000}"/>
    <cellStyle name="Финансовый 9 2 5 2 2 2 2 2" xfId="10888" xr:uid="{00000000-0005-0000-0000-0000892A0000}"/>
    <cellStyle name="Финансовый 9 2 5 2 2 2 3" xfId="10889" xr:uid="{00000000-0005-0000-0000-00008A2A0000}"/>
    <cellStyle name="Финансовый 9 2 5 2 2 3" xfId="10890" xr:uid="{00000000-0005-0000-0000-00008B2A0000}"/>
    <cellStyle name="Финансовый 9 2 5 2 2 3 2" xfId="10891" xr:uid="{00000000-0005-0000-0000-00008C2A0000}"/>
    <cellStyle name="Финансовый 9 2 5 2 2 4" xfId="10892" xr:uid="{00000000-0005-0000-0000-00008D2A0000}"/>
    <cellStyle name="Финансовый 9 2 5 2 3" xfId="10893" xr:uid="{00000000-0005-0000-0000-00008E2A0000}"/>
    <cellStyle name="Финансовый 9 2 5 2 3 2" xfId="10894" xr:uid="{00000000-0005-0000-0000-00008F2A0000}"/>
    <cellStyle name="Финансовый 9 2 5 2 3 2 2" xfId="10895" xr:uid="{00000000-0005-0000-0000-0000902A0000}"/>
    <cellStyle name="Финансовый 9 2 5 2 3 3" xfId="10896" xr:uid="{00000000-0005-0000-0000-0000912A0000}"/>
    <cellStyle name="Финансовый 9 2 5 2 4" xfId="10897" xr:uid="{00000000-0005-0000-0000-0000922A0000}"/>
    <cellStyle name="Финансовый 9 2 5 2 4 2" xfId="10898" xr:uid="{00000000-0005-0000-0000-0000932A0000}"/>
    <cellStyle name="Финансовый 9 2 5 2 5" xfId="10899" xr:uid="{00000000-0005-0000-0000-0000942A0000}"/>
    <cellStyle name="Финансовый 9 2 5 3" xfId="10900" xr:uid="{00000000-0005-0000-0000-0000952A0000}"/>
    <cellStyle name="Финансовый 9 2 5 3 2" xfId="10901" xr:uid="{00000000-0005-0000-0000-0000962A0000}"/>
    <cellStyle name="Финансовый 9 2 5 3 2 2" xfId="10902" xr:uid="{00000000-0005-0000-0000-0000972A0000}"/>
    <cellStyle name="Финансовый 9 2 5 3 2 2 2" xfId="10903" xr:uid="{00000000-0005-0000-0000-0000982A0000}"/>
    <cellStyle name="Финансовый 9 2 5 3 2 3" xfId="10904" xr:uid="{00000000-0005-0000-0000-0000992A0000}"/>
    <cellStyle name="Финансовый 9 2 5 3 3" xfId="10905" xr:uid="{00000000-0005-0000-0000-00009A2A0000}"/>
    <cellStyle name="Финансовый 9 2 5 3 3 2" xfId="10906" xr:uid="{00000000-0005-0000-0000-00009B2A0000}"/>
    <cellStyle name="Финансовый 9 2 5 3 4" xfId="10907" xr:uid="{00000000-0005-0000-0000-00009C2A0000}"/>
    <cellStyle name="Финансовый 9 2 5 4" xfId="10908" xr:uid="{00000000-0005-0000-0000-00009D2A0000}"/>
    <cellStyle name="Финансовый 9 2 5 4 2" xfId="10909" xr:uid="{00000000-0005-0000-0000-00009E2A0000}"/>
    <cellStyle name="Финансовый 9 2 5 4 2 2" xfId="10910" xr:uid="{00000000-0005-0000-0000-00009F2A0000}"/>
    <cellStyle name="Финансовый 9 2 5 4 3" xfId="10911" xr:uid="{00000000-0005-0000-0000-0000A02A0000}"/>
    <cellStyle name="Финансовый 9 2 5 5" xfId="10912" xr:uid="{00000000-0005-0000-0000-0000A12A0000}"/>
    <cellStyle name="Финансовый 9 2 5 5 2" xfId="10913" xr:uid="{00000000-0005-0000-0000-0000A22A0000}"/>
    <cellStyle name="Финансовый 9 2 5 6" xfId="10914" xr:uid="{00000000-0005-0000-0000-0000A32A0000}"/>
    <cellStyle name="Финансовый 9 2 6" xfId="10915" xr:uid="{00000000-0005-0000-0000-0000A42A0000}"/>
    <cellStyle name="Финансовый 9 2 6 2" xfId="10916" xr:uid="{00000000-0005-0000-0000-0000A52A0000}"/>
    <cellStyle name="Финансовый 9 2 6 2 2" xfId="10917" xr:uid="{00000000-0005-0000-0000-0000A62A0000}"/>
    <cellStyle name="Финансовый 9 2 6 2 2 2" xfId="10918" xr:uid="{00000000-0005-0000-0000-0000A72A0000}"/>
    <cellStyle name="Финансовый 9 2 6 2 2 2 2" xfId="10919" xr:uid="{00000000-0005-0000-0000-0000A82A0000}"/>
    <cellStyle name="Финансовый 9 2 6 2 2 3" xfId="10920" xr:uid="{00000000-0005-0000-0000-0000A92A0000}"/>
    <cellStyle name="Финансовый 9 2 6 2 3" xfId="10921" xr:uid="{00000000-0005-0000-0000-0000AA2A0000}"/>
    <cellStyle name="Финансовый 9 2 6 2 3 2" xfId="10922" xr:uid="{00000000-0005-0000-0000-0000AB2A0000}"/>
    <cellStyle name="Финансовый 9 2 6 2 4" xfId="10923" xr:uid="{00000000-0005-0000-0000-0000AC2A0000}"/>
    <cellStyle name="Финансовый 9 2 6 3" xfId="10924" xr:uid="{00000000-0005-0000-0000-0000AD2A0000}"/>
    <cellStyle name="Финансовый 9 2 6 3 2" xfId="10925" xr:uid="{00000000-0005-0000-0000-0000AE2A0000}"/>
    <cellStyle name="Финансовый 9 2 6 3 2 2" xfId="10926" xr:uid="{00000000-0005-0000-0000-0000AF2A0000}"/>
    <cellStyle name="Финансовый 9 2 6 3 3" xfId="10927" xr:uid="{00000000-0005-0000-0000-0000B02A0000}"/>
    <cellStyle name="Финансовый 9 2 6 4" xfId="10928" xr:uid="{00000000-0005-0000-0000-0000B12A0000}"/>
    <cellStyle name="Финансовый 9 2 6 4 2" xfId="10929" xr:uid="{00000000-0005-0000-0000-0000B22A0000}"/>
    <cellStyle name="Финансовый 9 2 6 5" xfId="10930" xr:uid="{00000000-0005-0000-0000-0000B32A0000}"/>
    <cellStyle name="Финансовый 9 2 7" xfId="10931" xr:uid="{00000000-0005-0000-0000-0000B42A0000}"/>
    <cellStyle name="Финансовый 9 2 7 2" xfId="10932" xr:uid="{00000000-0005-0000-0000-0000B52A0000}"/>
    <cellStyle name="Финансовый 9 2 7 2 2" xfId="10933" xr:uid="{00000000-0005-0000-0000-0000B62A0000}"/>
    <cellStyle name="Финансовый 9 2 7 2 2 2" xfId="10934" xr:uid="{00000000-0005-0000-0000-0000B72A0000}"/>
    <cellStyle name="Финансовый 9 2 7 2 3" xfId="10935" xr:uid="{00000000-0005-0000-0000-0000B82A0000}"/>
    <cellStyle name="Финансовый 9 2 7 3" xfId="10936" xr:uid="{00000000-0005-0000-0000-0000B92A0000}"/>
    <cellStyle name="Финансовый 9 2 7 3 2" xfId="10937" xr:uid="{00000000-0005-0000-0000-0000BA2A0000}"/>
    <cellStyle name="Финансовый 9 2 7 4" xfId="10938" xr:uid="{00000000-0005-0000-0000-0000BB2A0000}"/>
    <cellStyle name="Финансовый 9 2 8" xfId="10939" xr:uid="{00000000-0005-0000-0000-0000BC2A0000}"/>
    <cellStyle name="Финансовый 9 2 8 2" xfId="10940" xr:uid="{00000000-0005-0000-0000-0000BD2A0000}"/>
    <cellStyle name="Финансовый 9 2 8 2 2" xfId="10941" xr:uid="{00000000-0005-0000-0000-0000BE2A0000}"/>
    <cellStyle name="Финансовый 9 2 8 3" xfId="10942" xr:uid="{00000000-0005-0000-0000-0000BF2A0000}"/>
    <cellStyle name="Финансовый 9 2 9" xfId="10943" xr:uid="{00000000-0005-0000-0000-0000C02A0000}"/>
    <cellStyle name="Финансовый 9 2 9 2" xfId="10944" xr:uid="{00000000-0005-0000-0000-0000C12A0000}"/>
    <cellStyle name="Финансовый 9 3" xfId="10945" xr:uid="{00000000-0005-0000-0000-0000C22A0000}"/>
    <cellStyle name="Финансовый 9 3 2" xfId="10946" xr:uid="{00000000-0005-0000-0000-0000C32A0000}"/>
    <cellStyle name="Финансовый 9 3 2 2" xfId="10947" xr:uid="{00000000-0005-0000-0000-0000C42A0000}"/>
    <cellStyle name="Финансовый 9 3 2 2 2" xfId="10948" xr:uid="{00000000-0005-0000-0000-0000C52A0000}"/>
    <cellStyle name="Финансовый 9 3 2 2 2 2" xfId="10949" xr:uid="{00000000-0005-0000-0000-0000C62A0000}"/>
    <cellStyle name="Финансовый 9 3 2 2 2 2 2" xfId="10950" xr:uid="{00000000-0005-0000-0000-0000C72A0000}"/>
    <cellStyle name="Финансовый 9 3 2 2 2 2 2 2" xfId="10951" xr:uid="{00000000-0005-0000-0000-0000C82A0000}"/>
    <cellStyle name="Финансовый 9 3 2 2 2 2 2 2 2" xfId="10952" xr:uid="{00000000-0005-0000-0000-0000C92A0000}"/>
    <cellStyle name="Финансовый 9 3 2 2 2 2 2 2 2 2" xfId="10953" xr:uid="{00000000-0005-0000-0000-0000CA2A0000}"/>
    <cellStyle name="Финансовый 9 3 2 2 2 2 2 2 3" xfId="10954" xr:uid="{00000000-0005-0000-0000-0000CB2A0000}"/>
    <cellStyle name="Финансовый 9 3 2 2 2 2 2 3" xfId="10955" xr:uid="{00000000-0005-0000-0000-0000CC2A0000}"/>
    <cellStyle name="Финансовый 9 3 2 2 2 2 2 3 2" xfId="10956" xr:uid="{00000000-0005-0000-0000-0000CD2A0000}"/>
    <cellStyle name="Финансовый 9 3 2 2 2 2 2 4" xfId="10957" xr:uid="{00000000-0005-0000-0000-0000CE2A0000}"/>
    <cellStyle name="Финансовый 9 3 2 2 2 2 3" xfId="10958" xr:uid="{00000000-0005-0000-0000-0000CF2A0000}"/>
    <cellStyle name="Финансовый 9 3 2 2 2 2 3 2" xfId="10959" xr:uid="{00000000-0005-0000-0000-0000D02A0000}"/>
    <cellStyle name="Финансовый 9 3 2 2 2 2 3 2 2" xfId="10960" xr:uid="{00000000-0005-0000-0000-0000D12A0000}"/>
    <cellStyle name="Финансовый 9 3 2 2 2 2 3 3" xfId="10961" xr:uid="{00000000-0005-0000-0000-0000D22A0000}"/>
    <cellStyle name="Финансовый 9 3 2 2 2 2 4" xfId="10962" xr:uid="{00000000-0005-0000-0000-0000D32A0000}"/>
    <cellStyle name="Финансовый 9 3 2 2 2 2 4 2" xfId="10963" xr:uid="{00000000-0005-0000-0000-0000D42A0000}"/>
    <cellStyle name="Финансовый 9 3 2 2 2 2 5" xfId="10964" xr:uid="{00000000-0005-0000-0000-0000D52A0000}"/>
    <cellStyle name="Финансовый 9 3 2 2 2 3" xfId="10965" xr:uid="{00000000-0005-0000-0000-0000D62A0000}"/>
    <cellStyle name="Финансовый 9 3 2 2 2 3 2" xfId="10966" xr:uid="{00000000-0005-0000-0000-0000D72A0000}"/>
    <cellStyle name="Финансовый 9 3 2 2 2 3 2 2" xfId="10967" xr:uid="{00000000-0005-0000-0000-0000D82A0000}"/>
    <cellStyle name="Финансовый 9 3 2 2 2 3 2 2 2" xfId="10968" xr:uid="{00000000-0005-0000-0000-0000D92A0000}"/>
    <cellStyle name="Финансовый 9 3 2 2 2 3 2 3" xfId="10969" xr:uid="{00000000-0005-0000-0000-0000DA2A0000}"/>
    <cellStyle name="Финансовый 9 3 2 2 2 3 3" xfId="10970" xr:uid="{00000000-0005-0000-0000-0000DB2A0000}"/>
    <cellStyle name="Финансовый 9 3 2 2 2 3 3 2" xfId="10971" xr:uid="{00000000-0005-0000-0000-0000DC2A0000}"/>
    <cellStyle name="Финансовый 9 3 2 2 2 3 4" xfId="10972" xr:uid="{00000000-0005-0000-0000-0000DD2A0000}"/>
    <cellStyle name="Финансовый 9 3 2 2 2 4" xfId="10973" xr:uid="{00000000-0005-0000-0000-0000DE2A0000}"/>
    <cellStyle name="Финансовый 9 3 2 2 2 4 2" xfId="10974" xr:uid="{00000000-0005-0000-0000-0000DF2A0000}"/>
    <cellStyle name="Финансовый 9 3 2 2 2 4 2 2" xfId="10975" xr:uid="{00000000-0005-0000-0000-0000E02A0000}"/>
    <cellStyle name="Финансовый 9 3 2 2 2 4 3" xfId="10976" xr:uid="{00000000-0005-0000-0000-0000E12A0000}"/>
    <cellStyle name="Финансовый 9 3 2 2 2 5" xfId="10977" xr:uid="{00000000-0005-0000-0000-0000E22A0000}"/>
    <cellStyle name="Финансовый 9 3 2 2 2 5 2" xfId="10978" xr:uid="{00000000-0005-0000-0000-0000E32A0000}"/>
    <cellStyle name="Финансовый 9 3 2 2 2 6" xfId="10979" xr:uid="{00000000-0005-0000-0000-0000E42A0000}"/>
    <cellStyle name="Финансовый 9 3 2 2 3" xfId="10980" xr:uid="{00000000-0005-0000-0000-0000E52A0000}"/>
    <cellStyle name="Финансовый 9 3 2 2 3 2" xfId="10981" xr:uid="{00000000-0005-0000-0000-0000E62A0000}"/>
    <cellStyle name="Финансовый 9 3 2 2 3 2 2" xfId="10982" xr:uid="{00000000-0005-0000-0000-0000E72A0000}"/>
    <cellStyle name="Финансовый 9 3 2 2 3 2 2 2" xfId="10983" xr:uid="{00000000-0005-0000-0000-0000E82A0000}"/>
    <cellStyle name="Финансовый 9 3 2 2 3 2 2 2 2" xfId="10984" xr:uid="{00000000-0005-0000-0000-0000E92A0000}"/>
    <cellStyle name="Финансовый 9 3 2 2 3 2 2 3" xfId="10985" xr:uid="{00000000-0005-0000-0000-0000EA2A0000}"/>
    <cellStyle name="Финансовый 9 3 2 2 3 2 3" xfId="10986" xr:uid="{00000000-0005-0000-0000-0000EB2A0000}"/>
    <cellStyle name="Финансовый 9 3 2 2 3 2 3 2" xfId="10987" xr:uid="{00000000-0005-0000-0000-0000EC2A0000}"/>
    <cellStyle name="Финансовый 9 3 2 2 3 2 4" xfId="10988" xr:uid="{00000000-0005-0000-0000-0000ED2A0000}"/>
    <cellStyle name="Финансовый 9 3 2 2 3 3" xfId="10989" xr:uid="{00000000-0005-0000-0000-0000EE2A0000}"/>
    <cellStyle name="Финансовый 9 3 2 2 3 3 2" xfId="10990" xr:uid="{00000000-0005-0000-0000-0000EF2A0000}"/>
    <cellStyle name="Финансовый 9 3 2 2 3 3 2 2" xfId="10991" xr:uid="{00000000-0005-0000-0000-0000F02A0000}"/>
    <cellStyle name="Финансовый 9 3 2 2 3 3 3" xfId="10992" xr:uid="{00000000-0005-0000-0000-0000F12A0000}"/>
    <cellStyle name="Финансовый 9 3 2 2 3 4" xfId="10993" xr:uid="{00000000-0005-0000-0000-0000F22A0000}"/>
    <cellStyle name="Финансовый 9 3 2 2 3 4 2" xfId="10994" xr:uid="{00000000-0005-0000-0000-0000F32A0000}"/>
    <cellStyle name="Финансовый 9 3 2 2 3 5" xfId="10995" xr:uid="{00000000-0005-0000-0000-0000F42A0000}"/>
    <cellStyle name="Финансовый 9 3 2 2 4" xfId="10996" xr:uid="{00000000-0005-0000-0000-0000F52A0000}"/>
    <cellStyle name="Финансовый 9 3 2 2 4 2" xfId="10997" xr:uid="{00000000-0005-0000-0000-0000F62A0000}"/>
    <cellStyle name="Финансовый 9 3 2 2 4 2 2" xfId="10998" xr:uid="{00000000-0005-0000-0000-0000F72A0000}"/>
    <cellStyle name="Финансовый 9 3 2 2 4 2 2 2" xfId="10999" xr:uid="{00000000-0005-0000-0000-0000F82A0000}"/>
    <cellStyle name="Финансовый 9 3 2 2 4 2 3" xfId="11000" xr:uid="{00000000-0005-0000-0000-0000F92A0000}"/>
    <cellStyle name="Финансовый 9 3 2 2 4 3" xfId="11001" xr:uid="{00000000-0005-0000-0000-0000FA2A0000}"/>
    <cellStyle name="Финансовый 9 3 2 2 4 3 2" xfId="11002" xr:uid="{00000000-0005-0000-0000-0000FB2A0000}"/>
    <cellStyle name="Финансовый 9 3 2 2 4 4" xfId="11003" xr:uid="{00000000-0005-0000-0000-0000FC2A0000}"/>
    <cellStyle name="Финансовый 9 3 2 2 5" xfId="11004" xr:uid="{00000000-0005-0000-0000-0000FD2A0000}"/>
    <cellStyle name="Финансовый 9 3 2 2 5 2" xfId="11005" xr:uid="{00000000-0005-0000-0000-0000FE2A0000}"/>
    <cellStyle name="Финансовый 9 3 2 2 5 2 2" xfId="11006" xr:uid="{00000000-0005-0000-0000-0000FF2A0000}"/>
    <cellStyle name="Финансовый 9 3 2 2 5 3" xfId="11007" xr:uid="{00000000-0005-0000-0000-0000002B0000}"/>
    <cellStyle name="Финансовый 9 3 2 2 6" xfId="11008" xr:uid="{00000000-0005-0000-0000-0000012B0000}"/>
    <cellStyle name="Финансовый 9 3 2 2 6 2" xfId="11009" xr:uid="{00000000-0005-0000-0000-0000022B0000}"/>
    <cellStyle name="Финансовый 9 3 2 2 7" xfId="11010" xr:uid="{00000000-0005-0000-0000-0000032B0000}"/>
    <cellStyle name="Финансовый 9 3 2 3" xfId="11011" xr:uid="{00000000-0005-0000-0000-0000042B0000}"/>
    <cellStyle name="Финансовый 9 3 2 3 2" xfId="11012" xr:uid="{00000000-0005-0000-0000-0000052B0000}"/>
    <cellStyle name="Финансовый 9 3 2 3 2 2" xfId="11013" xr:uid="{00000000-0005-0000-0000-0000062B0000}"/>
    <cellStyle name="Финансовый 9 3 2 3 2 2 2" xfId="11014" xr:uid="{00000000-0005-0000-0000-0000072B0000}"/>
    <cellStyle name="Финансовый 9 3 2 3 2 2 2 2" xfId="11015" xr:uid="{00000000-0005-0000-0000-0000082B0000}"/>
    <cellStyle name="Финансовый 9 3 2 3 2 2 2 2 2" xfId="11016" xr:uid="{00000000-0005-0000-0000-0000092B0000}"/>
    <cellStyle name="Финансовый 9 3 2 3 2 2 2 3" xfId="11017" xr:uid="{00000000-0005-0000-0000-00000A2B0000}"/>
    <cellStyle name="Финансовый 9 3 2 3 2 2 3" xfId="11018" xr:uid="{00000000-0005-0000-0000-00000B2B0000}"/>
    <cellStyle name="Финансовый 9 3 2 3 2 2 3 2" xfId="11019" xr:uid="{00000000-0005-0000-0000-00000C2B0000}"/>
    <cellStyle name="Финансовый 9 3 2 3 2 2 4" xfId="11020" xr:uid="{00000000-0005-0000-0000-00000D2B0000}"/>
    <cellStyle name="Финансовый 9 3 2 3 2 3" xfId="11021" xr:uid="{00000000-0005-0000-0000-00000E2B0000}"/>
    <cellStyle name="Финансовый 9 3 2 3 2 3 2" xfId="11022" xr:uid="{00000000-0005-0000-0000-00000F2B0000}"/>
    <cellStyle name="Финансовый 9 3 2 3 2 3 2 2" xfId="11023" xr:uid="{00000000-0005-0000-0000-0000102B0000}"/>
    <cellStyle name="Финансовый 9 3 2 3 2 3 3" xfId="11024" xr:uid="{00000000-0005-0000-0000-0000112B0000}"/>
    <cellStyle name="Финансовый 9 3 2 3 2 4" xfId="11025" xr:uid="{00000000-0005-0000-0000-0000122B0000}"/>
    <cellStyle name="Финансовый 9 3 2 3 2 4 2" xfId="11026" xr:uid="{00000000-0005-0000-0000-0000132B0000}"/>
    <cellStyle name="Финансовый 9 3 2 3 2 5" xfId="11027" xr:uid="{00000000-0005-0000-0000-0000142B0000}"/>
    <cellStyle name="Финансовый 9 3 2 3 3" xfId="11028" xr:uid="{00000000-0005-0000-0000-0000152B0000}"/>
    <cellStyle name="Финансовый 9 3 2 3 3 2" xfId="11029" xr:uid="{00000000-0005-0000-0000-0000162B0000}"/>
    <cellStyle name="Финансовый 9 3 2 3 3 2 2" xfId="11030" xr:uid="{00000000-0005-0000-0000-0000172B0000}"/>
    <cellStyle name="Финансовый 9 3 2 3 3 2 2 2" xfId="11031" xr:uid="{00000000-0005-0000-0000-0000182B0000}"/>
    <cellStyle name="Финансовый 9 3 2 3 3 2 3" xfId="11032" xr:uid="{00000000-0005-0000-0000-0000192B0000}"/>
    <cellStyle name="Финансовый 9 3 2 3 3 3" xfId="11033" xr:uid="{00000000-0005-0000-0000-00001A2B0000}"/>
    <cellStyle name="Финансовый 9 3 2 3 3 3 2" xfId="11034" xr:uid="{00000000-0005-0000-0000-00001B2B0000}"/>
    <cellStyle name="Финансовый 9 3 2 3 3 4" xfId="11035" xr:uid="{00000000-0005-0000-0000-00001C2B0000}"/>
    <cellStyle name="Финансовый 9 3 2 3 4" xfId="11036" xr:uid="{00000000-0005-0000-0000-00001D2B0000}"/>
    <cellStyle name="Финансовый 9 3 2 3 4 2" xfId="11037" xr:uid="{00000000-0005-0000-0000-00001E2B0000}"/>
    <cellStyle name="Финансовый 9 3 2 3 4 2 2" xfId="11038" xr:uid="{00000000-0005-0000-0000-00001F2B0000}"/>
    <cellStyle name="Финансовый 9 3 2 3 4 3" xfId="11039" xr:uid="{00000000-0005-0000-0000-0000202B0000}"/>
    <cellStyle name="Финансовый 9 3 2 3 5" xfId="11040" xr:uid="{00000000-0005-0000-0000-0000212B0000}"/>
    <cellStyle name="Финансовый 9 3 2 3 5 2" xfId="11041" xr:uid="{00000000-0005-0000-0000-0000222B0000}"/>
    <cellStyle name="Финансовый 9 3 2 3 6" xfId="11042" xr:uid="{00000000-0005-0000-0000-0000232B0000}"/>
    <cellStyle name="Финансовый 9 3 2 4" xfId="11043" xr:uid="{00000000-0005-0000-0000-0000242B0000}"/>
    <cellStyle name="Финансовый 9 3 2 4 2" xfId="11044" xr:uid="{00000000-0005-0000-0000-0000252B0000}"/>
    <cellStyle name="Финансовый 9 3 2 4 2 2" xfId="11045" xr:uid="{00000000-0005-0000-0000-0000262B0000}"/>
    <cellStyle name="Финансовый 9 3 2 4 2 2 2" xfId="11046" xr:uid="{00000000-0005-0000-0000-0000272B0000}"/>
    <cellStyle name="Финансовый 9 3 2 4 2 2 2 2" xfId="11047" xr:uid="{00000000-0005-0000-0000-0000282B0000}"/>
    <cellStyle name="Финансовый 9 3 2 4 2 2 3" xfId="11048" xr:uid="{00000000-0005-0000-0000-0000292B0000}"/>
    <cellStyle name="Финансовый 9 3 2 4 2 3" xfId="11049" xr:uid="{00000000-0005-0000-0000-00002A2B0000}"/>
    <cellStyle name="Финансовый 9 3 2 4 2 3 2" xfId="11050" xr:uid="{00000000-0005-0000-0000-00002B2B0000}"/>
    <cellStyle name="Финансовый 9 3 2 4 2 4" xfId="11051" xr:uid="{00000000-0005-0000-0000-00002C2B0000}"/>
    <cellStyle name="Финансовый 9 3 2 4 3" xfId="11052" xr:uid="{00000000-0005-0000-0000-00002D2B0000}"/>
    <cellStyle name="Финансовый 9 3 2 4 3 2" xfId="11053" xr:uid="{00000000-0005-0000-0000-00002E2B0000}"/>
    <cellStyle name="Финансовый 9 3 2 4 3 2 2" xfId="11054" xr:uid="{00000000-0005-0000-0000-00002F2B0000}"/>
    <cellStyle name="Финансовый 9 3 2 4 3 3" xfId="11055" xr:uid="{00000000-0005-0000-0000-0000302B0000}"/>
    <cellStyle name="Финансовый 9 3 2 4 4" xfId="11056" xr:uid="{00000000-0005-0000-0000-0000312B0000}"/>
    <cellStyle name="Финансовый 9 3 2 4 4 2" xfId="11057" xr:uid="{00000000-0005-0000-0000-0000322B0000}"/>
    <cellStyle name="Финансовый 9 3 2 4 5" xfId="11058" xr:uid="{00000000-0005-0000-0000-0000332B0000}"/>
    <cellStyle name="Финансовый 9 3 2 5" xfId="11059" xr:uid="{00000000-0005-0000-0000-0000342B0000}"/>
    <cellStyle name="Финансовый 9 3 2 5 2" xfId="11060" xr:uid="{00000000-0005-0000-0000-0000352B0000}"/>
    <cellStyle name="Финансовый 9 3 2 5 2 2" xfId="11061" xr:uid="{00000000-0005-0000-0000-0000362B0000}"/>
    <cellStyle name="Финансовый 9 3 2 5 2 2 2" xfId="11062" xr:uid="{00000000-0005-0000-0000-0000372B0000}"/>
    <cellStyle name="Финансовый 9 3 2 5 2 3" xfId="11063" xr:uid="{00000000-0005-0000-0000-0000382B0000}"/>
    <cellStyle name="Финансовый 9 3 2 5 3" xfId="11064" xr:uid="{00000000-0005-0000-0000-0000392B0000}"/>
    <cellStyle name="Финансовый 9 3 2 5 3 2" xfId="11065" xr:uid="{00000000-0005-0000-0000-00003A2B0000}"/>
    <cellStyle name="Финансовый 9 3 2 5 4" xfId="11066" xr:uid="{00000000-0005-0000-0000-00003B2B0000}"/>
    <cellStyle name="Финансовый 9 3 2 6" xfId="11067" xr:uid="{00000000-0005-0000-0000-00003C2B0000}"/>
    <cellStyle name="Финансовый 9 3 2 6 2" xfId="11068" xr:uid="{00000000-0005-0000-0000-00003D2B0000}"/>
    <cellStyle name="Финансовый 9 3 2 6 2 2" xfId="11069" xr:uid="{00000000-0005-0000-0000-00003E2B0000}"/>
    <cellStyle name="Финансовый 9 3 2 6 3" xfId="11070" xr:uid="{00000000-0005-0000-0000-00003F2B0000}"/>
    <cellStyle name="Финансовый 9 3 2 7" xfId="11071" xr:uid="{00000000-0005-0000-0000-0000402B0000}"/>
    <cellStyle name="Финансовый 9 3 2 7 2" xfId="11072" xr:uid="{00000000-0005-0000-0000-0000412B0000}"/>
    <cellStyle name="Финансовый 9 3 2 8" xfId="11073" xr:uid="{00000000-0005-0000-0000-0000422B0000}"/>
    <cellStyle name="Финансовый 9 3 3" xfId="11074" xr:uid="{00000000-0005-0000-0000-0000432B0000}"/>
    <cellStyle name="Финансовый 9 3 3 2" xfId="11075" xr:uid="{00000000-0005-0000-0000-0000442B0000}"/>
    <cellStyle name="Финансовый 9 3 3 2 2" xfId="11076" xr:uid="{00000000-0005-0000-0000-0000452B0000}"/>
    <cellStyle name="Финансовый 9 3 3 2 2 2" xfId="11077" xr:uid="{00000000-0005-0000-0000-0000462B0000}"/>
    <cellStyle name="Финансовый 9 3 3 2 2 2 2" xfId="11078" xr:uid="{00000000-0005-0000-0000-0000472B0000}"/>
    <cellStyle name="Финансовый 9 3 3 2 2 2 2 2" xfId="11079" xr:uid="{00000000-0005-0000-0000-0000482B0000}"/>
    <cellStyle name="Финансовый 9 3 3 2 2 2 2 2 2" xfId="11080" xr:uid="{00000000-0005-0000-0000-0000492B0000}"/>
    <cellStyle name="Финансовый 9 3 3 2 2 2 2 3" xfId="11081" xr:uid="{00000000-0005-0000-0000-00004A2B0000}"/>
    <cellStyle name="Финансовый 9 3 3 2 2 2 3" xfId="11082" xr:uid="{00000000-0005-0000-0000-00004B2B0000}"/>
    <cellStyle name="Финансовый 9 3 3 2 2 2 3 2" xfId="11083" xr:uid="{00000000-0005-0000-0000-00004C2B0000}"/>
    <cellStyle name="Финансовый 9 3 3 2 2 2 4" xfId="11084" xr:uid="{00000000-0005-0000-0000-00004D2B0000}"/>
    <cellStyle name="Финансовый 9 3 3 2 2 3" xfId="11085" xr:uid="{00000000-0005-0000-0000-00004E2B0000}"/>
    <cellStyle name="Финансовый 9 3 3 2 2 3 2" xfId="11086" xr:uid="{00000000-0005-0000-0000-00004F2B0000}"/>
    <cellStyle name="Финансовый 9 3 3 2 2 3 2 2" xfId="11087" xr:uid="{00000000-0005-0000-0000-0000502B0000}"/>
    <cellStyle name="Финансовый 9 3 3 2 2 3 3" xfId="11088" xr:uid="{00000000-0005-0000-0000-0000512B0000}"/>
    <cellStyle name="Финансовый 9 3 3 2 2 4" xfId="11089" xr:uid="{00000000-0005-0000-0000-0000522B0000}"/>
    <cellStyle name="Финансовый 9 3 3 2 2 4 2" xfId="11090" xr:uid="{00000000-0005-0000-0000-0000532B0000}"/>
    <cellStyle name="Финансовый 9 3 3 2 2 5" xfId="11091" xr:uid="{00000000-0005-0000-0000-0000542B0000}"/>
    <cellStyle name="Финансовый 9 3 3 2 3" xfId="11092" xr:uid="{00000000-0005-0000-0000-0000552B0000}"/>
    <cellStyle name="Финансовый 9 3 3 2 3 2" xfId="11093" xr:uid="{00000000-0005-0000-0000-0000562B0000}"/>
    <cellStyle name="Финансовый 9 3 3 2 3 2 2" xfId="11094" xr:uid="{00000000-0005-0000-0000-0000572B0000}"/>
    <cellStyle name="Финансовый 9 3 3 2 3 2 2 2" xfId="11095" xr:uid="{00000000-0005-0000-0000-0000582B0000}"/>
    <cellStyle name="Финансовый 9 3 3 2 3 2 3" xfId="11096" xr:uid="{00000000-0005-0000-0000-0000592B0000}"/>
    <cellStyle name="Финансовый 9 3 3 2 3 3" xfId="11097" xr:uid="{00000000-0005-0000-0000-00005A2B0000}"/>
    <cellStyle name="Финансовый 9 3 3 2 3 3 2" xfId="11098" xr:uid="{00000000-0005-0000-0000-00005B2B0000}"/>
    <cellStyle name="Финансовый 9 3 3 2 3 4" xfId="11099" xr:uid="{00000000-0005-0000-0000-00005C2B0000}"/>
    <cellStyle name="Финансовый 9 3 3 2 4" xfId="11100" xr:uid="{00000000-0005-0000-0000-00005D2B0000}"/>
    <cellStyle name="Финансовый 9 3 3 2 4 2" xfId="11101" xr:uid="{00000000-0005-0000-0000-00005E2B0000}"/>
    <cellStyle name="Финансовый 9 3 3 2 4 2 2" xfId="11102" xr:uid="{00000000-0005-0000-0000-00005F2B0000}"/>
    <cellStyle name="Финансовый 9 3 3 2 4 3" xfId="11103" xr:uid="{00000000-0005-0000-0000-0000602B0000}"/>
    <cellStyle name="Финансовый 9 3 3 2 5" xfId="11104" xr:uid="{00000000-0005-0000-0000-0000612B0000}"/>
    <cellStyle name="Финансовый 9 3 3 2 5 2" xfId="11105" xr:uid="{00000000-0005-0000-0000-0000622B0000}"/>
    <cellStyle name="Финансовый 9 3 3 2 6" xfId="11106" xr:uid="{00000000-0005-0000-0000-0000632B0000}"/>
    <cellStyle name="Финансовый 9 3 3 3" xfId="11107" xr:uid="{00000000-0005-0000-0000-0000642B0000}"/>
    <cellStyle name="Финансовый 9 3 3 3 2" xfId="11108" xr:uid="{00000000-0005-0000-0000-0000652B0000}"/>
    <cellStyle name="Финансовый 9 3 3 3 2 2" xfId="11109" xr:uid="{00000000-0005-0000-0000-0000662B0000}"/>
    <cellStyle name="Финансовый 9 3 3 3 2 2 2" xfId="11110" xr:uid="{00000000-0005-0000-0000-0000672B0000}"/>
    <cellStyle name="Финансовый 9 3 3 3 2 2 2 2" xfId="11111" xr:uid="{00000000-0005-0000-0000-0000682B0000}"/>
    <cellStyle name="Финансовый 9 3 3 3 2 2 3" xfId="11112" xr:uid="{00000000-0005-0000-0000-0000692B0000}"/>
    <cellStyle name="Финансовый 9 3 3 3 2 3" xfId="11113" xr:uid="{00000000-0005-0000-0000-00006A2B0000}"/>
    <cellStyle name="Финансовый 9 3 3 3 2 3 2" xfId="11114" xr:uid="{00000000-0005-0000-0000-00006B2B0000}"/>
    <cellStyle name="Финансовый 9 3 3 3 2 4" xfId="11115" xr:uid="{00000000-0005-0000-0000-00006C2B0000}"/>
    <cellStyle name="Финансовый 9 3 3 3 3" xfId="11116" xr:uid="{00000000-0005-0000-0000-00006D2B0000}"/>
    <cellStyle name="Финансовый 9 3 3 3 3 2" xfId="11117" xr:uid="{00000000-0005-0000-0000-00006E2B0000}"/>
    <cellStyle name="Финансовый 9 3 3 3 3 2 2" xfId="11118" xr:uid="{00000000-0005-0000-0000-00006F2B0000}"/>
    <cellStyle name="Финансовый 9 3 3 3 3 3" xfId="11119" xr:uid="{00000000-0005-0000-0000-0000702B0000}"/>
    <cellStyle name="Финансовый 9 3 3 3 4" xfId="11120" xr:uid="{00000000-0005-0000-0000-0000712B0000}"/>
    <cellStyle name="Финансовый 9 3 3 3 4 2" xfId="11121" xr:uid="{00000000-0005-0000-0000-0000722B0000}"/>
    <cellStyle name="Финансовый 9 3 3 3 5" xfId="11122" xr:uid="{00000000-0005-0000-0000-0000732B0000}"/>
    <cellStyle name="Финансовый 9 3 3 4" xfId="11123" xr:uid="{00000000-0005-0000-0000-0000742B0000}"/>
    <cellStyle name="Финансовый 9 3 3 4 2" xfId="11124" xr:uid="{00000000-0005-0000-0000-0000752B0000}"/>
    <cellStyle name="Финансовый 9 3 3 4 2 2" xfId="11125" xr:uid="{00000000-0005-0000-0000-0000762B0000}"/>
    <cellStyle name="Финансовый 9 3 3 4 2 2 2" xfId="11126" xr:uid="{00000000-0005-0000-0000-0000772B0000}"/>
    <cellStyle name="Финансовый 9 3 3 4 2 3" xfId="11127" xr:uid="{00000000-0005-0000-0000-0000782B0000}"/>
    <cellStyle name="Финансовый 9 3 3 4 3" xfId="11128" xr:uid="{00000000-0005-0000-0000-0000792B0000}"/>
    <cellStyle name="Финансовый 9 3 3 4 3 2" xfId="11129" xr:uid="{00000000-0005-0000-0000-00007A2B0000}"/>
    <cellStyle name="Финансовый 9 3 3 4 4" xfId="11130" xr:uid="{00000000-0005-0000-0000-00007B2B0000}"/>
    <cellStyle name="Финансовый 9 3 3 5" xfId="11131" xr:uid="{00000000-0005-0000-0000-00007C2B0000}"/>
    <cellStyle name="Финансовый 9 3 3 5 2" xfId="11132" xr:uid="{00000000-0005-0000-0000-00007D2B0000}"/>
    <cellStyle name="Финансовый 9 3 3 5 2 2" xfId="11133" xr:uid="{00000000-0005-0000-0000-00007E2B0000}"/>
    <cellStyle name="Финансовый 9 3 3 5 3" xfId="11134" xr:uid="{00000000-0005-0000-0000-00007F2B0000}"/>
    <cellStyle name="Финансовый 9 3 3 6" xfId="11135" xr:uid="{00000000-0005-0000-0000-0000802B0000}"/>
    <cellStyle name="Финансовый 9 3 3 6 2" xfId="11136" xr:uid="{00000000-0005-0000-0000-0000812B0000}"/>
    <cellStyle name="Финансовый 9 3 3 7" xfId="11137" xr:uid="{00000000-0005-0000-0000-0000822B0000}"/>
    <cellStyle name="Финансовый 9 3 4" xfId="11138" xr:uid="{00000000-0005-0000-0000-0000832B0000}"/>
    <cellStyle name="Финансовый 9 3 4 2" xfId="11139" xr:uid="{00000000-0005-0000-0000-0000842B0000}"/>
    <cellStyle name="Финансовый 9 3 4 2 2" xfId="11140" xr:uid="{00000000-0005-0000-0000-0000852B0000}"/>
    <cellStyle name="Финансовый 9 3 4 2 2 2" xfId="11141" xr:uid="{00000000-0005-0000-0000-0000862B0000}"/>
    <cellStyle name="Финансовый 9 3 4 2 2 2 2" xfId="11142" xr:uid="{00000000-0005-0000-0000-0000872B0000}"/>
    <cellStyle name="Финансовый 9 3 4 2 2 2 2 2" xfId="11143" xr:uid="{00000000-0005-0000-0000-0000882B0000}"/>
    <cellStyle name="Финансовый 9 3 4 2 2 2 3" xfId="11144" xr:uid="{00000000-0005-0000-0000-0000892B0000}"/>
    <cellStyle name="Финансовый 9 3 4 2 2 3" xfId="11145" xr:uid="{00000000-0005-0000-0000-00008A2B0000}"/>
    <cellStyle name="Финансовый 9 3 4 2 2 3 2" xfId="11146" xr:uid="{00000000-0005-0000-0000-00008B2B0000}"/>
    <cellStyle name="Финансовый 9 3 4 2 2 4" xfId="11147" xr:uid="{00000000-0005-0000-0000-00008C2B0000}"/>
    <cellStyle name="Финансовый 9 3 4 2 3" xfId="11148" xr:uid="{00000000-0005-0000-0000-00008D2B0000}"/>
    <cellStyle name="Финансовый 9 3 4 2 3 2" xfId="11149" xr:uid="{00000000-0005-0000-0000-00008E2B0000}"/>
    <cellStyle name="Финансовый 9 3 4 2 3 2 2" xfId="11150" xr:uid="{00000000-0005-0000-0000-00008F2B0000}"/>
    <cellStyle name="Финансовый 9 3 4 2 3 3" xfId="11151" xr:uid="{00000000-0005-0000-0000-0000902B0000}"/>
    <cellStyle name="Финансовый 9 3 4 2 4" xfId="11152" xr:uid="{00000000-0005-0000-0000-0000912B0000}"/>
    <cellStyle name="Финансовый 9 3 4 2 4 2" xfId="11153" xr:uid="{00000000-0005-0000-0000-0000922B0000}"/>
    <cellStyle name="Финансовый 9 3 4 2 5" xfId="11154" xr:uid="{00000000-0005-0000-0000-0000932B0000}"/>
    <cellStyle name="Финансовый 9 3 4 3" xfId="11155" xr:uid="{00000000-0005-0000-0000-0000942B0000}"/>
    <cellStyle name="Финансовый 9 3 4 3 2" xfId="11156" xr:uid="{00000000-0005-0000-0000-0000952B0000}"/>
    <cellStyle name="Финансовый 9 3 4 3 2 2" xfId="11157" xr:uid="{00000000-0005-0000-0000-0000962B0000}"/>
    <cellStyle name="Финансовый 9 3 4 3 2 2 2" xfId="11158" xr:uid="{00000000-0005-0000-0000-0000972B0000}"/>
    <cellStyle name="Финансовый 9 3 4 3 2 3" xfId="11159" xr:uid="{00000000-0005-0000-0000-0000982B0000}"/>
    <cellStyle name="Финансовый 9 3 4 3 3" xfId="11160" xr:uid="{00000000-0005-0000-0000-0000992B0000}"/>
    <cellStyle name="Финансовый 9 3 4 3 3 2" xfId="11161" xr:uid="{00000000-0005-0000-0000-00009A2B0000}"/>
    <cellStyle name="Финансовый 9 3 4 3 4" xfId="11162" xr:uid="{00000000-0005-0000-0000-00009B2B0000}"/>
    <cellStyle name="Финансовый 9 3 4 4" xfId="11163" xr:uid="{00000000-0005-0000-0000-00009C2B0000}"/>
    <cellStyle name="Финансовый 9 3 4 4 2" xfId="11164" xr:uid="{00000000-0005-0000-0000-00009D2B0000}"/>
    <cellStyle name="Финансовый 9 3 4 4 2 2" xfId="11165" xr:uid="{00000000-0005-0000-0000-00009E2B0000}"/>
    <cellStyle name="Финансовый 9 3 4 4 3" xfId="11166" xr:uid="{00000000-0005-0000-0000-00009F2B0000}"/>
    <cellStyle name="Финансовый 9 3 4 5" xfId="11167" xr:uid="{00000000-0005-0000-0000-0000A02B0000}"/>
    <cellStyle name="Финансовый 9 3 4 5 2" xfId="11168" xr:uid="{00000000-0005-0000-0000-0000A12B0000}"/>
    <cellStyle name="Финансовый 9 3 4 6" xfId="11169" xr:uid="{00000000-0005-0000-0000-0000A22B0000}"/>
    <cellStyle name="Финансовый 9 3 5" xfId="11170" xr:uid="{00000000-0005-0000-0000-0000A32B0000}"/>
    <cellStyle name="Финансовый 9 3 5 2" xfId="11171" xr:uid="{00000000-0005-0000-0000-0000A42B0000}"/>
    <cellStyle name="Финансовый 9 3 5 2 2" xfId="11172" xr:uid="{00000000-0005-0000-0000-0000A52B0000}"/>
    <cellStyle name="Финансовый 9 3 5 2 2 2" xfId="11173" xr:uid="{00000000-0005-0000-0000-0000A62B0000}"/>
    <cellStyle name="Финансовый 9 3 5 2 2 2 2" xfId="11174" xr:uid="{00000000-0005-0000-0000-0000A72B0000}"/>
    <cellStyle name="Финансовый 9 3 5 2 2 3" xfId="11175" xr:uid="{00000000-0005-0000-0000-0000A82B0000}"/>
    <cellStyle name="Финансовый 9 3 5 2 3" xfId="11176" xr:uid="{00000000-0005-0000-0000-0000A92B0000}"/>
    <cellStyle name="Финансовый 9 3 5 2 3 2" xfId="11177" xr:uid="{00000000-0005-0000-0000-0000AA2B0000}"/>
    <cellStyle name="Финансовый 9 3 5 2 4" xfId="11178" xr:uid="{00000000-0005-0000-0000-0000AB2B0000}"/>
    <cellStyle name="Финансовый 9 3 5 3" xfId="11179" xr:uid="{00000000-0005-0000-0000-0000AC2B0000}"/>
    <cellStyle name="Финансовый 9 3 5 3 2" xfId="11180" xr:uid="{00000000-0005-0000-0000-0000AD2B0000}"/>
    <cellStyle name="Финансовый 9 3 5 3 2 2" xfId="11181" xr:uid="{00000000-0005-0000-0000-0000AE2B0000}"/>
    <cellStyle name="Финансовый 9 3 5 3 3" xfId="11182" xr:uid="{00000000-0005-0000-0000-0000AF2B0000}"/>
    <cellStyle name="Финансовый 9 3 5 4" xfId="11183" xr:uid="{00000000-0005-0000-0000-0000B02B0000}"/>
    <cellStyle name="Финансовый 9 3 5 4 2" xfId="11184" xr:uid="{00000000-0005-0000-0000-0000B12B0000}"/>
    <cellStyle name="Финансовый 9 3 5 5" xfId="11185" xr:uid="{00000000-0005-0000-0000-0000B22B0000}"/>
    <cellStyle name="Финансовый 9 3 6" xfId="11186" xr:uid="{00000000-0005-0000-0000-0000B32B0000}"/>
    <cellStyle name="Финансовый 9 3 6 2" xfId="11187" xr:uid="{00000000-0005-0000-0000-0000B42B0000}"/>
    <cellStyle name="Финансовый 9 3 6 2 2" xfId="11188" xr:uid="{00000000-0005-0000-0000-0000B52B0000}"/>
    <cellStyle name="Финансовый 9 3 6 2 2 2" xfId="11189" xr:uid="{00000000-0005-0000-0000-0000B62B0000}"/>
    <cellStyle name="Финансовый 9 3 6 2 3" xfId="11190" xr:uid="{00000000-0005-0000-0000-0000B72B0000}"/>
    <cellStyle name="Финансовый 9 3 6 3" xfId="11191" xr:uid="{00000000-0005-0000-0000-0000B82B0000}"/>
    <cellStyle name="Финансовый 9 3 6 3 2" xfId="11192" xr:uid="{00000000-0005-0000-0000-0000B92B0000}"/>
    <cellStyle name="Финансовый 9 3 6 4" xfId="11193" xr:uid="{00000000-0005-0000-0000-0000BA2B0000}"/>
    <cellStyle name="Финансовый 9 3 7" xfId="11194" xr:uid="{00000000-0005-0000-0000-0000BB2B0000}"/>
    <cellStyle name="Финансовый 9 3 7 2" xfId="11195" xr:uid="{00000000-0005-0000-0000-0000BC2B0000}"/>
    <cellStyle name="Финансовый 9 3 7 2 2" xfId="11196" xr:uid="{00000000-0005-0000-0000-0000BD2B0000}"/>
    <cellStyle name="Финансовый 9 3 7 3" xfId="11197" xr:uid="{00000000-0005-0000-0000-0000BE2B0000}"/>
    <cellStyle name="Финансовый 9 3 8" xfId="11198" xr:uid="{00000000-0005-0000-0000-0000BF2B0000}"/>
    <cellStyle name="Финансовый 9 3 8 2" xfId="11199" xr:uid="{00000000-0005-0000-0000-0000C02B0000}"/>
    <cellStyle name="Финансовый 9 3 9" xfId="11200" xr:uid="{00000000-0005-0000-0000-0000C12B0000}"/>
    <cellStyle name="Финансовый 9 4" xfId="11201" xr:uid="{00000000-0005-0000-0000-0000C22B0000}"/>
    <cellStyle name="Финансовый 9 4 2" xfId="11202" xr:uid="{00000000-0005-0000-0000-0000C32B0000}"/>
    <cellStyle name="Финансовый 9 4 2 2" xfId="11203" xr:uid="{00000000-0005-0000-0000-0000C42B0000}"/>
    <cellStyle name="Финансовый 9 4 2 2 2" xfId="11204" xr:uid="{00000000-0005-0000-0000-0000C52B0000}"/>
    <cellStyle name="Финансовый 9 4 2 2 2 2" xfId="11205" xr:uid="{00000000-0005-0000-0000-0000C62B0000}"/>
    <cellStyle name="Финансовый 9 4 2 2 2 2 2" xfId="11206" xr:uid="{00000000-0005-0000-0000-0000C72B0000}"/>
    <cellStyle name="Финансовый 9 4 2 2 2 2 2 2" xfId="11207" xr:uid="{00000000-0005-0000-0000-0000C82B0000}"/>
    <cellStyle name="Финансовый 9 4 2 2 2 2 2 2 2" xfId="11208" xr:uid="{00000000-0005-0000-0000-0000C92B0000}"/>
    <cellStyle name="Финансовый 9 4 2 2 2 2 2 3" xfId="11209" xr:uid="{00000000-0005-0000-0000-0000CA2B0000}"/>
    <cellStyle name="Финансовый 9 4 2 2 2 2 3" xfId="11210" xr:uid="{00000000-0005-0000-0000-0000CB2B0000}"/>
    <cellStyle name="Финансовый 9 4 2 2 2 2 3 2" xfId="11211" xr:uid="{00000000-0005-0000-0000-0000CC2B0000}"/>
    <cellStyle name="Финансовый 9 4 2 2 2 2 4" xfId="11212" xr:uid="{00000000-0005-0000-0000-0000CD2B0000}"/>
    <cellStyle name="Финансовый 9 4 2 2 2 3" xfId="11213" xr:uid="{00000000-0005-0000-0000-0000CE2B0000}"/>
    <cellStyle name="Финансовый 9 4 2 2 2 3 2" xfId="11214" xr:uid="{00000000-0005-0000-0000-0000CF2B0000}"/>
    <cellStyle name="Финансовый 9 4 2 2 2 3 2 2" xfId="11215" xr:uid="{00000000-0005-0000-0000-0000D02B0000}"/>
    <cellStyle name="Финансовый 9 4 2 2 2 3 3" xfId="11216" xr:uid="{00000000-0005-0000-0000-0000D12B0000}"/>
    <cellStyle name="Финансовый 9 4 2 2 2 4" xfId="11217" xr:uid="{00000000-0005-0000-0000-0000D22B0000}"/>
    <cellStyle name="Финансовый 9 4 2 2 2 4 2" xfId="11218" xr:uid="{00000000-0005-0000-0000-0000D32B0000}"/>
    <cellStyle name="Финансовый 9 4 2 2 2 5" xfId="11219" xr:uid="{00000000-0005-0000-0000-0000D42B0000}"/>
    <cellStyle name="Финансовый 9 4 2 2 3" xfId="11220" xr:uid="{00000000-0005-0000-0000-0000D52B0000}"/>
    <cellStyle name="Финансовый 9 4 2 2 3 2" xfId="11221" xr:uid="{00000000-0005-0000-0000-0000D62B0000}"/>
    <cellStyle name="Финансовый 9 4 2 2 3 2 2" xfId="11222" xr:uid="{00000000-0005-0000-0000-0000D72B0000}"/>
    <cellStyle name="Финансовый 9 4 2 2 3 2 2 2" xfId="11223" xr:uid="{00000000-0005-0000-0000-0000D82B0000}"/>
    <cellStyle name="Финансовый 9 4 2 2 3 2 3" xfId="11224" xr:uid="{00000000-0005-0000-0000-0000D92B0000}"/>
    <cellStyle name="Финансовый 9 4 2 2 3 3" xfId="11225" xr:uid="{00000000-0005-0000-0000-0000DA2B0000}"/>
    <cellStyle name="Финансовый 9 4 2 2 3 3 2" xfId="11226" xr:uid="{00000000-0005-0000-0000-0000DB2B0000}"/>
    <cellStyle name="Финансовый 9 4 2 2 3 4" xfId="11227" xr:uid="{00000000-0005-0000-0000-0000DC2B0000}"/>
    <cellStyle name="Финансовый 9 4 2 2 4" xfId="11228" xr:uid="{00000000-0005-0000-0000-0000DD2B0000}"/>
    <cellStyle name="Финансовый 9 4 2 2 4 2" xfId="11229" xr:uid="{00000000-0005-0000-0000-0000DE2B0000}"/>
    <cellStyle name="Финансовый 9 4 2 2 4 2 2" xfId="11230" xr:uid="{00000000-0005-0000-0000-0000DF2B0000}"/>
    <cellStyle name="Финансовый 9 4 2 2 4 3" xfId="11231" xr:uid="{00000000-0005-0000-0000-0000E02B0000}"/>
    <cellStyle name="Финансовый 9 4 2 2 5" xfId="11232" xr:uid="{00000000-0005-0000-0000-0000E12B0000}"/>
    <cellStyle name="Финансовый 9 4 2 2 5 2" xfId="11233" xr:uid="{00000000-0005-0000-0000-0000E22B0000}"/>
    <cellStyle name="Финансовый 9 4 2 2 6" xfId="11234" xr:uid="{00000000-0005-0000-0000-0000E32B0000}"/>
    <cellStyle name="Финансовый 9 4 2 3" xfId="11235" xr:uid="{00000000-0005-0000-0000-0000E42B0000}"/>
    <cellStyle name="Финансовый 9 4 2 3 2" xfId="11236" xr:uid="{00000000-0005-0000-0000-0000E52B0000}"/>
    <cellStyle name="Финансовый 9 4 2 3 2 2" xfId="11237" xr:uid="{00000000-0005-0000-0000-0000E62B0000}"/>
    <cellStyle name="Финансовый 9 4 2 3 2 2 2" xfId="11238" xr:uid="{00000000-0005-0000-0000-0000E72B0000}"/>
    <cellStyle name="Финансовый 9 4 2 3 2 2 2 2" xfId="11239" xr:uid="{00000000-0005-0000-0000-0000E82B0000}"/>
    <cellStyle name="Финансовый 9 4 2 3 2 2 3" xfId="11240" xr:uid="{00000000-0005-0000-0000-0000E92B0000}"/>
    <cellStyle name="Финансовый 9 4 2 3 2 3" xfId="11241" xr:uid="{00000000-0005-0000-0000-0000EA2B0000}"/>
    <cellStyle name="Финансовый 9 4 2 3 2 3 2" xfId="11242" xr:uid="{00000000-0005-0000-0000-0000EB2B0000}"/>
    <cellStyle name="Финансовый 9 4 2 3 2 4" xfId="11243" xr:uid="{00000000-0005-0000-0000-0000EC2B0000}"/>
    <cellStyle name="Финансовый 9 4 2 3 3" xfId="11244" xr:uid="{00000000-0005-0000-0000-0000ED2B0000}"/>
    <cellStyle name="Финансовый 9 4 2 3 3 2" xfId="11245" xr:uid="{00000000-0005-0000-0000-0000EE2B0000}"/>
    <cellStyle name="Финансовый 9 4 2 3 3 2 2" xfId="11246" xr:uid="{00000000-0005-0000-0000-0000EF2B0000}"/>
    <cellStyle name="Финансовый 9 4 2 3 3 3" xfId="11247" xr:uid="{00000000-0005-0000-0000-0000F02B0000}"/>
    <cellStyle name="Финансовый 9 4 2 3 4" xfId="11248" xr:uid="{00000000-0005-0000-0000-0000F12B0000}"/>
    <cellStyle name="Финансовый 9 4 2 3 4 2" xfId="11249" xr:uid="{00000000-0005-0000-0000-0000F22B0000}"/>
    <cellStyle name="Финансовый 9 4 2 3 5" xfId="11250" xr:uid="{00000000-0005-0000-0000-0000F32B0000}"/>
    <cellStyle name="Финансовый 9 4 2 4" xfId="11251" xr:uid="{00000000-0005-0000-0000-0000F42B0000}"/>
    <cellStyle name="Финансовый 9 4 2 4 2" xfId="11252" xr:uid="{00000000-0005-0000-0000-0000F52B0000}"/>
    <cellStyle name="Финансовый 9 4 2 4 2 2" xfId="11253" xr:uid="{00000000-0005-0000-0000-0000F62B0000}"/>
    <cellStyle name="Финансовый 9 4 2 4 2 2 2" xfId="11254" xr:uid="{00000000-0005-0000-0000-0000F72B0000}"/>
    <cellStyle name="Финансовый 9 4 2 4 2 3" xfId="11255" xr:uid="{00000000-0005-0000-0000-0000F82B0000}"/>
    <cellStyle name="Финансовый 9 4 2 4 3" xfId="11256" xr:uid="{00000000-0005-0000-0000-0000F92B0000}"/>
    <cellStyle name="Финансовый 9 4 2 4 3 2" xfId="11257" xr:uid="{00000000-0005-0000-0000-0000FA2B0000}"/>
    <cellStyle name="Финансовый 9 4 2 4 4" xfId="11258" xr:uid="{00000000-0005-0000-0000-0000FB2B0000}"/>
    <cellStyle name="Финансовый 9 4 2 5" xfId="11259" xr:uid="{00000000-0005-0000-0000-0000FC2B0000}"/>
    <cellStyle name="Финансовый 9 4 2 5 2" xfId="11260" xr:uid="{00000000-0005-0000-0000-0000FD2B0000}"/>
    <cellStyle name="Финансовый 9 4 2 5 2 2" xfId="11261" xr:uid="{00000000-0005-0000-0000-0000FE2B0000}"/>
    <cellStyle name="Финансовый 9 4 2 5 3" xfId="11262" xr:uid="{00000000-0005-0000-0000-0000FF2B0000}"/>
    <cellStyle name="Финансовый 9 4 2 6" xfId="11263" xr:uid="{00000000-0005-0000-0000-0000002C0000}"/>
    <cellStyle name="Финансовый 9 4 2 6 2" xfId="11264" xr:uid="{00000000-0005-0000-0000-0000012C0000}"/>
    <cellStyle name="Финансовый 9 4 2 7" xfId="11265" xr:uid="{00000000-0005-0000-0000-0000022C0000}"/>
    <cellStyle name="Финансовый 9 4 3" xfId="11266" xr:uid="{00000000-0005-0000-0000-0000032C0000}"/>
    <cellStyle name="Финансовый 9 4 3 2" xfId="11267" xr:uid="{00000000-0005-0000-0000-0000042C0000}"/>
    <cellStyle name="Финансовый 9 4 3 2 2" xfId="11268" xr:uid="{00000000-0005-0000-0000-0000052C0000}"/>
    <cellStyle name="Финансовый 9 4 3 2 2 2" xfId="11269" xr:uid="{00000000-0005-0000-0000-0000062C0000}"/>
    <cellStyle name="Финансовый 9 4 3 2 2 2 2" xfId="11270" xr:uid="{00000000-0005-0000-0000-0000072C0000}"/>
    <cellStyle name="Финансовый 9 4 3 2 2 2 2 2" xfId="11271" xr:uid="{00000000-0005-0000-0000-0000082C0000}"/>
    <cellStyle name="Финансовый 9 4 3 2 2 2 3" xfId="11272" xr:uid="{00000000-0005-0000-0000-0000092C0000}"/>
    <cellStyle name="Финансовый 9 4 3 2 2 3" xfId="11273" xr:uid="{00000000-0005-0000-0000-00000A2C0000}"/>
    <cellStyle name="Финансовый 9 4 3 2 2 3 2" xfId="11274" xr:uid="{00000000-0005-0000-0000-00000B2C0000}"/>
    <cellStyle name="Финансовый 9 4 3 2 2 4" xfId="11275" xr:uid="{00000000-0005-0000-0000-00000C2C0000}"/>
    <cellStyle name="Финансовый 9 4 3 2 3" xfId="11276" xr:uid="{00000000-0005-0000-0000-00000D2C0000}"/>
    <cellStyle name="Финансовый 9 4 3 2 3 2" xfId="11277" xr:uid="{00000000-0005-0000-0000-00000E2C0000}"/>
    <cellStyle name="Финансовый 9 4 3 2 3 2 2" xfId="11278" xr:uid="{00000000-0005-0000-0000-00000F2C0000}"/>
    <cellStyle name="Финансовый 9 4 3 2 3 3" xfId="11279" xr:uid="{00000000-0005-0000-0000-0000102C0000}"/>
    <cellStyle name="Финансовый 9 4 3 2 4" xfId="11280" xr:uid="{00000000-0005-0000-0000-0000112C0000}"/>
    <cellStyle name="Финансовый 9 4 3 2 4 2" xfId="11281" xr:uid="{00000000-0005-0000-0000-0000122C0000}"/>
    <cellStyle name="Финансовый 9 4 3 2 5" xfId="11282" xr:uid="{00000000-0005-0000-0000-0000132C0000}"/>
    <cellStyle name="Финансовый 9 4 3 3" xfId="11283" xr:uid="{00000000-0005-0000-0000-0000142C0000}"/>
    <cellStyle name="Финансовый 9 4 3 3 2" xfId="11284" xr:uid="{00000000-0005-0000-0000-0000152C0000}"/>
    <cellStyle name="Финансовый 9 4 3 3 2 2" xfId="11285" xr:uid="{00000000-0005-0000-0000-0000162C0000}"/>
    <cellStyle name="Финансовый 9 4 3 3 2 2 2" xfId="11286" xr:uid="{00000000-0005-0000-0000-0000172C0000}"/>
    <cellStyle name="Финансовый 9 4 3 3 2 3" xfId="11287" xr:uid="{00000000-0005-0000-0000-0000182C0000}"/>
    <cellStyle name="Финансовый 9 4 3 3 3" xfId="11288" xr:uid="{00000000-0005-0000-0000-0000192C0000}"/>
    <cellStyle name="Финансовый 9 4 3 3 3 2" xfId="11289" xr:uid="{00000000-0005-0000-0000-00001A2C0000}"/>
    <cellStyle name="Финансовый 9 4 3 3 4" xfId="11290" xr:uid="{00000000-0005-0000-0000-00001B2C0000}"/>
    <cellStyle name="Финансовый 9 4 3 4" xfId="11291" xr:uid="{00000000-0005-0000-0000-00001C2C0000}"/>
    <cellStyle name="Финансовый 9 4 3 4 2" xfId="11292" xr:uid="{00000000-0005-0000-0000-00001D2C0000}"/>
    <cellStyle name="Финансовый 9 4 3 4 2 2" xfId="11293" xr:uid="{00000000-0005-0000-0000-00001E2C0000}"/>
    <cellStyle name="Финансовый 9 4 3 4 3" xfId="11294" xr:uid="{00000000-0005-0000-0000-00001F2C0000}"/>
    <cellStyle name="Финансовый 9 4 3 5" xfId="11295" xr:uid="{00000000-0005-0000-0000-0000202C0000}"/>
    <cellStyle name="Финансовый 9 4 3 5 2" xfId="11296" xr:uid="{00000000-0005-0000-0000-0000212C0000}"/>
    <cellStyle name="Финансовый 9 4 3 6" xfId="11297" xr:uid="{00000000-0005-0000-0000-0000222C0000}"/>
    <cellStyle name="Финансовый 9 4 4" xfId="11298" xr:uid="{00000000-0005-0000-0000-0000232C0000}"/>
    <cellStyle name="Финансовый 9 4 4 2" xfId="11299" xr:uid="{00000000-0005-0000-0000-0000242C0000}"/>
    <cellStyle name="Финансовый 9 4 4 2 2" xfId="11300" xr:uid="{00000000-0005-0000-0000-0000252C0000}"/>
    <cellStyle name="Финансовый 9 4 4 2 2 2" xfId="11301" xr:uid="{00000000-0005-0000-0000-0000262C0000}"/>
    <cellStyle name="Финансовый 9 4 4 2 2 2 2" xfId="11302" xr:uid="{00000000-0005-0000-0000-0000272C0000}"/>
    <cellStyle name="Финансовый 9 4 4 2 2 3" xfId="11303" xr:uid="{00000000-0005-0000-0000-0000282C0000}"/>
    <cellStyle name="Финансовый 9 4 4 2 3" xfId="11304" xr:uid="{00000000-0005-0000-0000-0000292C0000}"/>
    <cellStyle name="Финансовый 9 4 4 2 3 2" xfId="11305" xr:uid="{00000000-0005-0000-0000-00002A2C0000}"/>
    <cellStyle name="Финансовый 9 4 4 2 4" xfId="11306" xr:uid="{00000000-0005-0000-0000-00002B2C0000}"/>
    <cellStyle name="Финансовый 9 4 4 3" xfId="11307" xr:uid="{00000000-0005-0000-0000-00002C2C0000}"/>
    <cellStyle name="Финансовый 9 4 4 3 2" xfId="11308" xr:uid="{00000000-0005-0000-0000-00002D2C0000}"/>
    <cellStyle name="Финансовый 9 4 4 3 2 2" xfId="11309" xr:uid="{00000000-0005-0000-0000-00002E2C0000}"/>
    <cellStyle name="Финансовый 9 4 4 3 3" xfId="11310" xr:uid="{00000000-0005-0000-0000-00002F2C0000}"/>
    <cellStyle name="Финансовый 9 4 4 4" xfId="11311" xr:uid="{00000000-0005-0000-0000-0000302C0000}"/>
    <cellStyle name="Финансовый 9 4 4 4 2" xfId="11312" xr:uid="{00000000-0005-0000-0000-0000312C0000}"/>
    <cellStyle name="Финансовый 9 4 4 5" xfId="11313" xr:uid="{00000000-0005-0000-0000-0000322C0000}"/>
    <cellStyle name="Финансовый 9 4 5" xfId="11314" xr:uid="{00000000-0005-0000-0000-0000332C0000}"/>
    <cellStyle name="Финансовый 9 4 5 2" xfId="11315" xr:uid="{00000000-0005-0000-0000-0000342C0000}"/>
    <cellStyle name="Финансовый 9 4 5 2 2" xfId="11316" xr:uid="{00000000-0005-0000-0000-0000352C0000}"/>
    <cellStyle name="Финансовый 9 4 5 2 2 2" xfId="11317" xr:uid="{00000000-0005-0000-0000-0000362C0000}"/>
    <cellStyle name="Финансовый 9 4 5 2 3" xfId="11318" xr:uid="{00000000-0005-0000-0000-0000372C0000}"/>
    <cellStyle name="Финансовый 9 4 5 3" xfId="11319" xr:uid="{00000000-0005-0000-0000-0000382C0000}"/>
    <cellStyle name="Финансовый 9 4 5 3 2" xfId="11320" xr:uid="{00000000-0005-0000-0000-0000392C0000}"/>
    <cellStyle name="Финансовый 9 4 5 4" xfId="11321" xr:uid="{00000000-0005-0000-0000-00003A2C0000}"/>
    <cellStyle name="Финансовый 9 4 6" xfId="11322" xr:uid="{00000000-0005-0000-0000-00003B2C0000}"/>
    <cellStyle name="Финансовый 9 4 6 2" xfId="11323" xr:uid="{00000000-0005-0000-0000-00003C2C0000}"/>
    <cellStyle name="Финансовый 9 4 6 2 2" xfId="11324" xr:uid="{00000000-0005-0000-0000-00003D2C0000}"/>
    <cellStyle name="Финансовый 9 4 6 3" xfId="11325" xr:uid="{00000000-0005-0000-0000-00003E2C0000}"/>
    <cellStyle name="Финансовый 9 4 7" xfId="11326" xr:uid="{00000000-0005-0000-0000-00003F2C0000}"/>
    <cellStyle name="Финансовый 9 4 7 2" xfId="11327" xr:uid="{00000000-0005-0000-0000-0000402C0000}"/>
    <cellStyle name="Финансовый 9 4 8" xfId="11328" xr:uid="{00000000-0005-0000-0000-0000412C0000}"/>
    <cellStyle name="Финансовый 9 5" xfId="11329" xr:uid="{00000000-0005-0000-0000-0000422C0000}"/>
    <cellStyle name="Финансовый 9 5 2" xfId="11330" xr:uid="{00000000-0005-0000-0000-0000432C0000}"/>
    <cellStyle name="Финансовый 9 5 2 2" xfId="11331" xr:uid="{00000000-0005-0000-0000-0000442C0000}"/>
    <cellStyle name="Финансовый 9 5 2 2 2" xfId="11332" xr:uid="{00000000-0005-0000-0000-0000452C0000}"/>
    <cellStyle name="Финансовый 9 5 2 2 2 2" xfId="11333" xr:uid="{00000000-0005-0000-0000-0000462C0000}"/>
    <cellStyle name="Финансовый 9 5 2 2 2 2 2" xfId="11334" xr:uid="{00000000-0005-0000-0000-0000472C0000}"/>
    <cellStyle name="Финансовый 9 5 2 2 2 2 2 2" xfId="11335" xr:uid="{00000000-0005-0000-0000-0000482C0000}"/>
    <cellStyle name="Финансовый 9 5 2 2 2 2 3" xfId="11336" xr:uid="{00000000-0005-0000-0000-0000492C0000}"/>
    <cellStyle name="Финансовый 9 5 2 2 2 3" xfId="11337" xr:uid="{00000000-0005-0000-0000-00004A2C0000}"/>
    <cellStyle name="Финансовый 9 5 2 2 2 3 2" xfId="11338" xr:uid="{00000000-0005-0000-0000-00004B2C0000}"/>
    <cellStyle name="Финансовый 9 5 2 2 2 4" xfId="11339" xr:uid="{00000000-0005-0000-0000-00004C2C0000}"/>
    <cellStyle name="Финансовый 9 5 2 2 3" xfId="11340" xr:uid="{00000000-0005-0000-0000-00004D2C0000}"/>
    <cellStyle name="Финансовый 9 5 2 2 3 2" xfId="11341" xr:uid="{00000000-0005-0000-0000-00004E2C0000}"/>
    <cellStyle name="Финансовый 9 5 2 2 3 2 2" xfId="11342" xr:uid="{00000000-0005-0000-0000-00004F2C0000}"/>
    <cellStyle name="Финансовый 9 5 2 2 3 3" xfId="11343" xr:uid="{00000000-0005-0000-0000-0000502C0000}"/>
    <cellStyle name="Финансовый 9 5 2 2 4" xfId="11344" xr:uid="{00000000-0005-0000-0000-0000512C0000}"/>
    <cellStyle name="Финансовый 9 5 2 2 4 2" xfId="11345" xr:uid="{00000000-0005-0000-0000-0000522C0000}"/>
    <cellStyle name="Финансовый 9 5 2 2 5" xfId="11346" xr:uid="{00000000-0005-0000-0000-0000532C0000}"/>
    <cellStyle name="Финансовый 9 5 2 3" xfId="11347" xr:uid="{00000000-0005-0000-0000-0000542C0000}"/>
    <cellStyle name="Финансовый 9 5 2 3 2" xfId="11348" xr:uid="{00000000-0005-0000-0000-0000552C0000}"/>
    <cellStyle name="Финансовый 9 5 2 3 2 2" xfId="11349" xr:uid="{00000000-0005-0000-0000-0000562C0000}"/>
    <cellStyle name="Финансовый 9 5 2 3 2 2 2" xfId="11350" xr:uid="{00000000-0005-0000-0000-0000572C0000}"/>
    <cellStyle name="Финансовый 9 5 2 3 2 3" xfId="11351" xr:uid="{00000000-0005-0000-0000-0000582C0000}"/>
    <cellStyle name="Финансовый 9 5 2 3 3" xfId="11352" xr:uid="{00000000-0005-0000-0000-0000592C0000}"/>
    <cellStyle name="Финансовый 9 5 2 3 3 2" xfId="11353" xr:uid="{00000000-0005-0000-0000-00005A2C0000}"/>
    <cellStyle name="Финансовый 9 5 2 3 4" xfId="11354" xr:uid="{00000000-0005-0000-0000-00005B2C0000}"/>
    <cellStyle name="Финансовый 9 5 2 4" xfId="11355" xr:uid="{00000000-0005-0000-0000-00005C2C0000}"/>
    <cellStyle name="Финансовый 9 5 2 4 2" xfId="11356" xr:uid="{00000000-0005-0000-0000-00005D2C0000}"/>
    <cellStyle name="Финансовый 9 5 2 4 2 2" xfId="11357" xr:uid="{00000000-0005-0000-0000-00005E2C0000}"/>
    <cellStyle name="Финансовый 9 5 2 4 3" xfId="11358" xr:uid="{00000000-0005-0000-0000-00005F2C0000}"/>
    <cellStyle name="Финансовый 9 5 2 5" xfId="11359" xr:uid="{00000000-0005-0000-0000-0000602C0000}"/>
    <cellStyle name="Финансовый 9 5 2 5 2" xfId="11360" xr:uid="{00000000-0005-0000-0000-0000612C0000}"/>
    <cellStyle name="Финансовый 9 5 2 6" xfId="11361" xr:uid="{00000000-0005-0000-0000-0000622C0000}"/>
    <cellStyle name="Финансовый 9 5 3" xfId="11362" xr:uid="{00000000-0005-0000-0000-0000632C0000}"/>
    <cellStyle name="Финансовый 9 5 3 2" xfId="11363" xr:uid="{00000000-0005-0000-0000-0000642C0000}"/>
    <cellStyle name="Финансовый 9 5 3 2 2" xfId="11364" xr:uid="{00000000-0005-0000-0000-0000652C0000}"/>
    <cellStyle name="Финансовый 9 5 3 2 2 2" xfId="11365" xr:uid="{00000000-0005-0000-0000-0000662C0000}"/>
    <cellStyle name="Финансовый 9 5 3 2 2 2 2" xfId="11366" xr:uid="{00000000-0005-0000-0000-0000672C0000}"/>
    <cellStyle name="Финансовый 9 5 3 2 2 3" xfId="11367" xr:uid="{00000000-0005-0000-0000-0000682C0000}"/>
    <cellStyle name="Финансовый 9 5 3 2 3" xfId="11368" xr:uid="{00000000-0005-0000-0000-0000692C0000}"/>
    <cellStyle name="Финансовый 9 5 3 2 3 2" xfId="11369" xr:uid="{00000000-0005-0000-0000-00006A2C0000}"/>
    <cellStyle name="Финансовый 9 5 3 2 4" xfId="11370" xr:uid="{00000000-0005-0000-0000-00006B2C0000}"/>
    <cellStyle name="Финансовый 9 5 3 3" xfId="11371" xr:uid="{00000000-0005-0000-0000-00006C2C0000}"/>
    <cellStyle name="Финансовый 9 5 3 3 2" xfId="11372" xr:uid="{00000000-0005-0000-0000-00006D2C0000}"/>
    <cellStyle name="Финансовый 9 5 3 3 2 2" xfId="11373" xr:uid="{00000000-0005-0000-0000-00006E2C0000}"/>
    <cellStyle name="Финансовый 9 5 3 3 3" xfId="11374" xr:uid="{00000000-0005-0000-0000-00006F2C0000}"/>
    <cellStyle name="Финансовый 9 5 3 4" xfId="11375" xr:uid="{00000000-0005-0000-0000-0000702C0000}"/>
    <cellStyle name="Финансовый 9 5 3 4 2" xfId="11376" xr:uid="{00000000-0005-0000-0000-0000712C0000}"/>
    <cellStyle name="Финансовый 9 5 3 5" xfId="11377" xr:uid="{00000000-0005-0000-0000-0000722C0000}"/>
    <cellStyle name="Финансовый 9 5 4" xfId="11378" xr:uid="{00000000-0005-0000-0000-0000732C0000}"/>
    <cellStyle name="Финансовый 9 5 4 2" xfId="11379" xr:uid="{00000000-0005-0000-0000-0000742C0000}"/>
    <cellStyle name="Финансовый 9 5 4 2 2" xfId="11380" xr:uid="{00000000-0005-0000-0000-0000752C0000}"/>
    <cellStyle name="Финансовый 9 5 4 2 2 2" xfId="11381" xr:uid="{00000000-0005-0000-0000-0000762C0000}"/>
    <cellStyle name="Финансовый 9 5 4 2 3" xfId="11382" xr:uid="{00000000-0005-0000-0000-0000772C0000}"/>
    <cellStyle name="Финансовый 9 5 4 3" xfId="11383" xr:uid="{00000000-0005-0000-0000-0000782C0000}"/>
    <cellStyle name="Финансовый 9 5 4 3 2" xfId="11384" xr:uid="{00000000-0005-0000-0000-0000792C0000}"/>
    <cellStyle name="Финансовый 9 5 4 4" xfId="11385" xr:uid="{00000000-0005-0000-0000-00007A2C0000}"/>
    <cellStyle name="Финансовый 9 5 5" xfId="11386" xr:uid="{00000000-0005-0000-0000-00007B2C0000}"/>
    <cellStyle name="Финансовый 9 5 5 2" xfId="11387" xr:uid="{00000000-0005-0000-0000-00007C2C0000}"/>
    <cellStyle name="Финансовый 9 5 5 2 2" xfId="11388" xr:uid="{00000000-0005-0000-0000-00007D2C0000}"/>
    <cellStyle name="Финансовый 9 5 5 3" xfId="11389" xr:uid="{00000000-0005-0000-0000-00007E2C0000}"/>
    <cellStyle name="Финансовый 9 5 6" xfId="11390" xr:uid="{00000000-0005-0000-0000-00007F2C0000}"/>
    <cellStyle name="Финансовый 9 5 6 2" xfId="11391" xr:uid="{00000000-0005-0000-0000-0000802C0000}"/>
    <cellStyle name="Финансовый 9 5 7" xfId="11392" xr:uid="{00000000-0005-0000-0000-0000812C0000}"/>
    <cellStyle name="Финансовый 9 6" xfId="11393" xr:uid="{00000000-0005-0000-0000-0000822C0000}"/>
    <cellStyle name="Финансовый 9 6 2" xfId="11394" xr:uid="{00000000-0005-0000-0000-0000832C0000}"/>
    <cellStyle name="Финансовый 9 6 2 2" xfId="11395" xr:uid="{00000000-0005-0000-0000-0000842C0000}"/>
    <cellStyle name="Финансовый 9 6 2 2 2" xfId="11396" xr:uid="{00000000-0005-0000-0000-0000852C0000}"/>
    <cellStyle name="Финансовый 9 6 2 2 2 2" xfId="11397" xr:uid="{00000000-0005-0000-0000-0000862C0000}"/>
    <cellStyle name="Финансовый 9 6 2 2 2 2 2" xfId="11398" xr:uid="{00000000-0005-0000-0000-0000872C0000}"/>
    <cellStyle name="Финансовый 9 6 2 2 2 3" xfId="11399" xr:uid="{00000000-0005-0000-0000-0000882C0000}"/>
    <cellStyle name="Финансовый 9 6 2 2 3" xfId="11400" xr:uid="{00000000-0005-0000-0000-0000892C0000}"/>
    <cellStyle name="Финансовый 9 6 2 2 3 2" xfId="11401" xr:uid="{00000000-0005-0000-0000-00008A2C0000}"/>
    <cellStyle name="Финансовый 9 6 2 2 4" xfId="11402" xr:uid="{00000000-0005-0000-0000-00008B2C0000}"/>
    <cellStyle name="Финансовый 9 6 2 3" xfId="11403" xr:uid="{00000000-0005-0000-0000-00008C2C0000}"/>
    <cellStyle name="Финансовый 9 6 2 3 2" xfId="11404" xr:uid="{00000000-0005-0000-0000-00008D2C0000}"/>
    <cellStyle name="Финансовый 9 6 2 3 2 2" xfId="11405" xr:uid="{00000000-0005-0000-0000-00008E2C0000}"/>
    <cellStyle name="Финансовый 9 6 2 3 3" xfId="11406" xr:uid="{00000000-0005-0000-0000-00008F2C0000}"/>
    <cellStyle name="Финансовый 9 6 2 4" xfId="11407" xr:uid="{00000000-0005-0000-0000-0000902C0000}"/>
    <cellStyle name="Финансовый 9 6 2 4 2" xfId="11408" xr:uid="{00000000-0005-0000-0000-0000912C0000}"/>
    <cellStyle name="Финансовый 9 6 2 5" xfId="11409" xr:uid="{00000000-0005-0000-0000-0000922C0000}"/>
    <cellStyle name="Финансовый 9 6 3" xfId="11410" xr:uid="{00000000-0005-0000-0000-0000932C0000}"/>
    <cellStyle name="Финансовый 9 6 3 2" xfId="11411" xr:uid="{00000000-0005-0000-0000-0000942C0000}"/>
    <cellStyle name="Финансовый 9 6 3 2 2" xfId="11412" xr:uid="{00000000-0005-0000-0000-0000952C0000}"/>
    <cellStyle name="Финансовый 9 6 3 2 2 2" xfId="11413" xr:uid="{00000000-0005-0000-0000-0000962C0000}"/>
    <cellStyle name="Финансовый 9 6 3 2 3" xfId="11414" xr:uid="{00000000-0005-0000-0000-0000972C0000}"/>
    <cellStyle name="Финансовый 9 6 3 3" xfId="11415" xr:uid="{00000000-0005-0000-0000-0000982C0000}"/>
    <cellStyle name="Финансовый 9 6 3 3 2" xfId="11416" xr:uid="{00000000-0005-0000-0000-0000992C0000}"/>
    <cellStyle name="Финансовый 9 6 3 4" xfId="11417" xr:uid="{00000000-0005-0000-0000-00009A2C0000}"/>
    <cellStyle name="Финансовый 9 6 4" xfId="11418" xr:uid="{00000000-0005-0000-0000-00009B2C0000}"/>
    <cellStyle name="Финансовый 9 6 4 2" xfId="11419" xr:uid="{00000000-0005-0000-0000-00009C2C0000}"/>
    <cellStyle name="Финансовый 9 6 4 2 2" xfId="11420" xr:uid="{00000000-0005-0000-0000-00009D2C0000}"/>
    <cellStyle name="Финансовый 9 6 4 3" xfId="11421" xr:uid="{00000000-0005-0000-0000-00009E2C0000}"/>
    <cellStyle name="Финансовый 9 6 5" xfId="11422" xr:uid="{00000000-0005-0000-0000-00009F2C0000}"/>
    <cellStyle name="Финансовый 9 6 5 2" xfId="11423" xr:uid="{00000000-0005-0000-0000-0000A02C0000}"/>
    <cellStyle name="Финансовый 9 6 6" xfId="11424" xr:uid="{00000000-0005-0000-0000-0000A12C0000}"/>
    <cellStyle name="Финансовый 9 7" xfId="11425" xr:uid="{00000000-0005-0000-0000-0000A22C0000}"/>
    <cellStyle name="Финансовый 9 7 2" xfId="11426" xr:uid="{00000000-0005-0000-0000-0000A32C0000}"/>
    <cellStyle name="Финансовый 9 7 2 2" xfId="11427" xr:uid="{00000000-0005-0000-0000-0000A42C0000}"/>
    <cellStyle name="Финансовый 9 7 2 2 2" xfId="11428" xr:uid="{00000000-0005-0000-0000-0000A52C0000}"/>
    <cellStyle name="Финансовый 9 7 2 2 2 2" xfId="11429" xr:uid="{00000000-0005-0000-0000-0000A62C0000}"/>
    <cellStyle name="Финансовый 9 7 2 2 3" xfId="11430" xr:uid="{00000000-0005-0000-0000-0000A72C0000}"/>
    <cellStyle name="Финансовый 9 7 2 3" xfId="11431" xr:uid="{00000000-0005-0000-0000-0000A82C0000}"/>
    <cellStyle name="Финансовый 9 7 2 3 2" xfId="11432" xr:uid="{00000000-0005-0000-0000-0000A92C0000}"/>
    <cellStyle name="Финансовый 9 7 2 4" xfId="11433" xr:uid="{00000000-0005-0000-0000-0000AA2C0000}"/>
    <cellStyle name="Финансовый 9 7 3" xfId="11434" xr:uid="{00000000-0005-0000-0000-0000AB2C0000}"/>
    <cellStyle name="Финансовый 9 7 3 2" xfId="11435" xr:uid="{00000000-0005-0000-0000-0000AC2C0000}"/>
    <cellStyle name="Финансовый 9 7 3 2 2" xfId="11436" xr:uid="{00000000-0005-0000-0000-0000AD2C0000}"/>
    <cellStyle name="Финансовый 9 7 3 3" xfId="11437" xr:uid="{00000000-0005-0000-0000-0000AE2C0000}"/>
    <cellStyle name="Финансовый 9 7 4" xfId="11438" xr:uid="{00000000-0005-0000-0000-0000AF2C0000}"/>
    <cellStyle name="Финансовый 9 7 4 2" xfId="11439" xr:uid="{00000000-0005-0000-0000-0000B02C0000}"/>
    <cellStyle name="Финансовый 9 7 5" xfId="11440" xr:uid="{00000000-0005-0000-0000-0000B12C0000}"/>
    <cellStyle name="Финансовый 9 8" xfId="11441" xr:uid="{00000000-0005-0000-0000-0000B22C0000}"/>
    <cellStyle name="Финансовый 9 8 2" xfId="11442" xr:uid="{00000000-0005-0000-0000-0000B32C0000}"/>
    <cellStyle name="Финансовый 9 8 2 2" xfId="11443" xr:uid="{00000000-0005-0000-0000-0000B42C0000}"/>
    <cellStyle name="Финансовый 9 8 2 2 2" xfId="11444" xr:uid="{00000000-0005-0000-0000-0000B52C0000}"/>
    <cellStyle name="Финансовый 9 8 2 3" xfId="11445" xr:uid="{00000000-0005-0000-0000-0000B62C0000}"/>
    <cellStyle name="Финансовый 9 8 3" xfId="11446" xr:uid="{00000000-0005-0000-0000-0000B72C0000}"/>
    <cellStyle name="Финансовый 9 8 3 2" xfId="11447" xr:uid="{00000000-0005-0000-0000-0000B82C0000}"/>
    <cellStyle name="Финансовый 9 8 4" xfId="11448" xr:uid="{00000000-0005-0000-0000-0000B92C0000}"/>
    <cellStyle name="Финансовый 9 9" xfId="11449" xr:uid="{00000000-0005-0000-0000-0000BA2C0000}"/>
    <cellStyle name="Финансовый 9 9 2" xfId="11450" xr:uid="{00000000-0005-0000-0000-0000BB2C0000}"/>
    <cellStyle name="Финансовый 9 9 2 2" xfId="11451" xr:uid="{00000000-0005-0000-0000-0000BC2C0000}"/>
    <cellStyle name="Финансовый 9 9 3" xfId="11452" xr:uid="{00000000-0005-0000-0000-0000BD2C0000}"/>
  </cellStyles>
  <dxfs count="5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DDEBF7"/>
          <bgColor rgb="FFDDEBF7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Поступление денежных средств, тыс. руб.</a:t>
            </a:r>
          </a:p>
        </c:rich>
      </c:tx>
      <c:layout>
        <c:manualLayout>
          <c:xMode val="edge"/>
          <c:yMode val="edge"/>
          <c:x val="2.0172117908338401E-2"/>
          <c:y val="2.816901408450700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3997904247333802E-2"/>
          <c:y val="0.27765375424474897"/>
          <c:w val="0.94058714415505795"/>
          <c:h val="0.6332612472736679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Деньги_Отгрузки!$C$17:$D$17</c:f>
              <c:strCache>
                <c:ptCount val="2"/>
                <c:pt idx="0">
                  <c:v>Факт,  тыс. руб.</c:v>
                </c:pt>
              </c:strCache>
            </c:strRef>
          </c:tx>
          <c:spPr>
            <a:solidFill>
              <a:srgbClr val="0000F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ru-RU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Деньги_Отгрузки!$E$15:$P$15</c:f>
              <c:numCache>
                <c:formatCode>[$-419]mmmm;@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Деньги_Отгрузки!$E$17:$P$17</c:f>
              <c:numCache>
                <c:formatCode>#\ ##0</c:formatCode>
                <c:ptCount val="12"/>
                <c:pt idx="0">
                  <c:v>37242.239000000001</c:v>
                </c:pt>
                <c:pt idx="1">
                  <c:v>175897.66899999999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2-1B43-98B5-08502B76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159224"/>
        <c:axId val="201621424"/>
      </c:barChart>
      <c:lineChart>
        <c:grouping val="standard"/>
        <c:varyColors val="0"/>
        <c:ser>
          <c:idx val="2"/>
          <c:order val="1"/>
          <c:tx>
            <c:strRef>
              <c:f>Деньги_Отгрузки!$C$16:$D$16</c:f>
              <c:strCache>
                <c:ptCount val="2"/>
                <c:pt idx="0">
                  <c:v>План, тыс. руб.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cat>
            <c:numRef>
              <c:f>Деньги_Отгрузки!$E$15:$P$15</c:f>
              <c:numCache>
                <c:formatCode>[$-419]mmmm;@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Деньги_Отгрузки!$E$16:$P$16</c:f>
              <c:numCache>
                <c:formatCode>#\ ##0</c:formatCode>
                <c:ptCount val="12"/>
                <c:pt idx="0">
                  <c:v>150000</c:v>
                </c:pt>
                <c:pt idx="1">
                  <c:v>150000</c:v>
                </c:pt>
                <c:pt idx="2">
                  <c:v>150000</c:v>
                </c:pt>
                <c:pt idx="3">
                  <c:v>150000</c:v>
                </c:pt>
                <c:pt idx="4">
                  <c:v>150000</c:v>
                </c:pt>
                <c:pt idx="5">
                  <c:v>150000</c:v>
                </c:pt>
                <c:pt idx="6">
                  <c:v>150000</c:v>
                </c:pt>
                <c:pt idx="7">
                  <c:v>150000</c:v>
                </c:pt>
                <c:pt idx="8">
                  <c:v>150000</c:v>
                </c:pt>
                <c:pt idx="9">
                  <c:v>150000</c:v>
                </c:pt>
                <c:pt idx="10">
                  <c:v>150000</c:v>
                </c:pt>
                <c:pt idx="11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2-1B43-98B5-08502B76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159224"/>
        <c:axId val="201621424"/>
      </c:lineChart>
      <c:dateAx>
        <c:axId val="388159224"/>
        <c:scaling>
          <c:orientation val="minMax"/>
        </c:scaling>
        <c:delete val="0"/>
        <c:axPos val="b"/>
        <c:numFmt formatCode="[$-419]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ru-RU" sz="7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1424"/>
        <c:crosses val="autoZero"/>
        <c:auto val="1"/>
        <c:lblOffset val="100"/>
        <c:baseTimeUnit val="months"/>
      </c:dateAx>
      <c:valAx>
        <c:axId val="201621424"/>
        <c:scaling>
          <c:orientation val="minMax"/>
        </c:scaling>
        <c:delete val="0"/>
        <c:axPos val="l"/>
        <c:numFmt formatCode="#\ ##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59224"/>
        <c:crosses val="autoZero"/>
        <c:crossBetween val="between"/>
      </c:valAx>
      <c:spPr>
        <a:solidFill>
          <a:schemeClr val="tx1"/>
        </a:solidFill>
      </c:spPr>
    </c:plotArea>
    <c:legend>
      <c:legendPos val="b"/>
      <c:layout>
        <c:manualLayout>
          <c:xMode val="edge"/>
          <c:yMode val="edge"/>
          <c:x val="0.63664782286829502"/>
          <c:y val="0.15082104173597999"/>
          <c:w val="0.35971696446598"/>
          <c:h val="0.1684277845550999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ru-RU" sz="900" b="0" i="0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Объем и стоимость отгружаемых товаров</a:t>
            </a:r>
          </a:p>
        </c:rich>
      </c:tx>
      <c:layout>
        <c:manualLayout>
          <c:xMode val="edge"/>
          <c:yMode val="edge"/>
          <c:x val="2.38746438746439E-2"/>
          <c:y val="2.80112044817927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461532797259"/>
          <c:y val="0.19510665712240499"/>
          <c:w val="0.75369348396667801"/>
          <c:h val="0.4827702219040799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Деньги_Отгрузки!$C$7</c:f>
              <c:strCache>
                <c:ptCount val="1"/>
                <c:pt idx="0">
                  <c:v>Объем факт, метры погонные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numRef>
              <c:f>Деньги_Отгрузки!$E$6:$P$6</c:f>
              <c:numCache>
                <c:formatCode>[$-419]mmmm;@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Деньги_Отгрузки!$E$7:$P$7</c:f>
              <c:numCache>
                <c:formatCode>#\ ##0</c:formatCode>
                <c:ptCount val="12"/>
                <c:pt idx="0">
                  <c:v>155280.54999999999</c:v>
                </c:pt>
                <c:pt idx="1">
                  <c:v>61826.05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22-DD45-89F0-A06871148574}"/>
            </c:ext>
          </c:extLst>
        </c:ser>
        <c:ser>
          <c:idx val="3"/>
          <c:order val="1"/>
          <c:tx>
            <c:strRef>
              <c:f>Деньги_Отгрузки!$C$8</c:f>
              <c:strCache>
                <c:ptCount val="1"/>
                <c:pt idx="0">
                  <c:v>Стоимость факт,  тыс. руб.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numRef>
              <c:f>Деньги_Отгрузки!$E$6:$P$6</c:f>
              <c:numCache>
                <c:formatCode>[$-419]mmmm;@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Деньги_Отгрузки!$E$8:$P$8</c:f>
              <c:numCache>
                <c:formatCode>#\ ##0</c:formatCode>
                <c:ptCount val="12"/>
                <c:pt idx="0">
                  <c:v>49909.245999999999</c:v>
                </c:pt>
                <c:pt idx="1">
                  <c:v>44395.135000000002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22-DD45-89F0-A06871148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8331536"/>
        <c:axId val="408331920"/>
      </c:barChart>
      <c:dateAx>
        <c:axId val="408331536"/>
        <c:scaling>
          <c:orientation val="minMax"/>
        </c:scaling>
        <c:delete val="0"/>
        <c:axPos val="b"/>
        <c:numFmt formatCode="[$-419]mmmm;@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31920"/>
        <c:crosses val="autoZero"/>
        <c:auto val="1"/>
        <c:lblOffset val="100"/>
        <c:baseTimeUnit val="months"/>
      </c:dateAx>
      <c:valAx>
        <c:axId val="4083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331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ru-RU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732747051640202"/>
          <c:y val="7.0654565476288803E-2"/>
          <c:w val="0.29881342237994302"/>
          <c:h val="7.6923629122395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1031ac-5563-4b8d-a3f2-516e2b49202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11</xdr:row>
      <xdr:rowOff>-1</xdr:rowOff>
    </xdr:from>
    <xdr:to>
      <xdr:col>20</xdr:col>
      <xdr:colOff>11906</xdr:colOff>
      <xdr:row>25</xdr:row>
      <xdr:rowOff>35718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52387</xdr:rowOff>
    </xdr:from>
    <xdr:to>
      <xdr:col>20</xdr:col>
      <xdr:colOff>11906</xdr:colOff>
      <xdr:row>39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_cashflow" displayName="tbl_cashflow" ref="A1:F13">
  <autoFilter ref="A1:F13" xr:uid="{00000000-0009-0000-0100-000002000000}"/>
  <tableColumns count="6">
    <tableColumn id="1" xr3:uid="{00000000-0010-0000-0000-000001000000}" name="month_date"/>
    <tableColumn id="2" xr3:uid="{00000000-0010-0000-0000-000002000000}" name="plan_k_rub"/>
    <tableColumn id="3" xr3:uid="{00000000-0010-0000-0000-000003000000}" name="fact_k_rub"/>
    <tableColumn id="4" xr3:uid="{00000000-0010-0000-0000-000004000000}" name="source_sheet"/>
    <tableColumn id="5" xr3:uid="{00000000-0010-0000-0000-000005000000}" name="source_row"/>
    <tableColumn id="6" xr3:uid="{00000000-0010-0000-0000-000006000000}" name="Месяц" dataDxfId="5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_shipments" displayName="tbl_shipments" ref="A1:F13">
  <autoFilter ref="A1:F13" xr:uid="{00000000-0009-0000-0100-000003000000}"/>
  <tableColumns count="6">
    <tableColumn id="1" xr3:uid="{00000000-0010-0000-0100-000001000000}" name="month_date"/>
    <tableColumn id="2" xr3:uid="{00000000-0010-0000-0100-000002000000}" name="shipment_volume_m"/>
    <tableColumn id="3" xr3:uid="{00000000-0010-0000-0100-000003000000}" name="shipment_value_k_rub"/>
    <tableColumn id="4" xr3:uid="{00000000-0010-0000-0100-000004000000}" name="source_sheet"/>
    <tableColumn id="5" xr3:uid="{00000000-0010-0000-0100-000005000000}" name="source_row"/>
    <tableColumn id="6" xr3:uid="{00000000-0010-0000-0100-000006000000}" name="Месяц" dataDxfId="52">
      <calculatedColumnFormula>ТЕКСТ(A2,"мммм")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Таблица15" displayName="Таблица15" ref="A2:B5" totalsRowShown="0">
  <autoFilter ref="A2:B5" xr:uid="{00000000-0009-0000-0100-000006000000}"/>
  <tableColumns count="2">
    <tableColumn id="1" xr3:uid="{00000000-0010-0000-0200-000001000000}" name="Показатель"/>
    <tableColumn id="4" xr3:uid="{00000000-0010-0000-0200-000004000000}" name="%выполнения" dataDxfId="51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Таблица1523" displayName="Таблица1523" ref="A6:B9" totalsRowShown="0">
  <autoFilter ref="A6:B9" xr:uid="{00000000-0009-0000-0100-000007000000}"/>
  <tableColumns count="2">
    <tableColumn id="1" xr3:uid="{00000000-0010-0000-0300-000001000000}" name="Показатель"/>
    <tableColumn id="4" xr3:uid="{00000000-0010-0000-0300-000004000000}" name="%выполнения" dataDxfId="50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Таблица152331" displayName="Таблица152331" ref="A10:B13" totalsRowShown="0">
  <autoFilter ref="A10:B13" xr:uid="{00000000-0009-0000-0100-000008000000}"/>
  <tableColumns count="2">
    <tableColumn id="1" xr3:uid="{00000000-0010-0000-0400-000001000000}" name="Показатель"/>
    <tableColumn id="4" xr3:uid="{00000000-0010-0000-0400-000004000000}" name="%выполнения" dataDxfId="49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Таблица152332" displayName="Таблица152332" ref="A14:B17" totalsRowShown="0">
  <autoFilter ref="A14:B17" xr:uid="{00000000-0009-0000-0100-000009000000}"/>
  <tableColumns count="2">
    <tableColumn id="1" xr3:uid="{00000000-0010-0000-0500-000001000000}" name="Показатель"/>
    <tableColumn id="4" xr3:uid="{00000000-0010-0000-0500-000004000000}" name="%выполнения" dataDxfId="48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Таблица152333" displayName="Таблица152333" ref="A18:B21" totalsRowShown="0">
  <autoFilter ref="A18:B21" xr:uid="{00000000-0009-0000-0100-00000A000000}"/>
  <tableColumns count="2">
    <tableColumn id="1" xr3:uid="{00000000-0010-0000-0600-000001000000}" name="Показатель"/>
    <tableColumn id="4" xr3:uid="{00000000-0010-0000-0600-000004000000}" name="%выполнения" dataDxfId="47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Таблица152334" displayName="Таблица152334" ref="A22:B25" totalsRowShown="0">
  <autoFilter ref="A22:B25" xr:uid="{00000000-0009-0000-0100-00000B000000}"/>
  <tableColumns count="2">
    <tableColumn id="1" xr3:uid="{00000000-0010-0000-0700-000001000000}" name="Показатель"/>
    <tableColumn id="4" xr3:uid="{00000000-0010-0000-0700-000004000000}" name="%выполнения" dataDxfId="46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Таблица152335" displayName="Таблица152335" ref="A26:B29" totalsRowShown="0">
  <autoFilter ref="A26:B29" xr:uid="{00000000-0009-0000-0100-00000C000000}"/>
  <tableColumns count="2">
    <tableColumn id="1" xr3:uid="{00000000-0010-0000-0800-000001000000}" name="Показатель"/>
    <tableColumn id="4" xr3:uid="{00000000-0010-0000-0800-000004000000}" name="%выполнения" dataDxfId="45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Таблица152336" displayName="Таблица152336" ref="A30:B33" totalsRowShown="0">
  <autoFilter ref="A30:B33" xr:uid="{00000000-0009-0000-0100-00000D000000}"/>
  <tableColumns count="2">
    <tableColumn id="1" xr3:uid="{00000000-0010-0000-0900-000001000000}" name="Показатель"/>
    <tableColumn id="4" xr3:uid="{00000000-0010-0000-0900-000004000000}" name="%выполнения" dataDxfId="44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Таблица152337" displayName="Таблица152337" ref="A34:B37" totalsRowShown="0">
  <autoFilter ref="A34:B37" xr:uid="{00000000-0009-0000-0100-00000E000000}"/>
  <tableColumns count="2">
    <tableColumn id="1" xr3:uid="{00000000-0010-0000-0A00-000001000000}" name="Показатель"/>
    <tableColumn id="4" xr3:uid="{00000000-0010-0000-0A00-000004000000}" name="%выполнения" dataDxfId="43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Таблица152338" displayName="Таблица152338" ref="A38:B41" totalsRowShown="0">
  <autoFilter ref="A38:B41" xr:uid="{00000000-0009-0000-0100-00000F000000}"/>
  <tableColumns count="2">
    <tableColumn id="1" xr3:uid="{00000000-0010-0000-0B00-000001000000}" name="Показатель"/>
    <tableColumn id="4" xr3:uid="{00000000-0010-0000-0B00-000004000000}" name="%выполнения" dataDxfId="42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Таблица152339" displayName="Таблица152339" ref="A42:B45" totalsRowShown="0">
  <autoFilter ref="A42:B45" xr:uid="{00000000-0009-0000-0100-000010000000}"/>
  <tableColumns count="2">
    <tableColumn id="1" xr3:uid="{00000000-0010-0000-0C00-000001000000}" name="Показатель"/>
    <tableColumn id="4" xr3:uid="{00000000-0010-0000-0C00-000004000000}" name="%выполнения" dataDxfId="41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Таблица152340" displayName="Таблица152340" ref="A46:B49" totalsRowShown="0">
  <autoFilter ref="A46:B49" xr:uid="{00000000-0009-0000-0100-000011000000}"/>
  <tableColumns count="2">
    <tableColumn id="1" xr3:uid="{00000000-0010-0000-0D00-000001000000}" name="Показатель"/>
    <tableColumn id="4" xr3:uid="{00000000-0010-0000-0D00-000004000000}" name="%выполнения" dataDxfId="40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E000000}" name="Таблица152341" displayName="Таблица152341" ref="A50:B53" totalsRowShown="0">
  <autoFilter ref="A50:B53" xr:uid="{00000000-0009-0000-0100-000012000000}"/>
  <tableColumns count="2">
    <tableColumn id="1" xr3:uid="{00000000-0010-0000-0E00-000001000000}" name="Показатель"/>
    <tableColumn id="4" xr3:uid="{00000000-0010-0000-0E00-000004000000}" name="%выполнения" dataDxfId="39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F000000}" name="Таблица152342" displayName="Таблица152342" ref="A54:B57" totalsRowShown="0">
  <autoFilter ref="A54:B57" xr:uid="{00000000-0009-0000-0100-000013000000}"/>
  <tableColumns count="2">
    <tableColumn id="1" xr3:uid="{00000000-0010-0000-0F00-000001000000}" name="Показатель"/>
    <tableColumn id="4" xr3:uid="{00000000-0010-0000-0F00-000004000000}" name="%выполнения" dataDxfId="38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0000000}" name="Таблица152343" displayName="Таблица152343" ref="A58:B61" totalsRowShown="0">
  <autoFilter ref="A58:B61" xr:uid="{00000000-0009-0000-0100-000014000000}"/>
  <tableColumns count="2">
    <tableColumn id="1" xr3:uid="{00000000-0010-0000-1000-000001000000}" name="Показатель"/>
    <tableColumn id="4" xr3:uid="{00000000-0010-0000-1000-000004000000}" name="%выполнения" dataDxfId="37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1000000}" name="Таблица152344" displayName="Таблица152344" ref="A62:B65" totalsRowShown="0">
  <autoFilter ref="A62:B65" xr:uid="{00000000-0009-0000-0100-000015000000}"/>
  <tableColumns count="2">
    <tableColumn id="1" xr3:uid="{00000000-0010-0000-1100-000001000000}" name="Показатель"/>
    <tableColumn id="4" xr3:uid="{00000000-0010-0000-1100-000004000000}" name="%выполнения" dataDxfId="36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Таблица152345" displayName="Таблица152345" ref="A66:B69" totalsRowShown="0">
  <autoFilter ref="A66:B69" xr:uid="{00000000-0009-0000-0100-000016000000}"/>
  <tableColumns count="2">
    <tableColumn id="1" xr3:uid="{00000000-0010-0000-1200-000001000000}" name="Показатель"/>
    <tableColumn id="4" xr3:uid="{00000000-0010-0000-1200-000004000000}" name="%выполнения" dataDxfId="35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3000000}" name="Таблица152346" displayName="Таблица152346" ref="A70:B73" totalsRowShown="0">
  <autoFilter ref="A70:B73" xr:uid="{00000000-0009-0000-0100-000017000000}"/>
  <tableColumns count="2">
    <tableColumn id="1" xr3:uid="{00000000-0010-0000-1300-000001000000}" name="Показатель"/>
    <tableColumn id="4" xr3:uid="{00000000-0010-0000-1300-000004000000}" name="%выполнения" dataDxfId="34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4000000}" name="Таблица152347" displayName="Таблица152347" ref="A74:B77" totalsRowShown="0">
  <autoFilter ref="A74:B77" xr:uid="{00000000-0009-0000-0100-000018000000}"/>
  <tableColumns count="2">
    <tableColumn id="1" xr3:uid="{00000000-0010-0000-1400-000001000000}" name="Показатель"/>
    <tableColumn id="4" xr3:uid="{00000000-0010-0000-1400-000004000000}" name="%выполнения" dataDxfId="33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5000000}" name="Таблица152348" displayName="Таблица152348" ref="A78:B81" totalsRowShown="0">
  <autoFilter ref="A78:B81" xr:uid="{00000000-0009-0000-0100-000019000000}"/>
  <tableColumns count="2">
    <tableColumn id="1" xr3:uid="{00000000-0010-0000-1500-000001000000}" name="Показатель"/>
    <tableColumn id="4" xr3:uid="{00000000-0010-0000-1500-000004000000}" name="%выполнения" dataDxfId="32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6000000}" name="Таблица152349" displayName="Таблица152349" ref="A82:B85" totalsRowShown="0">
  <autoFilter ref="A82:B85" xr:uid="{00000000-0009-0000-0100-00001A000000}"/>
  <tableColumns count="2">
    <tableColumn id="1" xr3:uid="{00000000-0010-0000-1600-000001000000}" name="Показатель"/>
    <tableColumn id="4" xr3:uid="{00000000-0010-0000-1600-000004000000}" name="%выполнения" dataDxfId="31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7000000}" name="Таблица152350" displayName="Таблица152350" ref="A86:B89" totalsRowShown="0">
  <autoFilter ref="A86:B89" xr:uid="{00000000-0009-0000-0100-00001B000000}"/>
  <tableColumns count="2">
    <tableColumn id="1" xr3:uid="{00000000-0010-0000-1700-000001000000}" name="Показатель"/>
    <tableColumn id="4" xr3:uid="{00000000-0010-0000-1700-000004000000}" name="%выполнения" dataDxfId="30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8000000}" name="Таблица152351" displayName="Таблица152351" ref="A90:B93" totalsRowShown="0">
  <autoFilter ref="A90:B93" xr:uid="{00000000-0009-0000-0100-00001C000000}"/>
  <tableColumns count="2">
    <tableColumn id="1" xr3:uid="{00000000-0010-0000-1800-000001000000}" name="Показатель"/>
    <tableColumn id="4" xr3:uid="{00000000-0010-0000-1800-000004000000}" name="%выполнения" dataDxfId="29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9000000}" name="Таблица15235152" displayName="Таблица15235152" ref="A94:B97" totalsRowShown="0">
  <autoFilter ref="A94:B97" xr:uid="{00000000-0009-0000-0100-00001D000000}"/>
  <tableColumns count="2">
    <tableColumn id="1" xr3:uid="{00000000-0010-0000-1900-000001000000}" name="Показатель"/>
    <tableColumn id="4" xr3:uid="{00000000-0010-0000-1900-000004000000}" name="%выполнения" dataDxfId="28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A000000}" name="Таблица15235153" displayName="Таблица15235153" ref="A98:B101" totalsRowShown="0">
  <autoFilter ref="A98:B101" xr:uid="{00000000-0009-0000-0100-00001E000000}"/>
  <tableColumns count="2">
    <tableColumn id="1" xr3:uid="{00000000-0010-0000-1A00-000001000000}" name="Показатель"/>
    <tableColumn id="4" xr3:uid="{00000000-0010-0000-1A00-000004000000}" name="%выполнения" dataDxfId="27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B000000}" name="Таблица15235154" displayName="Таблица15235154" ref="A102:B105" totalsRowShown="0">
  <autoFilter ref="A102:B105" xr:uid="{00000000-0009-0000-0100-00001F000000}"/>
  <tableColumns count="2">
    <tableColumn id="1" xr3:uid="{00000000-0010-0000-1B00-000001000000}" name="Показатель"/>
    <tableColumn id="4" xr3:uid="{00000000-0010-0000-1B00-000004000000}" name="%выполнения" dataDxfId="26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C000000}" name="Таблица15235155" displayName="Таблица15235155" ref="A106:B109" totalsRowShown="0">
  <autoFilter ref="A106:B109" xr:uid="{00000000-0009-0000-0100-000020000000}"/>
  <tableColumns count="2">
    <tableColumn id="1" xr3:uid="{00000000-0010-0000-1C00-000001000000}" name="Показатель"/>
    <tableColumn id="4" xr3:uid="{00000000-0010-0000-1C00-000004000000}" name="%выполнения" dataDxfId="25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D000000}" name="Таблица15235156" displayName="Таблица15235156" ref="A110:B113" totalsRowShown="0">
  <autoFilter ref="A110:B113" xr:uid="{00000000-0009-0000-0100-000021000000}"/>
  <tableColumns count="2">
    <tableColumn id="1" xr3:uid="{00000000-0010-0000-1D00-000001000000}" name="Показатель"/>
    <tableColumn id="4" xr3:uid="{00000000-0010-0000-1D00-000004000000}" name="%выполнения" dataDxfId="24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E000000}" name="Таблица15235157" displayName="Таблица15235157" ref="A114:B117" totalsRowShown="0">
  <autoFilter ref="A114:B117" xr:uid="{00000000-0009-0000-0100-000022000000}"/>
  <tableColumns count="2">
    <tableColumn id="1" xr3:uid="{00000000-0010-0000-1E00-000001000000}" name="Показатель"/>
    <tableColumn id="4" xr3:uid="{00000000-0010-0000-1E00-000004000000}" name="%выполнения" dataDxfId="23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F000000}" name="Таблица15235158" displayName="Таблица15235158" ref="A118:B121" totalsRowShown="0">
  <autoFilter ref="A118:B121" xr:uid="{00000000-0009-0000-0100-000023000000}"/>
  <tableColumns count="2">
    <tableColumn id="1" xr3:uid="{00000000-0010-0000-1F00-000001000000}" name="Показатель"/>
    <tableColumn id="4" xr3:uid="{00000000-0010-0000-1F00-000004000000}" name="%выполнения" dataDxfId="22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0000000}" name="Таблица15235159" displayName="Таблица15235159" ref="A122:B125" totalsRowShown="0">
  <autoFilter ref="A122:B125" xr:uid="{00000000-0009-0000-0100-000024000000}"/>
  <tableColumns count="2">
    <tableColumn id="1" xr3:uid="{00000000-0010-0000-2000-000001000000}" name="Показатель"/>
    <tableColumn id="4" xr3:uid="{00000000-0010-0000-2000-000004000000}" name="%выполнения" dataDxfId="21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1000000}" name="Таблица15235160" displayName="Таблица15235160" ref="A126:B129" totalsRowShown="0">
  <autoFilter ref="A126:B129" xr:uid="{00000000-0009-0000-0100-000025000000}"/>
  <tableColumns count="2">
    <tableColumn id="1" xr3:uid="{00000000-0010-0000-2100-000001000000}" name="Показатель"/>
    <tableColumn id="4" xr3:uid="{00000000-0010-0000-2100-000004000000}" name="%выполнения" dataDxfId="20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2000000}" name="Таблица15235161" displayName="Таблица15235161" ref="A130:B133" totalsRowShown="0">
  <autoFilter ref="A130:B133" xr:uid="{00000000-0009-0000-0100-000026000000}"/>
  <tableColumns count="2">
    <tableColumn id="1" xr3:uid="{00000000-0010-0000-2200-000001000000}" name="Показатель"/>
    <tableColumn id="4" xr3:uid="{00000000-0010-0000-2200-000004000000}" name="%выполнения" dataDxfId="19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3000000}" name="Таблица15235162" displayName="Таблица15235162" ref="A134:B137" totalsRowShown="0">
  <autoFilter ref="A134:B137" xr:uid="{00000000-0009-0000-0100-000027000000}"/>
  <tableColumns count="2">
    <tableColumn id="1" xr3:uid="{00000000-0010-0000-2300-000001000000}" name="Показатель"/>
    <tableColumn id="4" xr3:uid="{00000000-0010-0000-2300-000004000000}" name="%выполнения" dataDxfId="18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4000000}" name="Таблица15235163" displayName="Таблица15235163" ref="A138:B141" totalsRowShown="0">
  <autoFilter ref="A138:B141" xr:uid="{00000000-0009-0000-0100-000028000000}"/>
  <tableColumns count="2">
    <tableColumn id="1" xr3:uid="{00000000-0010-0000-2400-000001000000}" name="Показатель"/>
    <tableColumn id="4" xr3:uid="{00000000-0010-0000-2400-000004000000}" name="%выполнения" dataDxfId="17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5000000}" name="Таблица15235164" displayName="Таблица15235164" ref="A142:B145" totalsRowShown="0">
  <autoFilter ref="A142:B145" xr:uid="{00000000-0009-0000-0100-000029000000}"/>
  <tableColumns count="2">
    <tableColumn id="1" xr3:uid="{00000000-0010-0000-2500-000001000000}" name="Показатель"/>
    <tableColumn id="4" xr3:uid="{00000000-0010-0000-2500-000004000000}" name="%выполнения" dataDxfId="16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6000000}" name="Таблица15235165" displayName="Таблица15235165" ref="A146:B149" totalsRowShown="0">
  <autoFilter ref="A146:B149" xr:uid="{00000000-0009-0000-0100-00002A000000}"/>
  <tableColumns count="2">
    <tableColumn id="1" xr3:uid="{00000000-0010-0000-2600-000001000000}" name="Показатель"/>
    <tableColumn id="4" xr3:uid="{00000000-0010-0000-2600-000004000000}" name="%выполнения" dataDxfId="15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7000000}" name="Таблица15235166" displayName="Таблица15235166" ref="A150:B153" totalsRowShown="0">
  <autoFilter ref="A150:B153" xr:uid="{00000000-0009-0000-0100-00002B000000}"/>
  <tableColumns count="2">
    <tableColumn id="1" xr3:uid="{00000000-0010-0000-2700-000001000000}" name="Показатель"/>
    <tableColumn id="4" xr3:uid="{00000000-0010-0000-2700-000004000000}" name="%выполнения" dataDxfId="14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8000000}" name="Таблица15235167" displayName="Таблица15235167" ref="A154:B157" totalsRowShown="0">
  <autoFilter ref="A154:B157" xr:uid="{00000000-0009-0000-0100-00002C000000}"/>
  <tableColumns count="2">
    <tableColumn id="1" xr3:uid="{00000000-0010-0000-2800-000001000000}" name="Показатель"/>
    <tableColumn id="4" xr3:uid="{00000000-0010-0000-2800-000004000000}" name="%выполнения" dataDxfId="13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9000000}" name="Таблица15235168" displayName="Таблица15235168" ref="A158:B161" totalsRowShown="0">
  <autoFilter ref="A158:B161" xr:uid="{00000000-0009-0000-0100-00002D000000}"/>
  <tableColumns count="2">
    <tableColumn id="1" xr3:uid="{00000000-0010-0000-2900-000001000000}" name="Показатель"/>
    <tableColumn id="4" xr3:uid="{00000000-0010-0000-2900-000004000000}" name="%выполнения" dataDxfId="12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A000000}" name="Таблица15235169" displayName="Таблица15235169" ref="A162:B165" totalsRowShown="0">
  <autoFilter ref="A162:B165" xr:uid="{00000000-0009-0000-0100-00002E000000}"/>
  <tableColumns count="2">
    <tableColumn id="1" xr3:uid="{00000000-0010-0000-2A00-000001000000}" name="Показатель"/>
    <tableColumn id="4" xr3:uid="{00000000-0010-0000-2A00-000004000000}" name="%выполнения" dataDxfId="11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B000000}" name="Таблица15235170" displayName="Таблица15235170" ref="A166:B169" totalsRowShown="0">
  <autoFilter ref="A166:B169" xr:uid="{00000000-0009-0000-0100-00002F000000}"/>
  <tableColumns count="2">
    <tableColumn id="1" xr3:uid="{00000000-0010-0000-2B00-000001000000}" name="Показатель"/>
    <tableColumn id="4" xr3:uid="{00000000-0010-0000-2B00-000004000000}" name="%выполнения" dataDxfId="10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C000000}" name="Таблица15235171" displayName="Таблица15235171" ref="A170:B173" totalsRowShown="0">
  <autoFilter ref="A170:B173" xr:uid="{00000000-0009-0000-0100-000030000000}"/>
  <tableColumns count="2">
    <tableColumn id="1" xr3:uid="{00000000-0010-0000-2C00-000001000000}" name="Показатель"/>
    <tableColumn id="4" xr3:uid="{00000000-0010-0000-2C00-000004000000}" name="%выполнения" dataDxfId="9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D000000}" name="Таблица15235172" displayName="Таблица15235172" ref="A174:B177" totalsRowShown="0">
  <autoFilter ref="A174:B177" xr:uid="{00000000-0009-0000-0100-000031000000}"/>
  <tableColumns count="2">
    <tableColumn id="1" xr3:uid="{00000000-0010-0000-2D00-000001000000}" name="Показатель"/>
    <tableColumn id="4" xr3:uid="{00000000-0010-0000-2D00-000004000000}" name="%выполнения" dataDxfId="8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E000000}" name="Таблица15235173" displayName="Таблица15235173" ref="A178:B181" totalsRowShown="0">
  <autoFilter ref="A178:B181" xr:uid="{00000000-0009-0000-0100-000032000000}"/>
  <tableColumns count="2">
    <tableColumn id="1" xr3:uid="{00000000-0010-0000-2E00-000001000000}" name="Показатель"/>
    <tableColumn id="4" xr3:uid="{00000000-0010-0000-2E00-000004000000}" name="%выполнения" dataDxfId="7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F000000}" name="Таблица15235174" displayName="Таблица15235174" ref="A182:B185" totalsRowShown="0">
  <autoFilter ref="A182:B185" xr:uid="{00000000-0009-0000-0100-000033000000}"/>
  <tableColumns count="2">
    <tableColumn id="1" xr3:uid="{00000000-0010-0000-2F00-000001000000}" name="Показатель"/>
    <tableColumn id="4" xr3:uid="{00000000-0010-0000-2F00-000004000000}" name="%выполнения" dataDxfId="6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0000000}" name="Таблица15235175" displayName="Таблица15235175" ref="A186:B189" totalsRowShown="0">
  <autoFilter ref="A186:B189" xr:uid="{00000000-0009-0000-0100-000034000000}"/>
  <tableColumns count="2">
    <tableColumn id="1" xr3:uid="{00000000-0010-0000-3000-000001000000}" name="Показатель"/>
    <tableColumn id="4" xr3:uid="{00000000-0010-0000-3000-000004000000}" name="%выполнения" dataDxfId="5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1000000}" name="Таблица15235176" displayName="Таблица15235176" ref="A190:B193" totalsRowShown="0">
  <autoFilter ref="A190:B193" xr:uid="{00000000-0009-0000-0100-000035000000}"/>
  <tableColumns count="2">
    <tableColumn id="1" xr3:uid="{00000000-0010-0000-3100-000001000000}" name="Показатель"/>
    <tableColumn id="4" xr3:uid="{00000000-0010-0000-3100-000004000000}" name="%выполнения" dataDxfId="4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2000000}" name="Таблица15235177" displayName="Таблица15235177" ref="A194:B197" totalsRowShown="0">
  <autoFilter ref="A194:B197" xr:uid="{00000000-0009-0000-0100-000036000000}"/>
  <tableColumns count="2">
    <tableColumn id="1" xr3:uid="{00000000-0010-0000-3200-000001000000}" name="Показатель"/>
    <tableColumn id="4" xr3:uid="{00000000-0010-0000-3200-000004000000}" name="%выполнения" dataDxfId="3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3000000}" name="Таблица15235178" displayName="Таблица15235178" ref="A198:B201" totalsRowShown="0">
  <autoFilter ref="A198:B201" xr:uid="{00000000-0009-0000-0100-000037000000}"/>
  <tableColumns count="2">
    <tableColumn id="1" xr3:uid="{00000000-0010-0000-3300-000001000000}" name="Показатель"/>
    <tableColumn id="4" xr3:uid="{00000000-0010-0000-3300-000004000000}" name="%выполнения" dataDxfId="2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4000000}" name="Таблица15235179" displayName="Таблица15235179" ref="A202:B205" totalsRowShown="0">
  <autoFilter ref="A202:B205" xr:uid="{00000000-0009-0000-0100-000038000000}"/>
  <tableColumns count="2">
    <tableColumn id="1" xr3:uid="{00000000-0010-0000-3400-000001000000}" name="Показатель"/>
    <tableColumn id="4" xr3:uid="{00000000-0010-0000-3400-000004000000}" name="%выполнения" dataDxfId="1">
      <calculatedColumnFormula>#REF!/#REF!*100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5000000}" name="Таблица15235180" displayName="Таблица15235180" ref="A206:B208" totalsRowShown="0">
  <autoFilter ref="A206:B208" xr:uid="{00000000-0009-0000-0100-000039000000}"/>
  <tableColumns count="2">
    <tableColumn id="1" xr3:uid="{00000000-0010-0000-3500-000001000000}" name="Показатель"/>
    <tableColumn id="4" xr3:uid="{00000000-0010-0000-3500-000004000000}" name="%выполнения" dataDxfId="0">
      <calculatedColumnFormula>#REF!/#REF!*100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5.xml"/><Relationship Id="rId18" Type="http://schemas.openxmlformats.org/officeDocument/2006/relationships/table" Target="../tables/table20.xml"/><Relationship Id="rId26" Type="http://schemas.openxmlformats.org/officeDocument/2006/relationships/table" Target="../tables/table28.xml"/><Relationship Id="rId39" Type="http://schemas.openxmlformats.org/officeDocument/2006/relationships/table" Target="../tables/table41.xml"/><Relationship Id="rId21" Type="http://schemas.openxmlformats.org/officeDocument/2006/relationships/table" Target="../tables/table23.xml"/><Relationship Id="rId34" Type="http://schemas.openxmlformats.org/officeDocument/2006/relationships/table" Target="../tables/table36.xml"/><Relationship Id="rId42" Type="http://schemas.openxmlformats.org/officeDocument/2006/relationships/table" Target="../tables/table44.xml"/><Relationship Id="rId47" Type="http://schemas.openxmlformats.org/officeDocument/2006/relationships/table" Target="../tables/table49.xml"/><Relationship Id="rId50" Type="http://schemas.openxmlformats.org/officeDocument/2006/relationships/table" Target="../tables/table52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6" Type="http://schemas.openxmlformats.org/officeDocument/2006/relationships/table" Target="../tables/table18.xml"/><Relationship Id="rId29" Type="http://schemas.openxmlformats.org/officeDocument/2006/relationships/table" Target="../tables/table31.xml"/><Relationship Id="rId11" Type="http://schemas.openxmlformats.org/officeDocument/2006/relationships/table" Target="../tables/table13.xml"/><Relationship Id="rId24" Type="http://schemas.openxmlformats.org/officeDocument/2006/relationships/table" Target="../tables/table26.xml"/><Relationship Id="rId32" Type="http://schemas.openxmlformats.org/officeDocument/2006/relationships/table" Target="../tables/table34.xml"/><Relationship Id="rId37" Type="http://schemas.openxmlformats.org/officeDocument/2006/relationships/table" Target="../tables/table39.xml"/><Relationship Id="rId40" Type="http://schemas.openxmlformats.org/officeDocument/2006/relationships/table" Target="../tables/table42.xml"/><Relationship Id="rId45" Type="http://schemas.openxmlformats.org/officeDocument/2006/relationships/table" Target="../tables/table47.xml"/><Relationship Id="rId5" Type="http://schemas.openxmlformats.org/officeDocument/2006/relationships/table" Target="../tables/table7.xml"/><Relationship Id="rId15" Type="http://schemas.openxmlformats.org/officeDocument/2006/relationships/table" Target="../tables/table17.xml"/><Relationship Id="rId23" Type="http://schemas.openxmlformats.org/officeDocument/2006/relationships/table" Target="../tables/table25.xml"/><Relationship Id="rId28" Type="http://schemas.openxmlformats.org/officeDocument/2006/relationships/table" Target="../tables/table30.xml"/><Relationship Id="rId36" Type="http://schemas.openxmlformats.org/officeDocument/2006/relationships/table" Target="../tables/table38.xml"/><Relationship Id="rId49" Type="http://schemas.openxmlformats.org/officeDocument/2006/relationships/table" Target="../tables/table51.xml"/><Relationship Id="rId10" Type="http://schemas.openxmlformats.org/officeDocument/2006/relationships/table" Target="../tables/table12.xml"/><Relationship Id="rId19" Type="http://schemas.openxmlformats.org/officeDocument/2006/relationships/table" Target="../tables/table21.xml"/><Relationship Id="rId31" Type="http://schemas.openxmlformats.org/officeDocument/2006/relationships/table" Target="../tables/table33.xml"/><Relationship Id="rId44" Type="http://schemas.openxmlformats.org/officeDocument/2006/relationships/table" Target="../tables/table46.xml"/><Relationship Id="rId52" Type="http://schemas.openxmlformats.org/officeDocument/2006/relationships/table" Target="../tables/table54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Relationship Id="rId14" Type="http://schemas.openxmlformats.org/officeDocument/2006/relationships/table" Target="../tables/table16.xml"/><Relationship Id="rId22" Type="http://schemas.openxmlformats.org/officeDocument/2006/relationships/table" Target="../tables/table24.xml"/><Relationship Id="rId27" Type="http://schemas.openxmlformats.org/officeDocument/2006/relationships/table" Target="../tables/table29.xml"/><Relationship Id="rId30" Type="http://schemas.openxmlformats.org/officeDocument/2006/relationships/table" Target="../tables/table32.xml"/><Relationship Id="rId35" Type="http://schemas.openxmlformats.org/officeDocument/2006/relationships/table" Target="../tables/table37.xml"/><Relationship Id="rId43" Type="http://schemas.openxmlformats.org/officeDocument/2006/relationships/table" Target="../tables/table45.xml"/><Relationship Id="rId48" Type="http://schemas.openxmlformats.org/officeDocument/2006/relationships/table" Target="../tables/table50.xml"/><Relationship Id="rId8" Type="http://schemas.openxmlformats.org/officeDocument/2006/relationships/table" Target="../tables/table10.xml"/><Relationship Id="rId51" Type="http://schemas.openxmlformats.org/officeDocument/2006/relationships/table" Target="../tables/table53.xml"/><Relationship Id="rId3" Type="http://schemas.openxmlformats.org/officeDocument/2006/relationships/table" Target="../tables/table5.xml"/><Relationship Id="rId12" Type="http://schemas.openxmlformats.org/officeDocument/2006/relationships/table" Target="../tables/table14.xml"/><Relationship Id="rId17" Type="http://schemas.openxmlformats.org/officeDocument/2006/relationships/table" Target="../tables/table19.xml"/><Relationship Id="rId25" Type="http://schemas.openxmlformats.org/officeDocument/2006/relationships/table" Target="../tables/table27.xml"/><Relationship Id="rId33" Type="http://schemas.openxmlformats.org/officeDocument/2006/relationships/table" Target="../tables/table35.xml"/><Relationship Id="rId38" Type="http://schemas.openxmlformats.org/officeDocument/2006/relationships/table" Target="../tables/table40.xml"/><Relationship Id="rId46" Type="http://schemas.openxmlformats.org/officeDocument/2006/relationships/table" Target="../tables/table48.xml"/><Relationship Id="rId20" Type="http://schemas.openxmlformats.org/officeDocument/2006/relationships/table" Target="../tables/table22.xml"/><Relationship Id="rId41" Type="http://schemas.openxmlformats.org/officeDocument/2006/relationships/table" Target="../tables/table43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F1" zoomScale="75" zoomScaleNormal="80" workbookViewId="0">
      <selection activeCell="P5" sqref="P5"/>
    </sheetView>
  </sheetViews>
  <sheetFormatPr baseColWidth="10" defaultColWidth="9" defaultRowHeight="15" x14ac:dyDescent="0.2"/>
  <cols>
    <col min="1" max="1" width="14.5" customWidth="1"/>
    <col min="2" max="2" width="7.5" customWidth="1"/>
    <col min="3" max="3" width="5.33203125" customWidth="1"/>
    <col min="4" max="4" width="14.5" customWidth="1"/>
    <col min="5" max="5" width="14.1640625" customWidth="1"/>
    <col min="6" max="6" width="22.5" customWidth="1"/>
    <col min="7" max="7" width="6.83203125" customWidth="1"/>
    <col min="8" max="8" width="14.5" customWidth="1"/>
    <col min="9" max="9" width="25.33203125" customWidth="1"/>
    <col min="10" max="10" width="19.5" customWidth="1"/>
    <col min="11" max="11" width="19.83203125" customWidth="1"/>
    <col min="12" max="12" width="29.83203125" customWidth="1"/>
    <col min="13" max="13" width="20.33203125" customWidth="1"/>
    <col min="14" max="14" width="14.83203125" customWidth="1"/>
    <col min="15" max="15" width="42.33203125" customWidth="1"/>
    <col min="16" max="16" width="21.33203125" customWidth="1"/>
    <col min="17" max="17" width="22.1640625" customWidth="1"/>
    <col min="18" max="18" width="45.33203125" bestFit="1" customWidth="1"/>
    <col min="19" max="19" width="5.6640625" customWidth="1"/>
    <col min="20" max="20" width="7.83203125" customWidth="1"/>
    <col min="21" max="21" width="10.6640625" customWidth="1"/>
    <col min="22" max="22" width="11.83203125" customWidth="1"/>
    <col min="23" max="23" width="15.6640625" customWidth="1"/>
    <col min="24" max="24" width="8.5" customWidth="1"/>
    <col min="25" max="25" width="6.83203125" customWidth="1"/>
    <col min="26" max="26" width="9" customWidth="1"/>
    <col min="27" max="27" width="12.33203125" customWidth="1"/>
    <col min="28" max="28" width="13.1640625" customWidth="1"/>
    <col min="29" max="29" width="15" customWidth="1"/>
    <col min="30" max="30" width="22.1640625" customWidth="1"/>
    <col min="31" max="31" width="20.6640625" customWidth="1"/>
  </cols>
  <sheetData>
    <row r="1" spans="1:20" ht="22.5" customHeight="1" x14ac:dyDescent="0.25">
      <c r="A1" s="235" t="s">
        <v>0</v>
      </c>
      <c r="B1" s="230"/>
      <c r="C1" s="231"/>
      <c r="D1" s="235" t="s">
        <v>1</v>
      </c>
      <c r="E1" s="230"/>
      <c r="F1" s="230"/>
      <c r="G1" s="231"/>
      <c r="H1" s="236" t="s">
        <v>2</v>
      </c>
      <c r="I1" s="231"/>
      <c r="J1" s="235" t="s">
        <v>3</v>
      </c>
      <c r="K1" s="230"/>
      <c r="L1" s="230"/>
      <c r="M1" s="231"/>
      <c r="N1" s="229" t="s">
        <v>4</v>
      </c>
      <c r="O1" s="230"/>
      <c r="P1" s="231"/>
      <c r="Q1" s="58"/>
      <c r="R1" s="58"/>
      <c r="S1" s="58"/>
      <c r="T1" s="58"/>
    </row>
    <row r="2" spans="1:20" ht="37.5" customHeight="1" x14ac:dyDescent="0.2">
      <c r="A2" s="160" t="s">
        <v>5</v>
      </c>
      <c r="B2" s="161" t="s">
        <v>6</v>
      </c>
      <c r="C2" s="162" t="s">
        <v>7</v>
      </c>
      <c r="D2" s="160" t="s">
        <v>5</v>
      </c>
      <c r="E2" s="161" t="s">
        <v>8</v>
      </c>
      <c r="F2" s="161" t="s">
        <v>9</v>
      </c>
      <c r="G2" s="162" t="s">
        <v>10</v>
      </c>
      <c r="H2" s="160" t="s">
        <v>5</v>
      </c>
      <c r="I2" s="162" t="s">
        <v>11</v>
      </c>
      <c r="J2" s="160" t="s">
        <v>5</v>
      </c>
      <c r="K2" s="161" t="s">
        <v>12</v>
      </c>
      <c r="L2" s="168" t="s">
        <v>13</v>
      </c>
      <c r="M2" s="169" t="s">
        <v>14</v>
      </c>
      <c r="N2" s="160" t="s">
        <v>5</v>
      </c>
      <c r="O2" s="161" t="s">
        <v>15</v>
      </c>
      <c r="P2" s="170" t="s">
        <v>16</v>
      </c>
      <c r="Q2" s="58"/>
      <c r="R2" s="58"/>
      <c r="S2" s="58"/>
      <c r="T2" s="58"/>
    </row>
    <row r="3" spans="1:20" ht="18.75" customHeight="1" x14ac:dyDescent="0.25">
      <c r="A3" s="163">
        <f ca="1">WEEKNUM(TODAY(),21)</f>
        <v>12</v>
      </c>
      <c r="B3" s="226"/>
      <c r="C3" s="228"/>
      <c r="D3" s="163">
        <f ca="1">WEEKNUM(TODAY(),21)</f>
        <v>12</v>
      </c>
      <c r="E3" s="226"/>
      <c r="F3" s="227"/>
      <c r="G3" s="228"/>
      <c r="H3" s="163">
        <f ca="1">WEEKNUM(TODAY(),21)</f>
        <v>12</v>
      </c>
      <c r="I3" s="171">
        <f ca="1">IFERROR(INDEX(Реестр_План_Факт!AO373:AO425,MATCH(A3,Реестр_План_Факт!A373:A425,0)),0)</f>
        <v>1.0601020833333334</v>
      </c>
      <c r="J3" s="163">
        <f ca="1">WEEKNUM(TODAY(),21)</f>
        <v>12</v>
      </c>
      <c r="K3" s="166">
        <f ca="1">IFERROR(INDEX(Сортность!H2:H54,MATCH($A3,Сортность!$G2:$G54,0)),0)</f>
        <v>99.640000000000015</v>
      </c>
      <c r="L3" s="166">
        <f ca="1">IFERROR(INDEX(Сортность!I2:I54,MATCH($A3,Сортность!$G2:$G54,0)),0)</f>
        <v>98.335000000000008</v>
      </c>
      <c r="M3" s="195">
        <f ca="1">IFERROR(INDEX(Сортность!J2:J54,MATCH($A3,Сортность!$G2:$G54,0)),0)</f>
        <v>98.47</v>
      </c>
      <c r="N3" s="163">
        <f ca="1">WEEKNUM(TODAY(),21)</f>
        <v>12</v>
      </c>
      <c r="O3" s="226"/>
      <c r="P3" s="228"/>
      <c r="Q3" s="58"/>
      <c r="R3" s="58"/>
      <c r="S3" s="58"/>
      <c r="T3" s="58"/>
    </row>
    <row r="4" spans="1:20" ht="18.75" customHeight="1" x14ac:dyDescent="0.25">
      <c r="A4" s="163" t="s">
        <v>17</v>
      </c>
      <c r="B4" s="164">
        <f>IFERROR(INDEX(НИР_ТР!B2:B13,MATCH(A4,НИР_ТР!A2:A13,0)),0)</f>
        <v>0</v>
      </c>
      <c r="C4" s="165">
        <f>IFERROR(INDEX(НИР_ТР!C2:C13,MATCH(A4,НИР_ТР!A2:A13,0)),0)</f>
        <v>0</v>
      </c>
      <c r="D4" s="163" t="s">
        <v>17</v>
      </c>
      <c r="E4" s="164">
        <f ca="1">COUNTIFS(Карантин!D:D,"&lt;&gt;",Карантин!G:G,D4&amp;" "&amp;D5)</f>
        <v>13</v>
      </c>
      <c r="F4" s="166" t="str">
        <f ca="1">IFERROR(INT(AVERAGEIFS(Карантин!E:E,Карантин!G:G,D4&amp;" "&amp;D5))&amp;" час "&amp;ROUND((AVERAGEIFS(Карантин!E:E,Карантин!G:G,D4&amp;" "&amp;D5)-INT(AVERAGEIFS(Карантин!E:E,Карантин!G:G,D4&amp;" "&amp;D5)))*60,0)&amp;" минут",0)</f>
        <v>1 час 31 минут</v>
      </c>
      <c r="G4" s="165">
        <f ca="1">COUNTIFS(Карантин!E:E,"&gt;48",Карантин!G:G,D4&amp;" "&amp;D5)</f>
        <v>0</v>
      </c>
      <c r="H4" s="163" t="s">
        <v>17</v>
      </c>
      <c r="I4" s="171">
        <f ca="1">IFERROR(INDEX(Реестр_План_Факт!AO427:AO438,MATCH(H4,Реестр_План_Факт!A427:A438,0)),0)</f>
        <v>1.0037129402985301</v>
      </c>
      <c r="J4" s="163" t="s">
        <v>17</v>
      </c>
      <c r="K4" s="166">
        <f>IFERROR(INDEX(Сортность!L2:L13,MATCH($J4,Сортность!$K2:$K13,0)),0)</f>
        <v>98.679285714285697</v>
      </c>
      <c r="L4" s="166">
        <f>IFERROR(INDEX(Сортность!M2:M13,MATCH($J4,Сортность!$K2:$K13,0)),0)</f>
        <v>93.6164285714286</v>
      </c>
      <c r="M4" s="195">
        <f>IFERROR(INDEX(Сортность!N2:N13,MATCH($J4,Сортность!$K2:$K13,0)),0)</f>
        <v>98.234999999999999</v>
      </c>
      <c r="N4" s="163" t="s">
        <v>17</v>
      </c>
      <c r="O4" s="175">
        <f ca="1">IFERROR(AVERAGEIFS(ВЭД_ТМЦ!L:L,ВЭД_ТМЦ!N:N,N4&amp;" "&amp;N5),0)</f>
        <v>-9.454545454545455</v>
      </c>
      <c r="P4" s="253">
        <f ca="1">IFERROR(AVERAGEIFS(ВЭД_ТМЦ!$M:$M,ВЭД_ТМЦ!$J:$J,"&gt;="&amp;DATE(YEAR(TODAY()),MONTH(TODAY()),1),ВЭД_ТМЦ!$J:$J,"&lt;"&amp;EOMONTH(TODAY(),0)+1),0)</f>
        <v>-7.3851974723071895E-2</v>
      </c>
      <c r="Q4" s="252"/>
      <c r="R4" s="58"/>
      <c r="S4" s="58"/>
      <c r="T4" s="58"/>
    </row>
    <row r="5" spans="1:20" ht="19.5" customHeight="1" thickBot="1" x14ac:dyDescent="0.3">
      <c r="A5" s="178">
        <f ca="1">YEAR(TODAY())</f>
        <v>2026</v>
      </c>
      <c r="B5" s="179">
        <f>НИР_ТР!B14</f>
        <v>0</v>
      </c>
      <c r="C5" s="180">
        <f>НИР_ТР!C14</f>
        <v>0</v>
      </c>
      <c r="D5" s="178">
        <f ca="1">YEAR(TODAY())</f>
        <v>2026</v>
      </c>
      <c r="E5" s="179">
        <f ca="1">COUNTIFS(Карантин!D:D,"&lt;&gt;",Карантин!G:G,"*"&amp;A5)</f>
        <v>14</v>
      </c>
      <c r="F5" s="181" t="str">
        <f ca="1">IFERROR(INT(AVERAGEIFS(Карантин!E:E,Карантин!G:G,"*"&amp;A5))&amp;" час "&amp;ROUND((AVERAGEIFS(Карантин!E:E,Карантин!G:G,"*"&amp;A5)-INT(AVERAGEIFS(Карантин!E:E,Карантин!G:G,"*"&amp;A5)))*60,0)&amp;" минут","")</f>
        <v>1 час 25 минут</v>
      </c>
      <c r="G5" s="180">
        <f ca="1">COUNTIFS(Карантин!E:E,"&gt;48",Карантин!G:G,"*"&amp;D5)</f>
        <v>0</v>
      </c>
      <c r="H5" s="178">
        <f ca="1">YEAR(TODAY())</f>
        <v>2026</v>
      </c>
      <c r="I5" s="182">
        <f ca="1">Реестр_План_Факт!AO440</f>
        <v>1.0037129402985301</v>
      </c>
      <c r="J5" s="178">
        <f ca="1">YEAR(TODAY())</f>
        <v>2026</v>
      </c>
      <c r="K5" s="181">
        <f>Сортность!L14</f>
        <v>98.679285714285697</v>
      </c>
      <c r="L5" s="181">
        <f>Сортность!M14</f>
        <v>93.6164285714286</v>
      </c>
      <c r="M5" s="196">
        <f>Сортность!N14</f>
        <v>98.647500000000008</v>
      </c>
      <c r="N5" s="178">
        <f ca="1">YEAR(TODAY())</f>
        <v>2026</v>
      </c>
      <c r="O5" s="183">
        <f ca="1">IFERROR(SUMIFS(ВЭД_ТМЦ!$L:$L,ВЭД_ТМЦ!$J:$J,"&gt;="&amp;DATE(YEAR(TODAY()),1,1),ВЭД_ТМЦ!$J:$J,"&lt;"&amp;TODAY()+1),0)</f>
        <v>-108</v>
      </c>
      <c r="P5" s="254">
        <f ca="1">IFERROR(SUMPRODUCT((ВЭД_ТМЦ!$J$2:$J$5000&gt;=DATE(YEAR(TODAY()),1,1))*(ВЭД_ТМЦ!$J$2:$J$5000&lt;TODAY()+1)*(ВЭД_ТМЦ!$I$2:$I$5000&lt;&gt;"")*(ВЭД_ТМЦ!$K$2:$K$5000&lt;&gt;"")*(ВЭД_ТМЦ!$I$2:$I$5000&gt;ВЭД_ТМЦ!$K$2:$K$5000)*(ВЭД_ТМЦ!$J$2:$J$5000-ВЭД_ТМЦ!$I$2:$I$5000))/SUMPRODUCT((ВЭД_ТМЦ!$J$2:$J$5000&gt;=DATE(YEAR(TODAY()),1,1))*(ВЭД_ТМЦ!$J$2:$J$5000&lt;TODAY()+1)*(ВЭД_ТМЦ!$I$2:$I$5000&lt;&gt;"")*(ВЭД_ТМЦ!$K$2:$K$5000&lt;&gt;"")*(ВЭД_ТМЦ!$I$2:$I$5000&gt;ВЭД_ТМЦ!$K$2:$K$5000)*(ВЭД_ТМЦ!$I$2:$I$5000-ВЭД_ТМЦ!$K$2:$K$5000)),0)</f>
        <v>-6.4864864864864868E-2</v>
      </c>
      <c r="Q5" s="58"/>
      <c r="R5" s="58"/>
      <c r="S5" s="58"/>
      <c r="T5" s="58"/>
    </row>
    <row r="6" spans="1:20" ht="18.75" customHeight="1" x14ac:dyDescent="0.2">
      <c r="A6" s="232" t="s">
        <v>18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4"/>
    </row>
    <row r="7" spans="1:20" ht="18.75" customHeight="1" x14ac:dyDescent="0.2">
      <c r="A7" s="160" t="s">
        <v>5</v>
      </c>
      <c r="B7" s="161" t="s">
        <v>19</v>
      </c>
      <c r="C7" s="161" t="s">
        <v>20</v>
      </c>
      <c r="D7" s="161" t="s">
        <v>21</v>
      </c>
      <c r="E7" s="161" t="s">
        <v>22</v>
      </c>
      <c r="F7" s="161" t="s">
        <v>23</v>
      </c>
      <c r="G7" s="161" t="s">
        <v>24</v>
      </c>
      <c r="H7" s="161" t="s">
        <v>25</v>
      </c>
      <c r="I7" s="161" t="s">
        <v>26</v>
      </c>
      <c r="J7" s="161" t="s">
        <v>27</v>
      </c>
      <c r="K7" s="161" t="s">
        <v>28</v>
      </c>
      <c r="L7" s="161" t="s">
        <v>29</v>
      </c>
      <c r="M7" s="161" t="s">
        <v>30</v>
      </c>
      <c r="N7" s="161" t="s">
        <v>31</v>
      </c>
      <c r="O7" s="161" t="s">
        <v>32</v>
      </c>
      <c r="P7" s="161" t="s">
        <v>33</v>
      </c>
      <c r="Q7" s="161" t="s">
        <v>34</v>
      </c>
      <c r="R7" s="162" t="s">
        <v>35</v>
      </c>
    </row>
    <row r="8" spans="1:20" ht="18.75" customHeight="1" x14ac:dyDescent="0.25">
      <c r="A8" s="163">
        <f ca="1">WEEKNUM(TODAY(),21)</f>
        <v>12</v>
      </c>
      <c r="B8" s="226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8"/>
    </row>
    <row r="9" spans="1:20" ht="18.75" customHeight="1" x14ac:dyDescent="0.25">
      <c r="A9" s="163" t="s">
        <v>36</v>
      </c>
      <c r="B9" s="164">
        <f>IFERROR(INDEX(Чистота_Порядок!B2:B13,MATCH($A9,Чистота_Порядок!$A2:$A13,0)),0)</f>
        <v>4.4000000000000004</v>
      </c>
      <c r="C9" s="164">
        <f>IFERROR(INDEX(Чистота_Порядок!C2:C13,MATCH($A9,Чистота_Порядок!$A2:$A13,0)),0)</f>
        <v>4.3</v>
      </c>
      <c r="D9" s="164">
        <f>IFERROR(INDEX(Чистота_Порядок!D2:D13,MATCH($A9,Чистота_Порядок!$A2:$A13,0)),0)</f>
        <v>4.2</v>
      </c>
      <c r="E9" s="164">
        <f>IFERROR(INDEX(Чистота_Порядок!E2:E13,MATCH($A9,Чистота_Порядок!$A2:$A13,0)),0)</f>
        <v>4.3</v>
      </c>
      <c r="F9" s="164">
        <f>IFERROR(INDEX(Чистота_Порядок!F2:F13,MATCH($A9,Чистота_Порядок!$A2:$A13,0)),0)</f>
        <v>4.3</v>
      </c>
      <c r="G9" s="164">
        <f>IFERROR(INDEX(Чистота_Порядок!G2:G13,MATCH($A9,Чистота_Порядок!$A2:$A13,0)),0)</f>
        <v>4.3</v>
      </c>
      <c r="H9" s="164">
        <f>IFERROR(INDEX(Чистота_Порядок!H2:H13,MATCH($A9,Чистота_Порядок!$A2:$A13,0)),0)</f>
        <v>4.3</v>
      </c>
      <c r="I9" s="164">
        <f>IFERROR(INDEX(Чистота_Порядок!I2:I13,MATCH($A9,Чистота_Порядок!$A2:$A13,0)),0)</f>
        <v>4.4000000000000004</v>
      </c>
      <c r="J9" s="164">
        <f>IFERROR(INDEX(Чистота_Порядок!J2:J13,MATCH($A9,Чистота_Порядок!$A2:$A13,0)),0)</f>
        <v>4.4000000000000004</v>
      </c>
      <c r="K9" s="164">
        <f>IFERROR(INDEX(Чистота_Порядок!K2:K13,MATCH($A9,Чистота_Порядок!$A2:$A13,0)),0)</f>
        <v>4.3</v>
      </c>
      <c r="L9" s="164">
        <f>IFERROR(INDEX(Чистота_Порядок!L2:L13,MATCH($A9,Чистота_Порядок!$A2:$A13,0)),0)</f>
        <v>4.9000000000000004</v>
      </c>
      <c r="M9" s="164">
        <f>IFERROR(INDEX(Чистота_Порядок!M2:M13,MATCH($A9,Чистота_Порядок!$A2:$A13,0)),0)</f>
        <v>4.4000000000000004</v>
      </c>
      <c r="N9" s="164">
        <f>IFERROR(INDEX(Чистота_Порядок!N2:N13,MATCH($A9,Чистота_Порядок!$A2:$A13,0)),0)</f>
        <v>4.8</v>
      </c>
      <c r="O9" s="164">
        <f>IFERROR(INDEX(Чистота_Порядок!O2:O13,MATCH($A9,Чистота_Порядок!$A2:$A13,0)),0)</f>
        <v>4.8</v>
      </c>
      <c r="P9" s="164">
        <f>IFERROR(INDEX(Чистота_Порядок!P2:P13,MATCH($A9,Чистота_Порядок!$A2:$A13,0)),0)</f>
        <v>4.9000000000000004</v>
      </c>
      <c r="Q9" s="164">
        <f>IFERROR(INDEX(Чистота_Порядок!Q2:Q13,MATCH($A9,Чистота_Порядок!$A2:$A13,0)),0)</f>
        <v>5</v>
      </c>
      <c r="R9" s="165">
        <f>IFERROR(INDEX(Чистота_Порядок!R2:R13,MATCH($A9,Чистота_Порядок!$A2:$A13,0)),0)</f>
        <v>5</v>
      </c>
    </row>
    <row r="10" spans="1:20" ht="19.5" customHeight="1" thickBot="1" x14ac:dyDescent="0.3">
      <c r="A10" s="167">
        <f ca="1">YEAR(TODAY())</f>
        <v>2026</v>
      </c>
      <c r="B10" s="223"/>
      <c r="C10" s="224"/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5"/>
    </row>
    <row r="11" spans="1:20" x14ac:dyDescent="0.2">
      <c r="A11" s="176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44"/>
    </row>
  </sheetData>
  <mergeCells count="11">
    <mergeCell ref="B10:R10"/>
    <mergeCell ref="E3:G3"/>
    <mergeCell ref="N1:P1"/>
    <mergeCell ref="A6:R6"/>
    <mergeCell ref="J1:M1"/>
    <mergeCell ref="B8:R8"/>
    <mergeCell ref="O3:P3"/>
    <mergeCell ref="A1:C1"/>
    <mergeCell ref="B3:C3"/>
    <mergeCell ref="H1:I1"/>
    <mergeCell ref="D1:G1"/>
  </mergeCells>
  <dataValidations count="1">
    <dataValidation type="list" allowBlank="1" showInputMessage="1" showErrorMessage="1" sqref="A4 A9 D4 H4 J4 N4" xr:uid="{00000000-0002-0000-0000-000000000000}">
      <formula1>"Январь,Февраль,Март,Апрель,Май,Июнь,Июль,Август,Сентябрь,Октябрь,Ноябрь,Декабрь"</formula1>
    </dataValidation>
  </dataValidations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1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40" customWidth="1"/>
    <col min="2" max="3" width="24" customWidth="1"/>
    <col min="4" max="4" width="17" customWidth="1"/>
    <col min="5" max="5" width="12" customWidth="1"/>
  </cols>
  <sheetData>
    <row r="1" spans="1:6" ht="17" thickBot="1" x14ac:dyDescent="0.25">
      <c r="A1" s="198" t="s">
        <v>40</v>
      </c>
      <c r="B1" s="198" t="s">
        <v>41</v>
      </c>
      <c r="C1" s="198" t="s">
        <v>42</v>
      </c>
      <c r="D1" s="198" t="s">
        <v>37</v>
      </c>
      <c r="E1" s="198" t="s">
        <v>43</v>
      </c>
      <c r="F1" s="203" t="s">
        <v>68</v>
      </c>
    </row>
    <row r="2" spans="1:6" ht="16" thickTop="1" x14ac:dyDescent="0.2">
      <c r="A2" s="199">
        <f>DATE(YEAR(Деньги_Отгрузки!E15),MONTH(Деньги_Отгрузки!E15),1)</f>
        <v>44197</v>
      </c>
      <c r="B2">
        <f>Деньги_Отгрузки!E16</f>
        <v>150000</v>
      </c>
      <c r="C2">
        <f>Деньги_Отгрузки!E17</f>
        <v>37242.239000000001</v>
      </c>
      <c r="D2" t="s">
        <v>44</v>
      </c>
      <c r="E2">
        <v>15</v>
      </c>
      <c r="F2" s="204" t="s">
        <v>347</v>
      </c>
    </row>
    <row r="3" spans="1:6" x14ac:dyDescent="0.2">
      <c r="A3" s="199">
        <f>DATE(YEAR(Деньги_Отгрузки!F15),MONTH(Деньги_Отгрузки!F15),1)</f>
        <v>44228</v>
      </c>
      <c r="B3">
        <f>Деньги_Отгрузки!F16</f>
        <v>150000</v>
      </c>
      <c r="C3">
        <f>Деньги_Отгрузки!F17</f>
        <v>175897.66899999999</v>
      </c>
      <c r="D3" t="s">
        <v>44</v>
      </c>
      <c r="E3">
        <v>15</v>
      </c>
      <c r="F3" s="205" t="s">
        <v>36</v>
      </c>
    </row>
    <row r="4" spans="1:6" x14ac:dyDescent="0.2">
      <c r="A4" s="199">
        <f>DATE(YEAR(Деньги_Отгрузки!G15),MONTH(Деньги_Отгрузки!G15),1)</f>
        <v>44256</v>
      </c>
      <c r="B4">
        <f>Деньги_Отгрузки!G16</f>
        <v>150000</v>
      </c>
      <c r="C4">
        <f>Деньги_Отгрузки!G17</f>
        <v>0</v>
      </c>
      <c r="D4" t="s">
        <v>44</v>
      </c>
      <c r="E4">
        <v>15</v>
      </c>
      <c r="F4" s="204" t="s">
        <v>17</v>
      </c>
    </row>
    <row r="5" spans="1:6" x14ac:dyDescent="0.2">
      <c r="A5" s="199">
        <f>DATE(YEAR(Деньги_Отгрузки!H15),MONTH(Деньги_Отгрузки!H15),1)</f>
        <v>44287</v>
      </c>
      <c r="B5">
        <f>Деньги_Отгрузки!H16</f>
        <v>150000</v>
      </c>
      <c r="C5">
        <f>Деньги_Отгрузки!H17</f>
        <v>0</v>
      </c>
      <c r="D5" t="s">
        <v>44</v>
      </c>
      <c r="E5">
        <v>15</v>
      </c>
      <c r="F5" s="205" t="s">
        <v>48</v>
      </c>
    </row>
    <row r="6" spans="1:6" x14ac:dyDescent="0.2">
      <c r="A6" s="199">
        <f>DATE(YEAR(Деньги_Отгрузки!I15),MONTH(Деньги_Отгрузки!I15),1)</f>
        <v>44317</v>
      </c>
      <c r="B6">
        <f>Деньги_Отгрузки!I16</f>
        <v>150000</v>
      </c>
      <c r="C6">
        <f>Деньги_Отгрузки!I17</f>
        <v>0</v>
      </c>
      <c r="D6" t="s">
        <v>44</v>
      </c>
      <c r="E6">
        <v>15</v>
      </c>
      <c r="F6" s="204" t="s">
        <v>49</v>
      </c>
    </row>
    <row r="7" spans="1:6" x14ac:dyDescent="0.2">
      <c r="A7" s="199">
        <f>DATE(YEAR(Деньги_Отгрузки!J15),MONTH(Деньги_Отгрузки!J15),1)</f>
        <v>44348</v>
      </c>
      <c r="B7">
        <f>Деньги_Отгрузки!J16</f>
        <v>150000</v>
      </c>
      <c r="C7">
        <f>Деньги_Отгрузки!J17</f>
        <v>0</v>
      </c>
      <c r="D7" t="s">
        <v>44</v>
      </c>
      <c r="E7">
        <v>15</v>
      </c>
      <c r="F7" s="205" t="s">
        <v>50</v>
      </c>
    </row>
    <row r="8" spans="1:6" x14ac:dyDescent="0.2">
      <c r="A8" s="199">
        <f>DATE(YEAR(Деньги_Отгрузки!K15),MONTH(Деньги_Отгрузки!K15),1)</f>
        <v>44378</v>
      </c>
      <c r="B8">
        <f>Деньги_Отгрузки!K16</f>
        <v>150000</v>
      </c>
      <c r="C8">
        <f>Деньги_Отгрузки!K17</f>
        <v>0</v>
      </c>
      <c r="D8" t="s">
        <v>44</v>
      </c>
      <c r="E8">
        <v>15</v>
      </c>
      <c r="F8" s="204" t="s">
        <v>51</v>
      </c>
    </row>
    <row r="9" spans="1:6" x14ac:dyDescent="0.2">
      <c r="A9" s="199">
        <f>DATE(YEAR(Деньги_Отгрузки!L15),MONTH(Деньги_Отгрузки!L15),1)</f>
        <v>44409</v>
      </c>
      <c r="B9">
        <f>Деньги_Отгрузки!L16</f>
        <v>150000</v>
      </c>
      <c r="C9">
        <f>Деньги_Отгрузки!L17</f>
        <v>0</v>
      </c>
      <c r="D9" t="s">
        <v>44</v>
      </c>
      <c r="E9">
        <v>15</v>
      </c>
      <c r="F9" s="205" t="s">
        <v>52</v>
      </c>
    </row>
    <row r="10" spans="1:6" x14ac:dyDescent="0.2">
      <c r="A10" s="199">
        <f>DATE(YEAR(Деньги_Отгрузки!M15),MONTH(Деньги_Отгрузки!M15),1)</f>
        <v>44440</v>
      </c>
      <c r="B10">
        <f>Деньги_Отгрузки!M16</f>
        <v>150000</v>
      </c>
      <c r="C10">
        <f>Деньги_Отгрузки!M17</f>
        <v>0</v>
      </c>
      <c r="D10" t="s">
        <v>44</v>
      </c>
      <c r="E10">
        <v>15</v>
      </c>
      <c r="F10" s="204" t="s">
        <v>53</v>
      </c>
    </row>
    <row r="11" spans="1:6" x14ac:dyDescent="0.2">
      <c r="A11" s="199">
        <f>DATE(YEAR(Деньги_Отгрузки!N15),MONTH(Деньги_Отгрузки!N15),1)</f>
        <v>44470</v>
      </c>
      <c r="B11">
        <f>Деньги_Отгрузки!N16</f>
        <v>150000</v>
      </c>
      <c r="C11">
        <f>Деньги_Отгрузки!N17</f>
        <v>0</v>
      </c>
      <c r="D11" t="s">
        <v>44</v>
      </c>
      <c r="E11">
        <v>15</v>
      </c>
      <c r="F11" s="205" t="s">
        <v>54</v>
      </c>
    </row>
    <row r="12" spans="1:6" x14ac:dyDescent="0.2">
      <c r="A12" s="199">
        <f>DATE(YEAR(Деньги_Отгрузки!O15),MONTH(Деньги_Отгрузки!O15),1)</f>
        <v>44501</v>
      </c>
      <c r="B12">
        <f>Деньги_Отгрузки!O16</f>
        <v>150000</v>
      </c>
      <c r="C12">
        <f>Деньги_Отгрузки!O17</f>
        <v>0</v>
      </c>
      <c r="D12" t="s">
        <v>44</v>
      </c>
      <c r="E12">
        <v>15</v>
      </c>
      <c r="F12" s="204" t="s">
        <v>55</v>
      </c>
    </row>
    <row r="13" spans="1:6" x14ac:dyDescent="0.2">
      <c r="A13" s="199">
        <f>DATE(YEAR(Деньги_Отгрузки!P15),MONTH(Деньги_Отгрузки!P15),1)</f>
        <v>44531</v>
      </c>
      <c r="B13">
        <f>Деньги_Отгрузки!P16</f>
        <v>150000</v>
      </c>
      <c r="C13">
        <f>Деньги_Отгрузки!P17</f>
        <v>0</v>
      </c>
      <c r="D13" t="s">
        <v>44</v>
      </c>
      <c r="E13">
        <v>15</v>
      </c>
      <c r="F13" s="206" t="s">
        <v>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40" customWidth="1"/>
    <col min="2" max="3" width="23" customWidth="1"/>
    <col min="4" max="4" width="17" customWidth="1"/>
    <col min="5" max="5" width="12" customWidth="1"/>
  </cols>
  <sheetData>
    <row r="1" spans="1:6" ht="16" x14ac:dyDescent="0.2">
      <c r="A1" s="198" t="s">
        <v>40</v>
      </c>
      <c r="B1" s="198" t="s">
        <v>45</v>
      </c>
      <c r="C1" s="198" t="s">
        <v>46</v>
      </c>
      <c r="D1" s="198" t="s">
        <v>37</v>
      </c>
      <c r="E1" s="198" t="s">
        <v>43</v>
      </c>
      <c r="F1" s="202" t="s">
        <v>68</v>
      </c>
    </row>
    <row r="2" spans="1:6" x14ac:dyDescent="0.2">
      <c r="A2" s="199">
        <f>DATE(YEAR(Деньги_Отгрузки!E6),MONTH(Деньги_Отгрузки!E6),1)</f>
        <v>44197</v>
      </c>
      <c r="B2">
        <f>Деньги_Отгрузки!E7</f>
        <v>155280.54999999999</v>
      </c>
      <c r="C2">
        <f>Деньги_Отгрузки!E8</f>
        <v>49909.245999999999</v>
      </c>
      <c r="D2" t="s">
        <v>44</v>
      </c>
      <c r="E2">
        <v>6</v>
      </c>
      <c r="F2" s="193" t="s">
        <v>347</v>
      </c>
    </row>
    <row r="3" spans="1:6" x14ac:dyDescent="0.2">
      <c r="A3" s="199">
        <f>DATE(YEAR(Деньги_Отгрузки!F6),MONTH(Деньги_Отгрузки!F6),1)</f>
        <v>44228</v>
      </c>
      <c r="B3">
        <f>Деньги_Отгрузки!F7</f>
        <v>61826.05</v>
      </c>
      <c r="C3">
        <f>Деньги_Отгрузки!F8</f>
        <v>44395.135000000002</v>
      </c>
      <c r="D3" t="s">
        <v>44</v>
      </c>
      <c r="E3">
        <v>6</v>
      </c>
      <c r="F3" s="193" t="s">
        <v>36</v>
      </c>
    </row>
    <row r="4" spans="1:6" x14ac:dyDescent="0.2">
      <c r="A4" s="199">
        <f>DATE(YEAR(Деньги_Отгрузки!G6),MONTH(Деньги_Отгрузки!G6),1)</f>
        <v>44256</v>
      </c>
      <c r="B4">
        <f>Деньги_Отгрузки!G7</f>
        <v>0</v>
      </c>
      <c r="C4">
        <f>Деньги_Отгрузки!G8</f>
        <v>0</v>
      </c>
      <c r="D4" t="s">
        <v>44</v>
      </c>
      <c r="E4">
        <v>6</v>
      </c>
      <c r="F4" s="193" t="s">
        <v>17</v>
      </c>
    </row>
    <row r="5" spans="1:6" x14ac:dyDescent="0.2">
      <c r="A5" s="199">
        <f>DATE(YEAR(Деньги_Отгрузки!H6),MONTH(Деньги_Отгрузки!H6),1)</f>
        <v>44287</v>
      </c>
      <c r="B5">
        <f>Деньги_Отгрузки!H7</f>
        <v>0</v>
      </c>
      <c r="C5">
        <f>Деньги_Отгрузки!H8</f>
        <v>0</v>
      </c>
      <c r="D5" t="s">
        <v>44</v>
      </c>
      <c r="E5">
        <v>6</v>
      </c>
      <c r="F5" s="193" t="s">
        <v>48</v>
      </c>
    </row>
    <row r="6" spans="1:6" x14ac:dyDescent="0.2">
      <c r="A6" s="199">
        <f>DATE(YEAR(Деньги_Отгрузки!I6),MONTH(Деньги_Отгрузки!I6),1)</f>
        <v>44317</v>
      </c>
      <c r="B6">
        <f>Деньги_Отгрузки!I7</f>
        <v>0</v>
      </c>
      <c r="C6">
        <f>Деньги_Отгрузки!I8</f>
        <v>0</v>
      </c>
      <c r="D6" t="s">
        <v>44</v>
      </c>
      <c r="E6">
        <v>6</v>
      </c>
      <c r="F6" s="193" t="s">
        <v>49</v>
      </c>
    </row>
    <row r="7" spans="1:6" x14ac:dyDescent="0.2">
      <c r="A7" s="199">
        <f>DATE(YEAR(Деньги_Отгрузки!J6),MONTH(Деньги_Отгрузки!J6),1)</f>
        <v>44348</v>
      </c>
      <c r="B7">
        <f>Деньги_Отгрузки!J7</f>
        <v>0</v>
      </c>
      <c r="C7">
        <f>Деньги_Отгрузки!J8</f>
        <v>0</v>
      </c>
      <c r="D7" t="s">
        <v>44</v>
      </c>
      <c r="E7">
        <v>6</v>
      </c>
      <c r="F7" s="193" t="s">
        <v>50</v>
      </c>
    </row>
    <row r="8" spans="1:6" x14ac:dyDescent="0.2">
      <c r="A8" s="199">
        <f>DATE(YEAR(Деньги_Отгрузки!K6),MONTH(Деньги_Отгрузки!K6),1)</f>
        <v>44378</v>
      </c>
      <c r="B8">
        <f>Деньги_Отгрузки!K7</f>
        <v>0</v>
      </c>
      <c r="C8">
        <f>Деньги_Отгрузки!K8</f>
        <v>0</v>
      </c>
      <c r="D8" t="s">
        <v>44</v>
      </c>
      <c r="E8">
        <v>6</v>
      </c>
      <c r="F8" s="193" t="s">
        <v>51</v>
      </c>
    </row>
    <row r="9" spans="1:6" x14ac:dyDescent="0.2">
      <c r="A9" s="199">
        <f>DATE(YEAR(Деньги_Отгрузки!L6),MONTH(Деньги_Отгрузки!L6),1)</f>
        <v>44409</v>
      </c>
      <c r="B9">
        <f>Деньги_Отгрузки!L7</f>
        <v>0</v>
      </c>
      <c r="C9">
        <f>Деньги_Отгрузки!L8</f>
        <v>0</v>
      </c>
      <c r="D9" t="s">
        <v>44</v>
      </c>
      <c r="E9">
        <v>6</v>
      </c>
      <c r="F9" s="193" t="s">
        <v>52</v>
      </c>
    </row>
    <row r="10" spans="1:6" x14ac:dyDescent="0.2">
      <c r="A10" s="199">
        <f>DATE(YEAR(Деньги_Отгрузки!M6),MONTH(Деньги_Отгрузки!M6),1)</f>
        <v>44440</v>
      </c>
      <c r="B10">
        <f>Деньги_Отгрузки!M7</f>
        <v>0</v>
      </c>
      <c r="C10">
        <f>Деньги_Отгрузки!M8</f>
        <v>0</v>
      </c>
      <c r="D10" t="s">
        <v>44</v>
      </c>
      <c r="E10">
        <v>6</v>
      </c>
      <c r="F10" s="193" t="s">
        <v>53</v>
      </c>
    </row>
    <row r="11" spans="1:6" x14ac:dyDescent="0.2">
      <c r="A11" s="199">
        <f>DATE(YEAR(Деньги_Отгрузки!N6),MONTH(Деньги_Отгрузки!N6),1)</f>
        <v>44470</v>
      </c>
      <c r="B11">
        <f>Деньги_Отгрузки!N7</f>
        <v>0</v>
      </c>
      <c r="C11">
        <f>Деньги_Отгрузки!N8</f>
        <v>0</v>
      </c>
      <c r="D11" t="s">
        <v>44</v>
      </c>
      <c r="E11">
        <v>6</v>
      </c>
      <c r="F11" s="193" t="s">
        <v>54</v>
      </c>
    </row>
    <row r="12" spans="1:6" x14ac:dyDescent="0.2">
      <c r="A12" s="199">
        <f>DATE(YEAR(Деньги_Отгрузки!O6),MONTH(Деньги_Отгрузки!O6),1)</f>
        <v>44501</v>
      </c>
      <c r="B12">
        <f>Деньги_Отгрузки!O7</f>
        <v>0</v>
      </c>
      <c r="C12">
        <f>Деньги_Отгрузки!O8</f>
        <v>0</v>
      </c>
      <c r="D12" t="s">
        <v>44</v>
      </c>
      <c r="E12">
        <v>6</v>
      </c>
      <c r="F12" s="193" t="s">
        <v>55</v>
      </c>
    </row>
    <row r="13" spans="1:6" x14ac:dyDescent="0.2">
      <c r="A13" s="199">
        <f>DATE(YEAR(Деньги_Отгрузки!P6),MONTH(Деньги_Отгрузки!P6),1)</f>
        <v>44531</v>
      </c>
      <c r="B13">
        <f>Деньги_Отгрузки!P7</f>
        <v>0</v>
      </c>
      <c r="C13">
        <f>Деньги_Отгрузки!P8</f>
        <v>0</v>
      </c>
      <c r="D13" t="s">
        <v>44</v>
      </c>
      <c r="E13">
        <v>6</v>
      </c>
      <c r="F13" s="193" t="s">
        <v>56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1"/>
  <dimension ref="A2:P17"/>
  <sheetViews>
    <sheetView zoomScale="70" zoomScaleNormal="70" workbookViewId="0">
      <selection activeCell="E38" sqref="E38"/>
    </sheetView>
  </sheetViews>
  <sheetFormatPr baseColWidth="10" defaultColWidth="9.1640625" defaultRowHeight="15" x14ac:dyDescent="0.2"/>
  <cols>
    <col min="1" max="1" width="3.33203125" style="143" customWidth="1"/>
    <col min="2" max="2" width="8.5" style="143" customWidth="1"/>
    <col min="3" max="3" width="52.33203125" style="143" customWidth="1"/>
    <col min="4" max="4" width="24.5" style="143" customWidth="1"/>
    <col min="5" max="24" width="15.6640625" style="143" customWidth="1"/>
    <col min="25" max="26" width="25.6640625" style="143" customWidth="1"/>
    <col min="27" max="27" width="9.1640625" style="143" customWidth="1"/>
    <col min="28" max="16384" width="9.1640625" style="143"/>
  </cols>
  <sheetData>
    <row r="2" spans="1:16" ht="16" x14ac:dyDescent="0.2">
      <c r="A2" s="144"/>
      <c r="B2" s="144"/>
      <c r="C2" s="145" t="s">
        <v>57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1:16" x14ac:dyDescent="0.2">
      <c r="A3" s="144"/>
    </row>
    <row r="4" spans="1:16" x14ac:dyDescent="0.2">
      <c r="A4" s="144"/>
      <c r="C4" s="147" t="s">
        <v>58</v>
      </c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</row>
    <row r="5" spans="1:16" x14ac:dyDescent="0.2">
      <c r="A5" s="144"/>
      <c r="C5" s="149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</row>
    <row r="6" spans="1:16" x14ac:dyDescent="0.2">
      <c r="A6" s="144"/>
      <c r="C6" s="151"/>
      <c r="D6" s="151"/>
      <c r="E6" s="152">
        <v>44197</v>
      </c>
      <c r="F6" s="152">
        <v>44228</v>
      </c>
      <c r="G6" s="152">
        <v>44256</v>
      </c>
      <c r="H6" s="152">
        <v>44287</v>
      </c>
      <c r="I6" s="152">
        <v>44317</v>
      </c>
      <c r="J6" s="152">
        <v>44348</v>
      </c>
      <c r="K6" s="152">
        <v>44378</v>
      </c>
      <c r="L6" s="152">
        <v>44409</v>
      </c>
      <c r="M6" s="152">
        <v>44440</v>
      </c>
      <c r="N6" s="152">
        <v>44470</v>
      </c>
      <c r="O6" s="152">
        <v>44501</v>
      </c>
      <c r="P6" s="152">
        <v>44531</v>
      </c>
    </row>
    <row r="7" spans="1:16" x14ac:dyDescent="0.2">
      <c r="A7" s="144"/>
      <c r="C7" s="153" t="s">
        <v>59</v>
      </c>
      <c r="D7" s="153"/>
      <c r="E7" s="154">
        <v>155280.54999999999</v>
      </c>
      <c r="F7" s="154">
        <v>61826.05</v>
      </c>
      <c r="G7" s="154"/>
      <c r="H7" s="154"/>
      <c r="I7" s="154"/>
      <c r="J7" s="154"/>
      <c r="K7" s="154"/>
      <c r="L7" s="154"/>
      <c r="M7" s="154"/>
      <c r="N7" s="154"/>
      <c r="O7" s="154"/>
      <c r="P7" s="154"/>
    </row>
    <row r="8" spans="1:16" x14ac:dyDescent="0.2">
      <c r="A8" s="144"/>
      <c r="C8" s="153" t="s">
        <v>60</v>
      </c>
      <c r="D8" s="153"/>
      <c r="E8" s="154">
        <v>49909.245999999999</v>
      </c>
      <c r="F8" s="154">
        <v>44395.135000000002</v>
      </c>
      <c r="G8" s="154"/>
      <c r="H8" s="154"/>
      <c r="I8" s="154"/>
      <c r="J8" s="154"/>
      <c r="K8" s="154"/>
      <c r="L8" s="154"/>
      <c r="M8" s="154"/>
      <c r="N8" s="154"/>
      <c r="O8" s="154"/>
      <c r="P8" s="154"/>
    </row>
    <row r="11" spans="1:16" ht="16" x14ac:dyDescent="0.2">
      <c r="A11" s="155"/>
      <c r="B11" s="155"/>
      <c r="C11" s="156" t="s">
        <v>61</v>
      </c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</row>
    <row r="12" spans="1:16" x14ac:dyDescent="0.2">
      <c r="A12" s="155"/>
    </row>
    <row r="13" spans="1:16" x14ac:dyDescent="0.2">
      <c r="A13" s="155"/>
      <c r="C13" s="158" t="s">
        <v>62</v>
      </c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</row>
    <row r="14" spans="1:16" x14ac:dyDescent="0.2">
      <c r="A14" s="155"/>
      <c r="C14" s="149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</row>
    <row r="15" spans="1:16" x14ac:dyDescent="0.2">
      <c r="A15" s="155"/>
      <c r="C15" s="151"/>
      <c r="D15" s="151"/>
      <c r="E15" s="152">
        <v>44197</v>
      </c>
      <c r="F15" s="152">
        <v>44228</v>
      </c>
      <c r="G15" s="152">
        <v>44256</v>
      </c>
      <c r="H15" s="152">
        <v>44287</v>
      </c>
      <c r="I15" s="152">
        <v>44317</v>
      </c>
      <c r="J15" s="152">
        <v>44348</v>
      </c>
      <c r="K15" s="152">
        <v>44378</v>
      </c>
      <c r="L15" s="152">
        <v>44409</v>
      </c>
      <c r="M15" s="152">
        <v>44440</v>
      </c>
      <c r="N15" s="152">
        <v>44470</v>
      </c>
      <c r="O15" s="152">
        <v>44501</v>
      </c>
      <c r="P15" s="152">
        <v>44531</v>
      </c>
    </row>
    <row r="16" spans="1:16" x14ac:dyDescent="0.2">
      <c r="A16" s="155"/>
      <c r="C16" s="153" t="s">
        <v>63</v>
      </c>
      <c r="D16" s="153"/>
      <c r="E16" s="154">
        <v>150000</v>
      </c>
      <c r="F16" s="154">
        <v>150000</v>
      </c>
      <c r="G16" s="154">
        <v>150000</v>
      </c>
      <c r="H16" s="154">
        <v>150000</v>
      </c>
      <c r="I16" s="154">
        <v>150000</v>
      </c>
      <c r="J16" s="154">
        <v>150000</v>
      </c>
      <c r="K16" s="154">
        <v>150000</v>
      </c>
      <c r="L16" s="154">
        <v>150000</v>
      </c>
      <c r="M16" s="154">
        <v>150000</v>
      </c>
      <c r="N16" s="154">
        <v>150000</v>
      </c>
      <c r="O16" s="154">
        <v>150000</v>
      </c>
      <c r="P16" s="154">
        <v>150000</v>
      </c>
    </row>
    <row r="17" spans="1:16" x14ac:dyDescent="0.2">
      <c r="A17" s="155"/>
      <c r="C17" s="153" t="s">
        <v>64</v>
      </c>
      <c r="D17" s="153"/>
      <c r="E17" s="154">
        <v>37242.239000000001</v>
      </c>
      <c r="F17" s="154">
        <v>175897.66899999999</v>
      </c>
      <c r="G17" s="154"/>
      <c r="H17" s="154"/>
      <c r="I17" s="154"/>
      <c r="J17" s="154"/>
      <c r="K17" s="154"/>
      <c r="L17" s="154"/>
      <c r="M17" s="154"/>
      <c r="N17" s="154"/>
      <c r="O17" s="154"/>
      <c r="P17" s="154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selection activeCell="G10" sqref="G10"/>
    </sheetView>
  </sheetViews>
  <sheetFormatPr baseColWidth="10" defaultColWidth="9" defaultRowHeight="15" x14ac:dyDescent="0.2"/>
  <cols>
    <col min="1" max="1" width="17" customWidth="1"/>
    <col min="2" max="2" width="20.33203125" customWidth="1"/>
    <col min="3" max="3" width="10" customWidth="1"/>
    <col min="4" max="4" width="18.5" customWidth="1"/>
    <col min="5" max="5" width="19.1640625" customWidth="1"/>
    <col min="7" max="7" width="18" customWidth="1"/>
    <col min="8" max="8" width="19.5" customWidth="1"/>
    <col min="10" max="10" width="18.5" customWidth="1"/>
    <col min="11" max="11" width="18.1640625" customWidth="1"/>
  </cols>
  <sheetData>
    <row r="1" spans="1:3" x14ac:dyDescent="0.2">
      <c r="A1" s="140" t="s">
        <v>65</v>
      </c>
      <c r="B1" s="140" t="s">
        <v>38</v>
      </c>
      <c r="C1" s="140" t="s">
        <v>39</v>
      </c>
    </row>
    <row r="2" spans="1:3" x14ac:dyDescent="0.2">
      <c r="A2" s="140" t="s">
        <v>47</v>
      </c>
      <c r="B2" s="47">
        <v>0</v>
      </c>
      <c r="C2" s="47">
        <v>0</v>
      </c>
    </row>
    <row r="3" spans="1:3" x14ac:dyDescent="0.2">
      <c r="A3" s="140" t="s">
        <v>36</v>
      </c>
      <c r="B3" s="47">
        <v>0</v>
      </c>
      <c r="C3" s="47">
        <v>0</v>
      </c>
    </row>
    <row r="4" spans="1:3" x14ac:dyDescent="0.2">
      <c r="A4" s="140" t="s">
        <v>17</v>
      </c>
      <c r="B4" s="47"/>
      <c r="C4" s="47"/>
    </row>
    <row r="5" spans="1:3" x14ac:dyDescent="0.2">
      <c r="A5" s="140" t="s">
        <v>48</v>
      </c>
      <c r="B5" s="47"/>
      <c r="C5" s="47"/>
    </row>
    <row r="6" spans="1:3" x14ac:dyDescent="0.2">
      <c r="A6" s="140" t="s">
        <v>49</v>
      </c>
      <c r="B6" s="47"/>
      <c r="C6" s="47"/>
    </row>
    <row r="7" spans="1:3" x14ac:dyDescent="0.2">
      <c r="A7" s="140" t="s">
        <v>50</v>
      </c>
      <c r="B7" s="47"/>
      <c r="C7" s="47"/>
    </row>
    <row r="8" spans="1:3" x14ac:dyDescent="0.2">
      <c r="A8" s="140" t="s">
        <v>51</v>
      </c>
      <c r="B8" s="47"/>
      <c r="C8" s="47"/>
    </row>
    <row r="9" spans="1:3" x14ac:dyDescent="0.2">
      <c r="A9" s="140" t="s">
        <v>52</v>
      </c>
      <c r="B9" s="47"/>
      <c r="C9" s="47"/>
    </row>
    <row r="10" spans="1:3" x14ac:dyDescent="0.2">
      <c r="A10" s="140" t="s">
        <v>53</v>
      </c>
      <c r="B10" s="47"/>
      <c r="C10" s="47"/>
    </row>
    <row r="11" spans="1:3" x14ac:dyDescent="0.2">
      <c r="A11" s="140" t="s">
        <v>54</v>
      </c>
      <c r="B11" s="47"/>
      <c r="C11" s="47"/>
    </row>
    <row r="12" spans="1:3" x14ac:dyDescent="0.2">
      <c r="A12" s="140" t="s">
        <v>55</v>
      </c>
      <c r="B12" s="47"/>
      <c r="C12" s="47"/>
    </row>
    <row r="13" spans="1:3" x14ac:dyDescent="0.2">
      <c r="A13" s="140" t="s">
        <v>56</v>
      </c>
      <c r="B13" s="47"/>
      <c r="C13" s="47"/>
    </row>
    <row r="14" spans="1:3" x14ac:dyDescent="0.2">
      <c r="A14" s="141">
        <v>2026</v>
      </c>
      <c r="B14" s="142">
        <f>SUM(B2:B13)</f>
        <v>0</v>
      </c>
      <c r="C14" s="142">
        <f>SUM(C2:C13)</f>
        <v>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62"/>
  <sheetViews>
    <sheetView zoomScale="70" zoomScaleNormal="70" workbookViewId="0">
      <pane xSplit="3" ySplit="1" topLeftCell="D63" activePane="bottomRight" state="frozen"/>
      <selection pane="topRight" activeCell="D1" sqref="D1"/>
      <selection pane="bottomLeft" activeCell="A2" sqref="A2"/>
      <selection pane="bottomRight" activeCell="D76" sqref="D76"/>
    </sheetView>
  </sheetViews>
  <sheetFormatPr baseColWidth="10" defaultColWidth="9.1640625" defaultRowHeight="19" outlineLevelRow="1" x14ac:dyDescent="0.25"/>
  <cols>
    <col min="1" max="1" width="12.5" style="83" bestFit="1" customWidth="1"/>
    <col min="2" max="2" width="39.5" style="83" customWidth="1"/>
    <col min="3" max="3" width="33" style="83" customWidth="1"/>
    <col min="4" max="4" width="39.33203125" style="83" customWidth="1"/>
    <col min="5" max="5" width="16.83203125" style="83" customWidth="1"/>
    <col min="6" max="6" width="38.1640625" style="84" customWidth="1"/>
    <col min="7" max="8" width="16" style="83" customWidth="1"/>
    <col min="9" max="9" width="48.1640625" style="84" customWidth="1"/>
    <col min="10" max="11" width="16" style="83" customWidth="1"/>
    <col min="12" max="12" width="16" style="84" customWidth="1"/>
    <col min="13" max="14" width="16" style="83" customWidth="1"/>
    <col min="15" max="15" width="16" style="84" customWidth="1"/>
    <col min="16" max="17" width="16" style="83" customWidth="1"/>
    <col min="18" max="18" width="23.6640625" style="84" customWidth="1"/>
    <col min="19" max="19" width="35.33203125" style="83" customWidth="1"/>
    <col min="20" max="20" width="16" style="83" customWidth="1"/>
    <col min="21" max="21" width="69.83203125" style="84" customWidth="1"/>
    <col min="22" max="22" width="42.6640625" style="83" customWidth="1"/>
    <col min="23" max="23" width="37.1640625" style="83" customWidth="1"/>
    <col min="24" max="24" width="29.83203125" style="84" customWidth="1"/>
    <col min="25" max="25" width="16" style="83" customWidth="1"/>
    <col min="26" max="26" width="22.5" style="83" customWidth="1"/>
    <col min="27" max="27" width="33.83203125" style="84" customWidth="1"/>
    <col min="28" max="28" width="16" style="83" customWidth="1"/>
    <col min="29" max="29" width="27" style="83" customWidth="1"/>
    <col min="30" max="30" width="26.1640625" style="84" customWidth="1"/>
    <col min="31" max="31" width="41.5" style="83" customWidth="1"/>
    <col min="32" max="32" width="36" style="83" customWidth="1"/>
    <col min="33" max="33" width="34.1640625" style="84" customWidth="1"/>
    <col min="34" max="35" width="16" style="83" customWidth="1"/>
    <col min="36" max="36" width="29.83203125" style="84" customWidth="1"/>
    <col min="37" max="37" width="16" style="83" customWidth="1"/>
    <col min="38" max="38" width="27.5" style="83" customWidth="1"/>
    <col min="39" max="39" width="31" style="84" customWidth="1"/>
    <col min="40" max="41" width="16" style="83" customWidth="1"/>
    <col min="42" max="42" width="34.33203125" style="84" customWidth="1"/>
    <col min="43" max="43" width="9.1640625" style="83" customWidth="1"/>
    <col min="44" max="16384" width="9.1640625" style="83"/>
  </cols>
  <sheetData>
    <row r="1" spans="1:42" s="82" customFormat="1" x14ac:dyDescent="0.25">
      <c r="A1" s="85" t="s">
        <v>66</v>
      </c>
      <c r="B1" s="86" t="s">
        <v>67</v>
      </c>
      <c r="C1" s="86" t="s">
        <v>68</v>
      </c>
      <c r="D1" s="87" t="s">
        <v>69</v>
      </c>
      <c r="E1" s="88" t="s">
        <v>70</v>
      </c>
      <c r="F1" s="89" t="s">
        <v>334</v>
      </c>
      <c r="G1" s="187" t="s">
        <v>72</v>
      </c>
      <c r="H1" s="90" t="s">
        <v>73</v>
      </c>
      <c r="I1" s="89" t="s">
        <v>335</v>
      </c>
      <c r="J1" s="96" t="s">
        <v>75</v>
      </c>
      <c r="K1" s="97" t="s">
        <v>76</v>
      </c>
      <c r="L1" s="89" t="s">
        <v>336</v>
      </c>
      <c r="M1" s="98" t="s">
        <v>77</v>
      </c>
      <c r="N1" s="99" t="s">
        <v>78</v>
      </c>
      <c r="O1" s="89" t="s">
        <v>337</v>
      </c>
      <c r="P1" s="100" t="s">
        <v>79</v>
      </c>
      <c r="Q1" s="101" t="s">
        <v>80</v>
      </c>
      <c r="R1" s="89" t="s">
        <v>338</v>
      </c>
      <c r="S1" s="102" t="s">
        <v>81</v>
      </c>
      <c r="T1" s="103" t="s">
        <v>82</v>
      </c>
      <c r="U1" s="89" t="s">
        <v>339</v>
      </c>
      <c r="V1" s="104" t="s">
        <v>83</v>
      </c>
      <c r="W1" s="105" t="s">
        <v>84</v>
      </c>
      <c r="X1" s="89" t="s">
        <v>340</v>
      </c>
      <c r="Y1" s="106" t="s">
        <v>85</v>
      </c>
      <c r="Z1" s="106" t="s">
        <v>86</v>
      </c>
      <c r="AA1" s="107" t="s">
        <v>346</v>
      </c>
      <c r="AB1" s="108" t="s">
        <v>87</v>
      </c>
      <c r="AC1" s="109" t="s">
        <v>88</v>
      </c>
      <c r="AD1" s="89" t="s">
        <v>341</v>
      </c>
      <c r="AE1" s="110" t="s">
        <v>348</v>
      </c>
      <c r="AF1" s="111" t="s">
        <v>349</v>
      </c>
      <c r="AG1" s="89" t="s">
        <v>342</v>
      </c>
      <c r="AH1" s="102" t="s">
        <v>90</v>
      </c>
      <c r="AI1" s="103" t="s">
        <v>91</v>
      </c>
      <c r="AJ1" s="89" t="s">
        <v>343</v>
      </c>
      <c r="AK1" s="100" t="s">
        <v>92</v>
      </c>
      <c r="AL1" s="101" t="s">
        <v>93</v>
      </c>
      <c r="AM1" s="89" t="s">
        <v>344</v>
      </c>
      <c r="AN1" s="113" t="s">
        <v>94</v>
      </c>
      <c r="AO1" s="114" t="s">
        <v>95</v>
      </c>
      <c r="AP1" s="89" t="s">
        <v>345</v>
      </c>
    </row>
    <row r="2" spans="1:42" x14ac:dyDescent="0.25">
      <c r="A2" s="91">
        <v>46023</v>
      </c>
      <c r="B2" s="92">
        <f t="shared" ref="B2:B65" si="0">ROUNDUP((A2-DATE(YEAR(A2),1,1)+WEEKDAY(DATE(YEAR(A2),1,1),2))/7,0)</f>
        <v>1</v>
      </c>
      <c r="C2" s="92">
        <f t="shared" ref="C2:C65" si="1">MONTH(A2)</f>
        <v>1</v>
      </c>
      <c r="D2" s="93"/>
      <c r="E2" s="94"/>
      <c r="F2" s="95" t="str">
        <f t="shared" ref="F2:F65" si="2">IFERROR(E2/D2,"")</f>
        <v/>
      </c>
      <c r="G2" s="93"/>
      <c r="H2" s="94"/>
      <c r="I2" s="95"/>
      <c r="J2" s="93"/>
      <c r="K2" s="94"/>
      <c r="L2" s="95" t="str">
        <f t="shared" ref="L2:L65" si="3">IFERROR(K2/J2,"")</f>
        <v/>
      </c>
      <c r="M2" s="93"/>
      <c r="N2" s="94"/>
      <c r="O2" s="95" t="str">
        <f t="shared" ref="O2:O65" si="4">IFERROR(N2/M2,"")</f>
        <v/>
      </c>
      <c r="P2" s="93"/>
      <c r="Q2" s="94"/>
      <c r="R2" s="95" t="str">
        <f t="shared" ref="R2:R65" si="5">IFERROR(Q2/P2,"")</f>
        <v/>
      </c>
      <c r="S2" s="93"/>
      <c r="T2" s="94"/>
      <c r="U2" s="95" t="str">
        <f t="shared" ref="U2:U65" si="6">IFERROR(T2/S2,"")</f>
        <v/>
      </c>
      <c r="V2" s="93"/>
      <c r="W2" s="94"/>
      <c r="X2" s="95" t="str">
        <f t="shared" ref="X2:X65" si="7">IFERROR(W2/V2,"")</f>
        <v/>
      </c>
      <c r="Y2" s="94"/>
      <c r="Z2" s="94"/>
      <c r="AA2" s="112" t="str">
        <f t="shared" ref="AA2:AA65" si="8">IFERROR(Z2/Y2,"")</f>
        <v/>
      </c>
      <c r="AB2" s="93"/>
      <c r="AC2" s="94"/>
      <c r="AD2" s="95" t="str">
        <f t="shared" ref="AD2:AD65" si="9">IFERROR(AC2/AB2,"")</f>
        <v/>
      </c>
      <c r="AE2" s="93"/>
      <c r="AF2" s="94"/>
      <c r="AG2" s="95" t="str">
        <f t="shared" ref="AG2:AG65" si="10">IFERROR(AF2/AE2,"")</f>
        <v/>
      </c>
      <c r="AH2" s="93"/>
      <c r="AI2" s="94"/>
      <c r="AJ2" s="95" t="str">
        <f t="shared" ref="AJ2:AJ65" si="11">IFERROR(AI2/AH2,"")</f>
        <v/>
      </c>
      <c r="AK2" s="93"/>
      <c r="AL2" s="94"/>
      <c r="AM2" s="95" t="str">
        <f t="shared" ref="AM2:AM65" si="12">IFERROR(AL2/AK2,"")</f>
        <v/>
      </c>
      <c r="AN2" s="93"/>
      <c r="AO2" s="94"/>
      <c r="AP2" s="95" t="str">
        <f t="shared" ref="AP2:AP33" si="13">IFERROR(AO2/AN2,"")</f>
        <v/>
      </c>
    </row>
    <row r="3" spans="1:42" x14ac:dyDescent="0.25">
      <c r="A3" s="91">
        <v>46024</v>
      </c>
      <c r="B3" s="92">
        <f t="shared" si="0"/>
        <v>1</v>
      </c>
      <c r="C3" s="92">
        <f t="shared" si="1"/>
        <v>1</v>
      </c>
      <c r="D3" s="93"/>
      <c r="E3" s="94"/>
      <c r="F3" s="95" t="str">
        <f t="shared" si="2"/>
        <v/>
      </c>
      <c r="G3" s="93"/>
      <c r="H3" s="94"/>
      <c r="I3" s="95" t="str">
        <f t="shared" ref="I3:I34" si="14">IFERROR(H3/G3,"")</f>
        <v/>
      </c>
      <c r="J3" s="93"/>
      <c r="K3" s="94"/>
      <c r="L3" s="95" t="str">
        <f t="shared" si="3"/>
        <v/>
      </c>
      <c r="M3" s="93"/>
      <c r="N3" s="94"/>
      <c r="O3" s="95" t="str">
        <f t="shared" si="4"/>
        <v/>
      </c>
      <c r="P3" s="93"/>
      <c r="Q3" s="94"/>
      <c r="R3" s="95" t="str">
        <f t="shared" si="5"/>
        <v/>
      </c>
      <c r="S3" s="93"/>
      <c r="T3" s="94"/>
      <c r="U3" s="95" t="str">
        <f t="shared" si="6"/>
        <v/>
      </c>
      <c r="V3" s="93"/>
      <c r="W3" s="94"/>
      <c r="X3" s="95" t="str">
        <f t="shared" si="7"/>
        <v/>
      </c>
      <c r="Y3" s="94"/>
      <c r="Z3" s="94"/>
      <c r="AA3" s="112" t="str">
        <f t="shared" si="8"/>
        <v/>
      </c>
      <c r="AB3" s="93"/>
      <c r="AC3" s="94"/>
      <c r="AD3" s="95" t="str">
        <f t="shared" si="9"/>
        <v/>
      </c>
      <c r="AE3" s="93"/>
      <c r="AF3" s="94"/>
      <c r="AG3" s="95" t="str">
        <f t="shared" si="10"/>
        <v/>
      </c>
      <c r="AH3" s="93"/>
      <c r="AI3" s="94"/>
      <c r="AJ3" s="95" t="str">
        <f t="shared" si="11"/>
        <v/>
      </c>
      <c r="AK3" s="93"/>
      <c r="AL3" s="94"/>
      <c r="AM3" s="95" t="str">
        <f t="shared" si="12"/>
        <v/>
      </c>
      <c r="AN3" s="93"/>
      <c r="AO3" s="94"/>
      <c r="AP3" s="95" t="str">
        <f t="shared" si="13"/>
        <v/>
      </c>
    </row>
    <row r="4" spans="1:42" x14ac:dyDescent="0.25">
      <c r="A4" s="91">
        <v>46025</v>
      </c>
      <c r="B4" s="92">
        <f t="shared" si="0"/>
        <v>1</v>
      </c>
      <c r="C4" s="92">
        <f t="shared" si="1"/>
        <v>1</v>
      </c>
      <c r="D4" s="93"/>
      <c r="E4" s="94"/>
      <c r="F4" s="95" t="str">
        <f t="shared" si="2"/>
        <v/>
      </c>
      <c r="G4" s="93"/>
      <c r="H4" s="94"/>
      <c r="I4" s="95" t="str">
        <f t="shared" si="14"/>
        <v/>
      </c>
      <c r="J4" s="93"/>
      <c r="K4" s="94"/>
      <c r="L4" s="95" t="str">
        <f t="shared" si="3"/>
        <v/>
      </c>
      <c r="M4" s="93"/>
      <c r="N4" s="94"/>
      <c r="O4" s="95" t="str">
        <f t="shared" si="4"/>
        <v/>
      </c>
      <c r="P4" s="93"/>
      <c r="Q4" s="94"/>
      <c r="R4" s="95" t="str">
        <f t="shared" si="5"/>
        <v/>
      </c>
      <c r="S4" s="93"/>
      <c r="T4" s="94"/>
      <c r="U4" s="95" t="str">
        <f t="shared" si="6"/>
        <v/>
      </c>
      <c r="V4" s="93"/>
      <c r="W4" s="94"/>
      <c r="X4" s="95" t="str">
        <f t="shared" si="7"/>
        <v/>
      </c>
      <c r="Y4" s="94"/>
      <c r="Z4" s="94"/>
      <c r="AA4" s="112" t="str">
        <f t="shared" si="8"/>
        <v/>
      </c>
      <c r="AB4" s="93"/>
      <c r="AC4" s="94"/>
      <c r="AD4" s="95" t="str">
        <f t="shared" si="9"/>
        <v/>
      </c>
      <c r="AE4" s="93"/>
      <c r="AF4" s="94"/>
      <c r="AG4" s="95" t="str">
        <f t="shared" si="10"/>
        <v/>
      </c>
      <c r="AH4" s="93"/>
      <c r="AI4" s="94"/>
      <c r="AJ4" s="95" t="str">
        <f t="shared" si="11"/>
        <v/>
      </c>
      <c r="AK4" s="93"/>
      <c r="AL4" s="94"/>
      <c r="AM4" s="95" t="str">
        <f t="shared" si="12"/>
        <v/>
      </c>
      <c r="AN4" s="93"/>
      <c r="AO4" s="94"/>
      <c r="AP4" s="95" t="str">
        <f t="shared" si="13"/>
        <v/>
      </c>
    </row>
    <row r="5" spans="1:42" x14ac:dyDescent="0.25">
      <c r="A5" s="91">
        <v>46026</v>
      </c>
      <c r="B5" s="92">
        <f t="shared" si="0"/>
        <v>1</v>
      </c>
      <c r="C5" s="92">
        <f t="shared" si="1"/>
        <v>1</v>
      </c>
      <c r="D5" s="93"/>
      <c r="E5" s="94"/>
      <c r="F5" s="95" t="str">
        <f t="shared" si="2"/>
        <v/>
      </c>
      <c r="G5" s="93"/>
      <c r="H5" s="94"/>
      <c r="I5" s="95" t="str">
        <f t="shared" si="14"/>
        <v/>
      </c>
      <c r="J5" s="93"/>
      <c r="K5" s="94"/>
      <c r="L5" s="95" t="str">
        <f t="shared" si="3"/>
        <v/>
      </c>
      <c r="M5" s="93"/>
      <c r="N5" s="94"/>
      <c r="O5" s="95" t="str">
        <f t="shared" si="4"/>
        <v/>
      </c>
      <c r="P5" s="93"/>
      <c r="Q5" s="94"/>
      <c r="R5" s="95" t="str">
        <f t="shared" si="5"/>
        <v/>
      </c>
      <c r="S5" s="93"/>
      <c r="T5" s="94"/>
      <c r="U5" s="95" t="str">
        <f t="shared" si="6"/>
        <v/>
      </c>
      <c r="V5" s="93"/>
      <c r="W5" s="94"/>
      <c r="X5" s="95" t="str">
        <f t="shared" si="7"/>
        <v/>
      </c>
      <c r="Y5" s="94"/>
      <c r="Z5" s="94"/>
      <c r="AA5" s="112" t="str">
        <f t="shared" si="8"/>
        <v/>
      </c>
      <c r="AB5" s="93"/>
      <c r="AC5" s="94"/>
      <c r="AD5" s="95" t="str">
        <f t="shared" si="9"/>
        <v/>
      </c>
      <c r="AE5" s="93"/>
      <c r="AF5" s="94"/>
      <c r="AG5" s="95" t="str">
        <f t="shared" si="10"/>
        <v/>
      </c>
      <c r="AH5" s="93"/>
      <c r="AI5" s="94"/>
      <c r="AJ5" s="95" t="str">
        <f t="shared" si="11"/>
        <v/>
      </c>
      <c r="AK5" s="93"/>
      <c r="AL5" s="94"/>
      <c r="AM5" s="95" t="str">
        <f t="shared" si="12"/>
        <v/>
      </c>
      <c r="AN5" s="93"/>
      <c r="AO5" s="94"/>
      <c r="AP5" s="95" t="str">
        <f t="shared" si="13"/>
        <v/>
      </c>
    </row>
    <row r="6" spans="1:42" x14ac:dyDescent="0.25">
      <c r="A6" s="91">
        <v>46027</v>
      </c>
      <c r="B6" s="92">
        <f t="shared" si="0"/>
        <v>2</v>
      </c>
      <c r="C6" s="92">
        <f t="shared" si="1"/>
        <v>1</v>
      </c>
      <c r="D6" s="93"/>
      <c r="E6" s="94"/>
      <c r="F6" s="95" t="str">
        <f t="shared" si="2"/>
        <v/>
      </c>
      <c r="G6" s="93"/>
      <c r="H6" s="94"/>
      <c r="I6" s="95" t="str">
        <f t="shared" si="14"/>
        <v/>
      </c>
      <c r="J6" s="93"/>
      <c r="K6" s="94"/>
      <c r="L6" s="95" t="str">
        <f t="shared" si="3"/>
        <v/>
      </c>
      <c r="M6" s="93"/>
      <c r="N6" s="94"/>
      <c r="O6" s="95" t="str">
        <f t="shared" si="4"/>
        <v/>
      </c>
      <c r="P6" s="93"/>
      <c r="Q6" s="94"/>
      <c r="R6" s="95" t="str">
        <f t="shared" si="5"/>
        <v/>
      </c>
      <c r="S6" s="93"/>
      <c r="T6" s="94"/>
      <c r="U6" s="95" t="str">
        <f t="shared" si="6"/>
        <v/>
      </c>
      <c r="V6" s="93"/>
      <c r="W6" s="94"/>
      <c r="X6" s="95" t="str">
        <f t="shared" si="7"/>
        <v/>
      </c>
      <c r="Y6" s="94"/>
      <c r="Z6" s="94"/>
      <c r="AA6" s="112" t="str">
        <f t="shared" si="8"/>
        <v/>
      </c>
      <c r="AB6" s="93"/>
      <c r="AC6" s="94"/>
      <c r="AD6" s="95" t="str">
        <f t="shared" si="9"/>
        <v/>
      </c>
      <c r="AE6" s="93"/>
      <c r="AF6" s="94"/>
      <c r="AG6" s="95" t="str">
        <f t="shared" si="10"/>
        <v/>
      </c>
      <c r="AH6" s="93"/>
      <c r="AI6" s="94"/>
      <c r="AJ6" s="95" t="str">
        <f t="shared" si="11"/>
        <v/>
      </c>
      <c r="AK6" s="93"/>
      <c r="AL6" s="94"/>
      <c r="AM6" s="95" t="str">
        <f t="shared" si="12"/>
        <v/>
      </c>
      <c r="AN6" s="93"/>
      <c r="AO6" s="94"/>
      <c r="AP6" s="95" t="str">
        <f t="shared" si="13"/>
        <v/>
      </c>
    </row>
    <row r="7" spans="1:42" x14ac:dyDescent="0.25">
      <c r="A7" s="91">
        <v>46028</v>
      </c>
      <c r="B7" s="92">
        <f t="shared" si="0"/>
        <v>2</v>
      </c>
      <c r="C7" s="92">
        <f t="shared" si="1"/>
        <v>1</v>
      </c>
      <c r="D7" s="93"/>
      <c r="E7" s="94"/>
      <c r="F7" s="95" t="str">
        <f t="shared" si="2"/>
        <v/>
      </c>
      <c r="G7" s="93"/>
      <c r="H7" s="94"/>
      <c r="I7" s="95" t="str">
        <f t="shared" si="14"/>
        <v/>
      </c>
      <c r="J7" s="93"/>
      <c r="K7" s="94"/>
      <c r="L7" s="95" t="str">
        <f t="shared" si="3"/>
        <v/>
      </c>
      <c r="M7" s="93"/>
      <c r="N7" s="94"/>
      <c r="O7" s="95" t="str">
        <f t="shared" si="4"/>
        <v/>
      </c>
      <c r="P7" s="93"/>
      <c r="Q7" s="94"/>
      <c r="R7" s="95" t="str">
        <f t="shared" si="5"/>
        <v/>
      </c>
      <c r="S7" s="93"/>
      <c r="T7" s="94"/>
      <c r="U7" s="95" t="str">
        <f t="shared" si="6"/>
        <v/>
      </c>
      <c r="V7" s="93"/>
      <c r="W7" s="94"/>
      <c r="X7" s="95" t="str">
        <f t="shared" si="7"/>
        <v/>
      </c>
      <c r="Y7" s="94"/>
      <c r="Z7" s="94"/>
      <c r="AA7" s="112" t="str">
        <f t="shared" si="8"/>
        <v/>
      </c>
      <c r="AB7" s="93"/>
      <c r="AC7" s="94"/>
      <c r="AD7" s="95" t="str">
        <f t="shared" si="9"/>
        <v/>
      </c>
      <c r="AE7" s="93"/>
      <c r="AF7" s="94"/>
      <c r="AG7" s="95" t="str">
        <f t="shared" si="10"/>
        <v/>
      </c>
      <c r="AH7" s="93"/>
      <c r="AI7" s="94"/>
      <c r="AJ7" s="95" t="str">
        <f t="shared" si="11"/>
        <v/>
      </c>
      <c r="AK7" s="93"/>
      <c r="AL7" s="94"/>
      <c r="AM7" s="95" t="str">
        <f t="shared" si="12"/>
        <v/>
      </c>
      <c r="AN7" s="93"/>
      <c r="AO7" s="94"/>
      <c r="AP7" s="95" t="str">
        <f t="shared" si="13"/>
        <v/>
      </c>
    </row>
    <row r="8" spans="1:42" x14ac:dyDescent="0.25">
      <c r="A8" s="91">
        <v>46029</v>
      </c>
      <c r="B8" s="92">
        <f t="shared" si="0"/>
        <v>2</v>
      </c>
      <c r="C8" s="92">
        <f t="shared" si="1"/>
        <v>1</v>
      </c>
      <c r="D8" s="93"/>
      <c r="E8" s="94"/>
      <c r="F8" s="95" t="str">
        <f t="shared" si="2"/>
        <v/>
      </c>
      <c r="G8" s="93"/>
      <c r="H8" s="94"/>
      <c r="I8" s="95" t="str">
        <f t="shared" si="14"/>
        <v/>
      </c>
      <c r="J8" s="93"/>
      <c r="K8" s="94"/>
      <c r="L8" s="95" t="str">
        <f t="shared" si="3"/>
        <v/>
      </c>
      <c r="M8" s="93"/>
      <c r="N8" s="94"/>
      <c r="O8" s="95" t="str">
        <f t="shared" si="4"/>
        <v/>
      </c>
      <c r="P8" s="93"/>
      <c r="Q8" s="94"/>
      <c r="R8" s="95" t="str">
        <f t="shared" si="5"/>
        <v/>
      </c>
      <c r="S8" s="93"/>
      <c r="T8" s="94"/>
      <c r="U8" s="95" t="str">
        <f t="shared" si="6"/>
        <v/>
      </c>
      <c r="V8" s="93"/>
      <c r="W8" s="94"/>
      <c r="X8" s="95" t="str">
        <f t="shared" si="7"/>
        <v/>
      </c>
      <c r="Y8" s="94"/>
      <c r="Z8" s="94"/>
      <c r="AA8" s="112" t="str">
        <f t="shared" si="8"/>
        <v/>
      </c>
      <c r="AB8" s="93"/>
      <c r="AC8" s="94"/>
      <c r="AD8" s="95" t="str">
        <f t="shared" si="9"/>
        <v/>
      </c>
      <c r="AE8" s="93"/>
      <c r="AF8" s="94"/>
      <c r="AG8" s="95" t="str">
        <f t="shared" si="10"/>
        <v/>
      </c>
      <c r="AH8" s="93"/>
      <c r="AI8" s="94"/>
      <c r="AJ8" s="95" t="str">
        <f t="shared" si="11"/>
        <v/>
      </c>
      <c r="AK8" s="93"/>
      <c r="AL8" s="94"/>
      <c r="AM8" s="95" t="str">
        <f t="shared" si="12"/>
        <v/>
      </c>
      <c r="AN8" s="93"/>
      <c r="AO8" s="94"/>
      <c r="AP8" s="95" t="str">
        <f t="shared" si="13"/>
        <v/>
      </c>
    </row>
    <row r="9" spans="1:42" x14ac:dyDescent="0.25">
      <c r="A9" s="91">
        <v>46030</v>
      </c>
      <c r="B9" s="92">
        <f t="shared" si="0"/>
        <v>2</v>
      </c>
      <c r="C9" s="92">
        <f t="shared" si="1"/>
        <v>1</v>
      </c>
      <c r="D9" s="93"/>
      <c r="E9" s="94"/>
      <c r="F9" s="95" t="str">
        <f t="shared" si="2"/>
        <v/>
      </c>
      <c r="G9" s="93"/>
      <c r="H9" s="94"/>
      <c r="I9" s="95" t="str">
        <f t="shared" si="14"/>
        <v/>
      </c>
      <c r="J9" s="93"/>
      <c r="K9" s="94"/>
      <c r="L9" s="95" t="str">
        <f t="shared" si="3"/>
        <v/>
      </c>
      <c r="M9" s="93"/>
      <c r="N9" s="94"/>
      <c r="O9" s="95" t="str">
        <f t="shared" si="4"/>
        <v/>
      </c>
      <c r="P9" s="93"/>
      <c r="Q9" s="94"/>
      <c r="R9" s="95" t="str">
        <f t="shared" si="5"/>
        <v/>
      </c>
      <c r="S9" s="93"/>
      <c r="T9" s="94"/>
      <c r="U9" s="95" t="str">
        <f t="shared" si="6"/>
        <v/>
      </c>
      <c r="V9" s="93"/>
      <c r="W9" s="94"/>
      <c r="X9" s="95" t="str">
        <f t="shared" si="7"/>
        <v/>
      </c>
      <c r="Y9" s="94"/>
      <c r="Z9" s="94"/>
      <c r="AA9" s="112" t="str">
        <f t="shared" si="8"/>
        <v/>
      </c>
      <c r="AB9" s="93"/>
      <c r="AC9" s="94"/>
      <c r="AD9" s="95" t="str">
        <f t="shared" si="9"/>
        <v/>
      </c>
      <c r="AE9" s="93"/>
      <c r="AF9" s="94"/>
      <c r="AG9" s="95" t="str">
        <f t="shared" si="10"/>
        <v/>
      </c>
      <c r="AH9" s="93"/>
      <c r="AI9" s="94"/>
      <c r="AJ9" s="95" t="str">
        <f t="shared" si="11"/>
        <v/>
      </c>
      <c r="AK9" s="93"/>
      <c r="AL9" s="94"/>
      <c r="AM9" s="95" t="str">
        <f t="shared" si="12"/>
        <v/>
      </c>
      <c r="AN9" s="93"/>
      <c r="AO9" s="94"/>
      <c r="AP9" s="95" t="str">
        <f t="shared" si="13"/>
        <v/>
      </c>
    </row>
    <row r="10" spans="1:42" x14ac:dyDescent="0.25">
      <c r="A10" s="91">
        <v>46031</v>
      </c>
      <c r="B10" s="92">
        <f t="shared" si="0"/>
        <v>2</v>
      </c>
      <c r="C10" s="92">
        <f t="shared" si="1"/>
        <v>1</v>
      </c>
      <c r="D10" s="93"/>
      <c r="E10" s="94"/>
      <c r="F10" s="95" t="str">
        <f t="shared" si="2"/>
        <v/>
      </c>
      <c r="G10" s="93"/>
      <c r="H10" s="94"/>
      <c r="I10" s="95" t="str">
        <f t="shared" si="14"/>
        <v/>
      </c>
      <c r="J10" s="93"/>
      <c r="K10" s="94"/>
      <c r="L10" s="95" t="str">
        <f t="shared" si="3"/>
        <v/>
      </c>
      <c r="M10" s="93"/>
      <c r="N10" s="94"/>
      <c r="O10" s="95" t="str">
        <f t="shared" si="4"/>
        <v/>
      </c>
      <c r="P10" s="93"/>
      <c r="Q10" s="94"/>
      <c r="R10" s="95" t="str">
        <f t="shared" si="5"/>
        <v/>
      </c>
      <c r="S10" s="93"/>
      <c r="T10" s="94"/>
      <c r="U10" s="95" t="str">
        <f t="shared" si="6"/>
        <v/>
      </c>
      <c r="V10" s="93"/>
      <c r="W10" s="94"/>
      <c r="X10" s="95" t="str">
        <f t="shared" si="7"/>
        <v/>
      </c>
      <c r="Y10" s="94"/>
      <c r="Z10" s="94"/>
      <c r="AA10" s="112" t="str">
        <f t="shared" si="8"/>
        <v/>
      </c>
      <c r="AB10" s="93"/>
      <c r="AC10" s="94"/>
      <c r="AD10" s="95" t="str">
        <f t="shared" si="9"/>
        <v/>
      </c>
      <c r="AE10" s="93"/>
      <c r="AF10" s="94"/>
      <c r="AG10" s="95" t="str">
        <f t="shared" si="10"/>
        <v/>
      </c>
      <c r="AH10" s="93"/>
      <c r="AI10" s="94"/>
      <c r="AJ10" s="95" t="str">
        <f t="shared" si="11"/>
        <v/>
      </c>
      <c r="AK10" s="93"/>
      <c r="AL10" s="94"/>
      <c r="AM10" s="95" t="str">
        <f t="shared" si="12"/>
        <v/>
      </c>
      <c r="AN10" s="93"/>
      <c r="AO10" s="94"/>
      <c r="AP10" s="95" t="str">
        <f t="shared" si="13"/>
        <v/>
      </c>
    </row>
    <row r="11" spans="1:42" x14ac:dyDescent="0.25">
      <c r="A11" s="91">
        <v>46032</v>
      </c>
      <c r="B11" s="92">
        <f t="shared" si="0"/>
        <v>2</v>
      </c>
      <c r="C11" s="92">
        <f t="shared" si="1"/>
        <v>1</v>
      </c>
      <c r="D11" s="93"/>
      <c r="E11" s="94"/>
      <c r="F11" s="95" t="str">
        <f t="shared" si="2"/>
        <v/>
      </c>
      <c r="G11" s="93"/>
      <c r="H11" s="94"/>
      <c r="I11" s="95" t="str">
        <f t="shared" si="14"/>
        <v/>
      </c>
      <c r="J11" s="93"/>
      <c r="K11" s="94"/>
      <c r="L11" s="95" t="str">
        <f t="shared" si="3"/>
        <v/>
      </c>
      <c r="M11" s="93"/>
      <c r="N11" s="94"/>
      <c r="O11" s="95" t="str">
        <f t="shared" si="4"/>
        <v/>
      </c>
      <c r="P11" s="93"/>
      <c r="Q11" s="94"/>
      <c r="R11" s="95" t="str">
        <f t="shared" si="5"/>
        <v/>
      </c>
      <c r="S11" s="93"/>
      <c r="T11" s="94"/>
      <c r="U11" s="95" t="str">
        <f t="shared" si="6"/>
        <v/>
      </c>
      <c r="V11" s="93"/>
      <c r="W11" s="94"/>
      <c r="X11" s="95" t="str">
        <f t="shared" si="7"/>
        <v/>
      </c>
      <c r="Y11" s="94"/>
      <c r="Z11" s="94"/>
      <c r="AA11" s="112" t="str">
        <f t="shared" si="8"/>
        <v/>
      </c>
      <c r="AB11" s="93"/>
      <c r="AC11" s="94"/>
      <c r="AD11" s="95" t="str">
        <f t="shared" si="9"/>
        <v/>
      </c>
      <c r="AE11" s="93"/>
      <c r="AF11" s="94"/>
      <c r="AG11" s="95" t="str">
        <f t="shared" si="10"/>
        <v/>
      </c>
      <c r="AH11" s="93"/>
      <c r="AI11" s="94"/>
      <c r="AJ11" s="95" t="str">
        <f t="shared" si="11"/>
        <v/>
      </c>
      <c r="AK11" s="93"/>
      <c r="AL11" s="94"/>
      <c r="AM11" s="95" t="str">
        <f t="shared" si="12"/>
        <v/>
      </c>
      <c r="AN11" s="93"/>
      <c r="AO11" s="94"/>
      <c r="AP11" s="95" t="str">
        <f t="shared" si="13"/>
        <v/>
      </c>
    </row>
    <row r="12" spans="1:42" x14ac:dyDescent="0.25">
      <c r="A12" s="91">
        <v>46033</v>
      </c>
      <c r="B12" s="92">
        <f t="shared" si="0"/>
        <v>2</v>
      </c>
      <c r="C12" s="92">
        <f t="shared" si="1"/>
        <v>1</v>
      </c>
      <c r="D12" s="93"/>
      <c r="E12" s="94"/>
      <c r="F12" s="95" t="str">
        <f t="shared" si="2"/>
        <v/>
      </c>
      <c r="G12" s="93"/>
      <c r="H12" s="94"/>
      <c r="I12" s="95" t="str">
        <f t="shared" si="14"/>
        <v/>
      </c>
      <c r="J12" s="93"/>
      <c r="K12" s="94"/>
      <c r="L12" s="95" t="str">
        <f t="shared" si="3"/>
        <v/>
      </c>
      <c r="M12" s="93"/>
      <c r="N12" s="94"/>
      <c r="O12" s="95" t="str">
        <f t="shared" si="4"/>
        <v/>
      </c>
      <c r="P12" s="93"/>
      <c r="Q12" s="94"/>
      <c r="R12" s="95" t="str">
        <f t="shared" si="5"/>
        <v/>
      </c>
      <c r="S12" s="93"/>
      <c r="T12" s="94"/>
      <c r="U12" s="95" t="str">
        <f t="shared" si="6"/>
        <v/>
      </c>
      <c r="V12" s="93"/>
      <c r="W12" s="94"/>
      <c r="X12" s="95" t="str">
        <f t="shared" si="7"/>
        <v/>
      </c>
      <c r="Y12" s="94"/>
      <c r="Z12" s="94"/>
      <c r="AA12" s="112" t="str">
        <f t="shared" si="8"/>
        <v/>
      </c>
      <c r="AB12" s="93"/>
      <c r="AC12" s="94"/>
      <c r="AD12" s="95" t="str">
        <f t="shared" si="9"/>
        <v/>
      </c>
      <c r="AE12" s="93"/>
      <c r="AF12" s="94"/>
      <c r="AG12" s="95" t="str">
        <f t="shared" si="10"/>
        <v/>
      </c>
      <c r="AH12" s="93"/>
      <c r="AI12" s="94"/>
      <c r="AJ12" s="95" t="str">
        <f t="shared" si="11"/>
        <v/>
      </c>
      <c r="AK12" s="93"/>
      <c r="AL12" s="94"/>
      <c r="AM12" s="95" t="str">
        <f t="shared" si="12"/>
        <v/>
      </c>
      <c r="AN12" s="93"/>
      <c r="AO12" s="94"/>
      <c r="AP12" s="95" t="str">
        <f t="shared" si="13"/>
        <v/>
      </c>
    </row>
    <row r="13" spans="1:42" x14ac:dyDescent="0.25">
      <c r="A13" s="91">
        <v>46034</v>
      </c>
      <c r="B13" s="92">
        <f t="shared" si="0"/>
        <v>3</v>
      </c>
      <c r="C13" s="92">
        <f t="shared" si="1"/>
        <v>1</v>
      </c>
      <c r="D13" s="93"/>
      <c r="E13" s="94"/>
      <c r="F13" s="95" t="str">
        <f t="shared" si="2"/>
        <v/>
      </c>
      <c r="G13" s="93"/>
      <c r="H13" s="94"/>
      <c r="I13" s="95" t="str">
        <f t="shared" si="14"/>
        <v/>
      </c>
      <c r="J13" s="93"/>
      <c r="K13" s="94"/>
      <c r="L13" s="95" t="str">
        <f t="shared" si="3"/>
        <v/>
      </c>
      <c r="M13" s="93"/>
      <c r="N13" s="94"/>
      <c r="O13" s="95" t="str">
        <f t="shared" si="4"/>
        <v/>
      </c>
      <c r="P13" s="93"/>
      <c r="Q13" s="94"/>
      <c r="R13" s="95" t="str">
        <f t="shared" si="5"/>
        <v/>
      </c>
      <c r="S13" s="93"/>
      <c r="T13" s="94"/>
      <c r="U13" s="95" t="str">
        <f t="shared" si="6"/>
        <v/>
      </c>
      <c r="V13" s="93"/>
      <c r="W13" s="94"/>
      <c r="X13" s="95" t="str">
        <f t="shared" si="7"/>
        <v/>
      </c>
      <c r="Y13" s="94"/>
      <c r="Z13" s="94"/>
      <c r="AA13" s="112" t="str">
        <f t="shared" si="8"/>
        <v/>
      </c>
      <c r="AB13" s="93"/>
      <c r="AC13" s="94"/>
      <c r="AD13" s="95" t="str">
        <f t="shared" si="9"/>
        <v/>
      </c>
      <c r="AE13" s="93"/>
      <c r="AF13" s="94"/>
      <c r="AG13" s="95" t="str">
        <f t="shared" si="10"/>
        <v/>
      </c>
      <c r="AH13" s="93"/>
      <c r="AI13" s="94"/>
      <c r="AJ13" s="95" t="str">
        <f t="shared" si="11"/>
        <v/>
      </c>
      <c r="AK13" s="93"/>
      <c r="AL13" s="94"/>
      <c r="AM13" s="95" t="str">
        <f t="shared" si="12"/>
        <v/>
      </c>
      <c r="AN13" s="93"/>
      <c r="AO13" s="94"/>
      <c r="AP13" s="95" t="str">
        <f t="shared" si="13"/>
        <v/>
      </c>
    </row>
    <row r="14" spans="1:42" x14ac:dyDescent="0.25">
      <c r="A14" s="91">
        <v>46035</v>
      </c>
      <c r="B14" s="92">
        <f t="shared" si="0"/>
        <v>3</v>
      </c>
      <c r="C14" s="92">
        <f t="shared" si="1"/>
        <v>1</v>
      </c>
      <c r="D14" s="93"/>
      <c r="E14" s="94"/>
      <c r="F14" s="95" t="str">
        <f t="shared" si="2"/>
        <v/>
      </c>
      <c r="G14" s="93"/>
      <c r="H14" s="94"/>
      <c r="I14" s="95" t="str">
        <f t="shared" si="14"/>
        <v/>
      </c>
      <c r="J14" s="93"/>
      <c r="K14" s="94"/>
      <c r="L14" s="95" t="str">
        <f t="shared" si="3"/>
        <v/>
      </c>
      <c r="M14" s="93"/>
      <c r="N14" s="94"/>
      <c r="O14" s="95" t="str">
        <f t="shared" si="4"/>
        <v/>
      </c>
      <c r="P14" s="93"/>
      <c r="Q14" s="94"/>
      <c r="R14" s="95" t="str">
        <f t="shared" si="5"/>
        <v/>
      </c>
      <c r="S14" s="93"/>
      <c r="T14" s="94"/>
      <c r="U14" s="95" t="str">
        <f t="shared" si="6"/>
        <v/>
      </c>
      <c r="V14" s="93"/>
      <c r="W14" s="94"/>
      <c r="X14" s="95" t="str">
        <f t="shared" si="7"/>
        <v/>
      </c>
      <c r="Y14" s="94"/>
      <c r="Z14" s="94"/>
      <c r="AA14" s="112" t="str">
        <f t="shared" si="8"/>
        <v/>
      </c>
      <c r="AB14" s="93"/>
      <c r="AC14" s="94"/>
      <c r="AD14" s="95" t="str">
        <f t="shared" si="9"/>
        <v/>
      </c>
      <c r="AE14" s="93"/>
      <c r="AF14" s="94"/>
      <c r="AG14" s="95" t="str">
        <f t="shared" si="10"/>
        <v/>
      </c>
      <c r="AH14" s="93"/>
      <c r="AI14" s="94"/>
      <c r="AJ14" s="95" t="str">
        <f t="shared" si="11"/>
        <v/>
      </c>
      <c r="AK14" s="93"/>
      <c r="AL14" s="94"/>
      <c r="AM14" s="95" t="str">
        <f t="shared" si="12"/>
        <v/>
      </c>
      <c r="AN14" s="93"/>
      <c r="AO14" s="94"/>
      <c r="AP14" s="95" t="str">
        <f t="shared" si="13"/>
        <v/>
      </c>
    </row>
    <row r="15" spans="1:42" x14ac:dyDescent="0.25">
      <c r="A15" s="91">
        <v>46036</v>
      </c>
      <c r="B15" s="92">
        <f t="shared" si="0"/>
        <v>3</v>
      </c>
      <c r="C15" s="92">
        <f t="shared" si="1"/>
        <v>1</v>
      </c>
      <c r="D15" s="93"/>
      <c r="E15" s="94"/>
      <c r="F15" s="95" t="str">
        <f t="shared" si="2"/>
        <v/>
      </c>
      <c r="G15" s="93"/>
      <c r="H15" s="94"/>
      <c r="I15" s="95" t="str">
        <f t="shared" si="14"/>
        <v/>
      </c>
      <c r="J15" s="93"/>
      <c r="K15" s="94"/>
      <c r="L15" s="95" t="str">
        <f t="shared" si="3"/>
        <v/>
      </c>
      <c r="M15" s="93"/>
      <c r="N15" s="94"/>
      <c r="O15" s="95" t="str">
        <f t="shared" si="4"/>
        <v/>
      </c>
      <c r="P15" s="93"/>
      <c r="Q15" s="94"/>
      <c r="R15" s="95" t="str">
        <f t="shared" si="5"/>
        <v/>
      </c>
      <c r="S15" s="93"/>
      <c r="T15" s="94"/>
      <c r="U15" s="95" t="str">
        <f t="shared" si="6"/>
        <v/>
      </c>
      <c r="V15" s="93"/>
      <c r="W15" s="94"/>
      <c r="X15" s="95" t="str">
        <f t="shared" si="7"/>
        <v/>
      </c>
      <c r="Y15" s="94"/>
      <c r="Z15" s="94"/>
      <c r="AA15" s="112" t="str">
        <f t="shared" si="8"/>
        <v/>
      </c>
      <c r="AB15" s="93"/>
      <c r="AC15" s="94"/>
      <c r="AD15" s="95" t="str">
        <f t="shared" si="9"/>
        <v/>
      </c>
      <c r="AE15" s="93"/>
      <c r="AF15" s="94"/>
      <c r="AG15" s="95" t="str">
        <f t="shared" si="10"/>
        <v/>
      </c>
      <c r="AH15" s="93"/>
      <c r="AI15" s="94"/>
      <c r="AJ15" s="95" t="str">
        <f t="shared" si="11"/>
        <v/>
      </c>
      <c r="AK15" s="93"/>
      <c r="AL15" s="94"/>
      <c r="AM15" s="95" t="str">
        <f t="shared" si="12"/>
        <v/>
      </c>
      <c r="AN15" s="93"/>
      <c r="AO15" s="94"/>
      <c r="AP15" s="95" t="str">
        <f t="shared" si="13"/>
        <v/>
      </c>
    </row>
    <row r="16" spans="1:42" x14ac:dyDescent="0.25">
      <c r="A16" s="91">
        <v>46037</v>
      </c>
      <c r="B16" s="92">
        <f t="shared" si="0"/>
        <v>3</v>
      </c>
      <c r="C16" s="92">
        <f t="shared" si="1"/>
        <v>1</v>
      </c>
      <c r="D16" s="93"/>
      <c r="E16" s="94"/>
      <c r="F16" s="95" t="str">
        <f t="shared" si="2"/>
        <v/>
      </c>
      <c r="G16" s="93"/>
      <c r="H16" s="94"/>
      <c r="I16" s="95" t="str">
        <f t="shared" si="14"/>
        <v/>
      </c>
      <c r="J16" s="93"/>
      <c r="K16" s="94"/>
      <c r="L16" s="95" t="str">
        <f t="shared" si="3"/>
        <v/>
      </c>
      <c r="M16" s="93"/>
      <c r="N16" s="94"/>
      <c r="O16" s="95" t="str">
        <f t="shared" si="4"/>
        <v/>
      </c>
      <c r="P16" s="93"/>
      <c r="Q16" s="94"/>
      <c r="R16" s="95" t="str">
        <f t="shared" si="5"/>
        <v/>
      </c>
      <c r="S16" s="93"/>
      <c r="T16" s="94"/>
      <c r="U16" s="95" t="str">
        <f t="shared" si="6"/>
        <v/>
      </c>
      <c r="V16" s="93"/>
      <c r="W16" s="94"/>
      <c r="X16" s="95" t="str">
        <f t="shared" si="7"/>
        <v/>
      </c>
      <c r="Y16" s="94"/>
      <c r="Z16" s="94"/>
      <c r="AA16" s="112" t="str">
        <f t="shared" si="8"/>
        <v/>
      </c>
      <c r="AB16" s="93"/>
      <c r="AC16" s="94"/>
      <c r="AD16" s="95" t="str">
        <f t="shared" si="9"/>
        <v/>
      </c>
      <c r="AE16" s="93"/>
      <c r="AF16" s="94"/>
      <c r="AG16" s="95" t="str">
        <f t="shared" si="10"/>
        <v/>
      </c>
      <c r="AH16" s="93"/>
      <c r="AI16" s="94"/>
      <c r="AJ16" s="95" t="str">
        <f t="shared" si="11"/>
        <v/>
      </c>
      <c r="AK16" s="93"/>
      <c r="AL16" s="94"/>
      <c r="AM16" s="95" t="str">
        <f t="shared" si="12"/>
        <v/>
      </c>
      <c r="AN16" s="93"/>
      <c r="AO16" s="94"/>
      <c r="AP16" s="95" t="str">
        <f t="shared" si="13"/>
        <v/>
      </c>
    </row>
    <row r="17" spans="1:42" x14ac:dyDescent="0.25">
      <c r="A17" s="91">
        <v>46038</v>
      </c>
      <c r="B17" s="92">
        <f t="shared" si="0"/>
        <v>3</v>
      </c>
      <c r="C17" s="92">
        <f t="shared" si="1"/>
        <v>1</v>
      </c>
      <c r="D17" s="93"/>
      <c r="E17" s="94"/>
      <c r="F17" s="95" t="str">
        <f t="shared" si="2"/>
        <v/>
      </c>
      <c r="G17" s="93"/>
      <c r="H17" s="94"/>
      <c r="I17" s="95" t="str">
        <f t="shared" si="14"/>
        <v/>
      </c>
      <c r="J17" s="93"/>
      <c r="K17" s="94"/>
      <c r="L17" s="95" t="str">
        <f t="shared" si="3"/>
        <v/>
      </c>
      <c r="M17" s="93"/>
      <c r="N17" s="94"/>
      <c r="O17" s="95" t="str">
        <f t="shared" si="4"/>
        <v/>
      </c>
      <c r="P17" s="93"/>
      <c r="Q17" s="94"/>
      <c r="R17" s="95" t="str">
        <f t="shared" si="5"/>
        <v/>
      </c>
      <c r="S17" s="93"/>
      <c r="T17" s="94"/>
      <c r="U17" s="95" t="str">
        <f t="shared" si="6"/>
        <v/>
      </c>
      <c r="V17" s="93"/>
      <c r="W17" s="94"/>
      <c r="X17" s="95" t="str">
        <f t="shared" si="7"/>
        <v/>
      </c>
      <c r="Y17" s="94"/>
      <c r="Z17" s="94"/>
      <c r="AA17" s="112" t="str">
        <f t="shared" si="8"/>
        <v/>
      </c>
      <c r="AB17" s="93"/>
      <c r="AC17" s="94"/>
      <c r="AD17" s="95" t="str">
        <f t="shared" si="9"/>
        <v/>
      </c>
      <c r="AE17" s="93"/>
      <c r="AF17" s="94"/>
      <c r="AG17" s="95" t="str">
        <f t="shared" si="10"/>
        <v/>
      </c>
      <c r="AH17" s="93"/>
      <c r="AI17" s="94"/>
      <c r="AJ17" s="95" t="str">
        <f t="shared" si="11"/>
        <v/>
      </c>
      <c r="AK17" s="93"/>
      <c r="AL17" s="94"/>
      <c r="AM17" s="95" t="str">
        <f t="shared" si="12"/>
        <v/>
      </c>
      <c r="AN17" s="93"/>
      <c r="AO17" s="94"/>
      <c r="AP17" s="95" t="str">
        <f t="shared" si="13"/>
        <v/>
      </c>
    </row>
    <row r="18" spans="1:42" x14ac:dyDescent="0.25">
      <c r="A18" s="91">
        <v>46039</v>
      </c>
      <c r="B18" s="92">
        <f t="shared" si="0"/>
        <v>3</v>
      </c>
      <c r="C18" s="92">
        <f t="shared" si="1"/>
        <v>1</v>
      </c>
      <c r="D18" s="93"/>
      <c r="E18" s="94"/>
      <c r="F18" s="95" t="str">
        <f t="shared" si="2"/>
        <v/>
      </c>
      <c r="G18" s="93"/>
      <c r="H18" s="94"/>
      <c r="I18" s="95" t="str">
        <f t="shared" si="14"/>
        <v/>
      </c>
      <c r="J18" s="93"/>
      <c r="K18" s="94"/>
      <c r="L18" s="95" t="str">
        <f t="shared" si="3"/>
        <v/>
      </c>
      <c r="M18" s="93"/>
      <c r="N18" s="94"/>
      <c r="O18" s="95" t="str">
        <f t="shared" si="4"/>
        <v/>
      </c>
      <c r="P18" s="93"/>
      <c r="Q18" s="94"/>
      <c r="R18" s="95" t="str">
        <f t="shared" si="5"/>
        <v/>
      </c>
      <c r="S18" s="93"/>
      <c r="T18" s="94"/>
      <c r="U18" s="95" t="str">
        <f t="shared" si="6"/>
        <v/>
      </c>
      <c r="V18" s="93"/>
      <c r="W18" s="94"/>
      <c r="X18" s="95" t="str">
        <f t="shared" si="7"/>
        <v/>
      </c>
      <c r="Y18" s="94"/>
      <c r="Z18" s="94"/>
      <c r="AA18" s="112" t="str">
        <f t="shared" si="8"/>
        <v/>
      </c>
      <c r="AB18" s="93"/>
      <c r="AC18" s="94"/>
      <c r="AD18" s="95" t="str">
        <f t="shared" si="9"/>
        <v/>
      </c>
      <c r="AE18" s="93"/>
      <c r="AF18" s="94"/>
      <c r="AG18" s="95" t="str">
        <f t="shared" si="10"/>
        <v/>
      </c>
      <c r="AH18" s="93"/>
      <c r="AI18" s="94"/>
      <c r="AJ18" s="95" t="str">
        <f t="shared" si="11"/>
        <v/>
      </c>
      <c r="AK18" s="93"/>
      <c r="AL18" s="94"/>
      <c r="AM18" s="95" t="str">
        <f t="shared" si="12"/>
        <v/>
      </c>
      <c r="AN18" s="93"/>
      <c r="AO18" s="94"/>
      <c r="AP18" s="95" t="str">
        <f t="shared" si="13"/>
        <v/>
      </c>
    </row>
    <row r="19" spans="1:42" x14ac:dyDescent="0.25">
      <c r="A19" s="91">
        <v>46040</v>
      </c>
      <c r="B19" s="92">
        <f t="shared" si="0"/>
        <v>3</v>
      </c>
      <c r="C19" s="92">
        <f t="shared" si="1"/>
        <v>1</v>
      </c>
      <c r="D19" s="93"/>
      <c r="E19" s="94"/>
      <c r="F19" s="95" t="str">
        <f t="shared" si="2"/>
        <v/>
      </c>
      <c r="G19" s="93"/>
      <c r="H19" s="94"/>
      <c r="I19" s="95" t="str">
        <f t="shared" si="14"/>
        <v/>
      </c>
      <c r="J19" s="93"/>
      <c r="K19" s="94"/>
      <c r="L19" s="95" t="str">
        <f t="shared" si="3"/>
        <v/>
      </c>
      <c r="M19" s="93"/>
      <c r="N19" s="94"/>
      <c r="O19" s="95" t="str">
        <f t="shared" si="4"/>
        <v/>
      </c>
      <c r="P19" s="93"/>
      <c r="Q19" s="94"/>
      <c r="R19" s="95" t="str">
        <f t="shared" si="5"/>
        <v/>
      </c>
      <c r="S19" s="93"/>
      <c r="T19" s="94"/>
      <c r="U19" s="95" t="str">
        <f t="shared" si="6"/>
        <v/>
      </c>
      <c r="V19" s="93"/>
      <c r="W19" s="94"/>
      <c r="X19" s="95" t="str">
        <f t="shared" si="7"/>
        <v/>
      </c>
      <c r="Y19" s="94"/>
      <c r="Z19" s="94"/>
      <c r="AA19" s="112" t="str">
        <f t="shared" si="8"/>
        <v/>
      </c>
      <c r="AB19" s="93"/>
      <c r="AC19" s="94"/>
      <c r="AD19" s="95" t="str">
        <f t="shared" si="9"/>
        <v/>
      </c>
      <c r="AE19" s="93"/>
      <c r="AF19" s="94"/>
      <c r="AG19" s="95" t="str">
        <f t="shared" si="10"/>
        <v/>
      </c>
      <c r="AH19" s="93"/>
      <c r="AI19" s="94"/>
      <c r="AJ19" s="95" t="str">
        <f t="shared" si="11"/>
        <v/>
      </c>
      <c r="AK19" s="93"/>
      <c r="AL19" s="94"/>
      <c r="AM19" s="95" t="str">
        <f t="shared" si="12"/>
        <v/>
      </c>
      <c r="AN19" s="93"/>
      <c r="AO19" s="94"/>
      <c r="AP19" s="95" t="str">
        <f t="shared" si="13"/>
        <v/>
      </c>
    </row>
    <row r="20" spans="1:42" x14ac:dyDescent="0.25">
      <c r="A20" s="91">
        <v>46041</v>
      </c>
      <c r="B20" s="92">
        <f t="shared" si="0"/>
        <v>4</v>
      </c>
      <c r="C20" s="92">
        <f t="shared" si="1"/>
        <v>1</v>
      </c>
      <c r="D20" s="93"/>
      <c r="E20" s="94"/>
      <c r="F20" s="95" t="str">
        <f t="shared" si="2"/>
        <v/>
      </c>
      <c r="G20" s="93"/>
      <c r="H20" s="94"/>
      <c r="I20" s="95" t="str">
        <f t="shared" si="14"/>
        <v/>
      </c>
      <c r="J20" s="93"/>
      <c r="K20" s="94"/>
      <c r="L20" s="95" t="str">
        <f t="shared" si="3"/>
        <v/>
      </c>
      <c r="M20" s="93"/>
      <c r="N20" s="94"/>
      <c r="O20" s="95" t="str">
        <f t="shared" si="4"/>
        <v/>
      </c>
      <c r="P20" s="93"/>
      <c r="Q20" s="94"/>
      <c r="R20" s="95" t="str">
        <f t="shared" si="5"/>
        <v/>
      </c>
      <c r="S20" s="93"/>
      <c r="T20" s="94"/>
      <c r="U20" s="95" t="str">
        <f t="shared" si="6"/>
        <v/>
      </c>
      <c r="V20" s="93"/>
      <c r="W20" s="94"/>
      <c r="X20" s="95" t="str">
        <f t="shared" si="7"/>
        <v/>
      </c>
      <c r="Y20" s="94"/>
      <c r="Z20" s="94"/>
      <c r="AA20" s="112" t="str">
        <f t="shared" si="8"/>
        <v/>
      </c>
      <c r="AB20" s="93"/>
      <c r="AC20" s="94"/>
      <c r="AD20" s="95" t="str">
        <f t="shared" si="9"/>
        <v/>
      </c>
      <c r="AE20" s="93"/>
      <c r="AF20" s="94"/>
      <c r="AG20" s="95" t="str">
        <f t="shared" si="10"/>
        <v/>
      </c>
      <c r="AH20" s="93"/>
      <c r="AI20" s="94"/>
      <c r="AJ20" s="95" t="str">
        <f t="shared" si="11"/>
        <v/>
      </c>
      <c r="AK20" s="93"/>
      <c r="AL20" s="94"/>
      <c r="AM20" s="95" t="str">
        <f t="shared" si="12"/>
        <v/>
      </c>
      <c r="AN20" s="93"/>
      <c r="AO20" s="94"/>
      <c r="AP20" s="95" t="str">
        <f t="shared" si="13"/>
        <v/>
      </c>
    </row>
    <row r="21" spans="1:42" x14ac:dyDescent="0.25">
      <c r="A21" s="91">
        <v>46042</v>
      </c>
      <c r="B21" s="92">
        <f t="shared" si="0"/>
        <v>4</v>
      </c>
      <c r="C21" s="92">
        <f t="shared" si="1"/>
        <v>1</v>
      </c>
      <c r="D21" s="93"/>
      <c r="E21" s="94"/>
      <c r="F21" s="95" t="str">
        <f t="shared" si="2"/>
        <v/>
      </c>
      <c r="G21" s="93"/>
      <c r="H21" s="94"/>
      <c r="I21" s="95" t="str">
        <f t="shared" si="14"/>
        <v/>
      </c>
      <c r="J21" s="93"/>
      <c r="K21" s="94"/>
      <c r="L21" s="95" t="str">
        <f t="shared" si="3"/>
        <v/>
      </c>
      <c r="M21" s="93"/>
      <c r="N21" s="94"/>
      <c r="O21" s="95" t="str">
        <f t="shared" si="4"/>
        <v/>
      </c>
      <c r="P21" s="93"/>
      <c r="Q21" s="94"/>
      <c r="R21" s="95" t="str">
        <f t="shared" si="5"/>
        <v/>
      </c>
      <c r="S21" s="93"/>
      <c r="T21" s="94"/>
      <c r="U21" s="95" t="str">
        <f t="shared" si="6"/>
        <v/>
      </c>
      <c r="V21" s="93"/>
      <c r="W21" s="94"/>
      <c r="X21" s="95" t="str">
        <f t="shared" si="7"/>
        <v/>
      </c>
      <c r="Y21" s="94"/>
      <c r="Z21" s="94"/>
      <c r="AA21" s="112" t="str">
        <f t="shared" si="8"/>
        <v/>
      </c>
      <c r="AB21" s="93"/>
      <c r="AC21" s="94"/>
      <c r="AD21" s="95" t="str">
        <f t="shared" si="9"/>
        <v/>
      </c>
      <c r="AE21" s="93"/>
      <c r="AF21" s="94"/>
      <c r="AG21" s="95" t="str">
        <f t="shared" si="10"/>
        <v/>
      </c>
      <c r="AH21" s="93"/>
      <c r="AI21" s="94"/>
      <c r="AJ21" s="95" t="str">
        <f t="shared" si="11"/>
        <v/>
      </c>
      <c r="AK21" s="93"/>
      <c r="AL21" s="94"/>
      <c r="AM21" s="95" t="str">
        <f t="shared" si="12"/>
        <v/>
      </c>
      <c r="AN21" s="93"/>
      <c r="AO21" s="94"/>
      <c r="AP21" s="95" t="str">
        <f t="shared" si="13"/>
        <v/>
      </c>
    </row>
    <row r="22" spans="1:42" x14ac:dyDescent="0.25">
      <c r="A22" s="91">
        <v>46043</v>
      </c>
      <c r="B22" s="92">
        <f t="shared" si="0"/>
        <v>4</v>
      </c>
      <c r="C22" s="92">
        <f t="shared" si="1"/>
        <v>1</v>
      </c>
      <c r="D22" s="93"/>
      <c r="E22" s="94"/>
      <c r="F22" s="95" t="str">
        <f t="shared" si="2"/>
        <v/>
      </c>
      <c r="G22" s="93"/>
      <c r="H22" s="94"/>
      <c r="I22" s="95" t="str">
        <f t="shared" si="14"/>
        <v/>
      </c>
      <c r="J22" s="93"/>
      <c r="K22" s="94"/>
      <c r="L22" s="95" t="str">
        <f t="shared" si="3"/>
        <v/>
      </c>
      <c r="M22" s="93"/>
      <c r="N22" s="94"/>
      <c r="O22" s="95" t="str">
        <f t="shared" si="4"/>
        <v/>
      </c>
      <c r="P22" s="93"/>
      <c r="Q22" s="94"/>
      <c r="R22" s="95" t="str">
        <f t="shared" si="5"/>
        <v/>
      </c>
      <c r="S22" s="93"/>
      <c r="T22" s="94"/>
      <c r="U22" s="95" t="str">
        <f t="shared" si="6"/>
        <v/>
      </c>
      <c r="V22" s="93"/>
      <c r="W22" s="94"/>
      <c r="X22" s="95" t="str">
        <f t="shared" si="7"/>
        <v/>
      </c>
      <c r="Y22" s="94"/>
      <c r="Z22" s="94"/>
      <c r="AA22" s="112" t="str">
        <f t="shared" si="8"/>
        <v/>
      </c>
      <c r="AB22" s="93"/>
      <c r="AC22" s="94"/>
      <c r="AD22" s="95" t="str">
        <f t="shared" si="9"/>
        <v/>
      </c>
      <c r="AE22" s="93"/>
      <c r="AF22" s="94"/>
      <c r="AG22" s="95" t="str">
        <f t="shared" si="10"/>
        <v/>
      </c>
      <c r="AH22" s="93"/>
      <c r="AI22" s="94"/>
      <c r="AJ22" s="95" t="str">
        <f t="shared" si="11"/>
        <v/>
      </c>
      <c r="AK22" s="93"/>
      <c r="AL22" s="94"/>
      <c r="AM22" s="95" t="str">
        <f t="shared" si="12"/>
        <v/>
      </c>
      <c r="AN22" s="93"/>
      <c r="AO22" s="94"/>
      <c r="AP22" s="95" t="str">
        <f t="shared" si="13"/>
        <v/>
      </c>
    </row>
    <row r="23" spans="1:42" x14ac:dyDescent="0.25">
      <c r="A23" s="91">
        <v>46044</v>
      </c>
      <c r="B23" s="92">
        <f t="shared" si="0"/>
        <v>4</v>
      </c>
      <c r="C23" s="92">
        <f t="shared" si="1"/>
        <v>1</v>
      </c>
      <c r="D23" s="93"/>
      <c r="E23" s="94"/>
      <c r="F23" s="95" t="str">
        <f t="shared" si="2"/>
        <v/>
      </c>
      <c r="G23" s="93"/>
      <c r="H23" s="94"/>
      <c r="I23" s="95" t="str">
        <f t="shared" si="14"/>
        <v/>
      </c>
      <c r="J23" s="93"/>
      <c r="K23" s="94"/>
      <c r="L23" s="95" t="str">
        <f t="shared" si="3"/>
        <v/>
      </c>
      <c r="M23" s="93"/>
      <c r="N23" s="94"/>
      <c r="O23" s="95" t="str">
        <f t="shared" si="4"/>
        <v/>
      </c>
      <c r="P23" s="93"/>
      <c r="Q23" s="94"/>
      <c r="R23" s="95" t="str">
        <f t="shared" si="5"/>
        <v/>
      </c>
      <c r="S23" s="93"/>
      <c r="T23" s="94"/>
      <c r="U23" s="95" t="str">
        <f t="shared" si="6"/>
        <v/>
      </c>
      <c r="V23" s="93"/>
      <c r="W23" s="94"/>
      <c r="X23" s="95" t="str">
        <f t="shared" si="7"/>
        <v/>
      </c>
      <c r="Y23" s="94"/>
      <c r="Z23" s="94"/>
      <c r="AA23" s="112" t="str">
        <f t="shared" si="8"/>
        <v/>
      </c>
      <c r="AB23" s="93"/>
      <c r="AC23" s="94"/>
      <c r="AD23" s="95" t="str">
        <f t="shared" si="9"/>
        <v/>
      </c>
      <c r="AE23" s="93"/>
      <c r="AF23" s="94"/>
      <c r="AG23" s="95" t="str">
        <f t="shared" si="10"/>
        <v/>
      </c>
      <c r="AH23" s="93"/>
      <c r="AI23" s="94"/>
      <c r="AJ23" s="95" t="str">
        <f t="shared" si="11"/>
        <v/>
      </c>
      <c r="AK23" s="93"/>
      <c r="AL23" s="94"/>
      <c r="AM23" s="95" t="str">
        <f t="shared" si="12"/>
        <v/>
      </c>
      <c r="AN23" s="93"/>
      <c r="AO23" s="94"/>
      <c r="AP23" s="95" t="str">
        <f t="shared" si="13"/>
        <v/>
      </c>
    </row>
    <row r="24" spans="1:42" x14ac:dyDescent="0.25">
      <c r="A24" s="91">
        <v>46045</v>
      </c>
      <c r="B24" s="92">
        <f t="shared" si="0"/>
        <v>4</v>
      </c>
      <c r="C24" s="92">
        <f t="shared" si="1"/>
        <v>1</v>
      </c>
      <c r="D24" s="93"/>
      <c r="E24" s="94"/>
      <c r="F24" s="95" t="str">
        <f t="shared" si="2"/>
        <v/>
      </c>
      <c r="G24" s="93"/>
      <c r="H24" s="94"/>
      <c r="I24" s="95" t="str">
        <f t="shared" si="14"/>
        <v/>
      </c>
      <c r="J24" s="93"/>
      <c r="K24" s="94"/>
      <c r="L24" s="95" t="str">
        <f t="shared" si="3"/>
        <v/>
      </c>
      <c r="M24" s="93"/>
      <c r="N24" s="94"/>
      <c r="O24" s="95" t="str">
        <f t="shared" si="4"/>
        <v/>
      </c>
      <c r="P24" s="93"/>
      <c r="Q24" s="94"/>
      <c r="R24" s="95" t="str">
        <f t="shared" si="5"/>
        <v/>
      </c>
      <c r="S24" s="93"/>
      <c r="T24" s="94"/>
      <c r="U24" s="95" t="str">
        <f t="shared" si="6"/>
        <v/>
      </c>
      <c r="V24" s="93"/>
      <c r="W24" s="94"/>
      <c r="X24" s="95" t="str">
        <f t="shared" si="7"/>
        <v/>
      </c>
      <c r="Y24" s="94"/>
      <c r="Z24" s="94"/>
      <c r="AA24" s="112" t="str">
        <f t="shared" si="8"/>
        <v/>
      </c>
      <c r="AB24" s="93"/>
      <c r="AC24" s="94"/>
      <c r="AD24" s="95" t="str">
        <f t="shared" si="9"/>
        <v/>
      </c>
      <c r="AE24" s="93"/>
      <c r="AF24" s="94"/>
      <c r="AG24" s="95" t="str">
        <f t="shared" si="10"/>
        <v/>
      </c>
      <c r="AH24" s="93"/>
      <c r="AI24" s="94"/>
      <c r="AJ24" s="95" t="str">
        <f t="shared" si="11"/>
        <v/>
      </c>
      <c r="AK24" s="93"/>
      <c r="AL24" s="94"/>
      <c r="AM24" s="95" t="str">
        <f t="shared" si="12"/>
        <v/>
      </c>
      <c r="AN24" s="93"/>
      <c r="AO24" s="94"/>
      <c r="AP24" s="95" t="str">
        <f t="shared" si="13"/>
        <v/>
      </c>
    </row>
    <row r="25" spans="1:42" x14ac:dyDescent="0.25">
      <c r="A25" s="91">
        <v>46046</v>
      </c>
      <c r="B25" s="92">
        <f t="shared" si="0"/>
        <v>4</v>
      </c>
      <c r="C25" s="92">
        <f t="shared" si="1"/>
        <v>1</v>
      </c>
      <c r="D25" s="93"/>
      <c r="E25" s="94"/>
      <c r="F25" s="95" t="str">
        <f t="shared" si="2"/>
        <v/>
      </c>
      <c r="G25" s="93"/>
      <c r="H25" s="94"/>
      <c r="I25" s="95" t="str">
        <f t="shared" si="14"/>
        <v/>
      </c>
      <c r="J25" s="93"/>
      <c r="K25" s="94"/>
      <c r="L25" s="95" t="str">
        <f t="shared" si="3"/>
        <v/>
      </c>
      <c r="M25" s="93"/>
      <c r="N25" s="94"/>
      <c r="O25" s="95" t="str">
        <f t="shared" si="4"/>
        <v/>
      </c>
      <c r="P25" s="93"/>
      <c r="Q25" s="94"/>
      <c r="R25" s="95" t="str">
        <f t="shared" si="5"/>
        <v/>
      </c>
      <c r="S25" s="93"/>
      <c r="T25" s="94"/>
      <c r="U25" s="95" t="str">
        <f t="shared" si="6"/>
        <v/>
      </c>
      <c r="V25" s="93"/>
      <c r="W25" s="94"/>
      <c r="X25" s="95" t="str">
        <f t="shared" si="7"/>
        <v/>
      </c>
      <c r="Y25" s="94"/>
      <c r="Z25" s="94"/>
      <c r="AA25" s="112" t="str">
        <f t="shared" si="8"/>
        <v/>
      </c>
      <c r="AB25" s="93"/>
      <c r="AC25" s="94"/>
      <c r="AD25" s="95" t="str">
        <f t="shared" si="9"/>
        <v/>
      </c>
      <c r="AE25" s="93"/>
      <c r="AF25" s="94"/>
      <c r="AG25" s="95" t="str">
        <f t="shared" si="10"/>
        <v/>
      </c>
      <c r="AH25" s="93"/>
      <c r="AI25" s="94"/>
      <c r="AJ25" s="95" t="str">
        <f t="shared" si="11"/>
        <v/>
      </c>
      <c r="AK25" s="93"/>
      <c r="AL25" s="94"/>
      <c r="AM25" s="95" t="str">
        <f t="shared" si="12"/>
        <v/>
      </c>
      <c r="AN25" s="93"/>
      <c r="AO25" s="94"/>
      <c r="AP25" s="95" t="str">
        <f t="shared" si="13"/>
        <v/>
      </c>
    </row>
    <row r="26" spans="1:42" x14ac:dyDescent="0.25">
      <c r="A26" s="91">
        <v>46047</v>
      </c>
      <c r="B26" s="92">
        <f t="shared" si="0"/>
        <v>4</v>
      </c>
      <c r="C26" s="92">
        <f t="shared" si="1"/>
        <v>1</v>
      </c>
      <c r="D26" s="93"/>
      <c r="E26" s="94"/>
      <c r="F26" s="95" t="str">
        <f t="shared" si="2"/>
        <v/>
      </c>
      <c r="G26" s="93"/>
      <c r="H26" s="94"/>
      <c r="I26" s="95" t="str">
        <f t="shared" si="14"/>
        <v/>
      </c>
      <c r="J26" s="93"/>
      <c r="K26" s="94"/>
      <c r="L26" s="95" t="str">
        <f t="shared" si="3"/>
        <v/>
      </c>
      <c r="M26" s="93"/>
      <c r="N26" s="94"/>
      <c r="O26" s="95" t="str">
        <f t="shared" si="4"/>
        <v/>
      </c>
      <c r="P26" s="93"/>
      <c r="Q26" s="94"/>
      <c r="R26" s="95" t="str">
        <f t="shared" si="5"/>
        <v/>
      </c>
      <c r="S26" s="93"/>
      <c r="T26" s="94"/>
      <c r="U26" s="95" t="str">
        <f t="shared" si="6"/>
        <v/>
      </c>
      <c r="V26" s="93"/>
      <c r="W26" s="94"/>
      <c r="X26" s="95" t="str">
        <f t="shared" si="7"/>
        <v/>
      </c>
      <c r="Y26" s="94"/>
      <c r="Z26" s="94"/>
      <c r="AA26" s="112" t="str">
        <f t="shared" si="8"/>
        <v/>
      </c>
      <c r="AB26" s="93"/>
      <c r="AC26" s="94"/>
      <c r="AD26" s="95" t="str">
        <f t="shared" si="9"/>
        <v/>
      </c>
      <c r="AE26" s="93"/>
      <c r="AF26" s="94"/>
      <c r="AG26" s="95" t="str">
        <f t="shared" si="10"/>
        <v/>
      </c>
      <c r="AH26" s="93"/>
      <c r="AI26" s="94"/>
      <c r="AJ26" s="95" t="str">
        <f t="shared" si="11"/>
        <v/>
      </c>
      <c r="AK26" s="93"/>
      <c r="AL26" s="94"/>
      <c r="AM26" s="95" t="str">
        <f t="shared" si="12"/>
        <v/>
      </c>
      <c r="AN26" s="93"/>
      <c r="AO26" s="94"/>
      <c r="AP26" s="95" t="str">
        <f t="shared" si="13"/>
        <v/>
      </c>
    </row>
    <row r="27" spans="1:42" x14ac:dyDescent="0.25">
      <c r="A27" s="91">
        <v>46048</v>
      </c>
      <c r="B27" s="92">
        <f t="shared" si="0"/>
        <v>5</v>
      </c>
      <c r="C27" s="92">
        <f t="shared" si="1"/>
        <v>1</v>
      </c>
      <c r="D27" s="93"/>
      <c r="E27" s="94"/>
      <c r="F27" s="95" t="str">
        <f t="shared" si="2"/>
        <v/>
      </c>
      <c r="G27" s="93"/>
      <c r="H27" s="94"/>
      <c r="I27" s="95" t="str">
        <f t="shared" si="14"/>
        <v/>
      </c>
      <c r="J27" s="93"/>
      <c r="K27" s="94"/>
      <c r="L27" s="95" t="str">
        <f t="shared" si="3"/>
        <v/>
      </c>
      <c r="M27" s="93"/>
      <c r="N27" s="94"/>
      <c r="O27" s="95" t="str">
        <f t="shared" si="4"/>
        <v/>
      </c>
      <c r="P27" s="93"/>
      <c r="Q27" s="94"/>
      <c r="R27" s="95" t="str">
        <f t="shared" si="5"/>
        <v/>
      </c>
      <c r="S27" s="93"/>
      <c r="T27" s="94"/>
      <c r="U27" s="95" t="str">
        <f t="shared" si="6"/>
        <v/>
      </c>
      <c r="V27" s="93"/>
      <c r="W27" s="94"/>
      <c r="X27" s="95" t="str">
        <f t="shared" si="7"/>
        <v/>
      </c>
      <c r="Y27" s="94"/>
      <c r="Z27" s="94"/>
      <c r="AA27" s="112" t="str">
        <f t="shared" si="8"/>
        <v/>
      </c>
      <c r="AB27" s="93"/>
      <c r="AC27" s="94"/>
      <c r="AD27" s="95" t="str">
        <f t="shared" si="9"/>
        <v/>
      </c>
      <c r="AE27" s="93"/>
      <c r="AF27" s="94"/>
      <c r="AG27" s="95" t="str">
        <f t="shared" si="10"/>
        <v/>
      </c>
      <c r="AH27" s="93"/>
      <c r="AI27" s="94"/>
      <c r="AJ27" s="95" t="str">
        <f t="shared" si="11"/>
        <v/>
      </c>
      <c r="AK27" s="93"/>
      <c r="AL27" s="94"/>
      <c r="AM27" s="95" t="str">
        <f t="shared" si="12"/>
        <v/>
      </c>
      <c r="AN27" s="93"/>
      <c r="AO27" s="94"/>
      <c r="AP27" s="95" t="str">
        <f t="shared" si="13"/>
        <v/>
      </c>
    </row>
    <row r="28" spans="1:42" x14ac:dyDescent="0.25">
      <c r="A28" s="91">
        <v>46049</v>
      </c>
      <c r="B28" s="92">
        <f t="shared" si="0"/>
        <v>5</v>
      </c>
      <c r="C28" s="92">
        <f t="shared" si="1"/>
        <v>1</v>
      </c>
      <c r="D28" s="93"/>
      <c r="E28" s="94"/>
      <c r="F28" s="95" t="str">
        <f t="shared" si="2"/>
        <v/>
      </c>
      <c r="G28" s="93"/>
      <c r="H28" s="94"/>
      <c r="I28" s="95" t="str">
        <f t="shared" si="14"/>
        <v/>
      </c>
      <c r="J28" s="93"/>
      <c r="K28" s="94"/>
      <c r="L28" s="95" t="str">
        <f t="shared" si="3"/>
        <v/>
      </c>
      <c r="M28" s="93"/>
      <c r="N28" s="94"/>
      <c r="O28" s="95" t="str">
        <f t="shared" si="4"/>
        <v/>
      </c>
      <c r="P28" s="93"/>
      <c r="Q28" s="94"/>
      <c r="R28" s="95" t="str">
        <f t="shared" si="5"/>
        <v/>
      </c>
      <c r="S28" s="93"/>
      <c r="T28" s="94"/>
      <c r="U28" s="95" t="str">
        <f t="shared" si="6"/>
        <v/>
      </c>
      <c r="V28" s="93"/>
      <c r="W28" s="94"/>
      <c r="X28" s="95" t="str">
        <f t="shared" si="7"/>
        <v/>
      </c>
      <c r="Y28" s="94"/>
      <c r="Z28" s="94"/>
      <c r="AA28" s="112" t="str">
        <f t="shared" si="8"/>
        <v/>
      </c>
      <c r="AB28" s="93"/>
      <c r="AC28" s="94"/>
      <c r="AD28" s="95" t="str">
        <f t="shared" si="9"/>
        <v/>
      </c>
      <c r="AE28" s="93"/>
      <c r="AF28" s="94"/>
      <c r="AG28" s="95" t="str">
        <f t="shared" si="10"/>
        <v/>
      </c>
      <c r="AH28" s="93"/>
      <c r="AI28" s="94"/>
      <c r="AJ28" s="95" t="str">
        <f t="shared" si="11"/>
        <v/>
      </c>
      <c r="AK28" s="93"/>
      <c r="AL28" s="94"/>
      <c r="AM28" s="95" t="str">
        <f t="shared" si="12"/>
        <v/>
      </c>
      <c r="AN28" s="93"/>
      <c r="AO28" s="94"/>
      <c r="AP28" s="95" t="str">
        <f t="shared" si="13"/>
        <v/>
      </c>
    </row>
    <row r="29" spans="1:42" x14ac:dyDescent="0.25">
      <c r="A29" s="91">
        <v>46050</v>
      </c>
      <c r="B29" s="92">
        <f t="shared" si="0"/>
        <v>5</v>
      </c>
      <c r="C29" s="92">
        <f t="shared" si="1"/>
        <v>1</v>
      </c>
      <c r="D29" s="93"/>
      <c r="E29" s="94"/>
      <c r="F29" s="95" t="str">
        <f t="shared" si="2"/>
        <v/>
      </c>
      <c r="G29" s="93"/>
      <c r="H29" s="94"/>
      <c r="I29" s="95" t="str">
        <f t="shared" si="14"/>
        <v/>
      </c>
      <c r="J29" s="93"/>
      <c r="K29" s="94"/>
      <c r="L29" s="95" t="str">
        <f t="shared" si="3"/>
        <v/>
      </c>
      <c r="M29" s="93"/>
      <c r="N29" s="94"/>
      <c r="O29" s="95" t="str">
        <f t="shared" si="4"/>
        <v/>
      </c>
      <c r="P29" s="93"/>
      <c r="Q29" s="94"/>
      <c r="R29" s="95" t="str">
        <f t="shared" si="5"/>
        <v/>
      </c>
      <c r="S29" s="93"/>
      <c r="T29" s="94"/>
      <c r="U29" s="95" t="str">
        <f t="shared" si="6"/>
        <v/>
      </c>
      <c r="V29" s="93"/>
      <c r="W29" s="94"/>
      <c r="X29" s="95" t="str">
        <f t="shared" si="7"/>
        <v/>
      </c>
      <c r="Y29" s="94"/>
      <c r="Z29" s="94"/>
      <c r="AA29" s="112" t="str">
        <f t="shared" si="8"/>
        <v/>
      </c>
      <c r="AB29" s="93"/>
      <c r="AC29" s="94"/>
      <c r="AD29" s="95" t="str">
        <f t="shared" si="9"/>
        <v/>
      </c>
      <c r="AE29" s="93"/>
      <c r="AF29" s="94"/>
      <c r="AG29" s="95" t="str">
        <f t="shared" si="10"/>
        <v/>
      </c>
      <c r="AH29" s="93"/>
      <c r="AI29" s="94"/>
      <c r="AJ29" s="95" t="str">
        <f t="shared" si="11"/>
        <v/>
      </c>
      <c r="AK29" s="93"/>
      <c r="AL29" s="94"/>
      <c r="AM29" s="95" t="str">
        <f t="shared" si="12"/>
        <v/>
      </c>
      <c r="AN29" s="93"/>
      <c r="AO29" s="94"/>
      <c r="AP29" s="95" t="str">
        <f t="shared" si="13"/>
        <v/>
      </c>
    </row>
    <row r="30" spans="1:42" x14ac:dyDescent="0.25">
      <c r="A30" s="91">
        <v>46051</v>
      </c>
      <c r="B30" s="92">
        <f t="shared" si="0"/>
        <v>5</v>
      </c>
      <c r="C30" s="92">
        <f t="shared" si="1"/>
        <v>1</v>
      </c>
      <c r="D30" s="93"/>
      <c r="E30" s="94"/>
      <c r="F30" s="95" t="str">
        <f t="shared" si="2"/>
        <v/>
      </c>
      <c r="G30" s="93"/>
      <c r="H30" s="94"/>
      <c r="I30" s="95" t="str">
        <f t="shared" si="14"/>
        <v/>
      </c>
      <c r="J30" s="93"/>
      <c r="K30" s="94"/>
      <c r="L30" s="95" t="str">
        <f t="shared" si="3"/>
        <v/>
      </c>
      <c r="M30" s="93"/>
      <c r="N30" s="94"/>
      <c r="O30" s="95" t="str">
        <f t="shared" si="4"/>
        <v/>
      </c>
      <c r="P30" s="93"/>
      <c r="Q30" s="94"/>
      <c r="R30" s="95" t="str">
        <f t="shared" si="5"/>
        <v/>
      </c>
      <c r="S30" s="93"/>
      <c r="T30" s="94"/>
      <c r="U30" s="95" t="str">
        <f t="shared" si="6"/>
        <v/>
      </c>
      <c r="V30" s="93"/>
      <c r="W30" s="94"/>
      <c r="X30" s="95" t="str">
        <f t="shared" si="7"/>
        <v/>
      </c>
      <c r="Y30" s="94"/>
      <c r="Z30" s="94"/>
      <c r="AA30" s="112" t="str">
        <f t="shared" si="8"/>
        <v/>
      </c>
      <c r="AB30" s="93"/>
      <c r="AC30" s="94"/>
      <c r="AD30" s="95" t="str">
        <f t="shared" si="9"/>
        <v/>
      </c>
      <c r="AE30" s="93"/>
      <c r="AF30" s="94"/>
      <c r="AG30" s="95" t="str">
        <f t="shared" si="10"/>
        <v/>
      </c>
      <c r="AH30" s="93"/>
      <c r="AI30" s="94"/>
      <c r="AJ30" s="95" t="str">
        <f t="shared" si="11"/>
        <v/>
      </c>
      <c r="AK30" s="93"/>
      <c r="AL30" s="94"/>
      <c r="AM30" s="95" t="str">
        <f t="shared" si="12"/>
        <v/>
      </c>
      <c r="AN30" s="93"/>
      <c r="AO30" s="94"/>
      <c r="AP30" s="95" t="str">
        <f t="shared" si="13"/>
        <v/>
      </c>
    </row>
    <row r="31" spans="1:42" x14ac:dyDescent="0.25">
      <c r="A31" s="91">
        <v>46052</v>
      </c>
      <c r="B31" s="92">
        <f t="shared" si="0"/>
        <v>5</v>
      </c>
      <c r="C31" s="92">
        <f t="shared" si="1"/>
        <v>1</v>
      </c>
      <c r="D31" s="93"/>
      <c r="E31" s="94"/>
      <c r="F31" s="95" t="str">
        <f t="shared" si="2"/>
        <v/>
      </c>
      <c r="G31" s="93"/>
      <c r="H31" s="94"/>
      <c r="I31" s="95" t="str">
        <f t="shared" si="14"/>
        <v/>
      </c>
      <c r="J31" s="93"/>
      <c r="K31" s="94"/>
      <c r="L31" s="95" t="str">
        <f t="shared" si="3"/>
        <v/>
      </c>
      <c r="M31" s="93"/>
      <c r="N31" s="94"/>
      <c r="O31" s="95" t="str">
        <f t="shared" si="4"/>
        <v/>
      </c>
      <c r="P31" s="93"/>
      <c r="Q31" s="94"/>
      <c r="R31" s="95" t="str">
        <f t="shared" si="5"/>
        <v/>
      </c>
      <c r="S31" s="93"/>
      <c r="T31" s="94"/>
      <c r="U31" s="95" t="str">
        <f t="shared" si="6"/>
        <v/>
      </c>
      <c r="V31" s="93"/>
      <c r="W31" s="94"/>
      <c r="X31" s="95" t="str">
        <f t="shared" si="7"/>
        <v/>
      </c>
      <c r="Y31" s="94"/>
      <c r="Z31" s="94"/>
      <c r="AA31" s="112" t="str">
        <f t="shared" si="8"/>
        <v/>
      </c>
      <c r="AB31" s="93"/>
      <c r="AC31" s="94"/>
      <c r="AD31" s="95" t="str">
        <f t="shared" si="9"/>
        <v/>
      </c>
      <c r="AE31" s="93"/>
      <c r="AF31" s="94"/>
      <c r="AG31" s="95" t="str">
        <f t="shared" si="10"/>
        <v/>
      </c>
      <c r="AH31" s="93"/>
      <c r="AI31" s="94"/>
      <c r="AJ31" s="95" t="str">
        <f t="shared" si="11"/>
        <v/>
      </c>
      <c r="AK31" s="93"/>
      <c r="AL31" s="94"/>
      <c r="AM31" s="95" t="str">
        <f t="shared" si="12"/>
        <v/>
      </c>
      <c r="AN31" s="93"/>
      <c r="AO31" s="94"/>
      <c r="AP31" s="95" t="str">
        <f t="shared" si="13"/>
        <v/>
      </c>
    </row>
    <row r="32" spans="1:42" x14ac:dyDescent="0.25">
      <c r="A32" s="91">
        <v>46053</v>
      </c>
      <c r="B32" s="92">
        <f t="shared" si="0"/>
        <v>5</v>
      </c>
      <c r="C32" s="92">
        <f t="shared" si="1"/>
        <v>1</v>
      </c>
      <c r="D32" s="93"/>
      <c r="E32" s="94"/>
      <c r="F32" s="95" t="str">
        <f t="shared" si="2"/>
        <v/>
      </c>
      <c r="G32" s="93"/>
      <c r="H32" s="94"/>
      <c r="I32" s="95" t="str">
        <f t="shared" si="14"/>
        <v/>
      </c>
      <c r="J32" s="93"/>
      <c r="K32" s="94"/>
      <c r="L32" s="95" t="str">
        <f t="shared" si="3"/>
        <v/>
      </c>
      <c r="M32" s="93"/>
      <c r="N32" s="94"/>
      <c r="O32" s="95" t="str">
        <f t="shared" si="4"/>
        <v/>
      </c>
      <c r="P32" s="93"/>
      <c r="Q32" s="94"/>
      <c r="R32" s="95" t="str">
        <f t="shared" si="5"/>
        <v/>
      </c>
      <c r="S32" s="93"/>
      <c r="T32" s="94"/>
      <c r="U32" s="95" t="str">
        <f t="shared" si="6"/>
        <v/>
      </c>
      <c r="V32" s="93"/>
      <c r="W32" s="94"/>
      <c r="X32" s="95" t="str">
        <f t="shared" si="7"/>
        <v/>
      </c>
      <c r="Y32" s="94"/>
      <c r="Z32" s="94"/>
      <c r="AA32" s="112" t="str">
        <f t="shared" si="8"/>
        <v/>
      </c>
      <c r="AB32" s="93"/>
      <c r="AC32" s="94"/>
      <c r="AD32" s="95" t="str">
        <f t="shared" si="9"/>
        <v/>
      </c>
      <c r="AE32" s="93"/>
      <c r="AF32" s="94"/>
      <c r="AG32" s="95" t="str">
        <f t="shared" si="10"/>
        <v/>
      </c>
      <c r="AH32" s="93"/>
      <c r="AI32" s="94"/>
      <c r="AJ32" s="95" t="str">
        <f t="shared" si="11"/>
        <v/>
      </c>
      <c r="AK32" s="93"/>
      <c r="AL32" s="94"/>
      <c r="AM32" s="95" t="str">
        <f t="shared" si="12"/>
        <v/>
      </c>
      <c r="AN32" s="93"/>
      <c r="AO32" s="94"/>
      <c r="AP32" s="95" t="str">
        <f t="shared" si="13"/>
        <v/>
      </c>
    </row>
    <row r="33" spans="1:42" x14ac:dyDescent="0.25">
      <c r="A33" s="91">
        <v>46054</v>
      </c>
      <c r="B33" s="92">
        <f t="shared" si="0"/>
        <v>5</v>
      </c>
      <c r="C33" s="92">
        <f t="shared" si="1"/>
        <v>2</v>
      </c>
      <c r="D33" s="93"/>
      <c r="E33" s="94"/>
      <c r="F33" s="95" t="str">
        <f t="shared" si="2"/>
        <v/>
      </c>
      <c r="G33" s="93"/>
      <c r="H33" s="94"/>
      <c r="I33" s="95" t="str">
        <f t="shared" si="14"/>
        <v/>
      </c>
      <c r="J33" s="93"/>
      <c r="K33" s="94"/>
      <c r="L33" s="95" t="str">
        <f t="shared" si="3"/>
        <v/>
      </c>
      <c r="M33" s="93"/>
      <c r="N33" s="94"/>
      <c r="O33" s="95" t="str">
        <f t="shared" si="4"/>
        <v/>
      </c>
      <c r="P33" s="93"/>
      <c r="Q33" s="94"/>
      <c r="R33" s="95" t="str">
        <f t="shared" si="5"/>
        <v/>
      </c>
      <c r="S33" s="93"/>
      <c r="T33" s="94"/>
      <c r="U33" s="95" t="str">
        <f t="shared" si="6"/>
        <v/>
      </c>
      <c r="V33" s="93"/>
      <c r="W33" s="94"/>
      <c r="X33" s="95" t="str">
        <f t="shared" si="7"/>
        <v/>
      </c>
      <c r="Y33" s="94"/>
      <c r="Z33" s="94"/>
      <c r="AA33" s="112" t="str">
        <f t="shared" si="8"/>
        <v/>
      </c>
      <c r="AB33" s="93"/>
      <c r="AC33" s="94"/>
      <c r="AD33" s="95" t="str">
        <f t="shared" si="9"/>
        <v/>
      </c>
      <c r="AE33" s="93"/>
      <c r="AF33" s="94"/>
      <c r="AG33" s="95" t="str">
        <f t="shared" si="10"/>
        <v/>
      </c>
      <c r="AH33" s="93"/>
      <c r="AI33" s="94"/>
      <c r="AJ33" s="95" t="str">
        <f t="shared" si="11"/>
        <v/>
      </c>
      <c r="AK33" s="93"/>
      <c r="AL33" s="94"/>
      <c r="AM33" s="95" t="str">
        <f t="shared" si="12"/>
        <v/>
      </c>
      <c r="AN33" s="93"/>
      <c r="AO33" s="94"/>
      <c r="AP33" s="95" t="str">
        <f t="shared" si="13"/>
        <v/>
      </c>
    </row>
    <row r="34" spans="1:42" x14ac:dyDescent="0.25">
      <c r="A34" s="91">
        <v>46055</v>
      </c>
      <c r="B34" s="92">
        <f t="shared" si="0"/>
        <v>6</v>
      </c>
      <c r="C34" s="92">
        <f t="shared" si="1"/>
        <v>2</v>
      </c>
      <c r="D34" s="93"/>
      <c r="E34" s="94"/>
      <c r="F34" s="95" t="str">
        <f t="shared" si="2"/>
        <v/>
      </c>
      <c r="G34" s="93"/>
      <c r="H34" s="94"/>
      <c r="I34" s="95" t="str">
        <f t="shared" si="14"/>
        <v/>
      </c>
      <c r="J34" s="93"/>
      <c r="K34" s="94"/>
      <c r="L34" s="95" t="str">
        <f t="shared" si="3"/>
        <v/>
      </c>
      <c r="M34" s="93"/>
      <c r="N34" s="94"/>
      <c r="O34" s="95" t="str">
        <f t="shared" si="4"/>
        <v/>
      </c>
      <c r="P34" s="93"/>
      <c r="Q34" s="94"/>
      <c r="R34" s="95" t="str">
        <f t="shared" si="5"/>
        <v/>
      </c>
      <c r="S34" s="93"/>
      <c r="T34" s="94"/>
      <c r="U34" s="95" t="str">
        <f t="shared" si="6"/>
        <v/>
      </c>
      <c r="V34" s="93"/>
      <c r="W34" s="94"/>
      <c r="X34" s="95" t="str">
        <f t="shared" si="7"/>
        <v/>
      </c>
      <c r="Y34" s="94"/>
      <c r="Z34" s="94"/>
      <c r="AA34" s="112" t="str">
        <f t="shared" si="8"/>
        <v/>
      </c>
      <c r="AB34" s="93"/>
      <c r="AC34" s="94"/>
      <c r="AD34" s="95" t="str">
        <f t="shared" si="9"/>
        <v/>
      </c>
      <c r="AE34" s="93"/>
      <c r="AF34" s="94"/>
      <c r="AG34" s="95" t="str">
        <f t="shared" si="10"/>
        <v/>
      </c>
      <c r="AH34" s="93"/>
      <c r="AI34" s="94"/>
      <c r="AJ34" s="95" t="str">
        <f t="shared" si="11"/>
        <v/>
      </c>
      <c r="AK34" s="93"/>
      <c r="AL34" s="94"/>
      <c r="AM34" s="95" t="str">
        <f t="shared" si="12"/>
        <v/>
      </c>
      <c r="AN34" s="93"/>
      <c r="AO34" s="94"/>
      <c r="AP34" s="95" t="str">
        <f t="shared" ref="AP34:AP65" si="15">IFERROR(AO34/AN34,"")</f>
        <v/>
      </c>
    </row>
    <row r="35" spans="1:42" x14ac:dyDescent="0.25">
      <c r="A35" s="91">
        <v>46056</v>
      </c>
      <c r="B35" s="92">
        <f t="shared" si="0"/>
        <v>6</v>
      </c>
      <c r="C35" s="92">
        <f t="shared" si="1"/>
        <v>2</v>
      </c>
      <c r="D35" s="93"/>
      <c r="E35" s="94"/>
      <c r="F35" s="95" t="str">
        <f t="shared" si="2"/>
        <v/>
      </c>
      <c r="G35" s="93"/>
      <c r="H35" s="94"/>
      <c r="I35" s="95" t="str">
        <f t="shared" ref="I35:I65" si="16">IFERROR(H35/G35,"")</f>
        <v/>
      </c>
      <c r="J35" s="93"/>
      <c r="K35" s="94"/>
      <c r="L35" s="95" t="str">
        <f t="shared" si="3"/>
        <v/>
      </c>
      <c r="M35" s="93"/>
      <c r="N35" s="94"/>
      <c r="O35" s="95" t="str">
        <f t="shared" si="4"/>
        <v/>
      </c>
      <c r="P35" s="93"/>
      <c r="Q35" s="94"/>
      <c r="R35" s="95" t="str">
        <f t="shared" si="5"/>
        <v/>
      </c>
      <c r="S35" s="93"/>
      <c r="T35" s="94"/>
      <c r="U35" s="95" t="str">
        <f t="shared" si="6"/>
        <v/>
      </c>
      <c r="V35" s="93"/>
      <c r="W35" s="94"/>
      <c r="X35" s="95" t="str">
        <f t="shared" si="7"/>
        <v/>
      </c>
      <c r="Y35" s="94"/>
      <c r="Z35" s="94"/>
      <c r="AA35" s="112" t="str">
        <f t="shared" si="8"/>
        <v/>
      </c>
      <c r="AB35" s="93"/>
      <c r="AC35" s="94"/>
      <c r="AD35" s="95" t="str">
        <f t="shared" si="9"/>
        <v/>
      </c>
      <c r="AE35" s="93"/>
      <c r="AF35" s="94"/>
      <c r="AG35" s="95" t="str">
        <f t="shared" si="10"/>
        <v/>
      </c>
      <c r="AH35" s="93"/>
      <c r="AI35" s="94"/>
      <c r="AJ35" s="95" t="str">
        <f t="shared" si="11"/>
        <v/>
      </c>
      <c r="AK35" s="93"/>
      <c r="AL35" s="94"/>
      <c r="AM35" s="95" t="str">
        <f t="shared" si="12"/>
        <v/>
      </c>
      <c r="AN35" s="93"/>
      <c r="AO35" s="94"/>
      <c r="AP35" s="95" t="str">
        <f t="shared" si="15"/>
        <v/>
      </c>
    </row>
    <row r="36" spans="1:42" x14ac:dyDescent="0.25">
      <c r="A36" s="91">
        <v>46057</v>
      </c>
      <c r="B36" s="92">
        <f t="shared" si="0"/>
        <v>6</v>
      </c>
      <c r="C36" s="92">
        <f t="shared" si="1"/>
        <v>2</v>
      </c>
      <c r="D36" s="93"/>
      <c r="E36" s="94"/>
      <c r="F36" s="95" t="str">
        <f t="shared" si="2"/>
        <v/>
      </c>
      <c r="G36" s="93"/>
      <c r="H36" s="94"/>
      <c r="I36" s="95" t="str">
        <f t="shared" si="16"/>
        <v/>
      </c>
      <c r="J36" s="93"/>
      <c r="K36" s="94"/>
      <c r="L36" s="95" t="str">
        <f t="shared" si="3"/>
        <v/>
      </c>
      <c r="M36" s="93"/>
      <c r="N36" s="94"/>
      <c r="O36" s="95" t="str">
        <f t="shared" si="4"/>
        <v/>
      </c>
      <c r="P36" s="93"/>
      <c r="Q36" s="94"/>
      <c r="R36" s="95" t="str">
        <f t="shared" si="5"/>
        <v/>
      </c>
      <c r="S36" s="93"/>
      <c r="T36" s="94"/>
      <c r="U36" s="95" t="str">
        <f t="shared" si="6"/>
        <v/>
      </c>
      <c r="V36" s="93"/>
      <c r="W36" s="94"/>
      <c r="X36" s="95" t="str">
        <f t="shared" si="7"/>
        <v/>
      </c>
      <c r="Y36" s="94"/>
      <c r="Z36" s="94"/>
      <c r="AA36" s="112" t="str">
        <f t="shared" si="8"/>
        <v/>
      </c>
      <c r="AB36" s="93"/>
      <c r="AC36" s="94"/>
      <c r="AD36" s="95" t="str">
        <f t="shared" si="9"/>
        <v/>
      </c>
      <c r="AE36" s="93"/>
      <c r="AF36" s="94"/>
      <c r="AG36" s="95" t="str">
        <f t="shared" si="10"/>
        <v/>
      </c>
      <c r="AH36" s="93"/>
      <c r="AI36" s="94"/>
      <c r="AJ36" s="95" t="str">
        <f t="shared" si="11"/>
        <v/>
      </c>
      <c r="AK36" s="93"/>
      <c r="AL36" s="94"/>
      <c r="AM36" s="95" t="str">
        <f t="shared" si="12"/>
        <v/>
      </c>
      <c r="AN36" s="93"/>
      <c r="AO36" s="94"/>
      <c r="AP36" s="95" t="str">
        <f t="shared" si="15"/>
        <v/>
      </c>
    </row>
    <row r="37" spans="1:42" x14ac:dyDescent="0.25">
      <c r="A37" s="91">
        <v>46058</v>
      </c>
      <c r="B37" s="92">
        <f t="shared" si="0"/>
        <v>6</v>
      </c>
      <c r="C37" s="92">
        <f t="shared" si="1"/>
        <v>2</v>
      </c>
      <c r="D37" s="93"/>
      <c r="E37" s="94"/>
      <c r="F37" s="95" t="str">
        <f t="shared" si="2"/>
        <v/>
      </c>
      <c r="G37" s="93"/>
      <c r="H37" s="94"/>
      <c r="I37" s="95" t="str">
        <f t="shared" si="16"/>
        <v/>
      </c>
      <c r="J37" s="93"/>
      <c r="K37" s="94"/>
      <c r="L37" s="95" t="str">
        <f t="shared" si="3"/>
        <v/>
      </c>
      <c r="M37" s="93"/>
      <c r="N37" s="94"/>
      <c r="O37" s="95" t="str">
        <f t="shared" si="4"/>
        <v/>
      </c>
      <c r="P37" s="93"/>
      <c r="Q37" s="94"/>
      <c r="R37" s="95" t="str">
        <f t="shared" si="5"/>
        <v/>
      </c>
      <c r="S37" s="93"/>
      <c r="T37" s="94"/>
      <c r="U37" s="95" t="str">
        <f t="shared" si="6"/>
        <v/>
      </c>
      <c r="V37" s="93"/>
      <c r="W37" s="94"/>
      <c r="X37" s="95" t="str">
        <f t="shared" si="7"/>
        <v/>
      </c>
      <c r="Y37" s="94"/>
      <c r="Z37" s="94"/>
      <c r="AA37" s="112" t="str">
        <f t="shared" si="8"/>
        <v/>
      </c>
      <c r="AB37" s="93"/>
      <c r="AC37" s="94"/>
      <c r="AD37" s="95" t="str">
        <f t="shared" si="9"/>
        <v/>
      </c>
      <c r="AE37" s="93"/>
      <c r="AF37" s="94"/>
      <c r="AG37" s="95" t="str">
        <f t="shared" si="10"/>
        <v/>
      </c>
      <c r="AH37" s="93"/>
      <c r="AI37" s="94"/>
      <c r="AJ37" s="95" t="str">
        <f t="shared" si="11"/>
        <v/>
      </c>
      <c r="AK37" s="93"/>
      <c r="AL37" s="94"/>
      <c r="AM37" s="95" t="str">
        <f t="shared" si="12"/>
        <v/>
      </c>
      <c r="AN37" s="93"/>
      <c r="AO37" s="94"/>
      <c r="AP37" s="95" t="str">
        <f t="shared" si="15"/>
        <v/>
      </c>
    </row>
    <row r="38" spans="1:42" x14ac:dyDescent="0.25">
      <c r="A38" s="91">
        <v>46059</v>
      </c>
      <c r="B38" s="92">
        <f t="shared" si="0"/>
        <v>6</v>
      </c>
      <c r="C38" s="92">
        <f t="shared" si="1"/>
        <v>2</v>
      </c>
      <c r="D38" s="93"/>
      <c r="E38" s="94"/>
      <c r="F38" s="95" t="str">
        <f t="shared" si="2"/>
        <v/>
      </c>
      <c r="G38" s="93"/>
      <c r="H38" s="94"/>
      <c r="I38" s="95" t="str">
        <f t="shared" si="16"/>
        <v/>
      </c>
      <c r="J38" s="93"/>
      <c r="K38" s="94"/>
      <c r="L38" s="95" t="str">
        <f t="shared" si="3"/>
        <v/>
      </c>
      <c r="M38" s="93"/>
      <c r="N38" s="94"/>
      <c r="O38" s="95" t="str">
        <f t="shared" si="4"/>
        <v/>
      </c>
      <c r="P38" s="93"/>
      <c r="Q38" s="94"/>
      <c r="R38" s="95" t="str">
        <f t="shared" si="5"/>
        <v/>
      </c>
      <c r="S38" s="93"/>
      <c r="T38" s="94"/>
      <c r="U38" s="95" t="str">
        <f t="shared" si="6"/>
        <v/>
      </c>
      <c r="V38" s="93"/>
      <c r="W38" s="94"/>
      <c r="X38" s="95" t="str">
        <f t="shared" si="7"/>
        <v/>
      </c>
      <c r="Y38" s="94"/>
      <c r="Z38" s="94"/>
      <c r="AA38" s="112" t="str">
        <f t="shared" si="8"/>
        <v/>
      </c>
      <c r="AB38" s="93"/>
      <c r="AC38" s="94"/>
      <c r="AD38" s="95" t="str">
        <f t="shared" si="9"/>
        <v/>
      </c>
      <c r="AE38" s="93"/>
      <c r="AF38" s="94"/>
      <c r="AG38" s="95" t="str">
        <f t="shared" si="10"/>
        <v/>
      </c>
      <c r="AH38" s="93"/>
      <c r="AI38" s="94"/>
      <c r="AJ38" s="95" t="str">
        <f t="shared" si="11"/>
        <v/>
      </c>
      <c r="AK38" s="93"/>
      <c r="AL38" s="94"/>
      <c r="AM38" s="95" t="str">
        <f t="shared" si="12"/>
        <v/>
      </c>
      <c r="AN38" s="93"/>
      <c r="AO38" s="94"/>
      <c r="AP38" s="95" t="str">
        <f t="shared" si="15"/>
        <v/>
      </c>
    </row>
    <row r="39" spans="1:42" x14ac:dyDescent="0.25">
      <c r="A39" s="91">
        <v>46060</v>
      </c>
      <c r="B39" s="92">
        <f t="shared" si="0"/>
        <v>6</v>
      </c>
      <c r="C39" s="92">
        <f t="shared" si="1"/>
        <v>2</v>
      </c>
      <c r="D39" s="93"/>
      <c r="E39" s="94"/>
      <c r="F39" s="95" t="str">
        <f t="shared" si="2"/>
        <v/>
      </c>
      <c r="G39" s="93"/>
      <c r="H39" s="94"/>
      <c r="I39" s="95" t="str">
        <f t="shared" si="16"/>
        <v/>
      </c>
      <c r="J39" s="93"/>
      <c r="K39" s="94"/>
      <c r="L39" s="95" t="str">
        <f t="shared" si="3"/>
        <v/>
      </c>
      <c r="M39" s="93"/>
      <c r="N39" s="94"/>
      <c r="O39" s="95" t="str">
        <f t="shared" si="4"/>
        <v/>
      </c>
      <c r="P39" s="93"/>
      <c r="Q39" s="94"/>
      <c r="R39" s="95" t="str">
        <f t="shared" si="5"/>
        <v/>
      </c>
      <c r="S39" s="93"/>
      <c r="T39" s="94"/>
      <c r="U39" s="95" t="str">
        <f t="shared" si="6"/>
        <v/>
      </c>
      <c r="V39" s="93"/>
      <c r="W39" s="94"/>
      <c r="X39" s="95" t="str">
        <f t="shared" si="7"/>
        <v/>
      </c>
      <c r="Y39" s="94"/>
      <c r="Z39" s="94"/>
      <c r="AA39" s="112" t="str">
        <f t="shared" si="8"/>
        <v/>
      </c>
      <c r="AB39" s="93"/>
      <c r="AC39" s="94"/>
      <c r="AD39" s="95" t="str">
        <f t="shared" si="9"/>
        <v/>
      </c>
      <c r="AE39" s="93"/>
      <c r="AF39" s="94"/>
      <c r="AG39" s="95" t="str">
        <f t="shared" si="10"/>
        <v/>
      </c>
      <c r="AH39" s="93"/>
      <c r="AI39" s="94"/>
      <c r="AJ39" s="95" t="str">
        <f t="shared" si="11"/>
        <v/>
      </c>
      <c r="AK39" s="93"/>
      <c r="AL39" s="94"/>
      <c r="AM39" s="95" t="str">
        <f t="shared" si="12"/>
        <v/>
      </c>
      <c r="AN39" s="93"/>
      <c r="AO39" s="94"/>
      <c r="AP39" s="95" t="str">
        <f t="shared" si="15"/>
        <v/>
      </c>
    </row>
    <row r="40" spans="1:42" x14ac:dyDescent="0.25">
      <c r="A40" s="91">
        <v>46061</v>
      </c>
      <c r="B40" s="92">
        <f t="shared" si="0"/>
        <v>6</v>
      </c>
      <c r="C40" s="92">
        <f t="shared" si="1"/>
        <v>2</v>
      </c>
      <c r="D40" s="93"/>
      <c r="E40" s="94"/>
      <c r="F40" s="95" t="str">
        <f t="shared" si="2"/>
        <v/>
      </c>
      <c r="G40" s="93"/>
      <c r="H40" s="94"/>
      <c r="I40" s="95" t="str">
        <f t="shared" si="16"/>
        <v/>
      </c>
      <c r="J40" s="93"/>
      <c r="K40" s="94"/>
      <c r="L40" s="95" t="str">
        <f t="shared" si="3"/>
        <v/>
      </c>
      <c r="M40" s="93"/>
      <c r="N40" s="94"/>
      <c r="O40" s="95" t="str">
        <f t="shared" si="4"/>
        <v/>
      </c>
      <c r="P40" s="93"/>
      <c r="Q40" s="94"/>
      <c r="R40" s="95" t="str">
        <f t="shared" si="5"/>
        <v/>
      </c>
      <c r="S40" s="93"/>
      <c r="T40" s="94"/>
      <c r="U40" s="95" t="str">
        <f t="shared" si="6"/>
        <v/>
      </c>
      <c r="V40" s="93"/>
      <c r="W40" s="94"/>
      <c r="X40" s="95" t="str">
        <f t="shared" si="7"/>
        <v/>
      </c>
      <c r="Y40" s="94"/>
      <c r="Z40" s="94"/>
      <c r="AA40" s="112" t="str">
        <f t="shared" si="8"/>
        <v/>
      </c>
      <c r="AB40" s="93"/>
      <c r="AC40" s="94"/>
      <c r="AD40" s="95" t="str">
        <f t="shared" si="9"/>
        <v/>
      </c>
      <c r="AE40" s="93"/>
      <c r="AF40" s="94"/>
      <c r="AG40" s="95" t="str">
        <f t="shared" si="10"/>
        <v/>
      </c>
      <c r="AH40" s="93"/>
      <c r="AI40" s="94"/>
      <c r="AJ40" s="95" t="str">
        <f t="shared" si="11"/>
        <v/>
      </c>
      <c r="AK40" s="93"/>
      <c r="AL40" s="94"/>
      <c r="AM40" s="95" t="str">
        <f t="shared" si="12"/>
        <v/>
      </c>
      <c r="AN40" s="93"/>
      <c r="AO40" s="94"/>
      <c r="AP40" s="95" t="str">
        <f t="shared" si="15"/>
        <v/>
      </c>
    </row>
    <row r="41" spans="1:42" x14ac:dyDescent="0.25">
      <c r="A41" s="91">
        <v>46062</v>
      </c>
      <c r="B41" s="92">
        <f t="shared" si="0"/>
        <v>7</v>
      </c>
      <c r="C41" s="92">
        <f t="shared" si="1"/>
        <v>2</v>
      </c>
      <c r="D41" s="93"/>
      <c r="E41" s="94"/>
      <c r="F41" s="95" t="str">
        <f t="shared" si="2"/>
        <v/>
      </c>
      <c r="G41" s="93"/>
      <c r="H41" s="94"/>
      <c r="I41" s="95" t="str">
        <f t="shared" si="16"/>
        <v/>
      </c>
      <c r="J41" s="93"/>
      <c r="K41" s="94"/>
      <c r="L41" s="95" t="str">
        <f t="shared" si="3"/>
        <v/>
      </c>
      <c r="M41" s="93"/>
      <c r="N41" s="94"/>
      <c r="O41" s="95" t="str">
        <f t="shared" si="4"/>
        <v/>
      </c>
      <c r="P41" s="93"/>
      <c r="Q41" s="94"/>
      <c r="R41" s="95" t="str">
        <f t="shared" si="5"/>
        <v/>
      </c>
      <c r="S41" s="93"/>
      <c r="T41" s="94"/>
      <c r="U41" s="95" t="str">
        <f t="shared" si="6"/>
        <v/>
      </c>
      <c r="V41" s="93"/>
      <c r="W41" s="94"/>
      <c r="X41" s="95" t="str">
        <f t="shared" si="7"/>
        <v/>
      </c>
      <c r="Y41" s="94"/>
      <c r="Z41" s="94"/>
      <c r="AA41" s="112" t="str">
        <f t="shared" si="8"/>
        <v/>
      </c>
      <c r="AB41" s="93"/>
      <c r="AC41" s="94"/>
      <c r="AD41" s="95" t="str">
        <f t="shared" si="9"/>
        <v/>
      </c>
      <c r="AE41" s="93"/>
      <c r="AF41" s="94"/>
      <c r="AG41" s="95" t="str">
        <f t="shared" si="10"/>
        <v/>
      </c>
      <c r="AH41" s="93"/>
      <c r="AI41" s="94"/>
      <c r="AJ41" s="95" t="str">
        <f t="shared" si="11"/>
        <v/>
      </c>
      <c r="AK41" s="93"/>
      <c r="AL41" s="94"/>
      <c r="AM41" s="95" t="str">
        <f t="shared" si="12"/>
        <v/>
      </c>
      <c r="AN41" s="93"/>
      <c r="AO41" s="94"/>
      <c r="AP41" s="95" t="str">
        <f t="shared" si="15"/>
        <v/>
      </c>
    </row>
    <row r="42" spans="1:42" x14ac:dyDescent="0.25">
      <c r="A42" s="91">
        <v>46063</v>
      </c>
      <c r="B42" s="92">
        <f t="shared" si="0"/>
        <v>7</v>
      </c>
      <c r="C42" s="92">
        <f t="shared" si="1"/>
        <v>2</v>
      </c>
      <c r="D42" s="93"/>
      <c r="E42" s="94"/>
      <c r="F42" s="95" t="str">
        <f t="shared" si="2"/>
        <v/>
      </c>
      <c r="G42" s="93"/>
      <c r="H42" s="94"/>
      <c r="I42" s="95" t="str">
        <f t="shared" si="16"/>
        <v/>
      </c>
      <c r="J42" s="93"/>
      <c r="K42" s="94"/>
      <c r="L42" s="95" t="str">
        <f t="shared" si="3"/>
        <v/>
      </c>
      <c r="M42" s="93"/>
      <c r="N42" s="94"/>
      <c r="O42" s="95" t="str">
        <f t="shared" si="4"/>
        <v/>
      </c>
      <c r="P42" s="93"/>
      <c r="Q42" s="94"/>
      <c r="R42" s="95" t="str">
        <f t="shared" si="5"/>
        <v/>
      </c>
      <c r="S42" s="93"/>
      <c r="T42" s="94"/>
      <c r="U42" s="95" t="str">
        <f t="shared" si="6"/>
        <v/>
      </c>
      <c r="V42" s="93"/>
      <c r="W42" s="94"/>
      <c r="X42" s="95" t="str">
        <f t="shared" si="7"/>
        <v/>
      </c>
      <c r="Y42" s="94"/>
      <c r="Z42" s="94"/>
      <c r="AA42" s="112" t="str">
        <f t="shared" si="8"/>
        <v/>
      </c>
      <c r="AB42" s="93"/>
      <c r="AC42" s="94"/>
      <c r="AD42" s="95" t="str">
        <f t="shared" si="9"/>
        <v/>
      </c>
      <c r="AE42" s="93"/>
      <c r="AF42" s="94"/>
      <c r="AG42" s="95" t="str">
        <f t="shared" si="10"/>
        <v/>
      </c>
      <c r="AH42" s="93"/>
      <c r="AI42" s="94"/>
      <c r="AJ42" s="95" t="str">
        <f t="shared" si="11"/>
        <v/>
      </c>
      <c r="AK42" s="93"/>
      <c r="AL42" s="94"/>
      <c r="AM42" s="95" t="str">
        <f t="shared" si="12"/>
        <v/>
      </c>
      <c r="AN42" s="93"/>
      <c r="AO42" s="94"/>
      <c r="AP42" s="95" t="str">
        <f t="shared" si="15"/>
        <v/>
      </c>
    </row>
    <row r="43" spans="1:42" x14ac:dyDescent="0.25">
      <c r="A43" s="91">
        <v>46064</v>
      </c>
      <c r="B43" s="92">
        <f t="shared" si="0"/>
        <v>7</v>
      </c>
      <c r="C43" s="92">
        <f t="shared" si="1"/>
        <v>2</v>
      </c>
      <c r="D43" s="93"/>
      <c r="E43" s="94"/>
      <c r="F43" s="95" t="str">
        <f t="shared" si="2"/>
        <v/>
      </c>
      <c r="G43" s="93"/>
      <c r="H43" s="94"/>
      <c r="I43" s="95" t="str">
        <f t="shared" si="16"/>
        <v/>
      </c>
      <c r="J43" s="93"/>
      <c r="K43" s="94"/>
      <c r="L43" s="95" t="str">
        <f t="shared" si="3"/>
        <v/>
      </c>
      <c r="M43" s="93"/>
      <c r="N43" s="94"/>
      <c r="O43" s="95" t="str">
        <f t="shared" si="4"/>
        <v/>
      </c>
      <c r="P43" s="93"/>
      <c r="Q43" s="94"/>
      <c r="R43" s="95" t="str">
        <f t="shared" si="5"/>
        <v/>
      </c>
      <c r="S43" s="93"/>
      <c r="T43" s="94"/>
      <c r="U43" s="95" t="str">
        <f t="shared" si="6"/>
        <v/>
      </c>
      <c r="V43" s="93"/>
      <c r="W43" s="94"/>
      <c r="X43" s="95" t="str">
        <f t="shared" si="7"/>
        <v/>
      </c>
      <c r="Y43" s="94"/>
      <c r="Z43" s="94"/>
      <c r="AA43" s="112" t="str">
        <f t="shared" si="8"/>
        <v/>
      </c>
      <c r="AB43" s="93"/>
      <c r="AC43" s="94"/>
      <c r="AD43" s="95" t="str">
        <f t="shared" si="9"/>
        <v/>
      </c>
      <c r="AE43" s="93"/>
      <c r="AF43" s="94"/>
      <c r="AG43" s="95" t="str">
        <f t="shared" si="10"/>
        <v/>
      </c>
      <c r="AH43" s="93"/>
      <c r="AI43" s="94"/>
      <c r="AJ43" s="95" t="str">
        <f t="shared" si="11"/>
        <v/>
      </c>
      <c r="AK43" s="93"/>
      <c r="AL43" s="94"/>
      <c r="AM43" s="95" t="str">
        <f t="shared" si="12"/>
        <v/>
      </c>
      <c r="AN43" s="93"/>
      <c r="AO43" s="94"/>
      <c r="AP43" s="95" t="str">
        <f t="shared" si="15"/>
        <v/>
      </c>
    </row>
    <row r="44" spans="1:42" x14ac:dyDescent="0.25">
      <c r="A44" s="91">
        <v>46065</v>
      </c>
      <c r="B44" s="92">
        <f t="shared" si="0"/>
        <v>7</v>
      </c>
      <c r="C44" s="92">
        <f t="shared" si="1"/>
        <v>2</v>
      </c>
      <c r="D44" s="93"/>
      <c r="E44" s="94"/>
      <c r="F44" s="95" t="str">
        <f t="shared" si="2"/>
        <v/>
      </c>
      <c r="G44" s="93"/>
      <c r="H44" s="94"/>
      <c r="I44" s="95" t="str">
        <f t="shared" si="16"/>
        <v/>
      </c>
      <c r="J44" s="93"/>
      <c r="K44" s="94"/>
      <c r="L44" s="95" t="str">
        <f t="shared" si="3"/>
        <v/>
      </c>
      <c r="M44" s="93"/>
      <c r="N44" s="94"/>
      <c r="O44" s="95" t="str">
        <f t="shared" si="4"/>
        <v/>
      </c>
      <c r="P44" s="93"/>
      <c r="Q44" s="94"/>
      <c r="R44" s="95" t="str">
        <f t="shared" si="5"/>
        <v/>
      </c>
      <c r="S44" s="93"/>
      <c r="T44" s="94"/>
      <c r="U44" s="95" t="str">
        <f t="shared" si="6"/>
        <v/>
      </c>
      <c r="V44" s="93"/>
      <c r="W44" s="94"/>
      <c r="X44" s="95" t="str">
        <f t="shared" si="7"/>
        <v/>
      </c>
      <c r="Y44" s="94"/>
      <c r="Z44" s="94"/>
      <c r="AA44" s="112" t="str">
        <f t="shared" si="8"/>
        <v/>
      </c>
      <c r="AB44" s="93"/>
      <c r="AC44" s="94"/>
      <c r="AD44" s="95" t="str">
        <f t="shared" si="9"/>
        <v/>
      </c>
      <c r="AE44" s="93"/>
      <c r="AF44" s="94"/>
      <c r="AG44" s="95" t="str">
        <f t="shared" si="10"/>
        <v/>
      </c>
      <c r="AH44" s="93"/>
      <c r="AI44" s="94"/>
      <c r="AJ44" s="95" t="str">
        <f t="shared" si="11"/>
        <v/>
      </c>
      <c r="AK44" s="93"/>
      <c r="AL44" s="94"/>
      <c r="AM44" s="95" t="str">
        <f t="shared" si="12"/>
        <v/>
      </c>
      <c r="AN44" s="93"/>
      <c r="AO44" s="94"/>
      <c r="AP44" s="95" t="str">
        <f t="shared" si="15"/>
        <v/>
      </c>
    </row>
    <row r="45" spans="1:42" x14ac:dyDescent="0.25">
      <c r="A45" s="91">
        <v>46066</v>
      </c>
      <c r="B45" s="92">
        <f t="shared" si="0"/>
        <v>7</v>
      </c>
      <c r="C45" s="92">
        <f t="shared" si="1"/>
        <v>2</v>
      </c>
      <c r="D45" s="93"/>
      <c r="E45" s="94"/>
      <c r="F45" s="95" t="str">
        <f t="shared" si="2"/>
        <v/>
      </c>
      <c r="G45" s="93"/>
      <c r="H45" s="94"/>
      <c r="I45" s="95" t="str">
        <f t="shared" si="16"/>
        <v/>
      </c>
      <c r="J45" s="93"/>
      <c r="K45" s="94"/>
      <c r="L45" s="95" t="str">
        <f t="shared" si="3"/>
        <v/>
      </c>
      <c r="M45" s="93"/>
      <c r="N45" s="94"/>
      <c r="O45" s="95" t="str">
        <f t="shared" si="4"/>
        <v/>
      </c>
      <c r="P45" s="93"/>
      <c r="Q45" s="94"/>
      <c r="R45" s="95" t="str">
        <f t="shared" si="5"/>
        <v/>
      </c>
      <c r="S45" s="93"/>
      <c r="T45" s="94"/>
      <c r="U45" s="95" t="str">
        <f t="shared" si="6"/>
        <v/>
      </c>
      <c r="V45" s="93"/>
      <c r="W45" s="94"/>
      <c r="X45" s="95" t="str">
        <f t="shared" si="7"/>
        <v/>
      </c>
      <c r="Y45" s="94"/>
      <c r="Z45" s="94"/>
      <c r="AA45" s="112" t="str">
        <f t="shared" si="8"/>
        <v/>
      </c>
      <c r="AB45" s="93"/>
      <c r="AC45" s="94"/>
      <c r="AD45" s="95" t="str">
        <f t="shared" si="9"/>
        <v/>
      </c>
      <c r="AE45" s="93"/>
      <c r="AF45" s="94"/>
      <c r="AG45" s="95" t="str">
        <f t="shared" si="10"/>
        <v/>
      </c>
      <c r="AH45" s="93"/>
      <c r="AI45" s="94"/>
      <c r="AJ45" s="95" t="str">
        <f t="shared" si="11"/>
        <v/>
      </c>
      <c r="AK45" s="93"/>
      <c r="AL45" s="94"/>
      <c r="AM45" s="95" t="str">
        <f t="shared" si="12"/>
        <v/>
      </c>
      <c r="AN45" s="93"/>
      <c r="AO45" s="94"/>
      <c r="AP45" s="95" t="str">
        <f t="shared" si="15"/>
        <v/>
      </c>
    </row>
    <row r="46" spans="1:42" x14ac:dyDescent="0.25">
      <c r="A46" s="91">
        <v>46067</v>
      </c>
      <c r="B46" s="92">
        <f t="shared" si="0"/>
        <v>7</v>
      </c>
      <c r="C46" s="92">
        <f t="shared" si="1"/>
        <v>2</v>
      </c>
      <c r="D46" s="93"/>
      <c r="E46" s="94"/>
      <c r="F46" s="95" t="str">
        <f t="shared" si="2"/>
        <v/>
      </c>
      <c r="G46" s="93"/>
      <c r="H46" s="94"/>
      <c r="I46" s="95" t="str">
        <f t="shared" si="16"/>
        <v/>
      </c>
      <c r="J46" s="93"/>
      <c r="K46" s="94"/>
      <c r="L46" s="95" t="str">
        <f t="shared" si="3"/>
        <v/>
      </c>
      <c r="M46" s="93"/>
      <c r="N46" s="94"/>
      <c r="O46" s="95" t="str">
        <f t="shared" si="4"/>
        <v/>
      </c>
      <c r="P46" s="93"/>
      <c r="Q46" s="94"/>
      <c r="R46" s="95" t="str">
        <f t="shared" si="5"/>
        <v/>
      </c>
      <c r="S46" s="93"/>
      <c r="T46" s="94"/>
      <c r="U46" s="95" t="str">
        <f t="shared" si="6"/>
        <v/>
      </c>
      <c r="V46" s="93"/>
      <c r="W46" s="94"/>
      <c r="X46" s="95" t="str">
        <f t="shared" si="7"/>
        <v/>
      </c>
      <c r="Y46" s="94"/>
      <c r="Z46" s="94"/>
      <c r="AA46" s="112" t="str">
        <f t="shared" si="8"/>
        <v/>
      </c>
      <c r="AB46" s="93"/>
      <c r="AC46" s="94"/>
      <c r="AD46" s="95" t="str">
        <f t="shared" si="9"/>
        <v/>
      </c>
      <c r="AE46" s="93"/>
      <c r="AF46" s="94"/>
      <c r="AG46" s="95" t="str">
        <f t="shared" si="10"/>
        <v/>
      </c>
      <c r="AH46" s="93"/>
      <c r="AI46" s="94"/>
      <c r="AJ46" s="95" t="str">
        <f t="shared" si="11"/>
        <v/>
      </c>
      <c r="AK46" s="93"/>
      <c r="AL46" s="94"/>
      <c r="AM46" s="95" t="str">
        <f t="shared" si="12"/>
        <v/>
      </c>
      <c r="AN46" s="93"/>
      <c r="AO46" s="94"/>
      <c r="AP46" s="95" t="str">
        <f t="shared" si="15"/>
        <v/>
      </c>
    </row>
    <row r="47" spans="1:42" x14ac:dyDescent="0.25">
      <c r="A47" s="91">
        <v>46068</v>
      </c>
      <c r="B47" s="92">
        <f t="shared" si="0"/>
        <v>7</v>
      </c>
      <c r="C47" s="92">
        <f t="shared" si="1"/>
        <v>2</v>
      </c>
      <c r="D47" s="93"/>
      <c r="E47" s="94"/>
      <c r="F47" s="95" t="str">
        <f t="shared" si="2"/>
        <v/>
      </c>
      <c r="G47" s="93"/>
      <c r="H47" s="94"/>
      <c r="I47" s="95" t="str">
        <f t="shared" si="16"/>
        <v/>
      </c>
      <c r="J47" s="93"/>
      <c r="K47" s="94"/>
      <c r="L47" s="95" t="str">
        <f t="shared" si="3"/>
        <v/>
      </c>
      <c r="M47" s="93"/>
      <c r="N47" s="94"/>
      <c r="O47" s="95" t="str">
        <f t="shared" si="4"/>
        <v/>
      </c>
      <c r="P47" s="93"/>
      <c r="Q47" s="94"/>
      <c r="R47" s="95" t="str">
        <f t="shared" si="5"/>
        <v/>
      </c>
      <c r="S47" s="93"/>
      <c r="T47" s="94"/>
      <c r="U47" s="95" t="str">
        <f t="shared" si="6"/>
        <v/>
      </c>
      <c r="V47" s="93"/>
      <c r="W47" s="94"/>
      <c r="X47" s="95" t="str">
        <f t="shared" si="7"/>
        <v/>
      </c>
      <c r="Y47" s="94"/>
      <c r="Z47" s="94"/>
      <c r="AA47" s="112" t="str">
        <f t="shared" si="8"/>
        <v/>
      </c>
      <c r="AB47" s="93"/>
      <c r="AC47" s="94"/>
      <c r="AD47" s="95" t="str">
        <f t="shared" si="9"/>
        <v/>
      </c>
      <c r="AE47" s="93"/>
      <c r="AF47" s="94"/>
      <c r="AG47" s="95" t="str">
        <f t="shared" si="10"/>
        <v/>
      </c>
      <c r="AH47" s="93"/>
      <c r="AI47" s="94"/>
      <c r="AJ47" s="95" t="str">
        <f t="shared" si="11"/>
        <v/>
      </c>
      <c r="AK47" s="93"/>
      <c r="AL47" s="94"/>
      <c r="AM47" s="95" t="str">
        <f t="shared" si="12"/>
        <v/>
      </c>
      <c r="AN47" s="93"/>
      <c r="AO47" s="94"/>
      <c r="AP47" s="95" t="str">
        <f t="shared" si="15"/>
        <v/>
      </c>
    </row>
    <row r="48" spans="1:42" x14ac:dyDescent="0.25">
      <c r="A48" s="91">
        <v>46069</v>
      </c>
      <c r="B48" s="92">
        <f t="shared" si="0"/>
        <v>8</v>
      </c>
      <c r="C48" s="92">
        <f t="shared" si="1"/>
        <v>2</v>
      </c>
      <c r="D48" s="93"/>
      <c r="E48" s="94"/>
      <c r="F48" s="95" t="str">
        <f t="shared" si="2"/>
        <v/>
      </c>
      <c r="G48" s="93"/>
      <c r="H48" s="94"/>
      <c r="I48" s="95" t="str">
        <f t="shared" si="16"/>
        <v/>
      </c>
      <c r="J48" s="93"/>
      <c r="K48" s="94"/>
      <c r="L48" s="95" t="str">
        <f t="shared" si="3"/>
        <v/>
      </c>
      <c r="M48" s="93"/>
      <c r="N48" s="94"/>
      <c r="O48" s="95" t="str">
        <f t="shared" si="4"/>
        <v/>
      </c>
      <c r="P48" s="93"/>
      <c r="Q48" s="94"/>
      <c r="R48" s="95" t="str">
        <f t="shared" si="5"/>
        <v/>
      </c>
      <c r="S48" s="93"/>
      <c r="T48" s="94"/>
      <c r="U48" s="95" t="str">
        <f t="shared" si="6"/>
        <v/>
      </c>
      <c r="V48" s="93"/>
      <c r="W48" s="94"/>
      <c r="X48" s="95" t="str">
        <f t="shared" si="7"/>
        <v/>
      </c>
      <c r="Y48" s="94"/>
      <c r="Z48" s="94"/>
      <c r="AA48" s="112" t="str">
        <f t="shared" si="8"/>
        <v/>
      </c>
      <c r="AB48" s="93"/>
      <c r="AC48" s="94"/>
      <c r="AD48" s="95" t="str">
        <f t="shared" si="9"/>
        <v/>
      </c>
      <c r="AE48" s="93"/>
      <c r="AF48" s="94"/>
      <c r="AG48" s="95" t="str">
        <f t="shared" si="10"/>
        <v/>
      </c>
      <c r="AH48" s="93"/>
      <c r="AI48" s="94"/>
      <c r="AJ48" s="95" t="str">
        <f t="shared" si="11"/>
        <v/>
      </c>
      <c r="AK48" s="93"/>
      <c r="AL48" s="94"/>
      <c r="AM48" s="95" t="str">
        <f t="shared" si="12"/>
        <v/>
      </c>
      <c r="AN48" s="93"/>
      <c r="AO48" s="94"/>
      <c r="AP48" s="95" t="str">
        <f t="shared" si="15"/>
        <v/>
      </c>
    </row>
    <row r="49" spans="1:42" x14ac:dyDescent="0.25">
      <c r="A49" s="91">
        <v>46070</v>
      </c>
      <c r="B49" s="92">
        <f t="shared" si="0"/>
        <v>8</v>
      </c>
      <c r="C49" s="92">
        <f t="shared" si="1"/>
        <v>2</v>
      </c>
      <c r="D49" s="93"/>
      <c r="E49" s="94"/>
      <c r="F49" s="95" t="str">
        <f t="shared" si="2"/>
        <v/>
      </c>
      <c r="G49" s="93"/>
      <c r="H49" s="94"/>
      <c r="I49" s="95" t="str">
        <f t="shared" si="16"/>
        <v/>
      </c>
      <c r="J49" s="93"/>
      <c r="K49" s="94"/>
      <c r="L49" s="95" t="str">
        <f t="shared" si="3"/>
        <v/>
      </c>
      <c r="M49" s="93"/>
      <c r="N49" s="94"/>
      <c r="O49" s="95" t="str">
        <f t="shared" si="4"/>
        <v/>
      </c>
      <c r="P49" s="93"/>
      <c r="Q49" s="94"/>
      <c r="R49" s="95" t="str">
        <f t="shared" si="5"/>
        <v/>
      </c>
      <c r="S49" s="93"/>
      <c r="T49" s="94"/>
      <c r="U49" s="95" t="str">
        <f t="shared" si="6"/>
        <v/>
      </c>
      <c r="V49" s="93"/>
      <c r="W49" s="94"/>
      <c r="X49" s="95" t="str">
        <f t="shared" si="7"/>
        <v/>
      </c>
      <c r="Y49" s="94"/>
      <c r="Z49" s="94"/>
      <c r="AA49" s="112" t="str">
        <f t="shared" si="8"/>
        <v/>
      </c>
      <c r="AB49" s="93"/>
      <c r="AC49" s="94"/>
      <c r="AD49" s="95" t="str">
        <f t="shared" si="9"/>
        <v/>
      </c>
      <c r="AE49" s="93"/>
      <c r="AF49" s="94"/>
      <c r="AG49" s="95" t="str">
        <f t="shared" si="10"/>
        <v/>
      </c>
      <c r="AH49" s="93"/>
      <c r="AI49" s="94"/>
      <c r="AJ49" s="95" t="str">
        <f t="shared" si="11"/>
        <v/>
      </c>
      <c r="AK49" s="93"/>
      <c r="AL49" s="94"/>
      <c r="AM49" s="95" t="str">
        <f t="shared" si="12"/>
        <v/>
      </c>
      <c r="AN49" s="93"/>
      <c r="AO49" s="94"/>
      <c r="AP49" s="95" t="str">
        <f t="shared" si="15"/>
        <v/>
      </c>
    </row>
    <row r="50" spans="1:42" x14ac:dyDescent="0.25">
      <c r="A50" s="91">
        <v>46071</v>
      </c>
      <c r="B50" s="92">
        <f t="shared" si="0"/>
        <v>8</v>
      </c>
      <c r="C50" s="92">
        <f t="shared" si="1"/>
        <v>2</v>
      </c>
      <c r="D50" s="93"/>
      <c r="E50" s="94"/>
      <c r="F50" s="95" t="str">
        <f t="shared" si="2"/>
        <v/>
      </c>
      <c r="G50" s="93"/>
      <c r="H50" s="94"/>
      <c r="I50" s="95" t="str">
        <f t="shared" si="16"/>
        <v/>
      </c>
      <c r="J50" s="93"/>
      <c r="K50" s="94"/>
      <c r="L50" s="95" t="str">
        <f t="shared" si="3"/>
        <v/>
      </c>
      <c r="M50" s="93"/>
      <c r="N50" s="94"/>
      <c r="O50" s="95" t="str">
        <f t="shared" si="4"/>
        <v/>
      </c>
      <c r="P50" s="93"/>
      <c r="Q50" s="94"/>
      <c r="R50" s="95" t="str">
        <f t="shared" si="5"/>
        <v/>
      </c>
      <c r="S50" s="93"/>
      <c r="T50" s="94"/>
      <c r="U50" s="95" t="str">
        <f t="shared" si="6"/>
        <v/>
      </c>
      <c r="V50" s="93"/>
      <c r="W50" s="94"/>
      <c r="X50" s="95" t="str">
        <f t="shared" si="7"/>
        <v/>
      </c>
      <c r="Y50" s="94"/>
      <c r="Z50" s="94"/>
      <c r="AA50" s="112" t="str">
        <f t="shared" si="8"/>
        <v/>
      </c>
      <c r="AB50" s="93"/>
      <c r="AC50" s="94"/>
      <c r="AD50" s="95" t="str">
        <f t="shared" si="9"/>
        <v/>
      </c>
      <c r="AE50" s="93"/>
      <c r="AF50" s="94"/>
      <c r="AG50" s="95" t="str">
        <f t="shared" si="10"/>
        <v/>
      </c>
      <c r="AH50" s="93"/>
      <c r="AI50" s="94"/>
      <c r="AJ50" s="95" t="str">
        <f t="shared" si="11"/>
        <v/>
      </c>
      <c r="AK50" s="93"/>
      <c r="AL50" s="94"/>
      <c r="AM50" s="95" t="str">
        <f t="shared" si="12"/>
        <v/>
      </c>
      <c r="AN50" s="93"/>
      <c r="AO50" s="94"/>
      <c r="AP50" s="95" t="str">
        <f t="shared" si="15"/>
        <v/>
      </c>
    </row>
    <row r="51" spans="1:42" x14ac:dyDescent="0.25">
      <c r="A51" s="91">
        <v>46072</v>
      </c>
      <c r="B51" s="92">
        <f t="shared" si="0"/>
        <v>8</v>
      </c>
      <c r="C51" s="92">
        <f t="shared" si="1"/>
        <v>2</v>
      </c>
      <c r="D51" s="93"/>
      <c r="E51" s="94"/>
      <c r="F51" s="95" t="str">
        <f t="shared" si="2"/>
        <v/>
      </c>
      <c r="G51" s="93"/>
      <c r="H51" s="94"/>
      <c r="I51" s="95" t="str">
        <f t="shared" si="16"/>
        <v/>
      </c>
      <c r="J51" s="93"/>
      <c r="K51" s="94"/>
      <c r="L51" s="95" t="str">
        <f t="shared" si="3"/>
        <v/>
      </c>
      <c r="M51" s="93"/>
      <c r="N51" s="94"/>
      <c r="O51" s="95" t="str">
        <f t="shared" si="4"/>
        <v/>
      </c>
      <c r="P51" s="93"/>
      <c r="Q51" s="94"/>
      <c r="R51" s="95" t="str">
        <f t="shared" si="5"/>
        <v/>
      </c>
      <c r="S51" s="93"/>
      <c r="T51" s="94"/>
      <c r="U51" s="95" t="str">
        <f t="shared" si="6"/>
        <v/>
      </c>
      <c r="V51" s="93"/>
      <c r="W51" s="94"/>
      <c r="X51" s="95" t="str">
        <f t="shared" si="7"/>
        <v/>
      </c>
      <c r="Y51" s="94"/>
      <c r="Z51" s="94"/>
      <c r="AA51" s="112" t="str">
        <f t="shared" si="8"/>
        <v/>
      </c>
      <c r="AB51" s="93"/>
      <c r="AC51" s="94"/>
      <c r="AD51" s="95" t="str">
        <f t="shared" si="9"/>
        <v/>
      </c>
      <c r="AE51" s="93"/>
      <c r="AF51" s="94"/>
      <c r="AG51" s="95" t="str">
        <f t="shared" si="10"/>
        <v/>
      </c>
      <c r="AH51" s="93"/>
      <c r="AI51" s="94"/>
      <c r="AJ51" s="95" t="str">
        <f t="shared" si="11"/>
        <v/>
      </c>
      <c r="AK51" s="93"/>
      <c r="AL51" s="94"/>
      <c r="AM51" s="95" t="str">
        <f t="shared" si="12"/>
        <v/>
      </c>
      <c r="AN51" s="93"/>
      <c r="AO51" s="94"/>
      <c r="AP51" s="95" t="str">
        <f t="shared" si="15"/>
        <v/>
      </c>
    </row>
    <row r="52" spans="1:42" x14ac:dyDescent="0.25">
      <c r="A52" s="91">
        <v>46073</v>
      </c>
      <c r="B52" s="92">
        <f t="shared" si="0"/>
        <v>8</v>
      </c>
      <c r="C52" s="92">
        <f t="shared" si="1"/>
        <v>2</v>
      </c>
      <c r="D52" s="93"/>
      <c r="E52" s="94"/>
      <c r="F52" s="95" t="str">
        <f t="shared" si="2"/>
        <v/>
      </c>
      <c r="G52" s="93"/>
      <c r="H52" s="94"/>
      <c r="I52" s="95" t="str">
        <f t="shared" si="16"/>
        <v/>
      </c>
      <c r="J52" s="93"/>
      <c r="K52" s="94"/>
      <c r="L52" s="95" t="str">
        <f t="shared" si="3"/>
        <v/>
      </c>
      <c r="M52" s="93"/>
      <c r="N52" s="94"/>
      <c r="O52" s="95" t="str">
        <f t="shared" si="4"/>
        <v/>
      </c>
      <c r="P52" s="93"/>
      <c r="Q52" s="94"/>
      <c r="R52" s="95" t="str">
        <f t="shared" si="5"/>
        <v/>
      </c>
      <c r="S52" s="93"/>
      <c r="T52" s="94"/>
      <c r="U52" s="95" t="str">
        <f t="shared" si="6"/>
        <v/>
      </c>
      <c r="V52" s="93"/>
      <c r="W52" s="94"/>
      <c r="X52" s="95" t="str">
        <f t="shared" si="7"/>
        <v/>
      </c>
      <c r="Y52" s="94"/>
      <c r="Z52" s="94"/>
      <c r="AA52" s="112" t="str">
        <f t="shared" si="8"/>
        <v/>
      </c>
      <c r="AB52" s="93"/>
      <c r="AC52" s="94"/>
      <c r="AD52" s="95" t="str">
        <f t="shared" si="9"/>
        <v/>
      </c>
      <c r="AE52" s="93"/>
      <c r="AF52" s="94"/>
      <c r="AG52" s="95" t="str">
        <f t="shared" si="10"/>
        <v/>
      </c>
      <c r="AH52" s="93"/>
      <c r="AI52" s="94"/>
      <c r="AJ52" s="95" t="str">
        <f t="shared" si="11"/>
        <v/>
      </c>
      <c r="AK52" s="93"/>
      <c r="AL52" s="94"/>
      <c r="AM52" s="95" t="str">
        <f t="shared" si="12"/>
        <v/>
      </c>
      <c r="AN52" s="93"/>
      <c r="AO52" s="94"/>
      <c r="AP52" s="95" t="str">
        <f t="shared" si="15"/>
        <v/>
      </c>
    </row>
    <row r="53" spans="1:42" x14ac:dyDescent="0.25">
      <c r="A53" s="91">
        <v>46074</v>
      </c>
      <c r="B53" s="92">
        <f t="shared" si="0"/>
        <v>8</v>
      </c>
      <c r="C53" s="92">
        <f t="shared" si="1"/>
        <v>2</v>
      </c>
      <c r="D53" s="93"/>
      <c r="E53" s="94"/>
      <c r="F53" s="95" t="str">
        <f t="shared" si="2"/>
        <v/>
      </c>
      <c r="G53" s="93"/>
      <c r="H53" s="94"/>
      <c r="I53" s="95" t="str">
        <f t="shared" si="16"/>
        <v/>
      </c>
      <c r="J53" s="93"/>
      <c r="K53" s="94"/>
      <c r="L53" s="95" t="str">
        <f t="shared" si="3"/>
        <v/>
      </c>
      <c r="M53" s="93"/>
      <c r="N53" s="94"/>
      <c r="O53" s="95" t="str">
        <f t="shared" si="4"/>
        <v/>
      </c>
      <c r="P53" s="93"/>
      <c r="Q53" s="94"/>
      <c r="R53" s="95" t="str">
        <f t="shared" si="5"/>
        <v/>
      </c>
      <c r="S53" s="93"/>
      <c r="T53" s="94"/>
      <c r="U53" s="95" t="str">
        <f t="shared" si="6"/>
        <v/>
      </c>
      <c r="V53" s="93"/>
      <c r="W53" s="94"/>
      <c r="X53" s="95" t="str">
        <f t="shared" si="7"/>
        <v/>
      </c>
      <c r="Y53" s="94"/>
      <c r="Z53" s="94"/>
      <c r="AA53" s="112" t="str">
        <f t="shared" si="8"/>
        <v/>
      </c>
      <c r="AB53" s="93"/>
      <c r="AC53" s="94"/>
      <c r="AD53" s="95" t="str">
        <f t="shared" si="9"/>
        <v/>
      </c>
      <c r="AE53" s="93"/>
      <c r="AF53" s="94"/>
      <c r="AG53" s="95" t="str">
        <f t="shared" si="10"/>
        <v/>
      </c>
      <c r="AH53" s="93"/>
      <c r="AI53" s="94"/>
      <c r="AJ53" s="95" t="str">
        <f t="shared" si="11"/>
        <v/>
      </c>
      <c r="AK53" s="93"/>
      <c r="AL53" s="94"/>
      <c r="AM53" s="95" t="str">
        <f t="shared" si="12"/>
        <v/>
      </c>
      <c r="AN53" s="93"/>
      <c r="AO53" s="94"/>
      <c r="AP53" s="95" t="str">
        <f t="shared" si="15"/>
        <v/>
      </c>
    </row>
    <row r="54" spans="1:42" x14ac:dyDescent="0.25">
      <c r="A54" s="91">
        <v>46075</v>
      </c>
      <c r="B54" s="92">
        <f t="shared" si="0"/>
        <v>8</v>
      </c>
      <c r="C54" s="92">
        <f t="shared" si="1"/>
        <v>2</v>
      </c>
      <c r="D54" s="93"/>
      <c r="E54" s="94"/>
      <c r="F54" s="95" t="str">
        <f t="shared" si="2"/>
        <v/>
      </c>
      <c r="G54" s="93"/>
      <c r="H54" s="94"/>
      <c r="I54" s="95" t="str">
        <f t="shared" si="16"/>
        <v/>
      </c>
      <c r="J54" s="93"/>
      <c r="K54" s="94"/>
      <c r="L54" s="95" t="str">
        <f t="shared" si="3"/>
        <v/>
      </c>
      <c r="M54" s="93"/>
      <c r="N54" s="94"/>
      <c r="O54" s="95" t="str">
        <f t="shared" si="4"/>
        <v/>
      </c>
      <c r="P54" s="93"/>
      <c r="Q54" s="94"/>
      <c r="R54" s="95" t="str">
        <f t="shared" si="5"/>
        <v/>
      </c>
      <c r="S54" s="93"/>
      <c r="T54" s="94"/>
      <c r="U54" s="95" t="str">
        <f t="shared" si="6"/>
        <v/>
      </c>
      <c r="V54" s="93"/>
      <c r="W54" s="94"/>
      <c r="X54" s="95" t="str">
        <f t="shared" si="7"/>
        <v/>
      </c>
      <c r="Y54" s="94"/>
      <c r="Z54" s="94"/>
      <c r="AA54" s="112" t="str">
        <f t="shared" si="8"/>
        <v/>
      </c>
      <c r="AB54" s="93"/>
      <c r="AC54" s="94"/>
      <c r="AD54" s="95" t="str">
        <f t="shared" si="9"/>
        <v/>
      </c>
      <c r="AE54" s="93"/>
      <c r="AF54" s="94"/>
      <c r="AG54" s="95" t="str">
        <f t="shared" si="10"/>
        <v/>
      </c>
      <c r="AH54" s="93"/>
      <c r="AI54" s="94"/>
      <c r="AJ54" s="95" t="str">
        <f t="shared" si="11"/>
        <v/>
      </c>
      <c r="AK54" s="93"/>
      <c r="AL54" s="94"/>
      <c r="AM54" s="95" t="str">
        <f t="shared" si="12"/>
        <v/>
      </c>
      <c r="AN54" s="93"/>
      <c r="AO54" s="94"/>
      <c r="AP54" s="95" t="str">
        <f t="shared" si="15"/>
        <v/>
      </c>
    </row>
    <row r="55" spans="1:42" x14ac:dyDescent="0.25">
      <c r="A55" s="91">
        <v>46076</v>
      </c>
      <c r="B55" s="92">
        <f t="shared" si="0"/>
        <v>9</v>
      </c>
      <c r="C55" s="92">
        <f t="shared" si="1"/>
        <v>2</v>
      </c>
      <c r="D55" s="93"/>
      <c r="E55" s="94"/>
      <c r="F55" s="95" t="str">
        <f t="shared" si="2"/>
        <v/>
      </c>
      <c r="G55" s="93"/>
      <c r="H55" s="94"/>
      <c r="I55" s="95" t="str">
        <f t="shared" si="16"/>
        <v/>
      </c>
      <c r="J55" s="93"/>
      <c r="K55" s="94"/>
      <c r="L55" s="95" t="str">
        <f t="shared" si="3"/>
        <v/>
      </c>
      <c r="M55" s="93"/>
      <c r="N55" s="94"/>
      <c r="O55" s="95" t="str">
        <f t="shared" si="4"/>
        <v/>
      </c>
      <c r="P55" s="93"/>
      <c r="Q55" s="94"/>
      <c r="R55" s="95" t="str">
        <f t="shared" si="5"/>
        <v/>
      </c>
      <c r="S55" s="93"/>
      <c r="T55" s="94"/>
      <c r="U55" s="95" t="str">
        <f t="shared" si="6"/>
        <v/>
      </c>
      <c r="V55" s="93"/>
      <c r="W55" s="94"/>
      <c r="X55" s="95" t="str">
        <f t="shared" si="7"/>
        <v/>
      </c>
      <c r="Y55" s="94"/>
      <c r="Z55" s="94"/>
      <c r="AA55" s="112" t="str">
        <f t="shared" si="8"/>
        <v/>
      </c>
      <c r="AB55" s="93"/>
      <c r="AC55" s="94"/>
      <c r="AD55" s="95" t="str">
        <f t="shared" si="9"/>
        <v/>
      </c>
      <c r="AE55" s="93"/>
      <c r="AF55" s="94"/>
      <c r="AG55" s="95" t="str">
        <f t="shared" si="10"/>
        <v/>
      </c>
      <c r="AH55" s="93"/>
      <c r="AI55" s="94"/>
      <c r="AJ55" s="95" t="str">
        <f t="shared" si="11"/>
        <v/>
      </c>
      <c r="AK55" s="93"/>
      <c r="AL55" s="94"/>
      <c r="AM55" s="95" t="str">
        <f t="shared" si="12"/>
        <v/>
      </c>
      <c r="AN55" s="93"/>
      <c r="AO55" s="94"/>
      <c r="AP55" s="95" t="str">
        <f t="shared" si="15"/>
        <v/>
      </c>
    </row>
    <row r="56" spans="1:42" x14ac:dyDescent="0.25">
      <c r="A56" s="91">
        <v>46077</v>
      </c>
      <c r="B56" s="92">
        <f t="shared" si="0"/>
        <v>9</v>
      </c>
      <c r="C56" s="92">
        <f t="shared" si="1"/>
        <v>2</v>
      </c>
      <c r="D56" s="93"/>
      <c r="E56" s="94"/>
      <c r="F56" s="95" t="str">
        <f t="shared" si="2"/>
        <v/>
      </c>
      <c r="G56" s="93"/>
      <c r="H56" s="94"/>
      <c r="I56" s="95" t="str">
        <f t="shared" si="16"/>
        <v/>
      </c>
      <c r="J56" s="93"/>
      <c r="K56" s="94"/>
      <c r="L56" s="95" t="str">
        <f t="shared" si="3"/>
        <v/>
      </c>
      <c r="M56" s="93"/>
      <c r="N56" s="94"/>
      <c r="O56" s="95" t="str">
        <f t="shared" si="4"/>
        <v/>
      </c>
      <c r="P56" s="93"/>
      <c r="Q56" s="94"/>
      <c r="R56" s="95" t="str">
        <f t="shared" si="5"/>
        <v/>
      </c>
      <c r="S56" s="93"/>
      <c r="T56" s="94"/>
      <c r="U56" s="95" t="str">
        <f t="shared" si="6"/>
        <v/>
      </c>
      <c r="V56" s="93"/>
      <c r="W56" s="94"/>
      <c r="X56" s="95" t="str">
        <f t="shared" si="7"/>
        <v/>
      </c>
      <c r="Y56" s="94"/>
      <c r="Z56" s="94"/>
      <c r="AA56" s="112" t="str">
        <f t="shared" si="8"/>
        <v/>
      </c>
      <c r="AB56" s="93"/>
      <c r="AC56" s="94"/>
      <c r="AD56" s="95" t="str">
        <f t="shared" si="9"/>
        <v/>
      </c>
      <c r="AE56" s="93"/>
      <c r="AF56" s="94"/>
      <c r="AG56" s="95" t="str">
        <f t="shared" si="10"/>
        <v/>
      </c>
      <c r="AH56" s="93"/>
      <c r="AI56" s="94"/>
      <c r="AJ56" s="95" t="str">
        <f t="shared" si="11"/>
        <v/>
      </c>
      <c r="AK56" s="93"/>
      <c r="AL56" s="94"/>
      <c r="AM56" s="95" t="str">
        <f t="shared" si="12"/>
        <v/>
      </c>
      <c r="AN56" s="93"/>
      <c r="AO56" s="94"/>
      <c r="AP56" s="95" t="str">
        <f t="shared" si="15"/>
        <v/>
      </c>
    </row>
    <row r="57" spans="1:42" x14ac:dyDescent="0.25">
      <c r="A57" s="91">
        <v>46078</v>
      </c>
      <c r="B57" s="92">
        <f t="shared" si="0"/>
        <v>9</v>
      </c>
      <c r="C57" s="92">
        <f t="shared" si="1"/>
        <v>2</v>
      </c>
      <c r="D57" s="93"/>
      <c r="E57" s="94"/>
      <c r="F57" s="95" t="str">
        <f t="shared" si="2"/>
        <v/>
      </c>
      <c r="G57" s="93"/>
      <c r="H57" s="94"/>
      <c r="I57" s="95" t="str">
        <f t="shared" si="16"/>
        <v/>
      </c>
      <c r="J57" s="93"/>
      <c r="K57" s="94"/>
      <c r="L57" s="95" t="str">
        <f t="shared" si="3"/>
        <v/>
      </c>
      <c r="M57" s="93"/>
      <c r="N57" s="94"/>
      <c r="O57" s="95" t="str">
        <f t="shared" si="4"/>
        <v/>
      </c>
      <c r="P57" s="93"/>
      <c r="Q57" s="94"/>
      <c r="R57" s="95" t="str">
        <f t="shared" si="5"/>
        <v/>
      </c>
      <c r="S57" s="93"/>
      <c r="T57" s="94"/>
      <c r="U57" s="95" t="str">
        <f t="shared" si="6"/>
        <v/>
      </c>
      <c r="V57" s="93"/>
      <c r="W57" s="94"/>
      <c r="X57" s="95" t="str">
        <f t="shared" si="7"/>
        <v/>
      </c>
      <c r="Y57" s="94"/>
      <c r="Z57" s="94"/>
      <c r="AA57" s="112" t="str">
        <f t="shared" si="8"/>
        <v/>
      </c>
      <c r="AB57" s="93"/>
      <c r="AC57" s="94"/>
      <c r="AD57" s="95" t="str">
        <f t="shared" si="9"/>
        <v/>
      </c>
      <c r="AE57" s="93"/>
      <c r="AF57" s="94"/>
      <c r="AG57" s="95" t="str">
        <f t="shared" si="10"/>
        <v/>
      </c>
      <c r="AH57" s="93"/>
      <c r="AI57" s="94"/>
      <c r="AJ57" s="95" t="str">
        <f t="shared" si="11"/>
        <v/>
      </c>
      <c r="AK57" s="93"/>
      <c r="AL57" s="94"/>
      <c r="AM57" s="95" t="str">
        <f t="shared" si="12"/>
        <v/>
      </c>
      <c r="AN57" s="93"/>
      <c r="AO57" s="94"/>
      <c r="AP57" s="95" t="str">
        <f t="shared" si="15"/>
        <v/>
      </c>
    </row>
    <row r="58" spans="1:42" x14ac:dyDescent="0.25">
      <c r="A58" s="91">
        <v>46079</v>
      </c>
      <c r="B58" s="92">
        <f t="shared" si="0"/>
        <v>9</v>
      </c>
      <c r="C58" s="92">
        <f t="shared" si="1"/>
        <v>2</v>
      </c>
      <c r="D58" s="93"/>
      <c r="E58" s="94"/>
      <c r="F58" s="95" t="str">
        <f t="shared" si="2"/>
        <v/>
      </c>
      <c r="G58" s="93"/>
      <c r="H58" s="94"/>
      <c r="I58" s="95" t="str">
        <f t="shared" si="16"/>
        <v/>
      </c>
      <c r="J58" s="93"/>
      <c r="K58" s="94"/>
      <c r="L58" s="95" t="str">
        <f t="shared" si="3"/>
        <v/>
      </c>
      <c r="M58" s="93"/>
      <c r="N58" s="94"/>
      <c r="O58" s="95" t="str">
        <f t="shared" si="4"/>
        <v/>
      </c>
      <c r="P58" s="93"/>
      <c r="Q58" s="94"/>
      <c r="R58" s="95" t="str">
        <f t="shared" si="5"/>
        <v/>
      </c>
      <c r="S58" s="93"/>
      <c r="T58" s="94"/>
      <c r="U58" s="95" t="str">
        <f t="shared" si="6"/>
        <v/>
      </c>
      <c r="V58" s="93"/>
      <c r="W58" s="94"/>
      <c r="X58" s="95" t="str">
        <f t="shared" si="7"/>
        <v/>
      </c>
      <c r="Y58" s="94"/>
      <c r="Z58" s="94"/>
      <c r="AA58" s="112" t="str">
        <f t="shared" si="8"/>
        <v/>
      </c>
      <c r="AB58" s="93"/>
      <c r="AC58" s="94"/>
      <c r="AD58" s="95" t="str">
        <f t="shared" si="9"/>
        <v/>
      </c>
      <c r="AE58" s="93"/>
      <c r="AF58" s="94"/>
      <c r="AG58" s="95" t="str">
        <f t="shared" si="10"/>
        <v/>
      </c>
      <c r="AH58" s="93"/>
      <c r="AI58" s="94"/>
      <c r="AJ58" s="95" t="str">
        <f t="shared" si="11"/>
        <v/>
      </c>
      <c r="AK58" s="93"/>
      <c r="AL58" s="94"/>
      <c r="AM58" s="95" t="str">
        <f t="shared" si="12"/>
        <v/>
      </c>
      <c r="AN58" s="93"/>
      <c r="AO58" s="94"/>
      <c r="AP58" s="95" t="str">
        <f t="shared" si="15"/>
        <v/>
      </c>
    </row>
    <row r="59" spans="1:42" x14ac:dyDescent="0.25">
      <c r="A59" s="91">
        <v>46080</v>
      </c>
      <c r="B59" s="92">
        <f t="shared" si="0"/>
        <v>9</v>
      </c>
      <c r="C59" s="92">
        <f t="shared" si="1"/>
        <v>2</v>
      </c>
      <c r="D59" s="93"/>
      <c r="E59" s="94"/>
      <c r="F59" s="95" t="str">
        <f t="shared" si="2"/>
        <v/>
      </c>
      <c r="G59" s="93"/>
      <c r="H59" s="94"/>
      <c r="I59" s="95" t="str">
        <f t="shared" si="16"/>
        <v/>
      </c>
      <c r="J59" s="93"/>
      <c r="K59" s="94"/>
      <c r="L59" s="95" t="str">
        <f t="shared" si="3"/>
        <v/>
      </c>
      <c r="M59" s="93"/>
      <c r="N59" s="94"/>
      <c r="O59" s="95" t="str">
        <f t="shared" si="4"/>
        <v/>
      </c>
      <c r="P59" s="93"/>
      <c r="Q59" s="94"/>
      <c r="R59" s="95" t="str">
        <f t="shared" si="5"/>
        <v/>
      </c>
      <c r="S59" s="93"/>
      <c r="T59" s="94"/>
      <c r="U59" s="95" t="str">
        <f t="shared" si="6"/>
        <v/>
      </c>
      <c r="V59" s="93"/>
      <c r="W59" s="94"/>
      <c r="X59" s="95" t="str">
        <f t="shared" si="7"/>
        <v/>
      </c>
      <c r="Y59" s="94"/>
      <c r="Z59" s="94"/>
      <c r="AA59" s="112" t="str">
        <f t="shared" si="8"/>
        <v/>
      </c>
      <c r="AB59" s="93"/>
      <c r="AC59" s="94"/>
      <c r="AD59" s="95" t="str">
        <f t="shared" si="9"/>
        <v/>
      </c>
      <c r="AE59" s="93"/>
      <c r="AF59" s="94"/>
      <c r="AG59" s="95" t="str">
        <f t="shared" si="10"/>
        <v/>
      </c>
      <c r="AH59" s="93"/>
      <c r="AI59" s="94"/>
      <c r="AJ59" s="95" t="str">
        <f t="shared" si="11"/>
        <v/>
      </c>
      <c r="AK59" s="93"/>
      <c r="AL59" s="94"/>
      <c r="AM59" s="95" t="str">
        <f t="shared" si="12"/>
        <v/>
      </c>
      <c r="AN59" s="93"/>
      <c r="AO59" s="94"/>
      <c r="AP59" s="95" t="str">
        <f t="shared" si="15"/>
        <v/>
      </c>
    </row>
    <row r="60" spans="1:42" x14ac:dyDescent="0.25">
      <c r="A60" s="91">
        <v>46081</v>
      </c>
      <c r="B60" s="92">
        <f t="shared" si="0"/>
        <v>9</v>
      </c>
      <c r="C60" s="92">
        <f t="shared" si="1"/>
        <v>2</v>
      </c>
      <c r="D60" s="93"/>
      <c r="E60" s="94"/>
      <c r="F60" s="95" t="str">
        <f t="shared" si="2"/>
        <v/>
      </c>
      <c r="G60" s="93"/>
      <c r="H60" s="94"/>
      <c r="I60" s="95" t="str">
        <f t="shared" si="16"/>
        <v/>
      </c>
      <c r="J60" s="93"/>
      <c r="K60" s="94"/>
      <c r="L60" s="95" t="str">
        <f t="shared" si="3"/>
        <v/>
      </c>
      <c r="M60" s="93"/>
      <c r="N60" s="94"/>
      <c r="O60" s="95" t="str">
        <f t="shared" si="4"/>
        <v/>
      </c>
      <c r="P60" s="93"/>
      <c r="Q60" s="94"/>
      <c r="R60" s="95" t="str">
        <f t="shared" si="5"/>
        <v/>
      </c>
      <c r="S60" s="93"/>
      <c r="T60" s="94"/>
      <c r="U60" s="95" t="str">
        <f t="shared" si="6"/>
        <v/>
      </c>
      <c r="V60" s="93"/>
      <c r="W60" s="94"/>
      <c r="X60" s="95" t="str">
        <f t="shared" si="7"/>
        <v/>
      </c>
      <c r="Y60" s="94"/>
      <c r="Z60" s="94"/>
      <c r="AA60" s="112" t="str">
        <f t="shared" si="8"/>
        <v/>
      </c>
      <c r="AB60" s="93"/>
      <c r="AC60" s="94"/>
      <c r="AD60" s="95" t="str">
        <f t="shared" si="9"/>
        <v/>
      </c>
      <c r="AE60" s="93"/>
      <c r="AF60" s="94"/>
      <c r="AG60" s="95" t="str">
        <f t="shared" si="10"/>
        <v/>
      </c>
      <c r="AH60" s="93"/>
      <c r="AI60" s="94"/>
      <c r="AJ60" s="95" t="str">
        <f t="shared" si="11"/>
        <v/>
      </c>
      <c r="AK60" s="93"/>
      <c r="AL60" s="94"/>
      <c r="AM60" s="95" t="str">
        <f t="shared" si="12"/>
        <v/>
      </c>
      <c r="AN60" s="93"/>
      <c r="AO60" s="94"/>
      <c r="AP60" s="95" t="str">
        <f t="shared" si="15"/>
        <v/>
      </c>
    </row>
    <row r="61" spans="1:42" x14ac:dyDescent="0.25">
      <c r="A61" s="91">
        <v>46082</v>
      </c>
      <c r="B61" s="92">
        <f t="shared" si="0"/>
        <v>9</v>
      </c>
      <c r="C61" s="92">
        <f t="shared" si="1"/>
        <v>3</v>
      </c>
      <c r="D61" s="93"/>
      <c r="E61" s="94"/>
      <c r="F61" s="95" t="str">
        <f t="shared" si="2"/>
        <v/>
      </c>
      <c r="G61" s="93"/>
      <c r="H61" s="94"/>
      <c r="I61" s="95" t="str">
        <f t="shared" si="16"/>
        <v/>
      </c>
      <c r="J61" s="93"/>
      <c r="K61" s="94"/>
      <c r="L61" s="95" t="str">
        <f t="shared" si="3"/>
        <v/>
      </c>
      <c r="M61" s="93"/>
      <c r="N61" s="94"/>
      <c r="O61" s="95" t="str">
        <f t="shared" si="4"/>
        <v/>
      </c>
      <c r="P61" s="93"/>
      <c r="Q61" s="94"/>
      <c r="R61" s="95" t="str">
        <f t="shared" si="5"/>
        <v/>
      </c>
      <c r="S61" s="93"/>
      <c r="T61" s="94"/>
      <c r="U61" s="95" t="str">
        <f t="shared" si="6"/>
        <v/>
      </c>
      <c r="V61" s="93"/>
      <c r="W61" s="94"/>
      <c r="X61" s="95" t="str">
        <f t="shared" si="7"/>
        <v/>
      </c>
      <c r="Y61" s="94"/>
      <c r="Z61" s="94"/>
      <c r="AA61" s="112" t="str">
        <f t="shared" si="8"/>
        <v/>
      </c>
      <c r="AB61" s="93"/>
      <c r="AC61" s="94"/>
      <c r="AD61" s="95" t="str">
        <f t="shared" si="9"/>
        <v/>
      </c>
      <c r="AE61" s="93"/>
      <c r="AF61" s="94"/>
      <c r="AG61" s="95" t="str">
        <f t="shared" si="10"/>
        <v/>
      </c>
      <c r="AH61" s="93"/>
      <c r="AI61" s="94"/>
      <c r="AJ61" s="95" t="str">
        <f t="shared" si="11"/>
        <v/>
      </c>
      <c r="AK61" s="93"/>
      <c r="AL61" s="94"/>
      <c r="AM61" s="95" t="str">
        <f t="shared" si="12"/>
        <v/>
      </c>
      <c r="AN61" s="93"/>
      <c r="AO61" s="94"/>
      <c r="AP61" s="95" t="str">
        <f t="shared" si="15"/>
        <v/>
      </c>
    </row>
    <row r="62" spans="1:42" x14ac:dyDescent="0.25">
      <c r="A62" s="91">
        <v>46083</v>
      </c>
      <c r="B62" s="92">
        <f t="shared" si="0"/>
        <v>10</v>
      </c>
      <c r="C62" s="92">
        <f t="shared" si="1"/>
        <v>3</v>
      </c>
      <c r="D62" s="93">
        <v>10410</v>
      </c>
      <c r="E62" s="94">
        <v>12051</v>
      </c>
      <c r="F62" s="95">
        <f t="shared" si="2"/>
        <v>1.1576368876080692</v>
      </c>
      <c r="G62" s="93">
        <v>0</v>
      </c>
      <c r="H62" s="94">
        <v>0</v>
      </c>
      <c r="I62" s="95" t="str">
        <f t="shared" si="16"/>
        <v/>
      </c>
      <c r="J62" s="93">
        <v>0</v>
      </c>
      <c r="K62" s="94">
        <v>0</v>
      </c>
      <c r="L62" s="95" t="str">
        <f t="shared" si="3"/>
        <v/>
      </c>
      <c r="M62" s="93">
        <v>1</v>
      </c>
      <c r="N62" s="94">
        <v>1</v>
      </c>
      <c r="O62" s="95">
        <f t="shared" si="4"/>
        <v>1</v>
      </c>
      <c r="P62" s="93">
        <v>3</v>
      </c>
      <c r="Q62" s="94">
        <v>3</v>
      </c>
      <c r="R62" s="95">
        <f t="shared" si="5"/>
        <v>1</v>
      </c>
      <c r="S62" s="93">
        <v>10918</v>
      </c>
      <c r="T62" s="94">
        <v>5605</v>
      </c>
      <c r="U62" s="95">
        <f t="shared" si="6"/>
        <v>0.5133724125297674</v>
      </c>
      <c r="V62" s="93">
        <v>400</v>
      </c>
      <c r="W62" s="94">
        <v>14</v>
      </c>
      <c r="X62" s="95">
        <f t="shared" si="7"/>
        <v>3.5000000000000003E-2</v>
      </c>
      <c r="Y62" s="94">
        <v>0</v>
      </c>
      <c r="Z62" s="94">
        <v>0</v>
      </c>
      <c r="AA62" s="112" t="str">
        <f t="shared" si="8"/>
        <v/>
      </c>
      <c r="AB62" s="93">
        <v>200000</v>
      </c>
      <c r="AC62" s="94">
        <v>210680</v>
      </c>
      <c r="AD62" s="95">
        <f t="shared" si="9"/>
        <v>1.0533999999999999</v>
      </c>
      <c r="AE62" s="93">
        <v>200000</v>
      </c>
      <c r="AF62" s="94">
        <v>210680</v>
      </c>
      <c r="AG62" s="95">
        <f t="shared" si="10"/>
        <v>1.0533999999999999</v>
      </c>
      <c r="AH62" s="93">
        <v>280</v>
      </c>
      <c r="AI62" s="94">
        <v>280.14999999999998</v>
      </c>
      <c r="AJ62" s="95">
        <f t="shared" si="11"/>
        <v>1.0005357142857143</v>
      </c>
      <c r="AK62" s="93">
        <v>0</v>
      </c>
      <c r="AL62" s="94">
        <v>0</v>
      </c>
      <c r="AM62" s="95" t="str">
        <f t="shared" si="12"/>
        <v/>
      </c>
      <c r="AN62" s="93">
        <v>8</v>
      </c>
      <c r="AO62" s="94">
        <v>8</v>
      </c>
      <c r="AP62" s="95">
        <f t="shared" si="15"/>
        <v>1</v>
      </c>
    </row>
    <row r="63" spans="1:42" x14ac:dyDescent="0.25">
      <c r="A63" s="91">
        <v>46084</v>
      </c>
      <c r="B63" s="92">
        <f t="shared" si="0"/>
        <v>10</v>
      </c>
      <c r="C63" s="92">
        <f t="shared" si="1"/>
        <v>3</v>
      </c>
      <c r="D63" s="93">
        <v>7860</v>
      </c>
      <c r="E63" s="94">
        <v>10653</v>
      </c>
      <c r="F63" s="95">
        <f t="shared" si="2"/>
        <v>1.3553435114503818</v>
      </c>
      <c r="G63" s="93">
        <v>0</v>
      </c>
      <c r="H63" s="94">
        <v>0</v>
      </c>
      <c r="I63" s="95" t="str">
        <f t="shared" si="16"/>
        <v/>
      </c>
      <c r="J63" s="93">
        <v>0</v>
      </c>
      <c r="K63" s="94">
        <v>0</v>
      </c>
      <c r="L63" s="95" t="str">
        <f t="shared" si="3"/>
        <v/>
      </c>
      <c r="M63" s="93">
        <v>2</v>
      </c>
      <c r="N63" s="94">
        <v>1</v>
      </c>
      <c r="O63" s="95">
        <f t="shared" si="4"/>
        <v>0.5</v>
      </c>
      <c r="P63" s="93">
        <v>2</v>
      </c>
      <c r="Q63" s="94">
        <v>2</v>
      </c>
      <c r="R63" s="95">
        <f t="shared" si="5"/>
        <v>1</v>
      </c>
      <c r="S63" s="93">
        <v>16000</v>
      </c>
      <c r="T63" s="94">
        <v>16348</v>
      </c>
      <c r="U63" s="95">
        <f t="shared" si="6"/>
        <v>1.0217499999999999</v>
      </c>
      <c r="V63" s="93">
        <v>0</v>
      </c>
      <c r="W63" s="94">
        <v>0</v>
      </c>
      <c r="X63" s="95" t="str">
        <f t="shared" si="7"/>
        <v/>
      </c>
      <c r="Y63" s="94">
        <v>0</v>
      </c>
      <c r="Z63" s="94">
        <v>0</v>
      </c>
      <c r="AA63" s="112" t="str">
        <f t="shared" si="8"/>
        <v/>
      </c>
      <c r="AB63" s="93">
        <v>0</v>
      </c>
      <c r="AC63" s="94">
        <v>0</v>
      </c>
      <c r="AD63" s="95" t="str">
        <f t="shared" si="9"/>
        <v/>
      </c>
      <c r="AE63" s="93">
        <v>20000</v>
      </c>
      <c r="AF63" s="94">
        <f>19900+900</f>
        <v>20800</v>
      </c>
      <c r="AG63" s="95">
        <f t="shared" si="10"/>
        <v>1.04</v>
      </c>
      <c r="AH63" s="93">
        <v>400</v>
      </c>
      <c r="AI63" s="94">
        <v>405.4</v>
      </c>
      <c r="AJ63" s="95">
        <f t="shared" si="11"/>
        <v>1.0134999999999998</v>
      </c>
      <c r="AK63" s="93">
        <v>800</v>
      </c>
      <c r="AL63" s="94">
        <v>768</v>
      </c>
      <c r="AM63" s="95">
        <f t="shared" si="12"/>
        <v>0.96</v>
      </c>
      <c r="AN63" s="93">
        <v>200</v>
      </c>
      <c r="AO63" s="94">
        <v>194</v>
      </c>
      <c r="AP63" s="95">
        <f t="shared" si="15"/>
        <v>0.97</v>
      </c>
    </row>
    <row r="64" spans="1:42" x14ac:dyDescent="0.25">
      <c r="A64" s="91">
        <v>46085</v>
      </c>
      <c r="B64" s="92">
        <f t="shared" si="0"/>
        <v>10</v>
      </c>
      <c r="C64" s="92">
        <f t="shared" si="1"/>
        <v>3</v>
      </c>
      <c r="D64" s="93">
        <v>12406</v>
      </c>
      <c r="E64" s="94">
        <v>11717</v>
      </c>
      <c r="F64" s="95">
        <f t="shared" si="2"/>
        <v>0.94446235692406899</v>
      </c>
      <c r="G64" s="93">
        <v>0</v>
      </c>
      <c r="H64" s="94">
        <v>0</v>
      </c>
      <c r="I64" s="95" t="str">
        <f t="shared" si="16"/>
        <v/>
      </c>
      <c r="J64" s="93">
        <v>0</v>
      </c>
      <c r="K64" s="94">
        <v>0</v>
      </c>
      <c r="L64" s="95" t="str">
        <f t="shared" si="3"/>
        <v/>
      </c>
      <c r="M64" s="93">
        <v>2</v>
      </c>
      <c r="N64" s="94">
        <v>2</v>
      </c>
      <c r="O64" s="95">
        <f t="shared" si="4"/>
        <v>1</v>
      </c>
      <c r="P64" s="93">
        <v>2</v>
      </c>
      <c r="Q64" s="94">
        <v>2</v>
      </c>
      <c r="R64" s="95">
        <f t="shared" si="5"/>
        <v>1</v>
      </c>
      <c r="S64" s="93">
        <v>3040</v>
      </c>
      <c r="T64" s="94">
        <v>44</v>
      </c>
      <c r="U64" s="95">
        <f t="shared" si="6"/>
        <v>1.4473684210526316E-2</v>
      </c>
      <c r="V64" s="93">
        <v>1400</v>
      </c>
      <c r="W64" s="94">
        <v>1461</v>
      </c>
      <c r="X64" s="95">
        <f t="shared" si="7"/>
        <v>1.0435714285714286</v>
      </c>
      <c r="Y64" s="94">
        <v>0</v>
      </c>
      <c r="Z64" s="94">
        <v>0</v>
      </c>
      <c r="AA64" s="112" t="str">
        <f t="shared" si="8"/>
        <v/>
      </c>
      <c r="AB64" s="93">
        <v>0</v>
      </c>
      <c r="AC64" s="94">
        <v>0</v>
      </c>
      <c r="AD64" s="95" t="str">
        <f t="shared" si="9"/>
        <v/>
      </c>
      <c r="AE64" s="93">
        <v>0</v>
      </c>
      <c r="AF64" s="94">
        <v>0</v>
      </c>
      <c r="AG64" s="95" t="str">
        <f t="shared" si="10"/>
        <v/>
      </c>
      <c r="AH64" s="93">
        <v>440</v>
      </c>
      <c r="AI64" s="94">
        <v>446.17</v>
      </c>
      <c r="AJ64" s="95">
        <f t="shared" si="11"/>
        <v>1.0140227272727274</v>
      </c>
      <c r="AK64" s="93">
        <v>400</v>
      </c>
      <c r="AL64" s="94">
        <v>415</v>
      </c>
      <c r="AM64" s="95">
        <f t="shared" si="12"/>
        <v>1.0375000000000001</v>
      </c>
      <c r="AN64" s="93">
        <v>400</v>
      </c>
      <c r="AO64" s="94">
        <v>420</v>
      </c>
      <c r="AP64" s="95">
        <f t="shared" si="15"/>
        <v>1.05</v>
      </c>
    </row>
    <row r="65" spans="1:43" x14ac:dyDescent="0.25">
      <c r="A65" s="91">
        <v>46086</v>
      </c>
      <c r="B65" s="92">
        <f t="shared" si="0"/>
        <v>10</v>
      </c>
      <c r="C65" s="92">
        <f t="shared" si="1"/>
        <v>3</v>
      </c>
      <c r="D65" s="93">
        <v>14070</v>
      </c>
      <c r="E65" s="94">
        <v>17525</v>
      </c>
      <c r="F65" s="95">
        <f t="shared" si="2"/>
        <v>1.2455579246624022</v>
      </c>
      <c r="G65" s="93">
        <v>0</v>
      </c>
      <c r="H65" s="94">
        <v>0</v>
      </c>
      <c r="I65" s="95" t="str">
        <f t="shared" si="16"/>
        <v/>
      </c>
      <c r="J65" s="93">
        <v>0</v>
      </c>
      <c r="K65" s="94">
        <v>0</v>
      </c>
      <c r="L65" s="95" t="str">
        <f t="shared" si="3"/>
        <v/>
      </c>
      <c r="M65" s="93">
        <v>2</v>
      </c>
      <c r="N65" s="94">
        <v>2</v>
      </c>
      <c r="O65" s="95">
        <f t="shared" si="4"/>
        <v>1</v>
      </c>
      <c r="P65" s="93">
        <v>2</v>
      </c>
      <c r="Q65" s="94">
        <v>2</v>
      </c>
      <c r="R65" s="95">
        <f t="shared" si="5"/>
        <v>1</v>
      </c>
      <c r="S65" s="93">
        <v>4500</v>
      </c>
      <c r="T65" s="94">
        <v>3031</v>
      </c>
      <c r="U65" s="95">
        <f t="shared" si="6"/>
        <v>0.67355555555555557</v>
      </c>
      <c r="V65" s="93">
        <v>180</v>
      </c>
      <c r="W65" s="94">
        <v>0</v>
      </c>
      <c r="X65" s="95">
        <f t="shared" si="7"/>
        <v>0</v>
      </c>
      <c r="Y65" s="94">
        <v>0</v>
      </c>
      <c r="Z65" s="94">
        <v>0</v>
      </c>
      <c r="AA65" s="112" t="str">
        <f t="shared" si="8"/>
        <v/>
      </c>
      <c r="AB65" s="93">
        <v>0</v>
      </c>
      <c r="AC65" s="94">
        <v>0</v>
      </c>
      <c r="AD65" s="95" t="str">
        <f t="shared" si="9"/>
        <v/>
      </c>
      <c r="AE65" s="93">
        <v>0</v>
      </c>
      <c r="AF65" s="94">
        <v>0</v>
      </c>
      <c r="AG65" s="95" t="str">
        <f t="shared" si="10"/>
        <v/>
      </c>
      <c r="AH65" s="93">
        <v>450</v>
      </c>
      <c r="AI65" s="94">
        <v>497.25</v>
      </c>
      <c r="AJ65" s="95">
        <f t="shared" si="11"/>
        <v>1.105</v>
      </c>
      <c r="AK65" s="93">
        <v>0</v>
      </c>
      <c r="AL65" s="94">
        <v>0</v>
      </c>
      <c r="AM65" s="95" t="str">
        <f t="shared" si="12"/>
        <v/>
      </c>
      <c r="AN65" s="93">
        <v>180</v>
      </c>
      <c r="AO65" s="94">
        <v>217</v>
      </c>
      <c r="AP65" s="95">
        <f t="shared" si="15"/>
        <v>1.2055555555555555</v>
      </c>
      <c r="AQ65" s="83" t="s">
        <v>96</v>
      </c>
    </row>
    <row r="66" spans="1:43" x14ac:dyDescent="0.25">
      <c r="A66" s="91">
        <v>46087</v>
      </c>
      <c r="B66" s="92">
        <f t="shared" ref="B66:B129" si="17">ROUNDUP((A66-DATE(YEAR(A66),1,1)+WEEKDAY(DATE(YEAR(A66),1,1),2))/7,0)</f>
        <v>10</v>
      </c>
      <c r="C66" s="92">
        <f t="shared" ref="C66:C129" si="18">MONTH(A66)</f>
        <v>3</v>
      </c>
      <c r="D66" s="93">
        <v>16167</v>
      </c>
      <c r="E66" s="94">
        <v>16044</v>
      </c>
      <c r="F66" s="95">
        <f t="shared" ref="F66:F129" si="19">IFERROR(E66/D66,"")</f>
        <v>0.99239190944516609</v>
      </c>
      <c r="G66" s="93">
        <v>0</v>
      </c>
      <c r="H66" s="94">
        <v>0</v>
      </c>
      <c r="I66" s="95"/>
      <c r="J66" s="93">
        <v>0</v>
      </c>
      <c r="K66" s="94">
        <v>0</v>
      </c>
      <c r="L66" s="95" t="str">
        <f t="shared" ref="L66:L129" si="20">IFERROR(K66/J66,"")</f>
        <v/>
      </c>
      <c r="M66" s="93">
        <v>2</v>
      </c>
      <c r="N66" s="94">
        <v>2</v>
      </c>
      <c r="O66" s="95">
        <f t="shared" ref="O66:O129" si="21">IFERROR(N66/M66,"")</f>
        <v>1</v>
      </c>
      <c r="P66" s="93">
        <v>1</v>
      </c>
      <c r="Q66" s="94">
        <v>1</v>
      </c>
      <c r="R66" s="95">
        <f t="shared" ref="R66:R129" si="22">IFERROR(Q66/P66,"")</f>
        <v>1</v>
      </c>
      <c r="S66" s="93">
        <v>7500</v>
      </c>
      <c r="T66" s="94">
        <v>7658</v>
      </c>
      <c r="U66" s="95">
        <f t="shared" ref="U66:U129" si="23">IFERROR(T66/S66,"")</f>
        <v>1.0210666666666666</v>
      </c>
      <c r="V66" s="93">
        <v>220</v>
      </c>
      <c r="W66" s="94">
        <v>221</v>
      </c>
      <c r="X66" s="95">
        <f t="shared" ref="X66:X129" si="24">IFERROR(W66/V66,"")</f>
        <v>1.0045454545454546</v>
      </c>
      <c r="Y66" s="94">
        <v>0</v>
      </c>
      <c r="Z66" s="94">
        <v>0</v>
      </c>
      <c r="AA66" s="112" t="str">
        <f t="shared" ref="AA66:AA129" si="25">IFERROR(Z66/Y66,"")</f>
        <v/>
      </c>
      <c r="AB66" s="93">
        <v>0</v>
      </c>
      <c r="AC66" s="94">
        <v>0</v>
      </c>
      <c r="AD66" s="95" t="str">
        <f t="shared" ref="AD66:AD129" si="26">IFERROR(AC66/AB66,"")</f>
        <v/>
      </c>
      <c r="AE66" s="93">
        <v>0</v>
      </c>
      <c r="AF66" s="94">
        <v>0</v>
      </c>
      <c r="AG66" s="95" t="str">
        <f t="shared" ref="AG66:AG129" si="27">IFERROR(AF66/AE66,"")</f>
        <v/>
      </c>
      <c r="AH66" s="93">
        <v>500</v>
      </c>
      <c r="AI66" s="94">
        <v>512</v>
      </c>
      <c r="AJ66" s="95">
        <f t="shared" ref="AJ66:AJ129" si="28">IFERROR(AI66/AH66,"")</f>
        <v>1.024</v>
      </c>
      <c r="AK66" s="93"/>
      <c r="AL66" s="94"/>
      <c r="AM66" s="95" t="str">
        <f t="shared" ref="AM66:AM129" si="29">IFERROR(AL66/AK66,"")</f>
        <v/>
      </c>
      <c r="AN66" s="93"/>
      <c r="AO66" s="94"/>
      <c r="AP66" s="95" t="str">
        <f t="shared" ref="AP66:AP69" si="30">IFERROR(AO66/AN66,"")</f>
        <v/>
      </c>
    </row>
    <row r="67" spans="1:43" x14ac:dyDescent="0.25">
      <c r="A67" s="91">
        <v>46088</v>
      </c>
      <c r="B67" s="92">
        <f t="shared" si="17"/>
        <v>10</v>
      </c>
      <c r="C67" s="92">
        <f t="shared" si="18"/>
        <v>3</v>
      </c>
      <c r="D67" s="93"/>
      <c r="E67" s="94"/>
      <c r="F67" s="95" t="str">
        <f t="shared" si="19"/>
        <v/>
      </c>
      <c r="G67" s="93"/>
      <c r="H67" s="94"/>
      <c r="I67" s="95" t="str">
        <f t="shared" ref="I67:I130" si="31">IFERROR(H67/G67,"")</f>
        <v/>
      </c>
      <c r="J67" s="93"/>
      <c r="K67" s="94"/>
      <c r="L67" s="95" t="str">
        <f t="shared" si="20"/>
        <v/>
      </c>
      <c r="M67" s="93">
        <v>5</v>
      </c>
      <c r="N67" s="94">
        <v>5</v>
      </c>
      <c r="O67" s="95">
        <f t="shared" si="21"/>
        <v>1</v>
      </c>
      <c r="P67" s="93"/>
      <c r="Q67" s="94"/>
      <c r="R67" s="95" t="str">
        <f t="shared" si="22"/>
        <v/>
      </c>
      <c r="S67" s="93"/>
      <c r="T67" s="94"/>
      <c r="U67" s="95" t="str">
        <f t="shared" si="23"/>
        <v/>
      </c>
      <c r="V67" s="93"/>
      <c r="W67" s="94"/>
      <c r="X67" s="95" t="str">
        <f t="shared" si="24"/>
        <v/>
      </c>
      <c r="Y67" s="94"/>
      <c r="Z67" s="94"/>
      <c r="AA67" s="112" t="str">
        <f t="shared" si="25"/>
        <v/>
      </c>
      <c r="AB67" s="93"/>
      <c r="AC67" s="94"/>
      <c r="AD67" s="95" t="str">
        <f t="shared" si="26"/>
        <v/>
      </c>
      <c r="AE67" s="93"/>
      <c r="AF67" s="94"/>
      <c r="AG67" s="95" t="str">
        <f t="shared" si="27"/>
        <v/>
      </c>
      <c r="AH67" s="93"/>
      <c r="AI67" s="94"/>
      <c r="AJ67" s="95" t="str">
        <f t="shared" si="28"/>
        <v/>
      </c>
      <c r="AK67" s="93"/>
      <c r="AL67" s="94"/>
      <c r="AM67" s="95" t="str">
        <f t="shared" si="29"/>
        <v/>
      </c>
      <c r="AN67" s="93"/>
      <c r="AO67" s="94"/>
      <c r="AP67" s="95" t="str">
        <f t="shared" si="30"/>
        <v/>
      </c>
    </row>
    <row r="68" spans="1:43" x14ac:dyDescent="0.25">
      <c r="A68" s="91">
        <v>46089</v>
      </c>
      <c r="B68" s="92">
        <f t="shared" si="17"/>
        <v>10</v>
      </c>
      <c r="C68" s="92">
        <f t="shared" si="18"/>
        <v>3</v>
      </c>
      <c r="D68" s="93"/>
      <c r="E68" s="94"/>
      <c r="F68" s="95" t="str">
        <f t="shared" si="19"/>
        <v/>
      </c>
      <c r="G68" s="93"/>
      <c r="H68" s="94"/>
      <c r="I68" s="95" t="str">
        <f t="shared" si="31"/>
        <v/>
      </c>
      <c r="J68" s="93"/>
      <c r="K68" s="94"/>
      <c r="L68" s="95" t="str">
        <f t="shared" si="20"/>
        <v/>
      </c>
      <c r="M68" s="93"/>
      <c r="N68" s="94"/>
      <c r="O68" s="95" t="str">
        <f t="shared" si="21"/>
        <v/>
      </c>
      <c r="P68" s="93"/>
      <c r="Q68" s="94"/>
      <c r="R68" s="95" t="str">
        <f t="shared" si="22"/>
        <v/>
      </c>
      <c r="S68" s="93"/>
      <c r="T68" s="94"/>
      <c r="U68" s="95" t="str">
        <f t="shared" si="23"/>
        <v/>
      </c>
      <c r="V68" s="93"/>
      <c r="W68" s="94"/>
      <c r="X68" s="95" t="str">
        <f t="shared" si="24"/>
        <v/>
      </c>
      <c r="Y68" s="94"/>
      <c r="Z68" s="94"/>
      <c r="AA68" s="112" t="str">
        <f t="shared" si="25"/>
        <v/>
      </c>
      <c r="AB68" s="93"/>
      <c r="AC68" s="94"/>
      <c r="AD68" s="95" t="str">
        <f t="shared" si="26"/>
        <v/>
      </c>
      <c r="AE68" s="93"/>
      <c r="AF68" s="94"/>
      <c r="AG68" s="95" t="str">
        <f t="shared" si="27"/>
        <v/>
      </c>
      <c r="AH68" s="93"/>
      <c r="AI68" s="94"/>
      <c r="AJ68" s="95" t="str">
        <f t="shared" si="28"/>
        <v/>
      </c>
      <c r="AK68" s="93"/>
      <c r="AL68" s="94"/>
      <c r="AM68" s="95" t="str">
        <f t="shared" si="29"/>
        <v/>
      </c>
      <c r="AN68" s="93"/>
      <c r="AO68" s="94"/>
      <c r="AP68" s="95" t="str">
        <f t="shared" si="30"/>
        <v/>
      </c>
    </row>
    <row r="69" spans="1:43" x14ac:dyDescent="0.25">
      <c r="A69" s="91">
        <v>46090</v>
      </c>
      <c r="B69" s="92">
        <f t="shared" si="17"/>
        <v>11</v>
      </c>
      <c r="C69" s="92">
        <f t="shared" si="18"/>
        <v>3</v>
      </c>
      <c r="D69" s="93"/>
      <c r="E69" s="94"/>
      <c r="F69" s="95" t="str">
        <f t="shared" si="19"/>
        <v/>
      </c>
      <c r="G69" s="93"/>
      <c r="H69" s="94"/>
      <c r="I69" s="95" t="str">
        <f t="shared" si="31"/>
        <v/>
      </c>
      <c r="J69" s="93"/>
      <c r="K69" s="94"/>
      <c r="L69" s="95" t="str">
        <f t="shared" si="20"/>
        <v/>
      </c>
      <c r="M69" s="93"/>
      <c r="N69" s="94"/>
      <c r="O69" s="95" t="str">
        <f t="shared" si="21"/>
        <v/>
      </c>
      <c r="P69" s="93"/>
      <c r="Q69" s="94"/>
      <c r="R69" s="95" t="str">
        <f t="shared" si="22"/>
        <v/>
      </c>
      <c r="S69" s="93"/>
      <c r="T69" s="94"/>
      <c r="U69" s="95" t="str">
        <f t="shared" si="23"/>
        <v/>
      </c>
      <c r="V69" s="93"/>
      <c r="W69" s="94"/>
      <c r="X69" s="95" t="str">
        <f t="shared" si="24"/>
        <v/>
      </c>
      <c r="Y69" s="94"/>
      <c r="Z69" s="94"/>
      <c r="AA69" s="112" t="str">
        <f t="shared" si="25"/>
        <v/>
      </c>
      <c r="AB69" s="93"/>
      <c r="AC69" s="94"/>
      <c r="AD69" s="95" t="str">
        <f t="shared" si="26"/>
        <v/>
      </c>
      <c r="AE69" s="93"/>
      <c r="AF69" s="94"/>
      <c r="AG69" s="95" t="str">
        <f t="shared" si="27"/>
        <v/>
      </c>
      <c r="AH69" s="93"/>
      <c r="AI69" s="94"/>
      <c r="AJ69" s="95" t="str">
        <f t="shared" si="28"/>
        <v/>
      </c>
      <c r="AK69" s="93"/>
      <c r="AL69" s="94"/>
      <c r="AM69" s="95" t="str">
        <f t="shared" si="29"/>
        <v/>
      </c>
      <c r="AN69" s="93"/>
      <c r="AO69" s="94"/>
      <c r="AP69" s="95" t="str">
        <f t="shared" si="30"/>
        <v/>
      </c>
    </row>
    <row r="70" spans="1:43" x14ac:dyDescent="0.25">
      <c r="A70" s="91">
        <v>46091</v>
      </c>
      <c r="B70" s="92">
        <f t="shared" si="17"/>
        <v>11</v>
      </c>
      <c r="C70" s="92">
        <f t="shared" si="18"/>
        <v>3</v>
      </c>
      <c r="D70" s="93">
        <v>19874</v>
      </c>
      <c r="E70" s="94">
        <v>15985</v>
      </c>
      <c r="F70" s="95">
        <f t="shared" si="19"/>
        <v>0.80431719834960247</v>
      </c>
      <c r="G70" s="93">
        <v>0</v>
      </c>
      <c r="H70" s="94">
        <v>0</v>
      </c>
      <c r="I70" s="95" t="str">
        <f t="shared" si="31"/>
        <v/>
      </c>
      <c r="J70" s="93">
        <v>0</v>
      </c>
      <c r="K70" s="94">
        <v>0</v>
      </c>
      <c r="L70" s="95" t="str">
        <f t="shared" si="20"/>
        <v/>
      </c>
      <c r="M70" s="93">
        <v>1</v>
      </c>
      <c r="N70" s="94">
        <v>1</v>
      </c>
      <c r="O70" s="95">
        <f t="shared" si="21"/>
        <v>1</v>
      </c>
      <c r="P70" s="93">
        <v>0</v>
      </c>
      <c r="Q70" s="94">
        <v>0</v>
      </c>
      <c r="R70" s="95" t="str">
        <f t="shared" si="22"/>
        <v/>
      </c>
      <c r="S70" s="93">
        <v>4000</v>
      </c>
      <c r="T70" s="94">
        <v>8400</v>
      </c>
      <c r="U70" s="95">
        <f t="shared" si="23"/>
        <v>2.1</v>
      </c>
      <c r="V70" s="93">
        <v>1260</v>
      </c>
      <c r="W70" s="94">
        <v>962.95</v>
      </c>
      <c r="X70" s="95">
        <f t="shared" si="24"/>
        <v>0.76424603174603178</v>
      </c>
      <c r="Y70" s="94">
        <v>0</v>
      </c>
      <c r="Z70" s="94">
        <v>0</v>
      </c>
      <c r="AA70" s="112" t="str">
        <f t="shared" si="25"/>
        <v/>
      </c>
      <c r="AB70" s="93">
        <v>0</v>
      </c>
      <c r="AC70" s="94">
        <v>0</v>
      </c>
      <c r="AD70" s="95" t="str">
        <f t="shared" si="26"/>
        <v/>
      </c>
      <c r="AE70" s="93">
        <v>0</v>
      </c>
      <c r="AF70" s="94">
        <v>0</v>
      </c>
      <c r="AG70" s="95" t="str">
        <f t="shared" si="27"/>
        <v/>
      </c>
      <c r="AH70" s="93">
        <v>450</v>
      </c>
      <c r="AI70" s="94">
        <v>470.65</v>
      </c>
      <c r="AJ70" s="95">
        <f t="shared" si="28"/>
        <v>1.0458888888888889</v>
      </c>
      <c r="AK70" s="83">
        <v>0</v>
      </c>
      <c r="AL70" s="83">
        <v>0</v>
      </c>
      <c r="AM70" s="95" t="str">
        <f t="shared" si="29"/>
        <v/>
      </c>
      <c r="AN70" s="93">
        <v>200</v>
      </c>
      <c r="AO70" s="94">
        <v>219</v>
      </c>
      <c r="AP70" s="95" t="str">
        <f>IFERROR(#REF!/#REF!,"")</f>
        <v/>
      </c>
    </row>
    <row r="71" spans="1:43" x14ac:dyDescent="0.25">
      <c r="A71" s="91">
        <v>46092</v>
      </c>
      <c r="B71" s="92">
        <f t="shared" si="17"/>
        <v>11</v>
      </c>
      <c r="C71" s="92">
        <f t="shared" si="18"/>
        <v>3</v>
      </c>
      <c r="D71" s="93">
        <v>18000</v>
      </c>
      <c r="E71" s="94">
        <v>14250</v>
      </c>
      <c r="F71" s="95">
        <f t="shared" si="19"/>
        <v>0.79166666666666663</v>
      </c>
      <c r="G71" s="93">
        <v>0</v>
      </c>
      <c r="H71" s="94">
        <v>0</v>
      </c>
      <c r="I71" s="95" t="str">
        <f t="shared" si="31"/>
        <v/>
      </c>
      <c r="J71" s="93">
        <v>0</v>
      </c>
      <c r="K71" s="94">
        <v>0</v>
      </c>
      <c r="L71" s="95" t="str">
        <f t="shared" si="20"/>
        <v/>
      </c>
      <c r="M71" s="93">
        <v>1</v>
      </c>
      <c r="N71" s="94">
        <v>1</v>
      </c>
      <c r="O71" s="95">
        <f t="shared" si="21"/>
        <v>1</v>
      </c>
      <c r="P71" s="93">
        <v>0</v>
      </c>
      <c r="Q71" s="94">
        <v>0</v>
      </c>
      <c r="R71" s="95" t="str">
        <f t="shared" si="22"/>
        <v/>
      </c>
      <c r="S71" s="93">
        <v>4000</v>
      </c>
      <c r="T71" s="94">
        <v>5189</v>
      </c>
      <c r="U71" s="95">
        <f t="shared" si="23"/>
        <v>1.29725</v>
      </c>
      <c r="V71" s="93">
        <v>650</v>
      </c>
      <c r="W71" s="94">
        <v>670</v>
      </c>
      <c r="X71" s="95">
        <f t="shared" si="24"/>
        <v>1.0307692307692307</v>
      </c>
      <c r="Y71" s="94">
        <v>0</v>
      </c>
      <c r="Z71" s="94">
        <v>0</v>
      </c>
      <c r="AA71" s="112" t="str">
        <f t="shared" si="25"/>
        <v/>
      </c>
      <c r="AB71" s="93">
        <v>0</v>
      </c>
      <c r="AC71" s="94">
        <v>0</v>
      </c>
      <c r="AD71" s="95" t="str">
        <f t="shared" si="26"/>
        <v/>
      </c>
      <c r="AE71" s="93">
        <v>0</v>
      </c>
      <c r="AF71" s="94">
        <v>0</v>
      </c>
      <c r="AG71" s="95" t="str">
        <f t="shared" si="27"/>
        <v/>
      </c>
      <c r="AH71" s="93">
        <v>200</v>
      </c>
      <c r="AI71" s="94">
        <v>184</v>
      </c>
      <c r="AJ71" s="95">
        <f t="shared" si="28"/>
        <v>0.92</v>
      </c>
      <c r="AK71" s="93">
        <v>0</v>
      </c>
      <c r="AL71" s="94">
        <v>0</v>
      </c>
      <c r="AM71" s="95" t="str">
        <f t="shared" si="29"/>
        <v/>
      </c>
      <c r="AN71" s="93">
        <v>0</v>
      </c>
      <c r="AO71" s="94">
        <v>0</v>
      </c>
      <c r="AP71" s="95" t="str">
        <f t="shared" ref="AP71:AP134" si="32">IFERROR(AO71/AN71,"")</f>
        <v/>
      </c>
    </row>
    <row r="72" spans="1:43" x14ac:dyDescent="0.25">
      <c r="A72" s="91">
        <v>46093</v>
      </c>
      <c r="B72" s="92">
        <f t="shared" si="17"/>
        <v>11</v>
      </c>
      <c r="C72" s="92">
        <f t="shared" si="18"/>
        <v>3</v>
      </c>
      <c r="D72" s="93">
        <v>15658</v>
      </c>
      <c r="E72" s="94">
        <v>13184</v>
      </c>
      <c r="F72" s="95">
        <f t="shared" si="19"/>
        <v>0.84199770085579262</v>
      </c>
      <c r="G72" s="93">
        <v>0</v>
      </c>
      <c r="H72" s="94">
        <v>0</v>
      </c>
      <c r="I72" s="95" t="str">
        <f t="shared" si="31"/>
        <v/>
      </c>
      <c r="J72" s="93">
        <v>0</v>
      </c>
      <c r="K72" s="94">
        <v>0</v>
      </c>
      <c r="L72" s="95" t="str">
        <f t="shared" si="20"/>
        <v/>
      </c>
      <c r="M72" s="93">
        <v>1</v>
      </c>
      <c r="N72" s="94">
        <v>1</v>
      </c>
      <c r="O72" s="95">
        <f t="shared" si="21"/>
        <v>1</v>
      </c>
      <c r="P72" s="93">
        <v>3</v>
      </c>
      <c r="Q72" s="94">
        <v>3</v>
      </c>
      <c r="R72" s="95">
        <f t="shared" si="22"/>
        <v>1</v>
      </c>
      <c r="S72" s="93">
        <v>10000</v>
      </c>
      <c r="T72" s="94">
        <v>10072</v>
      </c>
      <c r="U72" s="95">
        <f t="shared" si="23"/>
        <v>1.0072000000000001</v>
      </c>
      <c r="V72" s="93">
        <v>0</v>
      </c>
      <c r="W72" s="94">
        <v>0</v>
      </c>
      <c r="X72" s="95" t="str">
        <f t="shared" si="24"/>
        <v/>
      </c>
      <c r="Y72" s="94">
        <v>15000</v>
      </c>
      <c r="Z72" s="94">
        <v>15385</v>
      </c>
      <c r="AA72" s="112">
        <f t="shared" si="25"/>
        <v>1.0256666666666667</v>
      </c>
      <c r="AB72" s="93">
        <v>0</v>
      </c>
      <c r="AC72" s="94">
        <v>0</v>
      </c>
      <c r="AD72" s="95" t="str">
        <f t="shared" si="26"/>
        <v/>
      </c>
      <c r="AE72" s="93">
        <v>0</v>
      </c>
      <c r="AF72" s="94">
        <v>0</v>
      </c>
      <c r="AG72" s="95" t="str">
        <f t="shared" si="27"/>
        <v/>
      </c>
      <c r="AH72" s="93">
        <v>450</v>
      </c>
      <c r="AI72" s="94">
        <v>452</v>
      </c>
      <c r="AJ72" s="95">
        <f t="shared" si="28"/>
        <v>1.0044444444444445</v>
      </c>
      <c r="AK72" s="93">
        <v>0</v>
      </c>
      <c r="AL72" s="94">
        <v>0</v>
      </c>
      <c r="AM72" s="95" t="str">
        <f t="shared" si="29"/>
        <v/>
      </c>
      <c r="AN72" s="93">
        <v>0</v>
      </c>
      <c r="AO72" s="94">
        <v>0</v>
      </c>
      <c r="AP72" s="95" t="str">
        <f t="shared" si="32"/>
        <v/>
      </c>
    </row>
    <row r="73" spans="1:43" x14ac:dyDescent="0.25">
      <c r="A73" s="91">
        <v>46094</v>
      </c>
      <c r="B73" s="92">
        <f t="shared" si="17"/>
        <v>11</v>
      </c>
      <c r="C73" s="92">
        <f t="shared" si="18"/>
        <v>3</v>
      </c>
      <c r="D73" s="93">
        <v>10000</v>
      </c>
      <c r="E73" s="94">
        <f>1750+5100+2317+1240</f>
        <v>10407</v>
      </c>
      <c r="F73" s="95">
        <f t="shared" si="19"/>
        <v>1.0407</v>
      </c>
      <c r="G73" s="93">
        <v>0</v>
      </c>
      <c r="H73" s="94">
        <v>0</v>
      </c>
      <c r="I73" s="95" t="str">
        <f t="shared" si="31"/>
        <v/>
      </c>
      <c r="J73" s="93">
        <v>0</v>
      </c>
      <c r="K73" s="94">
        <v>0</v>
      </c>
      <c r="L73" s="95" t="str">
        <f t="shared" si="20"/>
        <v/>
      </c>
      <c r="M73" s="93">
        <v>4</v>
      </c>
      <c r="N73" s="94">
        <v>4</v>
      </c>
      <c r="O73" s="95">
        <f t="shared" si="21"/>
        <v>1</v>
      </c>
      <c r="P73" s="93">
        <v>3</v>
      </c>
      <c r="Q73" s="94">
        <v>3</v>
      </c>
      <c r="R73" s="95">
        <f t="shared" si="22"/>
        <v>1</v>
      </c>
      <c r="S73" s="93">
        <v>14000</v>
      </c>
      <c r="T73" s="93">
        <f>680+698+680+670+670+680+698+680+5107+5075</f>
        <v>15638</v>
      </c>
      <c r="U73" s="95">
        <f t="shared" si="23"/>
        <v>1.117</v>
      </c>
      <c r="V73" s="83">
        <v>60</v>
      </c>
      <c r="W73" s="94">
        <f>60</f>
        <v>60</v>
      </c>
      <c r="X73" s="95">
        <f t="shared" si="24"/>
        <v>1</v>
      </c>
      <c r="Y73" s="94">
        <v>0</v>
      </c>
      <c r="Z73" s="94">
        <v>0</v>
      </c>
      <c r="AA73" s="112" t="str">
        <f t="shared" si="25"/>
        <v/>
      </c>
      <c r="AB73" s="93">
        <v>0</v>
      </c>
      <c r="AC73" s="94">
        <v>0</v>
      </c>
      <c r="AD73" s="95" t="str">
        <f t="shared" si="26"/>
        <v/>
      </c>
      <c r="AE73" s="93">
        <v>0</v>
      </c>
      <c r="AF73" s="94">
        <v>0</v>
      </c>
      <c r="AG73" s="95" t="str">
        <f t="shared" si="27"/>
        <v/>
      </c>
      <c r="AH73" s="93">
        <v>500</v>
      </c>
      <c r="AI73" s="94">
        <v>539</v>
      </c>
      <c r="AJ73" s="95">
        <f t="shared" si="28"/>
        <v>1.0780000000000001</v>
      </c>
      <c r="AK73" s="93">
        <v>0</v>
      </c>
      <c r="AL73" s="94">
        <v>0</v>
      </c>
      <c r="AM73" s="95" t="str">
        <f t="shared" si="29"/>
        <v/>
      </c>
      <c r="AN73" s="93">
        <v>0</v>
      </c>
      <c r="AO73" s="94">
        <v>0</v>
      </c>
      <c r="AP73" s="95" t="str">
        <f t="shared" si="32"/>
        <v/>
      </c>
    </row>
    <row r="74" spans="1:43" x14ac:dyDescent="0.25">
      <c r="A74" s="91">
        <v>46095</v>
      </c>
      <c r="B74" s="92">
        <f t="shared" si="17"/>
        <v>11</v>
      </c>
      <c r="C74" s="92">
        <f t="shared" si="18"/>
        <v>3</v>
      </c>
      <c r="D74" s="93"/>
      <c r="E74" s="94"/>
      <c r="F74" s="95" t="str">
        <f t="shared" si="19"/>
        <v/>
      </c>
      <c r="G74" s="93"/>
      <c r="H74" s="94"/>
      <c r="I74" s="95" t="str">
        <f t="shared" si="31"/>
        <v/>
      </c>
      <c r="J74" s="93"/>
      <c r="K74" s="94"/>
      <c r="L74" s="95" t="str">
        <f t="shared" si="20"/>
        <v/>
      </c>
      <c r="M74" s="93"/>
      <c r="N74" s="94"/>
      <c r="O74" s="95" t="str">
        <f t="shared" si="21"/>
        <v/>
      </c>
      <c r="P74" s="93"/>
      <c r="Q74" s="94"/>
      <c r="R74" s="95" t="str">
        <f t="shared" si="22"/>
        <v/>
      </c>
      <c r="S74" s="93"/>
      <c r="T74" s="94"/>
      <c r="U74" s="95" t="str">
        <f t="shared" si="23"/>
        <v/>
      </c>
      <c r="V74" s="93"/>
      <c r="W74" s="94"/>
      <c r="X74" s="95" t="str">
        <f t="shared" si="24"/>
        <v/>
      </c>
      <c r="Y74" s="94"/>
      <c r="Z74" s="94"/>
      <c r="AA74" s="112" t="str">
        <f t="shared" si="25"/>
        <v/>
      </c>
      <c r="AB74" s="93"/>
      <c r="AC74" s="94"/>
      <c r="AD74" s="95" t="str">
        <f t="shared" si="26"/>
        <v/>
      </c>
      <c r="AE74" s="93"/>
      <c r="AF74" s="94"/>
      <c r="AG74" s="95" t="str">
        <f t="shared" si="27"/>
        <v/>
      </c>
      <c r="AH74" s="93"/>
      <c r="AI74" s="94"/>
      <c r="AJ74" s="95" t="str">
        <f t="shared" si="28"/>
        <v/>
      </c>
      <c r="AK74" s="93"/>
      <c r="AL74" s="94"/>
      <c r="AM74" s="95" t="str">
        <f t="shared" si="29"/>
        <v/>
      </c>
      <c r="AN74" s="93"/>
      <c r="AO74" s="94"/>
      <c r="AP74" s="95" t="str">
        <f t="shared" si="32"/>
        <v/>
      </c>
    </row>
    <row r="75" spans="1:43" x14ac:dyDescent="0.25">
      <c r="A75" s="91">
        <v>46096</v>
      </c>
      <c r="B75" s="92">
        <f t="shared" si="17"/>
        <v>11</v>
      </c>
      <c r="C75" s="92">
        <f t="shared" si="18"/>
        <v>3</v>
      </c>
      <c r="D75" s="93"/>
      <c r="E75" s="94"/>
      <c r="F75" s="95" t="str">
        <f t="shared" si="19"/>
        <v/>
      </c>
      <c r="G75" s="93"/>
      <c r="H75" s="94"/>
      <c r="I75" s="95" t="str">
        <f t="shared" si="31"/>
        <v/>
      </c>
      <c r="J75" s="93"/>
      <c r="K75" s="94"/>
      <c r="L75" s="95" t="str">
        <f t="shared" si="20"/>
        <v/>
      </c>
      <c r="M75" s="93"/>
      <c r="N75" s="94"/>
      <c r="O75" s="95" t="str">
        <f t="shared" si="21"/>
        <v/>
      </c>
      <c r="P75" s="93"/>
      <c r="Q75" s="94"/>
      <c r="R75" s="95" t="str">
        <f t="shared" si="22"/>
        <v/>
      </c>
      <c r="S75" s="93"/>
      <c r="T75" s="94"/>
      <c r="U75" s="95" t="str">
        <f t="shared" si="23"/>
        <v/>
      </c>
      <c r="V75" s="93"/>
      <c r="W75" s="94"/>
      <c r="X75" s="95" t="str">
        <f t="shared" si="24"/>
        <v/>
      </c>
      <c r="Y75" s="94"/>
      <c r="Z75" s="94"/>
      <c r="AA75" s="112" t="str">
        <f t="shared" si="25"/>
        <v/>
      </c>
      <c r="AB75" s="93"/>
      <c r="AC75" s="94"/>
      <c r="AD75" s="95" t="str">
        <f t="shared" si="26"/>
        <v/>
      </c>
      <c r="AE75" s="93"/>
      <c r="AF75" s="94"/>
      <c r="AG75" s="95" t="str">
        <f t="shared" si="27"/>
        <v/>
      </c>
      <c r="AH75" s="93"/>
      <c r="AI75" s="94"/>
      <c r="AJ75" s="95" t="str">
        <f t="shared" si="28"/>
        <v/>
      </c>
      <c r="AK75" s="93"/>
      <c r="AL75" s="94"/>
      <c r="AM75" s="95" t="str">
        <f t="shared" si="29"/>
        <v/>
      </c>
      <c r="AN75" s="93"/>
      <c r="AO75" s="94"/>
      <c r="AP75" s="95" t="str">
        <f t="shared" si="32"/>
        <v/>
      </c>
    </row>
    <row r="76" spans="1:43" x14ac:dyDescent="0.25">
      <c r="A76" s="91">
        <v>46097</v>
      </c>
      <c r="B76" s="92">
        <f t="shared" si="17"/>
        <v>12</v>
      </c>
      <c r="C76" s="92">
        <f t="shared" si="18"/>
        <v>3</v>
      </c>
      <c r="D76" s="93">
        <v>10000</v>
      </c>
      <c r="E76" s="94">
        <f>5787+119+4897</f>
        <v>10803</v>
      </c>
      <c r="F76" s="95">
        <f t="shared" si="19"/>
        <v>1.0803</v>
      </c>
      <c r="G76" s="93">
        <v>0</v>
      </c>
      <c r="H76" s="94">
        <v>0</v>
      </c>
      <c r="I76" s="95" t="str">
        <f t="shared" si="31"/>
        <v/>
      </c>
      <c r="J76" s="93">
        <v>0</v>
      </c>
      <c r="K76" s="94">
        <v>0</v>
      </c>
      <c r="L76" s="95" t="str">
        <f t="shared" si="20"/>
        <v/>
      </c>
      <c r="M76" s="93">
        <v>1</v>
      </c>
      <c r="N76" s="94">
        <v>1</v>
      </c>
      <c r="O76" s="95">
        <f t="shared" si="21"/>
        <v>1</v>
      </c>
      <c r="P76" s="93">
        <v>2</v>
      </c>
      <c r="Q76" s="94">
        <v>2</v>
      </c>
      <c r="R76" s="95">
        <f t="shared" si="22"/>
        <v>1</v>
      </c>
      <c r="S76" s="93">
        <v>4500</v>
      </c>
      <c r="T76" s="94">
        <f>1552+1578+464</f>
        <v>3594</v>
      </c>
      <c r="U76" s="95">
        <f t="shared" si="23"/>
        <v>0.79866666666666664</v>
      </c>
      <c r="V76" s="93">
        <v>800</v>
      </c>
      <c r="W76" s="94">
        <f>36.25+36.35+36.4+37.95+37.95+36.4+7.5+7.5+7.5+37.8+36.3+38+36.35+36.25+38.05+7+6+29.9+30.1+29.85+30.05+30.05+30.25+30.05+30.05+30.25+30.2+30.1+30.3+22.5+30.3+30.2+30.3+30.2+30.1+30.2+29.95+30+29.95+30.3+27.75+30.2</f>
        <v>1222.6499999999999</v>
      </c>
      <c r="X76" s="95">
        <f t="shared" si="24"/>
        <v>1.5283124999999997</v>
      </c>
      <c r="Y76" s="94">
        <v>0</v>
      </c>
      <c r="Z76" s="94">
        <v>0</v>
      </c>
      <c r="AA76" s="112" t="str">
        <f t="shared" si="25"/>
        <v/>
      </c>
      <c r="AB76" s="93">
        <v>0</v>
      </c>
      <c r="AC76" s="94">
        <v>0</v>
      </c>
      <c r="AD76" s="95" t="str">
        <f t="shared" si="26"/>
        <v/>
      </c>
      <c r="AE76" s="93">
        <v>0</v>
      </c>
      <c r="AF76" s="94">
        <v>0</v>
      </c>
      <c r="AG76" s="95" t="str">
        <f t="shared" si="27"/>
        <v/>
      </c>
      <c r="AH76" s="93">
        <v>600</v>
      </c>
      <c r="AI76" s="94">
        <v>572</v>
      </c>
      <c r="AJ76" s="95">
        <f t="shared" si="28"/>
        <v>0.95333333333333337</v>
      </c>
      <c r="AK76" s="93">
        <v>0</v>
      </c>
      <c r="AL76" s="94">
        <v>0</v>
      </c>
      <c r="AM76" s="95" t="str">
        <f t="shared" si="29"/>
        <v/>
      </c>
      <c r="AN76" s="93">
        <v>0</v>
      </c>
      <c r="AO76" s="94">
        <v>0</v>
      </c>
      <c r="AP76" s="95" t="str">
        <f t="shared" si="32"/>
        <v/>
      </c>
    </row>
    <row r="77" spans="1:43" x14ac:dyDescent="0.25">
      <c r="A77" s="91">
        <v>46098</v>
      </c>
      <c r="B77" s="92">
        <f t="shared" si="17"/>
        <v>12</v>
      </c>
      <c r="C77" s="92">
        <f t="shared" si="18"/>
        <v>3</v>
      </c>
      <c r="D77" s="93"/>
      <c r="E77" s="94"/>
      <c r="F77" s="95" t="str">
        <f t="shared" si="19"/>
        <v/>
      </c>
      <c r="G77" s="93"/>
      <c r="H77" s="94"/>
      <c r="I77" s="95" t="str">
        <f t="shared" si="31"/>
        <v/>
      </c>
      <c r="J77" s="93"/>
      <c r="K77" s="94"/>
      <c r="L77" s="95" t="str">
        <f t="shared" si="20"/>
        <v/>
      </c>
      <c r="M77" s="93"/>
      <c r="N77" s="94"/>
      <c r="O77" s="95" t="str">
        <f t="shared" si="21"/>
        <v/>
      </c>
      <c r="P77" s="93"/>
      <c r="Q77" s="94"/>
      <c r="R77" s="95" t="str">
        <f t="shared" si="22"/>
        <v/>
      </c>
      <c r="S77" s="93"/>
      <c r="T77" s="94"/>
      <c r="U77" s="95" t="str">
        <f t="shared" si="23"/>
        <v/>
      </c>
      <c r="V77" s="93"/>
      <c r="W77" s="94"/>
      <c r="X77" s="95" t="str">
        <f t="shared" si="24"/>
        <v/>
      </c>
      <c r="Y77" s="94"/>
      <c r="Z77" s="94"/>
      <c r="AA77" s="112" t="str">
        <f t="shared" si="25"/>
        <v/>
      </c>
      <c r="AB77" s="93"/>
      <c r="AC77" s="94"/>
      <c r="AD77" s="95" t="str">
        <f t="shared" si="26"/>
        <v/>
      </c>
      <c r="AE77" s="93"/>
      <c r="AF77" s="94"/>
      <c r="AG77" s="95" t="str">
        <f t="shared" si="27"/>
        <v/>
      </c>
      <c r="AH77" s="93"/>
      <c r="AI77" s="94"/>
      <c r="AJ77" s="95" t="str">
        <f t="shared" si="28"/>
        <v/>
      </c>
      <c r="AK77" s="93"/>
      <c r="AL77" s="94"/>
      <c r="AM77" s="95" t="str">
        <f t="shared" si="29"/>
        <v/>
      </c>
      <c r="AN77" s="93"/>
      <c r="AO77" s="94"/>
      <c r="AP77" s="95" t="str">
        <f t="shared" si="32"/>
        <v/>
      </c>
    </row>
    <row r="78" spans="1:43" x14ac:dyDescent="0.25">
      <c r="A78" s="91">
        <v>46099</v>
      </c>
      <c r="B78" s="92">
        <f t="shared" si="17"/>
        <v>12</v>
      </c>
      <c r="C78" s="92">
        <f t="shared" si="18"/>
        <v>3</v>
      </c>
      <c r="D78" s="93"/>
      <c r="E78" s="94"/>
      <c r="F78" s="95" t="str">
        <f t="shared" si="19"/>
        <v/>
      </c>
      <c r="G78" s="93"/>
      <c r="H78" s="94"/>
      <c r="I78" s="95" t="str">
        <f t="shared" si="31"/>
        <v/>
      </c>
      <c r="J78" s="93"/>
      <c r="K78" s="94"/>
      <c r="L78" s="95" t="str">
        <f t="shared" si="20"/>
        <v/>
      </c>
      <c r="M78" s="93"/>
      <c r="N78" s="94"/>
      <c r="O78" s="95" t="str">
        <f t="shared" si="21"/>
        <v/>
      </c>
      <c r="P78" s="93"/>
      <c r="Q78" s="94"/>
      <c r="R78" s="95" t="str">
        <f t="shared" si="22"/>
        <v/>
      </c>
      <c r="S78" s="93"/>
      <c r="T78" s="94"/>
      <c r="U78" s="95" t="str">
        <f t="shared" si="23"/>
        <v/>
      </c>
      <c r="V78" s="93"/>
      <c r="W78" s="94"/>
      <c r="X78" s="95" t="str">
        <f t="shared" si="24"/>
        <v/>
      </c>
      <c r="Y78" s="94"/>
      <c r="Z78" s="94"/>
      <c r="AA78" s="112" t="str">
        <f t="shared" si="25"/>
        <v/>
      </c>
      <c r="AB78" s="93"/>
      <c r="AC78" s="94"/>
      <c r="AD78" s="95" t="str">
        <f t="shared" si="26"/>
        <v/>
      </c>
      <c r="AE78" s="93"/>
      <c r="AF78" s="94"/>
      <c r="AG78" s="95" t="str">
        <f t="shared" si="27"/>
        <v/>
      </c>
      <c r="AH78" s="93"/>
      <c r="AI78" s="94"/>
      <c r="AJ78" s="95" t="str">
        <f t="shared" si="28"/>
        <v/>
      </c>
      <c r="AK78" s="93"/>
      <c r="AL78" s="94"/>
      <c r="AM78" s="95" t="str">
        <f t="shared" si="29"/>
        <v/>
      </c>
      <c r="AN78" s="93"/>
      <c r="AO78" s="94"/>
      <c r="AP78" s="95" t="str">
        <f t="shared" si="32"/>
        <v/>
      </c>
    </row>
    <row r="79" spans="1:43" x14ac:dyDescent="0.25">
      <c r="A79" s="91">
        <v>46100</v>
      </c>
      <c r="B79" s="92">
        <f t="shared" si="17"/>
        <v>12</v>
      </c>
      <c r="C79" s="92">
        <f t="shared" si="18"/>
        <v>3</v>
      </c>
      <c r="D79" s="93"/>
      <c r="E79" s="94"/>
      <c r="F79" s="95" t="str">
        <f t="shared" si="19"/>
        <v/>
      </c>
      <c r="G79" s="93"/>
      <c r="H79" s="94"/>
      <c r="I79" s="95" t="str">
        <f t="shared" si="31"/>
        <v/>
      </c>
      <c r="J79" s="93"/>
      <c r="K79" s="94"/>
      <c r="L79" s="95" t="str">
        <f t="shared" si="20"/>
        <v/>
      </c>
      <c r="M79" s="93"/>
      <c r="N79" s="94"/>
      <c r="O79" s="95" t="str">
        <f t="shared" si="21"/>
        <v/>
      </c>
      <c r="P79" s="93"/>
      <c r="Q79" s="94"/>
      <c r="R79" s="95" t="str">
        <f t="shared" si="22"/>
        <v/>
      </c>
      <c r="S79" s="93"/>
      <c r="T79" s="94"/>
      <c r="U79" s="95" t="str">
        <f t="shared" si="23"/>
        <v/>
      </c>
      <c r="V79" s="93"/>
      <c r="W79" s="94"/>
      <c r="X79" s="95" t="str">
        <f t="shared" si="24"/>
        <v/>
      </c>
      <c r="Y79" s="94"/>
      <c r="Z79" s="94"/>
      <c r="AA79" s="112" t="str">
        <f t="shared" si="25"/>
        <v/>
      </c>
      <c r="AB79" s="93"/>
      <c r="AC79" s="94"/>
      <c r="AD79" s="95" t="str">
        <f t="shared" si="26"/>
        <v/>
      </c>
      <c r="AE79" s="93"/>
      <c r="AF79" s="94"/>
      <c r="AG79" s="95" t="str">
        <f t="shared" si="27"/>
        <v/>
      </c>
      <c r="AH79" s="93"/>
      <c r="AI79" s="94"/>
      <c r="AJ79" s="95" t="str">
        <f t="shared" si="28"/>
        <v/>
      </c>
      <c r="AK79" s="93"/>
      <c r="AL79" s="94"/>
      <c r="AM79" s="95" t="str">
        <f t="shared" si="29"/>
        <v/>
      </c>
      <c r="AN79" s="93"/>
      <c r="AO79" s="94"/>
      <c r="AP79" s="95" t="str">
        <f t="shared" si="32"/>
        <v/>
      </c>
    </row>
    <row r="80" spans="1:43" x14ac:dyDescent="0.25">
      <c r="A80" s="91">
        <v>46101</v>
      </c>
      <c r="B80" s="92">
        <f t="shared" si="17"/>
        <v>12</v>
      </c>
      <c r="C80" s="92">
        <f t="shared" si="18"/>
        <v>3</v>
      </c>
      <c r="D80" s="93"/>
      <c r="E80" s="94"/>
      <c r="F80" s="95" t="str">
        <f t="shared" si="19"/>
        <v/>
      </c>
      <c r="G80" s="93"/>
      <c r="H80" s="94"/>
      <c r="I80" s="95" t="str">
        <f t="shared" si="31"/>
        <v/>
      </c>
      <c r="J80" s="93"/>
      <c r="K80" s="94"/>
      <c r="L80" s="95" t="str">
        <f t="shared" si="20"/>
        <v/>
      </c>
      <c r="M80" s="93"/>
      <c r="N80" s="94"/>
      <c r="O80" s="95" t="str">
        <f t="shared" si="21"/>
        <v/>
      </c>
      <c r="P80" s="93"/>
      <c r="Q80" s="94"/>
      <c r="R80" s="95" t="str">
        <f t="shared" si="22"/>
        <v/>
      </c>
      <c r="S80" s="93"/>
      <c r="T80" s="94"/>
      <c r="U80" s="95" t="str">
        <f t="shared" si="23"/>
        <v/>
      </c>
      <c r="V80" s="93"/>
      <c r="W80" s="94"/>
      <c r="X80" s="95" t="str">
        <f t="shared" si="24"/>
        <v/>
      </c>
      <c r="Y80" s="94"/>
      <c r="Z80" s="94"/>
      <c r="AA80" s="112" t="str">
        <f t="shared" si="25"/>
        <v/>
      </c>
      <c r="AB80" s="93"/>
      <c r="AC80" s="94"/>
      <c r="AD80" s="95" t="str">
        <f t="shared" si="26"/>
        <v/>
      </c>
      <c r="AE80" s="93"/>
      <c r="AF80" s="94"/>
      <c r="AG80" s="95" t="str">
        <f t="shared" si="27"/>
        <v/>
      </c>
      <c r="AH80" s="93"/>
      <c r="AI80" s="94"/>
      <c r="AJ80" s="95" t="str">
        <f t="shared" si="28"/>
        <v/>
      </c>
      <c r="AK80" s="93"/>
      <c r="AL80" s="94"/>
      <c r="AM80" s="95" t="str">
        <f t="shared" si="29"/>
        <v/>
      </c>
      <c r="AN80" s="93"/>
      <c r="AO80" s="94"/>
      <c r="AP80" s="95" t="str">
        <f t="shared" si="32"/>
        <v/>
      </c>
    </row>
    <row r="81" spans="1:42" x14ac:dyDescent="0.25">
      <c r="A81" s="91">
        <v>46102</v>
      </c>
      <c r="B81" s="92">
        <f t="shared" si="17"/>
        <v>12</v>
      </c>
      <c r="C81" s="92">
        <f t="shared" si="18"/>
        <v>3</v>
      </c>
      <c r="D81" s="93"/>
      <c r="E81" s="94"/>
      <c r="F81" s="95" t="str">
        <f t="shared" si="19"/>
        <v/>
      </c>
      <c r="G81" s="93"/>
      <c r="H81" s="94"/>
      <c r="I81" s="95" t="str">
        <f t="shared" si="31"/>
        <v/>
      </c>
      <c r="J81" s="93"/>
      <c r="K81" s="94"/>
      <c r="L81" s="95" t="str">
        <f t="shared" si="20"/>
        <v/>
      </c>
      <c r="M81" s="93"/>
      <c r="N81" s="94"/>
      <c r="O81" s="95" t="str">
        <f t="shared" si="21"/>
        <v/>
      </c>
      <c r="P81" s="93"/>
      <c r="Q81" s="94"/>
      <c r="R81" s="95" t="str">
        <f t="shared" si="22"/>
        <v/>
      </c>
      <c r="S81" s="93"/>
      <c r="T81" s="94"/>
      <c r="U81" s="95" t="str">
        <f t="shared" si="23"/>
        <v/>
      </c>
      <c r="V81" s="93"/>
      <c r="W81" s="94"/>
      <c r="X81" s="95" t="str">
        <f t="shared" si="24"/>
        <v/>
      </c>
      <c r="Y81" s="94"/>
      <c r="Z81" s="94"/>
      <c r="AA81" s="112" t="str">
        <f t="shared" si="25"/>
        <v/>
      </c>
      <c r="AB81" s="93"/>
      <c r="AC81" s="94"/>
      <c r="AD81" s="95" t="str">
        <f t="shared" si="26"/>
        <v/>
      </c>
      <c r="AE81" s="93"/>
      <c r="AF81" s="94"/>
      <c r="AG81" s="95" t="str">
        <f t="shared" si="27"/>
        <v/>
      </c>
      <c r="AH81" s="93"/>
      <c r="AI81" s="94"/>
      <c r="AJ81" s="95" t="str">
        <f t="shared" si="28"/>
        <v/>
      </c>
      <c r="AK81" s="93"/>
      <c r="AL81" s="94"/>
      <c r="AM81" s="95" t="str">
        <f t="shared" si="29"/>
        <v/>
      </c>
      <c r="AN81" s="93"/>
      <c r="AO81" s="94"/>
      <c r="AP81" s="95" t="str">
        <f t="shared" si="32"/>
        <v/>
      </c>
    </row>
    <row r="82" spans="1:42" x14ac:dyDescent="0.25">
      <c r="A82" s="91">
        <v>46103</v>
      </c>
      <c r="B82" s="92">
        <f t="shared" si="17"/>
        <v>12</v>
      </c>
      <c r="C82" s="92">
        <f t="shared" si="18"/>
        <v>3</v>
      </c>
      <c r="D82" s="93"/>
      <c r="E82" s="94"/>
      <c r="F82" s="95" t="str">
        <f t="shared" si="19"/>
        <v/>
      </c>
      <c r="G82" s="93"/>
      <c r="H82" s="94"/>
      <c r="I82" s="95" t="str">
        <f t="shared" si="31"/>
        <v/>
      </c>
      <c r="J82" s="93"/>
      <c r="K82" s="94"/>
      <c r="L82" s="95" t="str">
        <f t="shared" si="20"/>
        <v/>
      </c>
      <c r="M82" s="93"/>
      <c r="N82" s="94"/>
      <c r="O82" s="95" t="str">
        <f t="shared" si="21"/>
        <v/>
      </c>
      <c r="P82" s="93"/>
      <c r="Q82" s="94"/>
      <c r="R82" s="95" t="str">
        <f t="shared" si="22"/>
        <v/>
      </c>
      <c r="S82" s="93"/>
      <c r="T82" s="94"/>
      <c r="U82" s="95" t="str">
        <f t="shared" si="23"/>
        <v/>
      </c>
      <c r="V82" s="93"/>
      <c r="W82" s="94"/>
      <c r="X82" s="95" t="str">
        <f t="shared" si="24"/>
        <v/>
      </c>
      <c r="Y82" s="94"/>
      <c r="Z82" s="94"/>
      <c r="AA82" s="112" t="str">
        <f t="shared" si="25"/>
        <v/>
      </c>
      <c r="AB82" s="93"/>
      <c r="AC82" s="94"/>
      <c r="AD82" s="95" t="str">
        <f t="shared" si="26"/>
        <v/>
      </c>
      <c r="AE82" s="93"/>
      <c r="AF82" s="94"/>
      <c r="AG82" s="95" t="str">
        <f t="shared" si="27"/>
        <v/>
      </c>
      <c r="AH82" s="93"/>
      <c r="AI82" s="94"/>
      <c r="AJ82" s="95" t="str">
        <f t="shared" si="28"/>
        <v/>
      </c>
      <c r="AK82" s="93"/>
      <c r="AL82" s="94"/>
      <c r="AM82" s="95" t="str">
        <f t="shared" si="29"/>
        <v/>
      </c>
      <c r="AN82" s="93"/>
      <c r="AO82" s="94"/>
      <c r="AP82" s="95" t="str">
        <f t="shared" si="32"/>
        <v/>
      </c>
    </row>
    <row r="83" spans="1:42" x14ac:dyDescent="0.25">
      <c r="A83" s="91">
        <v>46104</v>
      </c>
      <c r="B83" s="92">
        <f t="shared" si="17"/>
        <v>13</v>
      </c>
      <c r="C83" s="92">
        <f t="shared" si="18"/>
        <v>3</v>
      </c>
      <c r="D83" s="93"/>
      <c r="E83" s="94"/>
      <c r="F83" s="95" t="str">
        <f t="shared" si="19"/>
        <v/>
      </c>
      <c r="G83" s="93"/>
      <c r="H83" s="94"/>
      <c r="I83" s="95" t="str">
        <f t="shared" si="31"/>
        <v/>
      </c>
      <c r="J83" s="93"/>
      <c r="K83" s="94"/>
      <c r="L83" s="95" t="str">
        <f t="shared" si="20"/>
        <v/>
      </c>
      <c r="M83" s="93"/>
      <c r="N83" s="94"/>
      <c r="O83" s="95" t="str">
        <f t="shared" si="21"/>
        <v/>
      </c>
      <c r="P83" s="93"/>
      <c r="Q83" s="94"/>
      <c r="R83" s="95" t="str">
        <f t="shared" si="22"/>
        <v/>
      </c>
      <c r="S83" s="93"/>
      <c r="T83" s="94"/>
      <c r="U83" s="95" t="str">
        <f t="shared" si="23"/>
        <v/>
      </c>
      <c r="V83" s="93"/>
      <c r="W83" s="94"/>
      <c r="X83" s="95" t="str">
        <f t="shared" si="24"/>
        <v/>
      </c>
      <c r="Y83" s="94"/>
      <c r="Z83" s="94"/>
      <c r="AA83" s="112" t="str">
        <f t="shared" si="25"/>
        <v/>
      </c>
      <c r="AB83" s="93"/>
      <c r="AC83" s="94"/>
      <c r="AD83" s="95" t="str">
        <f t="shared" si="26"/>
        <v/>
      </c>
      <c r="AE83" s="93"/>
      <c r="AF83" s="94"/>
      <c r="AG83" s="95" t="str">
        <f t="shared" si="27"/>
        <v/>
      </c>
      <c r="AH83" s="93"/>
      <c r="AI83" s="94"/>
      <c r="AJ83" s="95" t="str">
        <f t="shared" si="28"/>
        <v/>
      </c>
      <c r="AK83" s="93"/>
      <c r="AL83" s="94"/>
      <c r="AM83" s="95" t="str">
        <f t="shared" si="29"/>
        <v/>
      </c>
      <c r="AN83" s="93"/>
      <c r="AO83" s="94"/>
      <c r="AP83" s="95" t="str">
        <f t="shared" si="32"/>
        <v/>
      </c>
    </row>
    <row r="84" spans="1:42" x14ac:dyDescent="0.25">
      <c r="A84" s="91">
        <v>46105</v>
      </c>
      <c r="B84" s="92">
        <f t="shared" si="17"/>
        <v>13</v>
      </c>
      <c r="C84" s="92">
        <f t="shared" si="18"/>
        <v>3</v>
      </c>
      <c r="D84" s="93"/>
      <c r="E84" s="94"/>
      <c r="F84" s="95" t="str">
        <f t="shared" si="19"/>
        <v/>
      </c>
      <c r="G84" s="93"/>
      <c r="H84" s="94"/>
      <c r="I84" s="95" t="str">
        <f t="shared" si="31"/>
        <v/>
      </c>
      <c r="J84" s="93"/>
      <c r="K84" s="94"/>
      <c r="L84" s="95" t="str">
        <f t="shared" si="20"/>
        <v/>
      </c>
      <c r="M84" s="93"/>
      <c r="N84" s="94"/>
      <c r="O84" s="95" t="str">
        <f t="shared" si="21"/>
        <v/>
      </c>
      <c r="P84" s="93"/>
      <c r="Q84" s="94"/>
      <c r="R84" s="95" t="str">
        <f t="shared" si="22"/>
        <v/>
      </c>
      <c r="S84" s="93"/>
      <c r="T84" s="94"/>
      <c r="U84" s="95" t="str">
        <f t="shared" si="23"/>
        <v/>
      </c>
      <c r="V84" s="93"/>
      <c r="W84" s="94"/>
      <c r="X84" s="95" t="str">
        <f t="shared" si="24"/>
        <v/>
      </c>
      <c r="Y84" s="94"/>
      <c r="Z84" s="94"/>
      <c r="AA84" s="112" t="str">
        <f t="shared" si="25"/>
        <v/>
      </c>
      <c r="AB84" s="93"/>
      <c r="AC84" s="94"/>
      <c r="AD84" s="95" t="str">
        <f t="shared" si="26"/>
        <v/>
      </c>
      <c r="AE84" s="93"/>
      <c r="AF84" s="94"/>
      <c r="AG84" s="95" t="str">
        <f t="shared" si="27"/>
        <v/>
      </c>
      <c r="AH84" s="93"/>
      <c r="AI84" s="94"/>
      <c r="AJ84" s="95" t="str">
        <f t="shared" si="28"/>
        <v/>
      </c>
      <c r="AK84" s="93"/>
      <c r="AL84" s="94"/>
      <c r="AM84" s="95" t="str">
        <f t="shared" si="29"/>
        <v/>
      </c>
      <c r="AN84" s="93"/>
      <c r="AO84" s="94"/>
      <c r="AP84" s="95" t="str">
        <f t="shared" si="32"/>
        <v/>
      </c>
    </row>
    <row r="85" spans="1:42" x14ac:dyDescent="0.25">
      <c r="A85" s="91">
        <v>46106</v>
      </c>
      <c r="B85" s="92">
        <f t="shared" si="17"/>
        <v>13</v>
      </c>
      <c r="C85" s="92">
        <f t="shared" si="18"/>
        <v>3</v>
      </c>
      <c r="D85" s="93"/>
      <c r="E85" s="94"/>
      <c r="F85" s="95" t="str">
        <f t="shared" si="19"/>
        <v/>
      </c>
      <c r="G85" s="93"/>
      <c r="H85" s="94"/>
      <c r="I85" s="95" t="str">
        <f t="shared" si="31"/>
        <v/>
      </c>
      <c r="J85" s="93"/>
      <c r="K85" s="94"/>
      <c r="L85" s="95" t="str">
        <f t="shared" si="20"/>
        <v/>
      </c>
      <c r="M85" s="93"/>
      <c r="N85" s="94"/>
      <c r="O85" s="95" t="str">
        <f t="shared" si="21"/>
        <v/>
      </c>
      <c r="P85" s="93"/>
      <c r="Q85" s="94"/>
      <c r="R85" s="95" t="str">
        <f t="shared" si="22"/>
        <v/>
      </c>
      <c r="S85" s="93"/>
      <c r="T85" s="94"/>
      <c r="U85" s="95" t="str">
        <f t="shared" si="23"/>
        <v/>
      </c>
      <c r="V85" s="93"/>
      <c r="W85" s="94"/>
      <c r="X85" s="95" t="str">
        <f t="shared" si="24"/>
        <v/>
      </c>
      <c r="Y85" s="94"/>
      <c r="Z85" s="94"/>
      <c r="AA85" s="112" t="str">
        <f t="shared" si="25"/>
        <v/>
      </c>
      <c r="AB85" s="93"/>
      <c r="AC85" s="94"/>
      <c r="AD85" s="95" t="str">
        <f t="shared" si="26"/>
        <v/>
      </c>
      <c r="AE85" s="93"/>
      <c r="AF85" s="94"/>
      <c r="AG85" s="95" t="str">
        <f t="shared" si="27"/>
        <v/>
      </c>
      <c r="AH85" s="93"/>
      <c r="AI85" s="94"/>
      <c r="AJ85" s="95" t="str">
        <f t="shared" si="28"/>
        <v/>
      </c>
      <c r="AK85" s="93"/>
      <c r="AL85" s="94"/>
      <c r="AM85" s="95" t="str">
        <f t="shared" si="29"/>
        <v/>
      </c>
      <c r="AN85" s="93"/>
      <c r="AO85" s="94"/>
      <c r="AP85" s="95" t="str">
        <f t="shared" si="32"/>
        <v/>
      </c>
    </row>
    <row r="86" spans="1:42" x14ac:dyDescent="0.25">
      <c r="A86" s="91">
        <v>46107</v>
      </c>
      <c r="B86" s="92">
        <f t="shared" si="17"/>
        <v>13</v>
      </c>
      <c r="C86" s="92">
        <f t="shared" si="18"/>
        <v>3</v>
      </c>
      <c r="D86" s="93"/>
      <c r="E86" s="94"/>
      <c r="F86" s="95" t="str">
        <f t="shared" si="19"/>
        <v/>
      </c>
      <c r="G86" s="93"/>
      <c r="H86" s="94"/>
      <c r="I86" s="95" t="str">
        <f t="shared" si="31"/>
        <v/>
      </c>
      <c r="J86" s="93"/>
      <c r="K86" s="94"/>
      <c r="L86" s="95" t="str">
        <f t="shared" si="20"/>
        <v/>
      </c>
      <c r="M86" s="93"/>
      <c r="N86" s="94"/>
      <c r="O86" s="95" t="str">
        <f t="shared" si="21"/>
        <v/>
      </c>
      <c r="P86" s="93"/>
      <c r="Q86" s="94"/>
      <c r="R86" s="95" t="str">
        <f t="shared" si="22"/>
        <v/>
      </c>
      <c r="S86" s="93"/>
      <c r="T86" s="94"/>
      <c r="U86" s="95" t="str">
        <f t="shared" si="23"/>
        <v/>
      </c>
      <c r="V86" s="93"/>
      <c r="W86" s="94"/>
      <c r="X86" s="95" t="str">
        <f t="shared" si="24"/>
        <v/>
      </c>
      <c r="Y86" s="94"/>
      <c r="Z86" s="94"/>
      <c r="AA86" s="112" t="str">
        <f t="shared" si="25"/>
        <v/>
      </c>
      <c r="AB86" s="93"/>
      <c r="AC86" s="94"/>
      <c r="AD86" s="95" t="str">
        <f t="shared" si="26"/>
        <v/>
      </c>
      <c r="AE86" s="93"/>
      <c r="AF86" s="94"/>
      <c r="AG86" s="95" t="str">
        <f t="shared" si="27"/>
        <v/>
      </c>
      <c r="AH86" s="93"/>
      <c r="AI86" s="94"/>
      <c r="AJ86" s="95" t="str">
        <f t="shared" si="28"/>
        <v/>
      </c>
      <c r="AK86" s="93"/>
      <c r="AL86" s="94"/>
      <c r="AM86" s="95" t="str">
        <f t="shared" si="29"/>
        <v/>
      </c>
      <c r="AN86" s="93"/>
      <c r="AO86" s="94"/>
      <c r="AP86" s="95" t="str">
        <f t="shared" si="32"/>
        <v/>
      </c>
    </row>
    <row r="87" spans="1:42" x14ac:dyDescent="0.25">
      <c r="A87" s="91">
        <v>46108</v>
      </c>
      <c r="B87" s="92">
        <f t="shared" si="17"/>
        <v>13</v>
      </c>
      <c r="C87" s="92">
        <f t="shared" si="18"/>
        <v>3</v>
      </c>
      <c r="D87" s="93"/>
      <c r="E87" s="94"/>
      <c r="F87" s="95" t="str">
        <f t="shared" si="19"/>
        <v/>
      </c>
      <c r="G87" s="93"/>
      <c r="H87" s="94"/>
      <c r="I87" s="95" t="str">
        <f t="shared" si="31"/>
        <v/>
      </c>
      <c r="J87" s="93"/>
      <c r="K87" s="94"/>
      <c r="L87" s="95" t="str">
        <f t="shared" si="20"/>
        <v/>
      </c>
      <c r="M87" s="93"/>
      <c r="N87" s="94"/>
      <c r="O87" s="95" t="str">
        <f t="shared" si="21"/>
        <v/>
      </c>
      <c r="P87" s="93"/>
      <c r="Q87" s="94"/>
      <c r="R87" s="95" t="str">
        <f t="shared" si="22"/>
        <v/>
      </c>
      <c r="S87" s="93"/>
      <c r="T87" s="94"/>
      <c r="U87" s="95" t="str">
        <f t="shared" si="23"/>
        <v/>
      </c>
      <c r="V87" s="93"/>
      <c r="W87" s="94"/>
      <c r="X87" s="95" t="str">
        <f t="shared" si="24"/>
        <v/>
      </c>
      <c r="Y87" s="94"/>
      <c r="Z87" s="94"/>
      <c r="AA87" s="112" t="str">
        <f t="shared" si="25"/>
        <v/>
      </c>
      <c r="AB87" s="93"/>
      <c r="AC87" s="94"/>
      <c r="AD87" s="95" t="str">
        <f t="shared" si="26"/>
        <v/>
      </c>
      <c r="AE87" s="93"/>
      <c r="AF87" s="94"/>
      <c r="AG87" s="95" t="str">
        <f t="shared" si="27"/>
        <v/>
      </c>
      <c r="AH87" s="93"/>
      <c r="AI87" s="94"/>
      <c r="AJ87" s="95" t="str">
        <f t="shared" si="28"/>
        <v/>
      </c>
      <c r="AK87" s="93"/>
      <c r="AL87" s="94"/>
      <c r="AM87" s="95" t="str">
        <f t="shared" si="29"/>
        <v/>
      </c>
      <c r="AN87" s="93"/>
      <c r="AO87" s="94"/>
      <c r="AP87" s="95" t="str">
        <f t="shared" si="32"/>
        <v/>
      </c>
    </row>
    <row r="88" spans="1:42" x14ac:dyDescent="0.25">
      <c r="A88" s="91">
        <v>46109</v>
      </c>
      <c r="B88" s="92">
        <f t="shared" si="17"/>
        <v>13</v>
      </c>
      <c r="C88" s="92">
        <f t="shared" si="18"/>
        <v>3</v>
      </c>
      <c r="D88" s="93"/>
      <c r="E88" s="94"/>
      <c r="F88" s="95" t="str">
        <f t="shared" si="19"/>
        <v/>
      </c>
      <c r="G88" s="93"/>
      <c r="H88" s="94"/>
      <c r="I88" s="95" t="str">
        <f t="shared" si="31"/>
        <v/>
      </c>
      <c r="J88" s="93"/>
      <c r="K88" s="94"/>
      <c r="L88" s="95" t="str">
        <f t="shared" si="20"/>
        <v/>
      </c>
      <c r="M88" s="93"/>
      <c r="N88" s="94"/>
      <c r="O88" s="95" t="str">
        <f t="shared" si="21"/>
        <v/>
      </c>
      <c r="P88" s="93"/>
      <c r="Q88" s="94"/>
      <c r="R88" s="95" t="str">
        <f t="shared" si="22"/>
        <v/>
      </c>
      <c r="S88" s="93"/>
      <c r="T88" s="94"/>
      <c r="U88" s="95" t="str">
        <f t="shared" si="23"/>
        <v/>
      </c>
      <c r="V88" s="93"/>
      <c r="W88" s="94"/>
      <c r="X88" s="95" t="str">
        <f t="shared" si="24"/>
        <v/>
      </c>
      <c r="Y88" s="94"/>
      <c r="Z88" s="94"/>
      <c r="AA88" s="112" t="str">
        <f t="shared" si="25"/>
        <v/>
      </c>
      <c r="AB88" s="93"/>
      <c r="AC88" s="94"/>
      <c r="AD88" s="95" t="str">
        <f t="shared" si="26"/>
        <v/>
      </c>
      <c r="AE88" s="93"/>
      <c r="AF88" s="94"/>
      <c r="AG88" s="95" t="str">
        <f t="shared" si="27"/>
        <v/>
      </c>
      <c r="AH88" s="93"/>
      <c r="AI88" s="94"/>
      <c r="AJ88" s="95" t="str">
        <f t="shared" si="28"/>
        <v/>
      </c>
      <c r="AK88" s="93"/>
      <c r="AL88" s="94"/>
      <c r="AM88" s="95" t="str">
        <f t="shared" si="29"/>
        <v/>
      </c>
      <c r="AN88" s="93"/>
      <c r="AO88" s="94"/>
      <c r="AP88" s="95" t="str">
        <f t="shared" si="32"/>
        <v/>
      </c>
    </row>
    <row r="89" spans="1:42" x14ac:dyDescent="0.25">
      <c r="A89" s="91">
        <v>46110</v>
      </c>
      <c r="B89" s="92">
        <f t="shared" si="17"/>
        <v>13</v>
      </c>
      <c r="C89" s="92">
        <f t="shared" si="18"/>
        <v>3</v>
      </c>
      <c r="D89" s="93"/>
      <c r="E89" s="94"/>
      <c r="F89" s="95" t="str">
        <f t="shared" si="19"/>
        <v/>
      </c>
      <c r="G89" s="93"/>
      <c r="H89" s="94"/>
      <c r="I89" s="95" t="str">
        <f t="shared" si="31"/>
        <v/>
      </c>
      <c r="J89" s="93"/>
      <c r="K89" s="94"/>
      <c r="L89" s="95" t="str">
        <f t="shared" si="20"/>
        <v/>
      </c>
      <c r="M89" s="93"/>
      <c r="N89" s="94"/>
      <c r="O89" s="95" t="str">
        <f t="shared" si="21"/>
        <v/>
      </c>
      <c r="P89" s="93"/>
      <c r="Q89" s="94"/>
      <c r="R89" s="95" t="str">
        <f t="shared" si="22"/>
        <v/>
      </c>
      <c r="S89" s="93"/>
      <c r="T89" s="94"/>
      <c r="U89" s="95" t="str">
        <f t="shared" si="23"/>
        <v/>
      </c>
      <c r="V89" s="93"/>
      <c r="W89" s="94"/>
      <c r="X89" s="95" t="str">
        <f t="shared" si="24"/>
        <v/>
      </c>
      <c r="Y89" s="94"/>
      <c r="Z89" s="94"/>
      <c r="AA89" s="112" t="str">
        <f t="shared" si="25"/>
        <v/>
      </c>
      <c r="AB89" s="93"/>
      <c r="AC89" s="94"/>
      <c r="AD89" s="95" t="str">
        <f t="shared" si="26"/>
        <v/>
      </c>
      <c r="AE89" s="93"/>
      <c r="AF89" s="94"/>
      <c r="AG89" s="95" t="str">
        <f t="shared" si="27"/>
        <v/>
      </c>
      <c r="AH89" s="93"/>
      <c r="AI89" s="94"/>
      <c r="AJ89" s="95" t="str">
        <f t="shared" si="28"/>
        <v/>
      </c>
      <c r="AK89" s="93"/>
      <c r="AL89" s="94"/>
      <c r="AM89" s="95" t="str">
        <f t="shared" si="29"/>
        <v/>
      </c>
      <c r="AN89" s="93"/>
      <c r="AO89" s="94"/>
      <c r="AP89" s="95" t="str">
        <f t="shared" si="32"/>
        <v/>
      </c>
    </row>
    <row r="90" spans="1:42" x14ac:dyDescent="0.25">
      <c r="A90" s="91">
        <v>46111</v>
      </c>
      <c r="B90" s="92">
        <f t="shared" si="17"/>
        <v>14</v>
      </c>
      <c r="C90" s="92">
        <f t="shared" si="18"/>
        <v>3</v>
      </c>
      <c r="D90" s="93"/>
      <c r="E90" s="94"/>
      <c r="F90" s="95" t="str">
        <f t="shared" si="19"/>
        <v/>
      </c>
      <c r="G90" s="93"/>
      <c r="H90" s="94"/>
      <c r="I90" s="95" t="str">
        <f t="shared" si="31"/>
        <v/>
      </c>
      <c r="J90" s="93"/>
      <c r="K90" s="94"/>
      <c r="L90" s="95" t="str">
        <f t="shared" si="20"/>
        <v/>
      </c>
      <c r="M90" s="93"/>
      <c r="N90" s="94"/>
      <c r="O90" s="95" t="str">
        <f t="shared" si="21"/>
        <v/>
      </c>
      <c r="P90" s="93"/>
      <c r="Q90" s="94"/>
      <c r="R90" s="95" t="str">
        <f t="shared" si="22"/>
        <v/>
      </c>
      <c r="S90" s="93"/>
      <c r="T90" s="94"/>
      <c r="U90" s="95" t="str">
        <f t="shared" si="23"/>
        <v/>
      </c>
      <c r="V90" s="93"/>
      <c r="W90" s="94"/>
      <c r="X90" s="95" t="str">
        <f t="shared" si="24"/>
        <v/>
      </c>
      <c r="Y90" s="94"/>
      <c r="Z90" s="94"/>
      <c r="AA90" s="112" t="str">
        <f t="shared" si="25"/>
        <v/>
      </c>
      <c r="AB90" s="93"/>
      <c r="AC90" s="94"/>
      <c r="AD90" s="95" t="str">
        <f t="shared" si="26"/>
        <v/>
      </c>
      <c r="AE90" s="93"/>
      <c r="AF90" s="94"/>
      <c r="AG90" s="95" t="str">
        <f t="shared" si="27"/>
        <v/>
      </c>
      <c r="AH90" s="93"/>
      <c r="AI90" s="94"/>
      <c r="AJ90" s="95" t="str">
        <f t="shared" si="28"/>
        <v/>
      </c>
      <c r="AK90" s="93"/>
      <c r="AL90" s="94"/>
      <c r="AM90" s="95" t="str">
        <f t="shared" si="29"/>
        <v/>
      </c>
      <c r="AN90" s="93"/>
      <c r="AO90" s="94"/>
      <c r="AP90" s="95" t="str">
        <f t="shared" si="32"/>
        <v/>
      </c>
    </row>
    <row r="91" spans="1:42" x14ac:dyDescent="0.25">
      <c r="A91" s="91">
        <v>46112</v>
      </c>
      <c r="B91" s="92">
        <f t="shared" si="17"/>
        <v>14</v>
      </c>
      <c r="C91" s="92">
        <f t="shared" si="18"/>
        <v>3</v>
      </c>
      <c r="D91" s="93"/>
      <c r="E91" s="94"/>
      <c r="F91" s="95" t="str">
        <f t="shared" si="19"/>
        <v/>
      </c>
      <c r="G91" s="93"/>
      <c r="H91" s="94"/>
      <c r="I91" s="95" t="str">
        <f t="shared" si="31"/>
        <v/>
      </c>
      <c r="J91" s="93"/>
      <c r="K91" s="94"/>
      <c r="L91" s="95" t="str">
        <f t="shared" si="20"/>
        <v/>
      </c>
      <c r="M91" s="93"/>
      <c r="N91" s="94"/>
      <c r="O91" s="95" t="str">
        <f t="shared" si="21"/>
        <v/>
      </c>
      <c r="P91" s="93"/>
      <c r="Q91" s="94"/>
      <c r="R91" s="95" t="str">
        <f t="shared" si="22"/>
        <v/>
      </c>
      <c r="S91" s="93"/>
      <c r="T91" s="94"/>
      <c r="U91" s="95" t="str">
        <f t="shared" si="23"/>
        <v/>
      </c>
      <c r="V91" s="93"/>
      <c r="W91" s="94"/>
      <c r="X91" s="95" t="str">
        <f t="shared" si="24"/>
        <v/>
      </c>
      <c r="Y91" s="94"/>
      <c r="Z91" s="94"/>
      <c r="AA91" s="112" t="str">
        <f t="shared" si="25"/>
        <v/>
      </c>
      <c r="AB91" s="93"/>
      <c r="AC91" s="94"/>
      <c r="AD91" s="95" t="str">
        <f t="shared" si="26"/>
        <v/>
      </c>
      <c r="AE91" s="93"/>
      <c r="AF91" s="94"/>
      <c r="AG91" s="95" t="str">
        <f t="shared" si="27"/>
        <v/>
      </c>
      <c r="AH91" s="93"/>
      <c r="AI91" s="94"/>
      <c r="AJ91" s="95" t="str">
        <f t="shared" si="28"/>
        <v/>
      </c>
      <c r="AK91" s="93"/>
      <c r="AL91" s="94"/>
      <c r="AM91" s="95" t="str">
        <f t="shared" si="29"/>
        <v/>
      </c>
      <c r="AN91" s="93"/>
      <c r="AO91" s="94"/>
      <c r="AP91" s="95" t="str">
        <f t="shared" si="32"/>
        <v/>
      </c>
    </row>
    <row r="92" spans="1:42" x14ac:dyDescent="0.25">
      <c r="A92" s="91">
        <v>46113</v>
      </c>
      <c r="B92" s="92">
        <f t="shared" si="17"/>
        <v>14</v>
      </c>
      <c r="C92" s="92">
        <f t="shared" si="18"/>
        <v>4</v>
      </c>
      <c r="D92" s="93"/>
      <c r="E92" s="94"/>
      <c r="F92" s="95" t="str">
        <f t="shared" si="19"/>
        <v/>
      </c>
      <c r="G92" s="93"/>
      <c r="H92" s="94"/>
      <c r="I92" s="95" t="str">
        <f t="shared" si="31"/>
        <v/>
      </c>
      <c r="J92" s="93"/>
      <c r="K92" s="94"/>
      <c r="L92" s="95" t="str">
        <f t="shared" si="20"/>
        <v/>
      </c>
      <c r="M92" s="93"/>
      <c r="N92" s="94"/>
      <c r="O92" s="95" t="str">
        <f t="shared" si="21"/>
        <v/>
      </c>
      <c r="P92" s="93"/>
      <c r="Q92" s="94"/>
      <c r="R92" s="95" t="str">
        <f t="shared" si="22"/>
        <v/>
      </c>
      <c r="S92" s="93"/>
      <c r="T92" s="94"/>
      <c r="U92" s="95" t="str">
        <f t="shared" si="23"/>
        <v/>
      </c>
      <c r="V92" s="93"/>
      <c r="W92" s="94"/>
      <c r="X92" s="95" t="str">
        <f t="shared" si="24"/>
        <v/>
      </c>
      <c r="Y92" s="94"/>
      <c r="Z92" s="94"/>
      <c r="AA92" s="112" t="str">
        <f t="shared" si="25"/>
        <v/>
      </c>
      <c r="AB92" s="93"/>
      <c r="AC92" s="94"/>
      <c r="AD92" s="95" t="str">
        <f t="shared" si="26"/>
        <v/>
      </c>
      <c r="AE92" s="93"/>
      <c r="AF92" s="94"/>
      <c r="AG92" s="95" t="str">
        <f t="shared" si="27"/>
        <v/>
      </c>
      <c r="AH92" s="93"/>
      <c r="AI92" s="94"/>
      <c r="AJ92" s="95" t="str">
        <f t="shared" si="28"/>
        <v/>
      </c>
      <c r="AK92" s="93"/>
      <c r="AL92" s="94"/>
      <c r="AM92" s="95" t="str">
        <f t="shared" si="29"/>
        <v/>
      </c>
      <c r="AN92" s="93"/>
      <c r="AO92" s="94"/>
      <c r="AP92" s="95" t="str">
        <f t="shared" si="32"/>
        <v/>
      </c>
    </row>
    <row r="93" spans="1:42" x14ac:dyDescent="0.25">
      <c r="A93" s="91">
        <v>46114</v>
      </c>
      <c r="B93" s="92">
        <f t="shared" si="17"/>
        <v>14</v>
      </c>
      <c r="C93" s="92">
        <f t="shared" si="18"/>
        <v>4</v>
      </c>
      <c r="D93" s="93"/>
      <c r="E93" s="94"/>
      <c r="F93" s="95" t="str">
        <f t="shared" si="19"/>
        <v/>
      </c>
      <c r="G93" s="93"/>
      <c r="H93" s="94"/>
      <c r="I93" s="95" t="str">
        <f t="shared" si="31"/>
        <v/>
      </c>
      <c r="J93" s="93"/>
      <c r="K93" s="94"/>
      <c r="L93" s="95" t="str">
        <f t="shared" si="20"/>
        <v/>
      </c>
      <c r="M93" s="93"/>
      <c r="N93" s="94"/>
      <c r="O93" s="95" t="str">
        <f t="shared" si="21"/>
        <v/>
      </c>
      <c r="P93" s="93"/>
      <c r="Q93" s="94"/>
      <c r="R93" s="95" t="str">
        <f t="shared" si="22"/>
        <v/>
      </c>
      <c r="S93" s="93"/>
      <c r="T93" s="94"/>
      <c r="U93" s="95" t="str">
        <f t="shared" si="23"/>
        <v/>
      </c>
      <c r="V93" s="93"/>
      <c r="W93" s="94"/>
      <c r="X93" s="95" t="str">
        <f t="shared" si="24"/>
        <v/>
      </c>
      <c r="Y93" s="94"/>
      <c r="Z93" s="94"/>
      <c r="AA93" s="112" t="str">
        <f t="shared" si="25"/>
        <v/>
      </c>
      <c r="AB93" s="93"/>
      <c r="AC93" s="94"/>
      <c r="AD93" s="95" t="str">
        <f t="shared" si="26"/>
        <v/>
      </c>
      <c r="AE93" s="93"/>
      <c r="AF93" s="94"/>
      <c r="AG93" s="95" t="str">
        <f t="shared" si="27"/>
        <v/>
      </c>
      <c r="AH93" s="93"/>
      <c r="AI93" s="94"/>
      <c r="AJ93" s="95" t="str">
        <f t="shared" si="28"/>
        <v/>
      </c>
      <c r="AK93" s="93"/>
      <c r="AL93" s="94"/>
      <c r="AM93" s="95" t="str">
        <f t="shared" si="29"/>
        <v/>
      </c>
      <c r="AN93" s="93"/>
      <c r="AO93" s="94"/>
      <c r="AP93" s="95" t="str">
        <f t="shared" si="32"/>
        <v/>
      </c>
    </row>
    <row r="94" spans="1:42" x14ac:dyDescent="0.25">
      <c r="A94" s="91">
        <v>46115</v>
      </c>
      <c r="B94" s="92">
        <f t="shared" si="17"/>
        <v>14</v>
      </c>
      <c r="C94" s="92">
        <f t="shared" si="18"/>
        <v>4</v>
      </c>
      <c r="D94" s="93"/>
      <c r="E94" s="94"/>
      <c r="F94" s="95" t="str">
        <f t="shared" si="19"/>
        <v/>
      </c>
      <c r="G94" s="93"/>
      <c r="H94" s="94"/>
      <c r="I94" s="95" t="str">
        <f t="shared" si="31"/>
        <v/>
      </c>
      <c r="J94" s="93"/>
      <c r="K94" s="94"/>
      <c r="L94" s="95" t="str">
        <f t="shared" si="20"/>
        <v/>
      </c>
      <c r="M94" s="93"/>
      <c r="N94" s="94"/>
      <c r="O94" s="95" t="str">
        <f t="shared" si="21"/>
        <v/>
      </c>
      <c r="P94" s="93"/>
      <c r="Q94" s="94"/>
      <c r="R94" s="95" t="str">
        <f t="shared" si="22"/>
        <v/>
      </c>
      <c r="S94" s="93"/>
      <c r="T94" s="94"/>
      <c r="U94" s="95" t="str">
        <f t="shared" si="23"/>
        <v/>
      </c>
      <c r="V94" s="93"/>
      <c r="W94" s="94"/>
      <c r="X94" s="95" t="str">
        <f t="shared" si="24"/>
        <v/>
      </c>
      <c r="Y94" s="94"/>
      <c r="Z94" s="94"/>
      <c r="AA94" s="112" t="str">
        <f t="shared" si="25"/>
        <v/>
      </c>
      <c r="AB94" s="93"/>
      <c r="AC94" s="94"/>
      <c r="AD94" s="95" t="str">
        <f t="shared" si="26"/>
        <v/>
      </c>
      <c r="AE94" s="93"/>
      <c r="AF94" s="94"/>
      <c r="AG94" s="95" t="str">
        <f t="shared" si="27"/>
        <v/>
      </c>
      <c r="AH94" s="93"/>
      <c r="AI94" s="94"/>
      <c r="AJ94" s="95" t="str">
        <f t="shared" si="28"/>
        <v/>
      </c>
      <c r="AK94" s="93"/>
      <c r="AL94" s="94"/>
      <c r="AM94" s="95" t="str">
        <f t="shared" si="29"/>
        <v/>
      </c>
      <c r="AN94" s="93"/>
      <c r="AO94" s="94"/>
      <c r="AP94" s="95" t="str">
        <f t="shared" si="32"/>
        <v/>
      </c>
    </row>
    <row r="95" spans="1:42" x14ac:dyDescent="0.25">
      <c r="A95" s="91">
        <v>46116</v>
      </c>
      <c r="B95" s="92">
        <f t="shared" si="17"/>
        <v>14</v>
      </c>
      <c r="C95" s="92">
        <f t="shared" si="18"/>
        <v>4</v>
      </c>
      <c r="D95" s="93"/>
      <c r="E95" s="94"/>
      <c r="F95" s="95" t="str">
        <f t="shared" si="19"/>
        <v/>
      </c>
      <c r="G95" s="93"/>
      <c r="H95" s="94"/>
      <c r="I95" s="95" t="str">
        <f t="shared" si="31"/>
        <v/>
      </c>
      <c r="J95" s="93"/>
      <c r="K95" s="94"/>
      <c r="L95" s="95" t="str">
        <f t="shared" si="20"/>
        <v/>
      </c>
      <c r="M95" s="93"/>
      <c r="N95" s="94"/>
      <c r="O95" s="95" t="str">
        <f t="shared" si="21"/>
        <v/>
      </c>
      <c r="P95" s="93"/>
      <c r="Q95" s="94"/>
      <c r="R95" s="95" t="str">
        <f t="shared" si="22"/>
        <v/>
      </c>
      <c r="S95" s="93"/>
      <c r="T95" s="94"/>
      <c r="U95" s="95" t="str">
        <f t="shared" si="23"/>
        <v/>
      </c>
      <c r="V95" s="93"/>
      <c r="W95" s="94"/>
      <c r="X95" s="95" t="str">
        <f t="shared" si="24"/>
        <v/>
      </c>
      <c r="Y95" s="94"/>
      <c r="Z95" s="94"/>
      <c r="AA95" s="112" t="str">
        <f t="shared" si="25"/>
        <v/>
      </c>
      <c r="AB95" s="93"/>
      <c r="AC95" s="94"/>
      <c r="AD95" s="95" t="str">
        <f t="shared" si="26"/>
        <v/>
      </c>
      <c r="AE95" s="93"/>
      <c r="AF95" s="94"/>
      <c r="AG95" s="95" t="str">
        <f t="shared" si="27"/>
        <v/>
      </c>
      <c r="AH95" s="93"/>
      <c r="AI95" s="94"/>
      <c r="AJ95" s="95" t="str">
        <f t="shared" si="28"/>
        <v/>
      </c>
      <c r="AK95" s="93"/>
      <c r="AL95" s="94"/>
      <c r="AM95" s="95" t="str">
        <f t="shared" si="29"/>
        <v/>
      </c>
      <c r="AN95" s="93"/>
      <c r="AO95" s="94"/>
      <c r="AP95" s="95" t="str">
        <f t="shared" si="32"/>
        <v/>
      </c>
    </row>
    <row r="96" spans="1:42" x14ac:dyDescent="0.25">
      <c r="A96" s="91">
        <v>46117</v>
      </c>
      <c r="B96" s="92">
        <f t="shared" si="17"/>
        <v>14</v>
      </c>
      <c r="C96" s="92">
        <f t="shared" si="18"/>
        <v>4</v>
      </c>
      <c r="D96" s="93"/>
      <c r="E96" s="94"/>
      <c r="F96" s="95" t="str">
        <f t="shared" si="19"/>
        <v/>
      </c>
      <c r="G96" s="93"/>
      <c r="H96" s="94"/>
      <c r="I96" s="95" t="str">
        <f t="shared" si="31"/>
        <v/>
      </c>
      <c r="J96" s="93"/>
      <c r="K96" s="94"/>
      <c r="L96" s="95" t="str">
        <f t="shared" si="20"/>
        <v/>
      </c>
      <c r="M96" s="93"/>
      <c r="N96" s="94"/>
      <c r="O96" s="95" t="str">
        <f t="shared" si="21"/>
        <v/>
      </c>
      <c r="P96" s="93"/>
      <c r="Q96" s="94"/>
      <c r="R96" s="95" t="str">
        <f t="shared" si="22"/>
        <v/>
      </c>
      <c r="S96" s="93"/>
      <c r="T96" s="94"/>
      <c r="U96" s="95" t="str">
        <f t="shared" si="23"/>
        <v/>
      </c>
      <c r="V96" s="93"/>
      <c r="W96" s="94"/>
      <c r="X96" s="95" t="str">
        <f t="shared" si="24"/>
        <v/>
      </c>
      <c r="Y96" s="94"/>
      <c r="Z96" s="94"/>
      <c r="AA96" s="112" t="str">
        <f t="shared" si="25"/>
        <v/>
      </c>
      <c r="AB96" s="93"/>
      <c r="AC96" s="94"/>
      <c r="AD96" s="95" t="str">
        <f t="shared" si="26"/>
        <v/>
      </c>
      <c r="AE96" s="93"/>
      <c r="AF96" s="94"/>
      <c r="AG96" s="95" t="str">
        <f t="shared" si="27"/>
        <v/>
      </c>
      <c r="AH96" s="93"/>
      <c r="AI96" s="94"/>
      <c r="AJ96" s="95" t="str">
        <f t="shared" si="28"/>
        <v/>
      </c>
      <c r="AK96" s="93"/>
      <c r="AL96" s="94"/>
      <c r="AM96" s="95" t="str">
        <f t="shared" si="29"/>
        <v/>
      </c>
      <c r="AN96" s="93"/>
      <c r="AO96" s="94"/>
      <c r="AP96" s="95" t="str">
        <f t="shared" si="32"/>
        <v/>
      </c>
    </row>
    <row r="97" spans="1:42" x14ac:dyDescent="0.25">
      <c r="A97" s="91">
        <v>46118</v>
      </c>
      <c r="B97" s="92">
        <f t="shared" si="17"/>
        <v>15</v>
      </c>
      <c r="C97" s="92">
        <f t="shared" si="18"/>
        <v>4</v>
      </c>
      <c r="D97" s="93"/>
      <c r="E97" s="94"/>
      <c r="F97" s="95" t="str">
        <f t="shared" si="19"/>
        <v/>
      </c>
      <c r="G97" s="93"/>
      <c r="H97" s="94"/>
      <c r="I97" s="95" t="str">
        <f t="shared" si="31"/>
        <v/>
      </c>
      <c r="J97" s="93"/>
      <c r="K97" s="94"/>
      <c r="L97" s="95" t="str">
        <f t="shared" si="20"/>
        <v/>
      </c>
      <c r="M97" s="93"/>
      <c r="N97" s="94"/>
      <c r="O97" s="95" t="str">
        <f t="shared" si="21"/>
        <v/>
      </c>
      <c r="P97" s="93"/>
      <c r="Q97" s="94"/>
      <c r="R97" s="95" t="str">
        <f t="shared" si="22"/>
        <v/>
      </c>
      <c r="S97" s="93"/>
      <c r="T97" s="94"/>
      <c r="U97" s="95" t="str">
        <f t="shared" si="23"/>
        <v/>
      </c>
      <c r="V97" s="93"/>
      <c r="W97" s="94"/>
      <c r="X97" s="95" t="str">
        <f t="shared" si="24"/>
        <v/>
      </c>
      <c r="Y97" s="94"/>
      <c r="Z97" s="94"/>
      <c r="AA97" s="112" t="str">
        <f t="shared" si="25"/>
        <v/>
      </c>
      <c r="AB97" s="93"/>
      <c r="AC97" s="94"/>
      <c r="AD97" s="95" t="str">
        <f t="shared" si="26"/>
        <v/>
      </c>
      <c r="AE97" s="93"/>
      <c r="AF97" s="94"/>
      <c r="AG97" s="95" t="str">
        <f t="shared" si="27"/>
        <v/>
      </c>
      <c r="AH97" s="93"/>
      <c r="AI97" s="94"/>
      <c r="AJ97" s="95" t="str">
        <f t="shared" si="28"/>
        <v/>
      </c>
      <c r="AK97" s="93"/>
      <c r="AL97" s="94"/>
      <c r="AM97" s="95" t="str">
        <f t="shared" si="29"/>
        <v/>
      </c>
      <c r="AN97" s="93"/>
      <c r="AO97" s="94"/>
      <c r="AP97" s="95" t="str">
        <f t="shared" si="32"/>
        <v/>
      </c>
    </row>
    <row r="98" spans="1:42" x14ac:dyDescent="0.25">
      <c r="A98" s="91">
        <v>46119</v>
      </c>
      <c r="B98" s="92">
        <f t="shared" si="17"/>
        <v>15</v>
      </c>
      <c r="C98" s="92">
        <f t="shared" si="18"/>
        <v>4</v>
      </c>
      <c r="D98" s="93"/>
      <c r="E98" s="94"/>
      <c r="F98" s="95" t="str">
        <f t="shared" si="19"/>
        <v/>
      </c>
      <c r="G98" s="93"/>
      <c r="H98" s="94"/>
      <c r="I98" s="95" t="str">
        <f t="shared" si="31"/>
        <v/>
      </c>
      <c r="J98" s="93"/>
      <c r="K98" s="94"/>
      <c r="L98" s="95" t="str">
        <f t="shared" si="20"/>
        <v/>
      </c>
      <c r="M98" s="93"/>
      <c r="N98" s="94"/>
      <c r="O98" s="95" t="str">
        <f t="shared" si="21"/>
        <v/>
      </c>
      <c r="P98" s="93"/>
      <c r="Q98" s="94"/>
      <c r="R98" s="95" t="str">
        <f t="shared" si="22"/>
        <v/>
      </c>
      <c r="S98" s="93"/>
      <c r="T98" s="94"/>
      <c r="U98" s="95" t="str">
        <f t="shared" si="23"/>
        <v/>
      </c>
      <c r="V98" s="93"/>
      <c r="W98" s="94"/>
      <c r="X98" s="95" t="str">
        <f t="shared" si="24"/>
        <v/>
      </c>
      <c r="Y98" s="94"/>
      <c r="Z98" s="94"/>
      <c r="AA98" s="112" t="str">
        <f t="shared" si="25"/>
        <v/>
      </c>
      <c r="AB98" s="93"/>
      <c r="AC98" s="94"/>
      <c r="AD98" s="95" t="str">
        <f t="shared" si="26"/>
        <v/>
      </c>
      <c r="AE98" s="93"/>
      <c r="AF98" s="94"/>
      <c r="AG98" s="95" t="str">
        <f t="shared" si="27"/>
        <v/>
      </c>
      <c r="AH98" s="93"/>
      <c r="AI98" s="94"/>
      <c r="AJ98" s="95" t="str">
        <f t="shared" si="28"/>
        <v/>
      </c>
      <c r="AK98" s="93"/>
      <c r="AL98" s="94"/>
      <c r="AM98" s="95" t="str">
        <f t="shared" si="29"/>
        <v/>
      </c>
      <c r="AN98" s="93"/>
      <c r="AO98" s="94"/>
      <c r="AP98" s="95" t="str">
        <f t="shared" si="32"/>
        <v/>
      </c>
    </row>
    <row r="99" spans="1:42" x14ac:dyDescent="0.25">
      <c r="A99" s="91">
        <v>46120</v>
      </c>
      <c r="B99" s="92">
        <f t="shared" si="17"/>
        <v>15</v>
      </c>
      <c r="C99" s="92">
        <f t="shared" si="18"/>
        <v>4</v>
      </c>
      <c r="D99" s="93"/>
      <c r="E99" s="94"/>
      <c r="F99" s="95" t="str">
        <f t="shared" si="19"/>
        <v/>
      </c>
      <c r="G99" s="93"/>
      <c r="H99" s="94"/>
      <c r="I99" s="95" t="str">
        <f t="shared" si="31"/>
        <v/>
      </c>
      <c r="J99" s="93"/>
      <c r="K99" s="94"/>
      <c r="L99" s="95" t="str">
        <f t="shared" si="20"/>
        <v/>
      </c>
      <c r="M99" s="93"/>
      <c r="N99" s="94"/>
      <c r="O99" s="95" t="str">
        <f t="shared" si="21"/>
        <v/>
      </c>
      <c r="P99" s="93"/>
      <c r="Q99" s="94"/>
      <c r="R99" s="95" t="str">
        <f t="shared" si="22"/>
        <v/>
      </c>
      <c r="S99" s="93"/>
      <c r="T99" s="94"/>
      <c r="U99" s="95" t="str">
        <f t="shared" si="23"/>
        <v/>
      </c>
      <c r="V99" s="93"/>
      <c r="W99" s="94"/>
      <c r="X99" s="95" t="str">
        <f t="shared" si="24"/>
        <v/>
      </c>
      <c r="Y99" s="94"/>
      <c r="Z99" s="94"/>
      <c r="AA99" s="112" t="str">
        <f t="shared" si="25"/>
        <v/>
      </c>
      <c r="AB99" s="93"/>
      <c r="AC99" s="94"/>
      <c r="AD99" s="95" t="str">
        <f t="shared" si="26"/>
        <v/>
      </c>
      <c r="AE99" s="93"/>
      <c r="AF99" s="94"/>
      <c r="AG99" s="95" t="str">
        <f t="shared" si="27"/>
        <v/>
      </c>
      <c r="AH99" s="93"/>
      <c r="AI99" s="94"/>
      <c r="AJ99" s="95" t="str">
        <f t="shared" si="28"/>
        <v/>
      </c>
      <c r="AK99" s="93"/>
      <c r="AL99" s="94"/>
      <c r="AM99" s="95" t="str">
        <f t="shared" si="29"/>
        <v/>
      </c>
      <c r="AN99" s="93"/>
      <c r="AO99" s="94"/>
      <c r="AP99" s="95" t="str">
        <f t="shared" si="32"/>
        <v/>
      </c>
    </row>
    <row r="100" spans="1:42" x14ac:dyDescent="0.25">
      <c r="A100" s="91">
        <v>46121</v>
      </c>
      <c r="B100" s="92">
        <f t="shared" si="17"/>
        <v>15</v>
      </c>
      <c r="C100" s="92">
        <f t="shared" si="18"/>
        <v>4</v>
      </c>
      <c r="D100" s="93"/>
      <c r="E100" s="94"/>
      <c r="F100" s="95" t="str">
        <f t="shared" si="19"/>
        <v/>
      </c>
      <c r="G100" s="93"/>
      <c r="H100" s="94"/>
      <c r="I100" s="95" t="str">
        <f t="shared" si="31"/>
        <v/>
      </c>
      <c r="J100" s="93"/>
      <c r="K100" s="94"/>
      <c r="L100" s="95" t="str">
        <f t="shared" si="20"/>
        <v/>
      </c>
      <c r="M100" s="93"/>
      <c r="N100" s="94"/>
      <c r="O100" s="95" t="str">
        <f t="shared" si="21"/>
        <v/>
      </c>
      <c r="P100" s="93"/>
      <c r="Q100" s="94"/>
      <c r="R100" s="95" t="str">
        <f t="shared" si="22"/>
        <v/>
      </c>
      <c r="S100" s="93"/>
      <c r="T100" s="94"/>
      <c r="U100" s="95" t="str">
        <f t="shared" si="23"/>
        <v/>
      </c>
      <c r="V100" s="93"/>
      <c r="W100" s="94"/>
      <c r="X100" s="95" t="str">
        <f t="shared" si="24"/>
        <v/>
      </c>
      <c r="Y100" s="94"/>
      <c r="Z100" s="94"/>
      <c r="AA100" s="112" t="str">
        <f t="shared" si="25"/>
        <v/>
      </c>
      <c r="AB100" s="93"/>
      <c r="AC100" s="94"/>
      <c r="AD100" s="95" t="str">
        <f t="shared" si="26"/>
        <v/>
      </c>
      <c r="AE100" s="93"/>
      <c r="AF100" s="94"/>
      <c r="AG100" s="95" t="str">
        <f t="shared" si="27"/>
        <v/>
      </c>
      <c r="AH100" s="93"/>
      <c r="AI100" s="94"/>
      <c r="AJ100" s="95" t="str">
        <f t="shared" si="28"/>
        <v/>
      </c>
      <c r="AK100" s="93"/>
      <c r="AL100" s="94"/>
      <c r="AM100" s="95" t="str">
        <f t="shared" si="29"/>
        <v/>
      </c>
      <c r="AN100" s="93"/>
      <c r="AO100" s="94"/>
      <c r="AP100" s="95" t="str">
        <f t="shared" si="32"/>
        <v/>
      </c>
    </row>
    <row r="101" spans="1:42" x14ac:dyDescent="0.25">
      <c r="A101" s="91">
        <v>46122</v>
      </c>
      <c r="B101" s="92">
        <f t="shared" si="17"/>
        <v>15</v>
      </c>
      <c r="C101" s="92">
        <f t="shared" si="18"/>
        <v>4</v>
      </c>
      <c r="D101" s="93"/>
      <c r="E101" s="94"/>
      <c r="F101" s="95" t="str">
        <f t="shared" si="19"/>
        <v/>
      </c>
      <c r="G101" s="93"/>
      <c r="H101" s="94"/>
      <c r="I101" s="95" t="str">
        <f t="shared" si="31"/>
        <v/>
      </c>
      <c r="J101" s="93"/>
      <c r="K101" s="94"/>
      <c r="L101" s="95" t="str">
        <f t="shared" si="20"/>
        <v/>
      </c>
      <c r="M101" s="93"/>
      <c r="N101" s="94"/>
      <c r="O101" s="95" t="str">
        <f t="shared" si="21"/>
        <v/>
      </c>
      <c r="P101" s="93"/>
      <c r="Q101" s="94"/>
      <c r="R101" s="95" t="str">
        <f t="shared" si="22"/>
        <v/>
      </c>
      <c r="S101" s="93"/>
      <c r="T101" s="94"/>
      <c r="U101" s="95" t="str">
        <f t="shared" si="23"/>
        <v/>
      </c>
      <c r="V101" s="93"/>
      <c r="W101" s="94"/>
      <c r="X101" s="95" t="str">
        <f t="shared" si="24"/>
        <v/>
      </c>
      <c r="Y101" s="94"/>
      <c r="Z101" s="94"/>
      <c r="AA101" s="112" t="str">
        <f t="shared" si="25"/>
        <v/>
      </c>
      <c r="AB101" s="93"/>
      <c r="AC101" s="94"/>
      <c r="AD101" s="95" t="str">
        <f t="shared" si="26"/>
        <v/>
      </c>
      <c r="AE101" s="93"/>
      <c r="AF101" s="94"/>
      <c r="AG101" s="95" t="str">
        <f t="shared" si="27"/>
        <v/>
      </c>
      <c r="AH101" s="93"/>
      <c r="AI101" s="94"/>
      <c r="AJ101" s="95" t="str">
        <f t="shared" si="28"/>
        <v/>
      </c>
      <c r="AK101" s="93"/>
      <c r="AL101" s="94"/>
      <c r="AM101" s="95" t="str">
        <f t="shared" si="29"/>
        <v/>
      </c>
      <c r="AN101" s="93"/>
      <c r="AO101" s="94"/>
      <c r="AP101" s="95" t="str">
        <f t="shared" si="32"/>
        <v/>
      </c>
    </row>
    <row r="102" spans="1:42" x14ac:dyDescent="0.25">
      <c r="A102" s="91">
        <v>46123</v>
      </c>
      <c r="B102" s="92">
        <f t="shared" si="17"/>
        <v>15</v>
      </c>
      <c r="C102" s="92">
        <f t="shared" si="18"/>
        <v>4</v>
      </c>
      <c r="D102" s="93"/>
      <c r="E102" s="94"/>
      <c r="F102" s="95" t="str">
        <f t="shared" si="19"/>
        <v/>
      </c>
      <c r="G102" s="93"/>
      <c r="H102" s="94"/>
      <c r="I102" s="95" t="str">
        <f t="shared" si="31"/>
        <v/>
      </c>
      <c r="J102" s="93"/>
      <c r="K102" s="94"/>
      <c r="L102" s="95" t="str">
        <f t="shared" si="20"/>
        <v/>
      </c>
      <c r="M102" s="93"/>
      <c r="N102" s="94"/>
      <c r="O102" s="95" t="str">
        <f t="shared" si="21"/>
        <v/>
      </c>
      <c r="P102" s="93"/>
      <c r="Q102" s="94"/>
      <c r="R102" s="95" t="str">
        <f t="shared" si="22"/>
        <v/>
      </c>
      <c r="S102" s="93"/>
      <c r="T102" s="94"/>
      <c r="U102" s="95" t="str">
        <f t="shared" si="23"/>
        <v/>
      </c>
      <c r="V102" s="93"/>
      <c r="W102" s="94"/>
      <c r="X102" s="95" t="str">
        <f t="shared" si="24"/>
        <v/>
      </c>
      <c r="Y102" s="94"/>
      <c r="Z102" s="94"/>
      <c r="AA102" s="112" t="str">
        <f t="shared" si="25"/>
        <v/>
      </c>
      <c r="AB102" s="93"/>
      <c r="AC102" s="94"/>
      <c r="AD102" s="95" t="str">
        <f t="shared" si="26"/>
        <v/>
      </c>
      <c r="AE102" s="93"/>
      <c r="AF102" s="94"/>
      <c r="AG102" s="95" t="str">
        <f t="shared" si="27"/>
        <v/>
      </c>
      <c r="AH102" s="93"/>
      <c r="AI102" s="94"/>
      <c r="AJ102" s="95" t="str">
        <f t="shared" si="28"/>
        <v/>
      </c>
      <c r="AK102" s="93"/>
      <c r="AL102" s="94"/>
      <c r="AM102" s="95" t="str">
        <f t="shared" si="29"/>
        <v/>
      </c>
      <c r="AN102" s="93"/>
      <c r="AO102" s="94"/>
      <c r="AP102" s="95" t="str">
        <f t="shared" si="32"/>
        <v/>
      </c>
    </row>
    <row r="103" spans="1:42" x14ac:dyDescent="0.25">
      <c r="A103" s="91">
        <v>46124</v>
      </c>
      <c r="B103" s="92">
        <f t="shared" si="17"/>
        <v>15</v>
      </c>
      <c r="C103" s="92">
        <f t="shared" si="18"/>
        <v>4</v>
      </c>
      <c r="D103" s="93"/>
      <c r="E103" s="94"/>
      <c r="F103" s="95" t="str">
        <f t="shared" si="19"/>
        <v/>
      </c>
      <c r="G103" s="93"/>
      <c r="H103" s="94"/>
      <c r="I103" s="95" t="str">
        <f t="shared" si="31"/>
        <v/>
      </c>
      <c r="J103" s="93"/>
      <c r="K103" s="94"/>
      <c r="L103" s="95" t="str">
        <f t="shared" si="20"/>
        <v/>
      </c>
      <c r="M103" s="93"/>
      <c r="N103" s="94"/>
      <c r="O103" s="95" t="str">
        <f t="shared" si="21"/>
        <v/>
      </c>
      <c r="P103" s="93"/>
      <c r="Q103" s="94"/>
      <c r="R103" s="95" t="str">
        <f t="shared" si="22"/>
        <v/>
      </c>
      <c r="S103" s="93"/>
      <c r="T103" s="94"/>
      <c r="U103" s="95" t="str">
        <f t="shared" si="23"/>
        <v/>
      </c>
      <c r="V103" s="93"/>
      <c r="W103" s="94"/>
      <c r="X103" s="95" t="str">
        <f t="shared" si="24"/>
        <v/>
      </c>
      <c r="Y103" s="94"/>
      <c r="Z103" s="94"/>
      <c r="AA103" s="112" t="str">
        <f t="shared" si="25"/>
        <v/>
      </c>
      <c r="AB103" s="93"/>
      <c r="AC103" s="94"/>
      <c r="AD103" s="95" t="str">
        <f t="shared" si="26"/>
        <v/>
      </c>
      <c r="AE103" s="93"/>
      <c r="AF103" s="94"/>
      <c r="AG103" s="95" t="str">
        <f t="shared" si="27"/>
        <v/>
      </c>
      <c r="AH103" s="93"/>
      <c r="AI103" s="94"/>
      <c r="AJ103" s="95" t="str">
        <f t="shared" si="28"/>
        <v/>
      </c>
      <c r="AK103" s="93"/>
      <c r="AL103" s="94"/>
      <c r="AM103" s="95" t="str">
        <f t="shared" si="29"/>
        <v/>
      </c>
      <c r="AN103" s="93"/>
      <c r="AO103" s="94"/>
      <c r="AP103" s="95" t="str">
        <f t="shared" si="32"/>
        <v/>
      </c>
    </row>
    <row r="104" spans="1:42" x14ac:dyDescent="0.25">
      <c r="A104" s="91">
        <v>46125</v>
      </c>
      <c r="B104" s="92">
        <f t="shared" si="17"/>
        <v>16</v>
      </c>
      <c r="C104" s="92">
        <f t="shared" si="18"/>
        <v>4</v>
      </c>
      <c r="D104" s="93"/>
      <c r="E104" s="94"/>
      <c r="F104" s="95" t="str">
        <f t="shared" si="19"/>
        <v/>
      </c>
      <c r="G104" s="93"/>
      <c r="H104" s="94"/>
      <c r="I104" s="95" t="str">
        <f t="shared" si="31"/>
        <v/>
      </c>
      <c r="J104" s="93"/>
      <c r="K104" s="94"/>
      <c r="L104" s="95" t="str">
        <f t="shared" si="20"/>
        <v/>
      </c>
      <c r="M104" s="93"/>
      <c r="N104" s="94"/>
      <c r="O104" s="95" t="str">
        <f t="shared" si="21"/>
        <v/>
      </c>
      <c r="P104" s="93"/>
      <c r="Q104" s="94"/>
      <c r="R104" s="95" t="str">
        <f t="shared" si="22"/>
        <v/>
      </c>
      <c r="S104" s="93"/>
      <c r="T104" s="94"/>
      <c r="U104" s="95" t="str">
        <f t="shared" si="23"/>
        <v/>
      </c>
      <c r="V104" s="93"/>
      <c r="W104" s="94"/>
      <c r="X104" s="95" t="str">
        <f t="shared" si="24"/>
        <v/>
      </c>
      <c r="Y104" s="94"/>
      <c r="Z104" s="94"/>
      <c r="AA104" s="112" t="str">
        <f t="shared" si="25"/>
        <v/>
      </c>
      <c r="AB104" s="93"/>
      <c r="AC104" s="94"/>
      <c r="AD104" s="95" t="str">
        <f t="shared" si="26"/>
        <v/>
      </c>
      <c r="AE104" s="93"/>
      <c r="AF104" s="94"/>
      <c r="AG104" s="95" t="str">
        <f t="shared" si="27"/>
        <v/>
      </c>
      <c r="AH104" s="93"/>
      <c r="AI104" s="94"/>
      <c r="AJ104" s="95" t="str">
        <f t="shared" si="28"/>
        <v/>
      </c>
      <c r="AK104" s="93"/>
      <c r="AL104" s="94"/>
      <c r="AM104" s="95" t="str">
        <f t="shared" si="29"/>
        <v/>
      </c>
      <c r="AN104" s="93"/>
      <c r="AO104" s="94"/>
      <c r="AP104" s="95" t="str">
        <f t="shared" si="32"/>
        <v/>
      </c>
    </row>
    <row r="105" spans="1:42" x14ac:dyDescent="0.25">
      <c r="A105" s="91">
        <v>46126</v>
      </c>
      <c r="B105" s="92">
        <f t="shared" si="17"/>
        <v>16</v>
      </c>
      <c r="C105" s="92">
        <f t="shared" si="18"/>
        <v>4</v>
      </c>
      <c r="D105" s="93"/>
      <c r="E105" s="94"/>
      <c r="F105" s="95" t="str">
        <f t="shared" si="19"/>
        <v/>
      </c>
      <c r="G105" s="93"/>
      <c r="H105" s="94"/>
      <c r="I105" s="95" t="str">
        <f t="shared" si="31"/>
        <v/>
      </c>
      <c r="J105" s="93"/>
      <c r="K105" s="94"/>
      <c r="L105" s="95" t="str">
        <f t="shared" si="20"/>
        <v/>
      </c>
      <c r="M105" s="93"/>
      <c r="N105" s="94"/>
      <c r="O105" s="95" t="str">
        <f t="shared" si="21"/>
        <v/>
      </c>
      <c r="P105" s="93"/>
      <c r="Q105" s="94"/>
      <c r="R105" s="95" t="str">
        <f t="shared" si="22"/>
        <v/>
      </c>
      <c r="S105" s="93"/>
      <c r="T105" s="94"/>
      <c r="U105" s="95" t="str">
        <f t="shared" si="23"/>
        <v/>
      </c>
      <c r="V105" s="93"/>
      <c r="W105" s="94"/>
      <c r="X105" s="95" t="str">
        <f t="shared" si="24"/>
        <v/>
      </c>
      <c r="Y105" s="94"/>
      <c r="Z105" s="94"/>
      <c r="AA105" s="112" t="str">
        <f t="shared" si="25"/>
        <v/>
      </c>
      <c r="AB105" s="93"/>
      <c r="AC105" s="94"/>
      <c r="AD105" s="95" t="str">
        <f t="shared" si="26"/>
        <v/>
      </c>
      <c r="AE105" s="93"/>
      <c r="AF105" s="94"/>
      <c r="AG105" s="95" t="str">
        <f t="shared" si="27"/>
        <v/>
      </c>
      <c r="AH105" s="93"/>
      <c r="AI105" s="94"/>
      <c r="AJ105" s="95" t="str">
        <f t="shared" si="28"/>
        <v/>
      </c>
      <c r="AK105" s="93"/>
      <c r="AL105" s="94"/>
      <c r="AM105" s="95" t="str">
        <f t="shared" si="29"/>
        <v/>
      </c>
      <c r="AN105" s="93"/>
      <c r="AO105" s="94"/>
      <c r="AP105" s="95" t="str">
        <f t="shared" si="32"/>
        <v/>
      </c>
    </row>
    <row r="106" spans="1:42" x14ac:dyDescent="0.25">
      <c r="A106" s="91">
        <v>46127</v>
      </c>
      <c r="B106" s="92">
        <f t="shared" si="17"/>
        <v>16</v>
      </c>
      <c r="C106" s="92">
        <f t="shared" si="18"/>
        <v>4</v>
      </c>
      <c r="D106" s="93"/>
      <c r="E106" s="94"/>
      <c r="F106" s="95" t="str">
        <f t="shared" si="19"/>
        <v/>
      </c>
      <c r="G106" s="93"/>
      <c r="H106" s="94"/>
      <c r="I106" s="95" t="str">
        <f t="shared" si="31"/>
        <v/>
      </c>
      <c r="J106" s="93"/>
      <c r="K106" s="94"/>
      <c r="L106" s="95" t="str">
        <f t="shared" si="20"/>
        <v/>
      </c>
      <c r="M106" s="93"/>
      <c r="N106" s="94"/>
      <c r="O106" s="95" t="str">
        <f t="shared" si="21"/>
        <v/>
      </c>
      <c r="P106" s="93"/>
      <c r="Q106" s="94"/>
      <c r="R106" s="95" t="str">
        <f t="shared" si="22"/>
        <v/>
      </c>
      <c r="S106" s="93"/>
      <c r="T106" s="94"/>
      <c r="U106" s="95" t="str">
        <f t="shared" si="23"/>
        <v/>
      </c>
      <c r="V106" s="93"/>
      <c r="W106" s="94"/>
      <c r="X106" s="95" t="str">
        <f t="shared" si="24"/>
        <v/>
      </c>
      <c r="Y106" s="94"/>
      <c r="Z106" s="94"/>
      <c r="AA106" s="112" t="str">
        <f t="shared" si="25"/>
        <v/>
      </c>
      <c r="AB106" s="93"/>
      <c r="AC106" s="94"/>
      <c r="AD106" s="95" t="str">
        <f t="shared" si="26"/>
        <v/>
      </c>
      <c r="AE106" s="93"/>
      <c r="AF106" s="94"/>
      <c r="AG106" s="95" t="str">
        <f t="shared" si="27"/>
        <v/>
      </c>
      <c r="AH106" s="93"/>
      <c r="AI106" s="94"/>
      <c r="AJ106" s="95" t="str">
        <f t="shared" si="28"/>
        <v/>
      </c>
      <c r="AK106" s="93"/>
      <c r="AL106" s="94"/>
      <c r="AM106" s="95" t="str">
        <f t="shared" si="29"/>
        <v/>
      </c>
      <c r="AN106" s="93"/>
      <c r="AO106" s="94"/>
      <c r="AP106" s="95" t="str">
        <f t="shared" si="32"/>
        <v/>
      </c>
    </row>
    <row r="107" spans="1:42" x14ac:dyDescent="0.25">
      <c r="A107" s="91">
        <v>46128</v>
      </c>
      <c r="B107" s="92">
        <f t="shared" si="17"/>
        <v>16</v>
      </c>
      <c r="C107" s="92">
        <f t="shared" si="18"/>
        <v>4</v>
      </c>
      <c r="D107" s="93"/>
      <c r="E107" s="94"/>
      <c r="F107" s="95" t="str">
        <f t="shared" si="19"/>
        <v/>
      </c>
      <c r="G107" s="93"/>
      <c r="H107" s="94"/>
      <c r="I107" s="95" t="str">
        <f t="shared" si="31"/>
        <v/>
      </c>
      <c r="J107" s="93"/>
      <c r="K107" s="94"/>
      <c r="L107" s="95" t="str">
        <f t="shared" si="20"/>
        <v/>
      </c>
      <c r="M107" s="93"/>
      <c r="N107" s="94"/>
      <c r="O107" s="95" t="str">
        <f t="shared" si="21"/>
        <v/>
      </c>
      <c r="P107" s="93"/>
      <c r="Q107" s="94"/>
      <c r="R107" s="95" t="str">
        <f t="shared" si="22"/>
        <v/>
      </c>
      <c r="S107" s="93"/>
      <c r="T107" s="94"/>
      <c r="U107" s="95" t="str">
        <f t="shared" si="23"/>
        <v/>
      </c>
      <c r="V107" s="93"/>
      <c r="W107" s="94"/>
      <c r="X107" s="95" t="str">
        <f t="shared" si="24"/>
        <v/>
      </c>
      <c r="Y107" s="94"/>
      <c r="Z107" s="94"/>
      <c r="AA107" s="112" t="str">
        <f t="shared" si="25"/>
        <v/>
      </c>
      <c r="AB107" s="93"/>
      <c r="AC107" s="94"/>
      <c r="AD107" s="95" t="str">
        <f t="shared" si="26"/>
        <v/>
      </c>
      <c r="AE107" s="93"/>
      <c r="AF107" s="94"/>
      <c r="AG107" s="95" t="str">
        <f t="shared" si="27"/>
        <v/>
      </c>
      <c r="AH107" s="93"/>
      <c r="AI107" s="94"/>
      <c r="AJ107" s="95" t="str">
        <f t="shared" si="28"/>
        <v/>
      </c>
      <c r="AK107" s="93"/>
      <c r="AL107" s="94"/>
      <c r="AM107" s="95" t="str">
        <f t="shared" si="29"/>
        <v/>
      </c>
      <c r="AN107" s="93"/>
      <c r="AO107" s="94"/>
      <c r="AP107" s="95" t="str">
        <f t="shared" si="32"/>
        <v/>
      </c>
    </row>
    <row r="108" spans="1:42" x14ac:dyDescent="0.25">
      <c r="A108" s="91">
        <v>46129</v>
      </c>
      <c r="B108" s="92">
        <f t="shared" si="17"/>
        <v>16</v>
      </c>
      <c r="C108" s="92">
        <f t="shared" si="18"/>
        <v>4</v>
      </c>
      <c r="D108" s="93"/>
      <c r="E108" s="94"/>
      <c r="F108" s="95" t="str">
        <f t="shared" si="19"/>
        <v/>
      </c>
      <c r="G108" s="93"/>
      <c r="H108" s="94"/>
      <c r="I108" s="95" t="str">
        <f t="shared" si="31"/>
        <v/>
      </c>
      <c r="J108" s="93"/>
      <c r="K108" s="94"/>
      <c r="L108" s="95" t="str">
        <f t="shared" si="20"/>
        <v/>
      </c>
      <c r="M108" s="93"/>
      <c r="N108" s="94"/>
      <c r="O108" s="95" t="str">
        <f t="shared" si="21"/>
        <v/>
      </c>
      <c r="P108" s="93"/>
      <c r="Q108" s="94"/>
      <c r="R108" s="95" t="str">
        <f t="shared" si="22"/>
        <v/>
      </c>
      <c r="S108" s="93"/>
      <c r="T108" s="94"/>
      <c r="U108" s="95" t="str">
        <f t="shared" si="23"/>
        <v/>
      </c>
      <c r="V108" s="93"/>
      <c r="W108" s="94"/>
      <c r="X108" s="95" t="str">
        <f t="shared" si="24"/>
        <v/>
      </c>
      <c r="Y108" s="94"/>
      <c r="Z108" s="94"/>
      <c r="AA108" s="112" t="str">
        <f t="shared" si="25"/>
        <v/>
      </c>
      <c r="AB108" s="93"/>
      <c r="AC108" s="94"/>
      <c r="AD108" s="95" t="str">
        <f t="shared" si="26"/>
        <v/>
      </c>
      <c r="AE108" s="93"/>
      <c r="AF108" s="94"/>
      <c r="AG108" s="95" t="str">
        <f t="shared" si="27"/>
        <v/>
      </c>
      <c r="AH108" s="93"/>
      <c r="AI108" s="94"/>
      <c r="AJ108" s="95" t="str">
        <f t="shared" si="28"/>
        <v/>
      </c>
      <c r="AK108" s="93"/>
      <c r="AL108" s="94"/>
      <c r="AM108" s="95" t="str">
        <f t="shared" si="29"/>
        <v/>
      </c>
      <c r="AN108" s="93"/>
      <c r="AO108" s="94"/>
      <c r="AP108" s="95" t="str">
        <f t="shared" si="32"/>
        <v/>
      </c>
    </row>
    <row r="109" spans="1:42" x14ac:dyDescent="0.25">
      <c r="A109" s="91">
        <v>46130</v>
      </c>
      <c r="B109" s="92">
        <f t="shared" si="17"/>
        <v>16</v>
      </c>
      <c r="C109" s="92">
        <f t="shared" si="18"/>
        <v>4</v>
      </c>
      <c r="D109" s="93"/>
      <c r="E109" s="94"/>
      <c r="F109" s="95" t="str">
        <f t="shared" si="19"/>
        <v/>
      </c>
      <c r="G109" s="93"/>
      <c r="H109" s="94"/>
      <c r="I109" s="95" t="str">
        <f t="shared" si="31"/>
        <v/>
      </c>
      <c r="J109" s="93"/>
      <c r="K109" s="94"/>
      <c r="L109" s="95" t="str">
        <f t="shared" si="20"/>
        <v/>
      </c>
      <c r="M109" s="93"/>
      <c r="N109" s="94"/>
      <c r="O109" s="95" t="str">
        <f t="shared" si="21"/>
        <v/>
      </c>
      <c r="P109" s="93"/>
      <c r="Q109" s="94"/>
      <c r="R109" s="95" t="str">
        <f t="shared" si="22"/>
        <v/>
      </c>
      <c r="S109" s="93"/>
      <c r="T109" s="94"/>
      <c r="U109" s="95" t="str">
        <f t="shared" si="23"/>
        <v/>
      </c>
      <c r="V109" s="93"/>
      <c r="W109" s="94"/>
      <c r="X109" s="95" t="str">
        <f t="shared" si="24"/>
        <v/>
      </c>
      <c r="Y109" s="94"/>
      <c r="Z109" s="94"/>
      <c r="AA109" s="112" t="str">
        <f t="shared" si="25"/>
        <v/>
      </c>
      <c r="AB109" s="93"/>
      <c r="AC109" s="94"/>
      <c r="AD109" s="95" t="str">
        <f t="shared" si="26"/>
        <v/>
      </c>
      <c r="AE109" s="93"/>
      <c r="AF109" s="94"/>
      <c r="AG109" s="95" t="str">
        <f t="shared" si="27"/>
        <v/>
      </c>
      <c r="AH109" s="93"/>
      <c r="AI109" s="94"/>
      <c r="AJ109" s="95" t="str">
        <f t="shared" si="28"/>
        <v/>
      </c>
      <c r="AK109" s="93"/>
      <c r="AL109" s="94"/>
      <c r="AM109" s="95" t="str">
        <f t="shared" si="29"/>
        <v/>
      </c>
      <c r="AN109" s="93"/>
      <c r="AO109" s="94"/>
      <c r="AP109" s="95" t="str">
        <f t="shared" si="32"/>
        <v/>
      </c>
    </row>
    <row r="110" spans="1:42" x14ac:dyDescent="0.25">
      <c r="A110" s="91">
        <v>46131</v>
      </c>
      <c r="B110" s="92">
        <f t="shared" si="17"/>
        <v>16</v>
      </c>
      <c r="C110" s="92">
        <f t="shared" si="18"/>
        <v>4</v>
      </c>
      <c r="D110" s="93"/>
      <c r="E110" s="94"/>
      <c r="F110" s="95" t="str">
        <f t="shared" si="19"/>
        <v/>
      </c>
      <c r="G110" s="93"/>
      <c r="H110" s="94"/>
      <c r="I110" s="95" t="str">
        <f t="shared" si="31"/>
        <v/>
      </c>
      <c r="J110" s="93"/>
      <c r="K110" s="94"/>
      <c r="L110" s="95" t="str">
        <f t="shared" si="20"/>
        <v/>
      </c>
      <c r="M110" s="93"/>
      <c r="N110" s="94"/>
      <c r="O110" s="95" t="str">
        <f t="shared" si="21"/>
        <v/>
      </c>
      <c r="P110" s="93"/>
      <c r="Q110" s="94"/>
      <c r="R110" s="95" t="str">
        <f t="shared" si="22"/>
        <v/>
      </c>
      <c r="S110" s="93"/>
      <c r="T110" s="94"/>
      <c r="U110" s="95" t="str">
        <f t="shared" si="23"/>
        <v/>
      </c>
      <c r="V110" s="93"/>
      <c r="W110" s="94"/>
      <c r="X110" s="95" t="str">
        <f t="shared" si="24"/>
        <v/>
      </c>
      <c r="Y110" s="94"/>
      <c r="Z110" s="94"/>
      <c r="AA110" s="112" t="str">
        <f t="shared" si="25"/>
        <v/>
      </c>
      <c r="AB110" s="93"/>
      <c r="AC110" s="94"/>
      <c r="AD110" s="95" t="str">
        <f t="shared" si="26"/>
        <v/>
      </c>
      <c r="AE110" s="93"/>
      <c r="AF110" s="94"/>
      <c r="AG110" s="95" t="str">
        <f t="shared" si="27"/>
        <v/>
      </c>
      <c r="AH110" s="93"/>
      <c r="AI110" s="94"/>
      <c r="AJ110" s="95" t="str">
        <f t="shared" si="28"/>
        <v/>
      </c>
      <c r="AK110" s="93"/>
      <c r="AL110" s="94"/>
      <c r="AM110" s="95" t="str">
        <f t="shared" si="29"/>
        <v/>
      </c>
      <c r="AN110" s="93"/>
      <c r="AO110" s="94"/>
      <c r="AP110" s="95" t="str">
        <f t="shared" si="32"/>
        <v/>
      </c>
    </row>
    <row r="111" spans="1:42" x14ac:dyDescent="0.25">
      <c r="A111" s="91">
        <v>46132</v>
      </c>
      <c r="B111" s="92">
        <f t="shared" si="17"/>
        <v>17</v>
      </c>
      <c r="C111" s="92">
        <f t="shared" si="18"/>
        <v>4</v>
      </c>
      <c r="D111" s="93"/>
      <c r="E111" s="94"/>
      <c r="F111" s="95" t="str">
        <f t="shared" si="19"/>
        <v/>
      </c>
      <c r="G111" s="93"/>
      <c r="H111" s="94"/>
      <c r="I111" s="95" t="str">
        <f t="shared" si="31"/>
        <v/>
      </c>
      <c r="J111" s="93"/>
      <c r="K111" s="94"/>
      <c r="L111" s="95" t="str">
        <f t="shared" si="20"/>
        <v/>
      </c>
      <c r="M111" s="93"/>
      <c r="N111" s="94"/>
      <c r="O111" s="95" t="str">
        <f t="shared" si="21"/>
        <v/>
      </c>
      <c r="P111" s="93"/>
      <c r="Q111" s="94"/>
      <c r="R111" s="95" t="str">
        <f t="shared" si="22"/>
        <v/>
      </c>
      <c r="S111" s="93"/>
      <c r="T111" s="94"/>
      <c r="U111" s="95" t="str">
        <f t="shared" si="23"/>
        <v/>
      </c>
      <c r="V111" s="93"/>
      <c r="W111" s="94"/>
      <c r="X111" s="95" t="str">
        <f t="shared" si="24"/>
        <v/>
      </c>
      <c r="Y111" s="94"/>
      <c r="Z111" s="94"/>
      <c r="AA111" s="112" t="str">
        <f t="shared" si="25"/>
        <v/>
      </c>
      <c r="AB111" s="93"/>
      <c r="AC111" s="94"/>
      <c r="AD111" s="95" t="str">
        <f t="shared" si="26"/>
        <v/>
      </c>
      <c r="AE111" s="93"/>
      <c r="AF111" s="94"/>
      <c r="AG111" s="95" t="str">
        <f t="shared" si="27"/>
        <v/>
      </c>
      <c r="AH111" s="93"/>
      <c r="AI111" s="94"/>
      <c r="AJ111" s="95" t="str">
        <f t="shared" si="28"/>
        <v/>
      </c>
      <c r="AK111" s="93"/>
      <c r="AL111" s="94"/>
      <c r="AM111" s="95" t="str">
        <f t="shared" si="29"/>
        <v/>
      </c>
      <c r="AN111" s="93"/>
      <c r="AO111" s="94"/>
      <c r="AP111" s="95" t="str">
        <f t="shared" si="32"/>
        <v/>
      </c>
    </row>
    <row r="112" spans="1:42" x14ac:dyDescent="0.25">
      <c r="A112" s="91">
        <v>46133</v>
      </c>
      <c r="B112" s="92">
        <f t="shared" si="17"/>
        <v>17</v>
      </c>
      <c r="C112" s="92">
        <f t="shared" si="18"/>
        <v>4</v>
      </c>
      <c r="D112" s="93"/>
      <c r="E112" s="94"/>
      <c r="F112" s="95" t="str">
        <f t="shared" si="19"/>
        <v/>
      </c>
      <c r="G112" s="93"/>
      <c r="H112" s="94"/>
      <c r="I112" s="95" t="str">
        <f t="shared" si="31"/>
        <v/>
      </c>
      <c r="J112" s="93"/>
      <c r="K112" s="94"/>
      <c r="L112" s="95" t="str">
        <f t="shared" si="20"/>
        <v/>
      </c>
      <c r="M112" s="93"/>
      <c r="N112" s="94"/>
      <c r="O112" s="95" t="str">
        <f t="shared" si="21"/>
        <v/>
      </c>
      <c r="P112" s="93"/>
      <c r="Q112" s="94"/>
      <c r="R112" s="95" t="str">
        <f t="shared" si="22"/>
        <v/>
      </c>
      <c r="S112" s="93"/>
      <c r="T112" s="94"/>
      <c r="U112" s="95" t="str">
        <f t="shared" si="23"/>
        <v/>
      </c>
      <c r="V112" s="93"/>
      <c r="W112" s="94"/>
      <c r="X112" s="95" t="str">
        <f t="shared" si="24"/>
        <v/>
      </c>
      <c r="Y112" s="94"/>
      <c r="Z112" s="94"/>
      <c r="AA112" s="112" t="str">
        <f t="shared" si="25"/>
        <v/>
      </c>
      <c r="AB112" s="93"/>
      <c r="AC112" s="94"/>
      <c r="AD112" s="95" t="str">
        <f t="shared" si="26"/>
        <v/>
      </c>
      <c r="AE112" s="93"/>
      <c r="AF112" s="94"/>
      <c r="AG112" s="95" t="str">
        <f t="shared" si="27"/>
        <v/>
      </c>
      <c r="AH112" s="93"/>
      <c r="AI112" s="94"/>
      <c r="AJ112" s="95" t="str">
        <f t="shared" si="28"/>
        <v/>
      </c>
      <c r="AK112" s="93"/>
      <c r="AL112" s="94"/>
      <c r="AM112" s="95" t="str">
        <f t="shared" si="29"/>
        <v/>
      </c>
      <c r="AN112" s="93"/>
      <c r="AO112" s="94"/>
      <c r="AP112" s="95" t="str">
        <f t="shared" si="32"/>
        <v/>
      </c>
    </row>
    <row r="113" spans="1:42" x14ac:dyDescent="0.25">
      <c r="A113" s="91">
        <v>46134</v>
      </c>
      <c r="B113" s="92">
        <f t="shared" si="17"/>
        <v>17</v>
      </c>
      <c r="C113" s="92">
        <f t="shared" si="18"/>
        <v>4</v>
      </c>
      <c r="D113" s="93"/>
      <c r="E113" s="94"/>
      <c r="F113" s="95" t="str">
        <f t="shared" si="19"/>
        <v/>
      </c>
      <c r="G113" s="93"/>
      <c r="H113" s="94"/>
      <c r="I113" s="95" t="str">
        <f t="shared" si="31"/>
        <v/>
      </c>
      <c r="J113" s="93"/>
      <c r="K113" s="94"/>
      <c r="L113" s="95" t="str">
        <f t="shared" si="20"/>
        <v/>
      </c>
      <c r="M113" s="93"/>
      <c r="N113" s="94"/>
      <c r="O113" s="95" t="str">
        <f t="shared" si="21"/>
        <v/>
      </c>
      <c r="P113" s="93"/>
      <c r="Q113" s="94"/>
      <c r="R113" s="95" t="str">
        <f t="shared" si="22"/>
        <v/>
      </c>
      <c r="S113" s="93"/>
      <c r="T113" s="94"/>
      <c r="U113" s="95" t="str">
        <f t="shared" si="23"/>
        <v/>
      </c>
      <c r="V113" s="93"/>
      <c r="W113" s="94"/>
      <c r="X113" s="95" t="str">
        <f t="shared" si="24"/>
        <v/>
      </c>
      <c r="Y113" s="94"/>
      <c r="Z113" s="94"/>
      <c r="AA113" s="112" t="str">
        <f t="shared" si="25"/>
        <v/>
      </c>
      <c r="AB113" s="93"/>
      <c r="AC113" s="94"/>
      <c r="AD113" s="95" t="str">
        <f t="shared" si="26"/>
        <v/>
      </c>
      <c r="AE113" s="93"/>
      <c r="AF113" s="94"/>
      <c r="AG113" s="95" t="str">
        <f t="shared" si="27"/>
        <v/>
      </c>
      <c r="AH113" s="93"/>
      <c r="AI113" s="94"/>
      <c r="AJ113" s="95" t="str">
        <f t="shared" si="28"/>
        <v/>
      </c>
      <c r="AK113" s="93"/>
      <c r="AL113" s="94"/>
      <c r="AM113" s="95" t="str">
        <f t="shared" si="29"/>
        <v/>
      </c>
      <c r="AN113" s="93"/>
      <c r="AO113" s="94"/>
      <c r="AP113" s="95" t="str">
        <f t="shared" si="32"/>
        <v/>
      </c>
    </row>
    <row r="114" spans="1:42" x14ac:dyDescent="0.25">
      <c r="A114" s="91">
        <v>46135</v>
      </c>
      <c r="B114" s="92">
        <f t="shared" si="17"/>
        <v>17</v>
      </c>
      <c r="C114" s="92">
        <f t="shared" si="18"/>
        <v>4</v>
      </c>
      <c r="D114" s="93"/>
      <c r="E114" s="94"/>
      <c r="F114" s="95" t="str">
        <f t="shared" si="19"/>
        <v/>
      </c>
      <c r="G114" s="93"/>
      <c r="H114" s="94"/>
      <c r="I114" s="95" t="str">
        <f t="shared" si="31"/>
        <v/>
      </c>
      <c r="J114" s="93"/>
      <c r="K114" s="94"/>
      <c r="L114" s="95" t="str">
        <f t="shared" si="20"/>
        <v/>
      </c>
      <c r="M114" s="93"/>
      <c r="N114" s="94"/>
      <c r="O114" s="95" t="str">
        <f t="shared" si="21"/>
        <v/>
      </c>
      <c r="P114" s="93"/>
      <c r="Q114" s="94"/>
      <c r="R114" s="95" t="str">
        <f t="shared" si="22"/>
        <v/>
      </c>
      <c r="S114" s="93"/>
      <c r="T114" s="94"/>
      <c r="U114" s="95" t="str">
        <f t="shared" si="23"/>
        <v/>
      </c>
      <c r="V114" s="93"/>
      <c r="W114" s="94"/>
      <c r="X114" s="95" t="str">
        <f t="shared" si="24"/>
        <v/>
      </c>
      <c r="Y114" s="94"/>
      <c r="Z114" s="94"/>
      <c r="AA114" s="112" t="str">
        <f t="shared" si="25"/>
        <v/>
      </c>
      <c r="AB114" s="93"/>
      <c r="AC114" s="94"/>
      <c r="AD114" s="95" t="str">
        <f t="shared" si="26"/>
        <v/>
      </c>
      <c r="AE114" s="93"/>
      <c r="AF114" s="94"/>
      <c r="AG114" s="95" t="str">
        <f t="shared" si="27"/>
        <v/>
      </c>
      <c r="AH114" s="93"/>
      <c r="AI114" s="94"/>
      <c r="AJ114" s="95" t="str">
        <f t="shared" si="28"/>
        <v/>
      </c>
      <c r="AK114" s="93"/>
      <c r="AL114" s="94"/>
      <c r="AM114" s="95" t="str">
        <f t="shared" si="29"/>
        <v/>
      </c>
      <c r="AN114" s="93"/>
      <c r="AO114" s="94"/>
      <c r="AP114" s="95" t="str">
        <f t="shared" si="32"/>
        <v/>
      </c>
    </row>
    <row r="115" spans="1:42" x14ac:dyDescent="0.25">
      <c r="A115" s="91">
        <v>46136</v>
      </c>
      <c r="B115" s="92">
        <f t="shared" si="17"/>
        <v>17</v>
      </c>
      <c r="C115" s="92">
        <f t="shared" si="18"/>
        <v>4</v>
      </c>
      <c r="D115" s="93"/>
      <c r="E115" s="94"/>
      <c r="F115" s="95" t="str">
        <f t="shared" si="19"/>
        <v/>
      </c>
      <c r="G115" s="93"/>
      <c r="H115" s="94"/>
      <c r="I115" s="95" t="str">
        <f t="shared" si="31"/>
        <v/>
      </c>
      <c r="J115" s="93"/>
      <c r="K115" s="94"/>
      <c r="L115" s="95" t="str">
        <f t="shared" si="20"/>
        <v/>
      </c>
      <c r="M115" s="93"/>
      <c r="N115" s="94"/>
      <c r="O115" s="95" t="str">
        <f t="shared" si="21"/>
        <v/>
      </c>
      <c r="P115" s="93"/>
      <c r="Q115" s="94"/>
      <c r="R115" s="95" t="str">
        <f t="shared" si="22"/>
        <v/>
      </c>
      <c r="S115" s="93"/>
      <c r="T115" s="94"/>
      <c r="U115" s="95" t="str">
        <f t="shared" si="23"/>
        <v/>
      </c>
      <c r="V115" s="93"/>
      <c r="W115" s="94"/>
      <c r="X115" s="95" t="str">
        <f t="shared" si="24"/>
        <v/>
      </c>
      <c r="Y115" s="94"/>
      <c r="Z115" s="94"/>
      <c r="AA115" s="112" t="str">
        <f t="shared" si="25"/>
        <v/>
      </c>
      <c r="AB115" s="93"/>
      <c r="AC115" s="94"/>
      <c r="AD115" s="95" t="str">
        <f t="shared" si="26"/>
        <v/>
      </c>
      <c r="AE115" s="93"/>
      <c r="AF115" s="94"/>
      <c r="AG115" s="95" t="str">
        <f t="shared" si="27"/>
        <v/>
      </c>
      <c r="AH115" s="93"/>
      <c r="AI115" s="94"/>
      <c r="AJ115" s="95" t="str">
        <f t="shared" si="28"/>
        <v/>
      </c>
      <c r="AK115" s="93"/>
      <c r="AL115" s="94"/>
      <c r="AM115" s="95" t="str">
        <f t="shared" si="29"/>
        <v/>
      </c>
      <c r="AN115" s="93"/>
      <c r="AO115" s="94"/>
      <c r="AP115" s="95" t="str">
        <f t="shared" si="32"/>
        <v/>
      </c>
    </row>
    <row r="116" spans="1:42" x14ac:dyDescent="0.25">
      <c r="A116" s="91">
        <v>46137</v>
      </c>
      <c r="B116" s="92">
        <f t="shared" si="17"/>
        <v>17</v>
      </c>
      <c r="C116" s="92">
        <f t="shared" si="18"/>
        <v>4</v>
      </c>
      <c r="D116" s="93"/>
      <c r="E116" s="94"/>
      <c r="F116" s="95" t="str">
        <f t="shared" si="19"/>
        <v/>
      </c>
      <c r="G116" s="93"/>
      <c r="H116" s="94"/>
      <c r="I116" s="95" t="str">
        <f t="shared" si="31"/>
        <v/>
      </c>
      <c r="J116" s="93"/>
      <c r="K116" s="94"/>
      <c r="L116" s="95" t="str">
        <f t="shared" si="20"/>
        <v/>
      </c>
      <c r="M116" s="93"/>
      <c r="N116" s="94"/>
      <c r="O116" s="95" t="str">
        <f t="shared" si="21"/>
        <v/>
      </c>
      <c r="P116" s="93"/>
      <c r="Q116" s="94"/>
      <c r="R116" s="95" t="str">
        <f t="shared" si="22"/>
        <v/>
      </c>
      <c r="S116" s="93"/>
      <c r="T116" s="94"/>
      <c r="U116" s="95" t="str">
        <f t="shared" si="23"/>
        <v/>
      </c>
      <c r="V116" s="93"/>
      <c r="W116" s="94"/>
      <c r="X116" s="95" t="str">
        <f t="shared" si="24"/>
        <v/>
      </c>
      <c r="Y116" s="94"/>
      <c r="Z116" s="94"/>
      <c r="AA116" s="112" t="str">
        <f t="shared" si="25"/>
        <v/>
      </c>
      <c r="AB116" s="93"/>
      <c r="AC116" s="94"/>
      <c r="AD116" s="95" t="str">
        <f t="shared" si="26"/>
        <v/>
      </c>
      <c r="AE116" s="93"/>
      <c r="AF116" s="94"/>
      <c r="AG116" s="95" t="str">
        <f t="shared" si="27"/>
        <v/>
      </c>
      <c r="AH116" s="93"/>
      <c r="AI116" s="94"/>
      <c r="AJ116" s="95" t="str">
        <f t="shared" si="28"/>
        <v/>
      </c>
      <c r="AK116" s="93"/>
      <c r="AL116" s="94"/>
      <c r="AM116" s="95" t="str">
        <f t="shared" si="29"/>
        <v/>
      </c>
      <c r="AN116" s="93"/>
      <c r="AO116" s="94"/>
      <c r="AP116" s="95" t="str">
        <f t="shared" si="32"/>
        <v/>
      </c>
    </row>
    <row r="117" spans="1:42" x14ac:dyDescent="0.25">
      <c r="A117" s="91">
        <v>46138</v>
      </c>
      <c r="B117" s="92">
        <f t="shared" si="17"/>
        <v>17</v>
      </c>
      <c r="C117" s="92">
        <f t="shared" si="18"/>
        <v>4</v>
      </c>
      <c r="D117" s="93"/>
      <c r="E117" s="94"/>
      <c r="F117" s="95" t="str">
        <f t="shared" si="19"/>
        <v/>
      </c>
      <c r="G117" s="93"/>
      <c r="H117" s="94"/>
      <c r="I117" s="95" t="str">
        <f t="shared" si="31"/>
        <v/>
      </c>
      <c r="J117" s="93"/>
      <c r="K117" s="94"/>
      <c r="L117" s="95" t="str">
        <f t="shared" si="20"/>
        <v/>
      </c>
      <c r="M117" s="93"/>
      <c r="N117" s="94"/>
      <c r="O117" s="95" t="str">
        <f t="shared" si="21"/>
        <v/>
      </c>
      <c r="P117" s="93"/>
      <c r="Q117" s="94"/>
      <c r="R117" s="95" t="str">
        <f t="shared" si="22"/>
        <v/>
      </c>
      <c r="S117" s="93"/>
      <c r="T117" s="94"/>
      <c r="U117" s="95" t="str">
        <f t="shared" si="23"/>
        <v/>
      </c>
      <c r="V117" s="93"/>
      <c r="W117" s="94"/>
      <c r="X117" s="95" t="str">
        <f t="shared" si="24"/>
        <v/>
      </c>
      <c r="Y117" s="94"/>
      <c r="Z117" s="94"/>
      <c r="AA117" s="112" t="str">
        <f t="shared" si="25"/>
        <v/>
      </c>
      <c r="AB117" s="93"/>
      <c r="AC117" s="94"/>
      <c r="AD117" s="95" t="str">
        <f t="shared" si="26"/>
        <v/>
      </c>
      <c r="AE117" s="93"/>
      <c r="AF117" s="94"/>
      <c r="AG117" s="95" t="str">
        <f t="shared" si="27"/>
        <v/>
      </c>
      <c r="AH117" s="93"/>
      <c r="AI117" s="94"/>
      <c r="AJ117" s="95" t="str">
        <f t="shared" si="28"/>
        <v/>
      </c>
      <c r="AK117" s="93"/>
      <c r="AL117" s="94"/>
      <c r="AM117" s="95" t="str">
        <f t="shared" si="29"/>
        <v/>
      </c>
      <c r="AN117" s="93"/>
      <c r="AO117" s="94"/>
      <c r="AP117" s="95" t="str">
        <f t="shared" si="32"/>
        <v/>
      </c>
    </row>
    <row r="118" spans="1:42" x14ac:dyDescent="0.25">
      <c r="A118" s="91">
        <v>46139</v>
      </c>
      <c r="B118" s="92">
        <f t="shared" si="17"/>
        <v>18</v>
      </c>
      <c r="C118" s="92">
        <f t="shared" si="18"/>
        <v>4</v>
      </c>
      <c r="D118" s="93"/>
      <c r="E118" s="94"/>
      <c r="F118" s="95" t="str">
        <f t="shared" si="19"/>
        <v/>
      </c>
      <c r="G118" s="93"/>
      <c r="H118" s="94"/>
      <c r="I118" s="95" t="str">
        <f t="shared" si="31"/>
        <v/>
      </c>
      <c r="J118" s="93"/>
      <c r="K118" s="94"/>
      <c r="L118" s="95" t="str">
        <f t="shared" si="20"/>
        <v/>
      </c>
      <c r="M118" s="93"/>
      <c r="N118" s="94"/>
      <c r="O118" s="95" t="str">
        <f t="shared" si="21"/>
        <v/>
      </c>
      <c r="P118" s="93"/>
      <c r="Q118" s="94"/>
      <c r="R118" s="95" t="str">
        <f t="shared" si="22"/>
        <v/>
      </c>
      <c r="S118" s="93"/>
      <c r="T118" s="94"/>
      <c r="U118" s="95" t="str">
        <f t="shared" si="23"/>
        <v/>
      </c>
      <c r="V118" s="93"/>
      <c r="W118" s="94"/>
      <c r="X118" s="95" t="str">
        <f t="shared" si="24"/>
        <v/>
      </c>
      <c r="Y118" s="94"/>
      <c r="Z118" s="94"/>
      <c r="AA118" s="112" t="str">
        <f t="shared" si="25"/>
        <v/>
      </c>
      <c r="AB118" s="93"/>
      <c r="AC118" s="94"/>
      <c r="AD118" s="95" t="str">
        <f t="shared" si="26"/>
        <v/>
      </c>
      <c r="AE118" s="93"/>
      <c r="AF118" s="94"/>
      <c r="AG118" s="95" t="str">
        <f t="shared" si="27"/>
        <v/>
      </c>
      <c r="AH118" s="93"/>
      <c r="AI118" s="94"/>
      <c r="AJ118" s="95" t="str">
        <f t="shared" si="28"/>
        <v/>
      </c>
      <c r="AK118" s="93"/>
      <c r="AL118" s="94"/>
      <c r="AM118" s="95" t="str">
        <f t="shared" si="29"/>
        <v/>
      </c>
      <c r="AN118" s="93"/>
      <c r="AO118" s="94"/>
      <c r="AP118" s="95" t="str">
        <f t="shared" si="32"/>
        <v/>
      </c>
    </row>
    <row r="119" spans="1:42" x14ac:dyDescent="0.25">
      <c r="A119" s="91">
        <v>46140</v>
      </c>
      <c r="B119" s="92">
        <f t="shared" si="17"/>
        <v>18</v>
      </c>
      <c r="C119" s="92">
        <f t="shared" si="18"/>
        <v>4</v>
      </c>
      <c r="D119" s="93"/>
      <c r="E119" s="94"/>
      <c r="F119" s="95" t="str">
        <f t="shared" si="19"/>
        <v/>
      </c>
      <c r="G119" s="93"/>
      <c r="H119" s="94"/>
      <c r="I119" s="95" t="str">
        <f t="shared" si="31"/>
        <v/>
      </c>
      <c r="J119" s="93"/>
      <c r="K119" s="94"/>
      <c r="L119" s="95" t="str">
        <f t="shared" si="20"/>
        <v/>
      </c>
      <c r="M119" s="93"/>
      <c r="N119" s="94"/>
      <c r="O119" s="95" t="str">
        <f t="shared" si="21"/>
        <v/>
      </c>
      <c r="P119" s="93"/>
      <c r="Q119" s="94"/>
      <c r="R119" s="95" t="str">
        <f t="shared" si="22"/>
        <v/>
      </c>
      <c r="S119" s="93"/>
      <c r="T119" s="94"/>
      <c r="U119" s="95" t="str">
        <f t="shared" si="23"/>
        <v/>
      </c>
      <c r="V119" s="93"/>
      <c r="W119" s="94"/>
      <c r="X119" s="95" t="str">
        <f t="shared" si="24"/>
        <v/>
      </c>
      <c r="Y119" s="94"/>
      <c r="Z119" s="94"/>
      <c r="AA119" s="112" t="str">
        <f t="shared" si="25"/>
        <v/>
      </c>
      <c r="AB119" s="93"/>
      <c r="AC119" s="94"/>
      <c r="AD119" s="95" t="str">
        <f t="shared" si="26"/>
        <v/>
      </c>
      <c r="AE119" s="93"/>
      <c r="AF119" s="94"/>
      <c r="AG119" s="95" t="str">
        <f t="shared" si="27"/>
        <v/>
      </c>
      <c r="AH119" s="93"/>
      <c r="AI119" s="94"/>
      <c r="AJ119" s="95" t="str">
        <f t="shared" si="28"/>
        <v/>
      </c>
      <c r="AK119" s="93"/>
      <c r="AL119" s="94"/>
      <c r="AM119" s="95" t="str">
        <f t="shared" si="29"/>
        <v/>
      </c>
      <c r="AN119" s="93"/>
      <c r="AO119" s="94"/>
      <c r="AP119" s="95" t="str">
        <f t="shared" si="32"/>
        <v/>
      </c>
    </row>
    <row r="120" spans="1:42" x14ac:dyDescent="0.25">
      <c r="A120" s="91">
        <v>46141</v>
      </c>
      <c r="B120" s="92">
        <f t="shared" si="17"/>
        <v>18</v>
      </c>
      <c r="C120" s="92">
        <f t="shared" si="18"/>
        <v>4</v>
      </c>
      <c r="D120" s="93"/>
      <c r="E120" s="94"/>
      <c r="F120" s="95" t="str">
        <f t="shared" si="19"/>
        <v/>
      </c>
      <c r="G120" s="93"/>
      <c r="H120" s="94"/>
      <c r="I120" s="95" t="str">
        <f t="shared" si="31"/>
        <v/>
      </c>
      <c r="J120" s="93"/>
      <c r="K120" s="94"/>
      <c r="L120" s="95" t="str">
        <f t="shared" si="20"/>
        <v/>
      </c>
      <c r="M120" s="93"/>
      <c r="N120" s="94"/>
      <c r="O120" s="95" t="str">
        <f t="shared" si="21"/>
        <v/>
      </c>
      <c r="P120" s="93"/>
      <c r="Q120" s="94"/>
      <c r="R120" s="95" t="str">
        <f t="shared" si="22"/>
        <v/>
      </c>
      <c r="S120" s="93"/>
      <c r="T120" s="94"/>
      <c r="U120" s="95" t="str">
        <f t="shared" si="23"/>
        <v/>
      </c>
      <c r="V120" s="93"/>
      <c r="W120" s="94"/>
      <c r="X120" s="95" t="str">
        <f t="shared" si="24"/>
        <v/>
      </c>
      <c r="Y120" s="94"/>
      <c r="Z120" s="94"/>
      <c r="AA120" s="112" t="str">
        <f t="shared" si="25"/>
        <v/>
      </c>
      <c r="AB120" s="93"/>
      <c r="AC120" s="94"/>
      <c r="AD120" s="95" t="str">
        <f t="shared" si="26"/>
        <v/>
      </c>
      <c r="AE120" s="93"/>
      <c r="AF120" s="94"/>
      <c r="AG120" s="95" t="str">
        <f t="shared" si="27"/>
        <v/>
      </c>
      <c r="AH120" s="93"/>
      <c r="AI120" s="94"/>
      <c r="AJ120" s="95" t="str">
        <f t="shared" si="28"/>
        <v/>
      </c>
      <c r="AK120" s="93"/>
      <c r="AL120" s="94"/>
      <c r="AM120" s="95" t="str">
        <f t="shared" si="29"/>
        <v/>
      </c>
      <c r="AN120" s="93"/>
      <c r="AO120" s="94"/>
      <c r="AP120" s="95" t="str">
        <f t="shared" si="32"/>
        <v/>
      </c>
    </row>
    <row r="121" spans="1:42" x14ac:dyDescent="0.25">
      <c r="A121" s="91">
        <v>46142</v>
      </c>
      <c r="B121" s="92">
        <f t="shared" si="17"/>
        <v>18</v>
      </c>
      <c r="C121" s="92">
        <f t="shared" si="18"/>
        <v>4</v>
      </c>
      <c r="D121" s="93"/>
      <c r="E121" s="94"/>
      <c r="F121" s="95" t="str">
        <f t="shared" si="19"/>
        <v/>
      </c>
      <c r="G121" s="93"/>
      <c r="H121" s="94"/>
      <c r="I121" s="95" t="str">
        <f t="shared" si="31"/>
        <v/>
      </c>
      <c r="J121" s="93"/>
      <c r="K121" s="94"/>
      <c r="L121" s="95" t="str">
        <f t="shared" si="20"/>
        <v/>
      </c>
      <c r="M121" s="93"/>
      <c r="N121" s="94"/>
      <c r="O121" s="95" t="str">
        <f t="shared" si="21"/>
        <v/>
      </c>
      <c r="P121" s="93"/>
      <c r="Q121" s="94"/>
      <c r="R121" s="95" t="str">
        <f t="shared" si="22"/>
        <v/>
      </c>
      <c r="S121" s="93"/>
      <c r="T121" s="94"/>
      <c r="U121" s="95" t="str">
        <f t="shared" si="23"/>
        <v/>
      </c>
      <c r="V121" s="93"/>
      <c r="W121" s="94"/>
      <c r="X121" s="95" t="str">
        <f t="shared" si="24"/>
        <v/>
      </c>
      <c r="Y121" s="94"/>
      <c r="Z121" s="94"/>
      <c r="AA121" s="112" t="str">
        <f t="shared" si="25"/>
        <v/>
      </c>
      <c r="AB121" s="93"/>
      <c r="AC121" s="94"/>
      <c r="AD121" s="95" t="str">
        <f t="shared" si="26"/>
        <v/>
      </c>
      <c r="AE121" s="93"/>
      <c r="AF121" s="94"/>
      <c r="AG121" s="95" t="str">
        <f t="shared" si="27"/>
        <v/>
      </c>
      <c r="AH121" s="93"/>
      <c r="AI121" s="94"/>
      <c r="AJ121" s="95" t="str">
        <f t="shared" si="28"/>
        <v/>
      </c>
      <c r="AK121" s="93"/>
      <c r="AL121" s="94"/>
      <c r="AM121" s="95" t="str">
        <f t="shared" si="29"/>
        <v/>
      </c>
      <c r="AN121" s="93"/>
      <c r="AO121" s="94"/>
      <c r="AP121" s="95" t="str">
        <f t="shared" si="32"/>
        <v/>
      </c>
    </row>
    <row r="122" spans="1:42" x14ac:dyDescent="0.25">
      <c r="A122" s="91">
        <v>46143</v>
      </c>
      <c r="B122" s="92">
        <f t="shared" si="17"/>
        <v>18</v>
      </c>
      <c r="C122" s="92">
        <f t="shared" si="18"/>
        <v>5</v>
      </c>
      <c r="D122" s="93"/>
      <c r="E122" s="94"/>
      <c r="F122" s="95" t="str">
        <f t="shared" si="19"/>
        <v/>
      </c>
      <c r="G122" s="93"/>
      <c r="H122" s="94"/>
      <c r="I122" s="95" t="str">
        <f t="shared" si="31"/>
        <v/>
      </c>
      <c r="J122" s="93"/>
      <c r="K122" s="94"/>
      <c r="L122" s="95" t="str">
        <f t="shared" si="20"/>
        <v/>
      </c>
      <c r="M122" s="93"/>
      <c r="N122" s="94"/>
      <c r="O122" s="95" t="str">
        <f t="shared" si="21"/>
        <v/>
      </c>
      <c r="P122" s="93"/>
      <c r="Q122" s="94"/>
      <c r="R122" s="95" t="str">
        <f t="shared" si="22"/>
        <v/>
      </c>
      <c r="S122" s="93"/>
      <c r="T122" s="94"/>
      <c r="U122" s="95" t="str">
        <f t="shared" si="23"/>
        <v/>
      </c>
      <c r="V122" s="93"/>
      <c r="W122" s="94"/>
      <c r="X122" s="95" t="str">
        <f t="shared" si="24"/>
        <v/>
      </c>
      <c r="Y122" s="94"/>
      <c r="Z122" s="94"/>
      <c r="AA122" s="112" t="str">
        <f t="shared" si="25"/>
        <v/>
      </c>
      <c r="AB122" s="93"/>
      <c r="AC122" s="94"/>
      <c r="AD122" s="95" t="str">
        <f t="shared" si="26"/>
        <v/>
      </c>
      <c r="AE122" s="93"/>
      <c r="AF122" s="94"/>
      <c r="AG122" s="95" t="str">
        <f t="shared" si="27"/>
        <v/>
      </c>
      <c r="AH122" s="93"/>
      <c r="AI122" s="94"/>
      <c r="AJ122" s="95" t="str">
        <f t="shared" si="28"/>
        <v/>
      </c>
      <c r="AK122" s="93"/>
      <c r="AL122" s="94"/>
      <c r="AM122" s="95" t="str">
        <f t="shared" si="29"/>
        <v/>
      </c>
      <c r="AN122" s="93"/>
      <c r="AO122" s="94"/>
      <c r="AP122" s="95" t="str">
        <f t="shared" si="32"/>
        <v/>
      </c>
    </row>
    <row r="123" spans="1:42" x14ac:dyDescent="0.25">
      <c r="A123" s="91">
        <v>46144</v>
      </c>
      <c r="B123" s="92">
        <f t="shared" si="17"/>
        <v>18</v>
      </c>
      <c r="C123" s="92">
        <f t="shared" si="18"/>
        <v>5</v>
      </c>
      <c r="D123" s="93"/>
      <c r="E123" s="94"/>
      <c r="F123" s="95" t="str">
        <f t="shared" si="19"/>
        <v/>
      </c>
      <c r="G123" s="93"/>
      <c r="H123" s="94"/>
      <c r="I123" s="95" t="str">
        <f t="shared" si="31"/>
        <v/>
      </c>
      <c r="J123" s="93"/>
      <c r="K123" s="94"/>
      <c r="L123" s="95" t="str">
        <f t="shared" si="20"/>
        <v/>
      </c>
      <c r="M123" s="93"/>
      <c r="N123" s="94"/>
      <c r="O123" s="95" t="str">
        <f t="shared" si="21"/>
        <v/>
      </c>
      <c r="P123" s="93"/>
      <c r="Q123" s="94"/>
      <c r="R123" s="95" t="str">
        <f t="shared" si="22"/>
        <v/>
      </c>
      <c r="S123" s="93"/>
      <c r="T123" s="94"/>
      <c r="U123" s="95" t="str">
        <f t="shared" si="23"/>
        <v/>
      </c>
      <c r="V123" s="93"/>
      <c r="W123" s="94"/>
      <c r="X123" s="95" t="str">
        <f t="shared" si="24"/>
        <v/>
      </c>
      <c r="Y123" s="94"/>
      <c r="Z123" s="94"/>
      <c r="AA123" s="112" t="str">
        <f t="shared" si="25"/>
        <v/>
      </c>
      <c r="AB123" s="93"/>
      <c r="AC123" s="94"/>
      <c r="AD123" s="95" t="str">
        <f t="shared" si="26"/>
        <v/>
      </c>
      <c r="AE123" s="93"/>
      <c r="AF123" s="94"/>
      <c r="AG123" s="95" t="str">
        <f t="shared" si="27"/>
        <v/>
      </c>
      <c r="AH123" s="93"/>
      <c r="AI123" s="94"/>
      <c r="AJ123" s="95" t="str">
        <f t="shared" si="28"/>
        <v/>
      </c>
      <c r="AK123" s="93"/>
      <c r="AL123" s="94"/>
      <c r="AM123" s="95" t="str">
        <f t="shared" si="29"/>
        <v/>
      </c>
      <c r="AN123" s="93"/>
      <c r="AO123" s="94"/>
      <c r="AP123" s="95" t="str">
        <f t="shared" si="32"/>
        <v/>
      </c>
    </row>
    <row r="124" spans="1:42" x14ac:dyDescent="0.25">
      <c r="A124" s="91">
        <v>46145</v>
      </c>
      <c r="B124" s="92">
        <f t="shared" si="17"/>
        <v>18</v>
      </c>
      <c r="C124" s="92">
        <f t="shared" si="18"/>
        <v>5</v>
      </c>
      <c r="D124" s="93"/>
      <c r="E124" s="94"/>
      <c r="F124" s="95" t="str">
        <f t="shared" si="19"/>
        <v/>
      </c>
      <c r="G124" s="93"/>
      <c r="H124" s="94"/>
      <c r="I124" s="95" t="str">
        <f t="shared" si="31"/>
        <v/>
      </c>
      <c r="J124" s="93"/>
      <c r="K124" s="94"/>
      <c r="L124" s="95" t="str">
        <f t="shared" si="20"/>
        <v/>
      </c>
      <c r="M124" s="93"/>
      <c r="N124" s="94"/>
      <c r="O124" s="95" t="str">
        <f t="shared" si="21"/>
        <v/>
      </c>
      <c r="P124" s="93"/>
      <c r="Q124" s="94"/>
      <c r="R124" s="95" t="str">
        <f t="shared" si="22"/>
        <v/>
      </c>
      <c r="S124" s="93"/>
      <c r="T124" s="94"/>
      <c r="U124" s="95" t="str">
        <f t="shared" si="23"/>
        <v/>
      </c>
      <c r="V124" s="93"/>
      <c r="W124" s="94"/>
      <c r="X124" s="95" t="str">
        <f t="shared" si="24"/>
        <v/>
      </c>
      <c r="Y124" s="94"/>
      <c r="Z124" s="94"/>
      <c r="AA124" s="112" t="str">
        <f t="shared" si="25"/>
        <v/>
      </c>
      <c r="AB124" s="93"/>
      <c r="AC124" s="94"/>
      <c r="AD124" s="95" t="str">
        <f t="shared" si="26"/>
        <v/>
      </c>
      <c r="AE124" s="93"/>
      <c r="AF124" s="94"/>
      <c r="AG124" s="95" t="str">
        <f t="shared" si="27"/>
        <v/>
      </c>
      <c r="AH124" s="93"/>
      <c r="AI124" s="94"/>
      <c r="AJ124" s="95" t="str">
        <f t="shared" si="28"/>
        <v/>
      </c>
      <c r="AK124" s="93"/>
      <c r="AL124" s="94"/>
      <c r="AM124" s="95" t="str">
        <f t="shared" si="29"/>
        <v/>
      </c>
      <c r="AN124" s="93"/>
      <c r="AO124" s="94"/>
      <c r="AP124" s="95" t="str">
        <f t="shared" si="32"/>
        <v/>
      </c>
    </row>
    <row r="125" spans="1:42" x14ac:dyDescent="0.25">
      <c r="A125" s="91">
        <v>46146</v>
      </c>
      <c r="B125" s="92">
        <f t="shared" si="17"/>
        <v>19</v>
      </c>
      <c r="C125" s="92">
        <f t="shared" si="18"/>
        <v>5</v>
      </c>
      <c r="D125" s="93"/>
      <c r="E125" s="94"/>
      <c r="F125" s="95" t="str">
        <f t="shared" si="19"/>
        <v/>
      </c>
      <c r="G125" s="93"/>
      <c r="H125" s="94"/>
      <c r="I125" s="95" t="str">
        <f t="shared" si="31"/>
        <v/>
      </c>
      <c r="J125" s="93"/>
      <c r="K125" s="94"/>
      <c r="L125" s="95" t="str">
        <f t="shared" si="20"/>
        <v/>
      </c>
      <c r="M125" s="93"/>
      <c r="N125" s="94"/>
      <c r="O125" s="95" t="str">
        <f t="shared" si="21"/>
        <v/>
      </c>
      <c r="P125" s="93"/>
      <c r="Q125" s="94"/>
      <c r="R125" s="95" t="str">
        <f t="shared" si="22"/>
        <v/>
      </c>
      <c r="S125" s="93"/>
      <c r="T125" s="94"/>
      <c r="U125" s="95" t="str">
        <f t="shared" si="23"/>
        <v/>
      </c>
      <c r="V125" s="93"/>
      <c r="W125" s="94"/>
      <c r="X125" s="95" t="str">
        <f t="shared" si="24"/>
        <v/>
      </c>
      <c r="Y125" s="94"/>
      <c r="Z125" s="94"/>
      <c r="AA125" s="112" t="str">
        <f t="shared" si="25"/>
        <v/>
      </c>
      <c r="AB125" s="93"/>
      <c r="AC125" s="94"/>
      <c r="AD125" s="95" t="str">
        <f t="shared" si="26"/>
        <v/>
      </c>
      <c r="AE125" s="93"/>
      <c r="AF125" s="94"/>
      <c r="AG125" s="95" t="str">
        <f t="shared" si="27"/>
        <v/>
      </c>
      <c r="AH125" s="93"/>
      <c r="AI125" s="94"/>
      <c r="AJ125" s="95" t="str">
        <f t="shared" si="28"/>
        <v/>
      </c>
      <c r="AK125" s="93"/>
      <c r="AL125" s="94"/>
      <c r="AM125" s="95" t="str">
        <f t="shared" si="29"/>
        <v/>
      </c>
      <c r="AN125" s="93"/>
      <c r="AO125" s="94"/>
      <c r="AP125" s="95" t="str">
        <f t="shared" si="32"/>
        <v/>
      </c>
    </row>
    <row r="126" spans="1:42" x14ac:dyDescent="0.25">
      <c r="A126" s="91">
        <v>46147</v>
      </c>
      <c r="B126" s="92">
        <f t="shared" si="17"/>
        <v>19</v>
      </c>
      <c r="C126" s="92">
        <f t="shared" si="18"/>
        <v>5</v>
      </c>
      <c r="D126" s="93"/>
      <c r="E126" s="94"/>
      <c r="F126" s="95" t="str">
        <f t="shared" si="19"/>
        <v/>
      </c>
      <c r="G126" s="93"/>
      <c r="H126" s="94"/>
      <c r="I126" s="95" t="str">
        <f t="shared" si="31"/>
        <v/>
      </c>
      <c r="J126" s="93"/>
      <c r="K126" s="94"/>
      <c r="L126" s="95" t="str">
        <f t="shared" si="20"/>
        <v/>
      </c>
      <c r="M126" s="93"/>
      <c r="N126" s="94"/>
      <c r="O126" s="95" t="str">
        <f t="shared" si="21"/>
        <v/>
      </c>
      <c r="P126" s="93"/>
      <c r="Q126" s="94"/>
      <c r="R126" s="95" t="str">
        <f t="shared" si="22"/>
        <v/>
      </c>
      <c r="S126" s="93"/>
      <c r="T126" s="94"/>
      <c r="U126" s="95" t="str">
        <f t="shared" si="23"/>
        <v/>
      </c>
      <c r="V126" s="93"/>
      <c r="W126" s="94"/>
      <c r="X126" s="95" t="str">
        <f t="shared" si="24"/>
        <v/>
      </c>
      <c r="Y126" s="94"/>
      <c r="Z126" s="94"/>
      <c r="AA126" s="112" t="str">
        <f t="shared" si="25"/>
        <v/>
      </c>
      <c r="AB126" s="93"/>
      <c r="AC126" s="94"/>
      <c r="AD126" s="95" t="str">
        <f t="shared" si="26"/>
        <v/>
      </c>
      <c r="AE126" s="93"/>
      <c r="AF126" s="94"/>
      <c r="AG126" s="95" t="str">
        <f t="shared" si="27"/>
        <v/>
      </c>
      <c r="AH126" s="93"/>
      <c r="AI126" s="94"/>
      <c r="AJ126" s="95" t="str">
        <f t="shared" si="28"/>
        <v/>
      </c>
      <c r="AK126" s="93"/>
      <c r="AL126" s="94"/>
      <c r="AM126" s="95" t="str">
        <f t="shared" si="29"/>
        <v/>
      </c>
      <c r="AN126" s="93"/>
      <c r="AO126" s="94"/>
      <c r="AP126" s="95" t="str">
        <f t="shared" si="32"/>
        <v/>
      </c>
    </row>
    <row r="127" spans="1:42" x14ac:dyDescent="0.25">
      <c r="A127" s="91">
        <v>46148</v>
      </c>
      <c r="B127" s="92">
        <f t="shared" si="17"/>
        <v>19</v>
      </c>
      <c r="C127" s="92">
        <f t="shared" si="18"/>
        <v>5</v>
      </c>
      <c r="D127" s="93"/>
      <c r="E127" s="94"/>
      <c r="F127" s="95" t="str">
        <f t="shared" si="19"/>
        <v/>
      </c>
      <c r="G127" s="93"/>
      <c r="H127" s="94"/>
      <c r="I127" s="95" t="str">
        <f t="shared" si="31"/>
        <v/>
      </c>
      <c r="J127" s="93"/>
      <c r="K127" s="94"/>
      <c r="L127" s="95" t="str">
        <f t="shared" si="20"/>
        <v/>
      </c>
      <c r="M127" s="93"/>
      <c r="N127" s="94"/>
      <c r="O127" s="95" t="str">
        <f t="shared" si="21"/>
        <v/>
      </c>
      <c r="P127" s="93"/>
      <c r="Q127" s="94"/>
      <c r="R127" s="95" t="str">
        <f t="shared" si="22"/>
        <v/>
      </c>
      <c r="S127" s="93"/>
      <c r="T127" s="94"/>
      <c r="U127" s="95" t="str">
        <f t="shared" si="23"/>
        <v/>
      </c>
      <c r="V127" s="93"/>
      <c r="W127" s="94"/>
      <c r="X127" s="95" t="str">
        <f t="shared" si="24"/>
        <v/>
      </c>
      <c r="Y127" s="94"/>
      <c r="Z127" s="94"/>
      <c r="AA127" s="112" t="str">
        <f t="shared" si="25"/>
        <v/>
      </c>
      <c r="AB127" s="93"/>
      <c r="AC127" s="94"/>
      <c r="AD127" s="95" t="str">
        <f t="shared" si="26"/>
        <v/>
      </c>
      <c r="AE127" s="93"/>
      <c r="AF127" s="94"/>
      <c r="AG127" s="95" t="str">
        <f t="shared" si="27"/>
        <v/>
      </c>
      <c r="AH127" s="93"/>
      <c r="AI127" s="94"/>
      <c r="AJ127" s="95" t="str">
        <f t="shared" si="28"/>
        <v/>
      </c>
      <c r="AK127" s="93"/>
      <c r="AL127" s="94"/>
      <c r="AM127" s="95" t="str">
        <f t="shared" si="29"/>
        <v/>
      </c>
      <c r="AN127" s="93"/>
      <c r="AO127" s="94"/>
      <c r="AP127" s="95" t="str">
        <f t="shared" si="32"/>
        <v/>
      </c>
    </row>
    <row r="128" spans="1:42" x14ac:dyDescent="0.25">
      <c r="A128" s="91">
        <v>46149</v>
      </c>
      <c r="B128" s="92">
        <f t="shared" si="17"/>
        <v>19</v>
      </c>
      <c r="C128" s="92">
        <f t="shared" si="18"/>
        <v>5</v>
      </c>
      <c r="D128" s="93"/>
      <c r="E128" s="94"/>
      <c r="F128" s="95" t="str">
        <f t="shared" si="19"/>
        <v/>
      </c>
      <c r="G128" s="93"/>
      <c r="H128" s="94"/>
      <c r="I128" s="95" t="str">
        <f t="shared" si="31"/>
        <v/>
      </c>
      <c r="J128" s="93"/>
      <c r="K128" s="94"/>
      <c r="L128" s="95" t="str">
        <f t="shared" si="20"/>
        <v/>
      </c>
      <c r="M128" s="93"/>
      <c r="N128" s="94"/>
      <c r="O128" s="95" t="str">
        <f t="shared" si="21"/>
        <v/>
      </c>
      <c r="P128" s="93"/>
      <c r="Q128" s="94"/>
      <c r="R128" s="95" t="str">
        <f t="shared" si="22"/>
        <v/>
      </c>
      <c r="S128" s="93"/>
      <c r="T128" s="94"/>
      <c r="U128" s="95" t="str">
        <f t="shared" si="23"/>
        <v/>
      </c>
      <c r="V128" s="93"/>
      <c r="W128" s="94"/>
      <c r="X128" s="95" t="str">
        <f t="shared" si="24"/>
        <v/>
      </c>
      <c r="Y128" s="94"/>
      <c r="Z128" s="94"/>
      <c r="AA128" s="112" t="str">
        <f t="shared" si="25"/>
        <v/>
      </c>
      <c r="AB128" s="93"/>
      <c r="AC128" s="94"/>
      <c r="AD128" s="95" t="str">
        <f t="shared" si="26"/>
        <v/>
      </c>
      <c r="AE128" s="93"/>
      <c r="AF128" s="94"/>
      <c r="AG128" s="95" t="str">
        <f t="shared" si="27"/>
        <v/>
      </c>
      <c r="AH128" s="93"/>
      <c r="AI128" s="94"/>
      <c r="AJ128" s="95" t="str">
        <f t="shared" si="28"/>
        <v/>
      </c>
      <c r="AK128" s="93"/>
      <c r="AL128" s="94"/>
      <c r="AM128" s="95" t="str">
        <f t="shared" si="29"/>
        <v/>
      </c>
      <c r="AN128" s="93"/>
      <c r="AO128" s="94"/>
      <c r="AP128" s="95" t="str">
        <f t="shared" si="32"/>
        <v/>
      </c>
    </row>
    <row r="129" spans="1:42" x14ac:dyDescent="0.25">
      <c r="A129" s="91">
        <v>46150</v>
      </c>
      <c r="B129" s="92">
        <f t="shared" si="17"/>
        <v>19</v>
      </c>
      <c r="C129" s="92">
        <f t="shared" si="18"/>
        <v>5</v>
      </c>
      <c r="D129" s="93"/>
      <c r="E129" s="94"/>
      <c r="F129" s="95" t="str">
        <f t="shared" si="19"/>
        <v/>
      </c>
      <c r="G129" s="93"/>
      <c r="H129" s="94"/>
      <c r="I129" s="95" t="str">
        <f t="shared" si="31"/>
        <v/>
      </c>
      <c r="J129" s="93"/>
      <c r="K129" s="94"/>
      <c r="L129" s="95" t="str">
        <f t="shared" si="20"/>
        <v/>
      </c>
      <c r="M129" s="93"/>
      <c r="N129" s="94"/>
      <c r="O129" s="95" t="str">
        <f t="shared" si="21"/>
        <v/>
      </c>
      <c r="P129" s="93"/>
      <c r="Q129" s="94"/>
      <c r="R129" s="95" t="str">
        <f t="shared" si="22"/>
        <v/>
      </c>
      <c r="S129" s="93"/>
      <c r="T129" s="94"/>
      <c r="U129" s="95" t="str">
        <f t="shared" si="23"/>
        <v/>
      </c>
      <c r="V129" s="93"/>
      <c r="W129" s="94"/>
      <c r="X129" s="95" t="str">
        <f t="shared" si="24"/>
        <v/>
      </c>
      <c r="Y129" s="94"/>
      <c r="Z129" s="94"/>
      <c r="AA129" s="112" t="str">
        <f t="shared" si="25"/>
        <v/>
      </c>
      <c r="AB129" s="93"/>
      <c r="AC129" s="94"/>
      <c r="AD129" s="95" t="str">
        <f t="shared" si="26"/>
        <v/>
      </c>
      <c r="AE129" s="93"/>
      <c r="AF129" s="94"/>
      <c r="AG129" s="95" t="str">
        <f t="shared" si="27"/>
        <v/>
      </c>
      <c r="AH129" s="93"/>
      <c r="AI129" s="94"/>
      <c r="AJ129" s="95" t="str">
        <f t="shared" si="28"/>
        <v/>
      </c>
      <c r="AK129" s="93"/>
      <c r="AL129" s="94"/>
      <c r="AM129" s="95" t="str">
        <f t="shared" si="29"/>
        <v/>
      </c>
      <c r="AN129" s="93"/>
      <c r="AO129" s="94"/>
      <c r="AP129" s="95" t="str">
        <f t="shared" si="32"/>
        <v/>
      </c>
    </row>
    <row r="130" spans="1:42" x14ac:dyDescent="0.25">
      <c r="A130" s="91">
        <v>46151</v>
      </c>
      <c r="B130" s="92">
        <f t="shared" ref="B130:B193" si="33">ROUNDUP((A130-DATE(YEAR(A130),1,1)+WEEKDAY(DATE(YEAR(A130),1,1),2))/7,0)</f>
        <v>19</v>
      </c>
      <c r="C130" s="92">
        <f t="shared" ref="C130:C193" si="34">MONTH(A130)</f>
        <v>5</v>
      </c>
      <c r="D130" s="93"/>
      <c r="E130" s="94"/>
      <c r="F130" s="95" t="str">
        <f t="shared" ref="F130:F193" si="35">IFERROR(E130/D130,"")</f>
        <v/>
      </c>
      <c r="G130" s="93"/>
      <c r="H130" s="94"/>
      <c r="I130" s="95" t="str">
        <f t="shared" si="31"/>
        <v/>
      </c>
      <c r="J130" s="93"/>
      <c r="K130" s="94"/>
      <c r="L130" s="95" t="str">
        <f t="shared" ref="L130:L193" si="36">IFERROR(K130/J130,"")</f>
        <v/>
      </c>
      <c r="M130" s="93"/>
      <c r="N130" s="94"/>
      <c r="O130" s="95" t="str">
        <f t="shared" ref="O130:O193" si="37">IFERROR(N130/M130,"")</f>
        <v/>
      </c>
      <c r="P130" s="93"/>
      <c r="Q130" s="94"/>
      <c r="R130" s="95" t="str">
        <f t="shared" ref="R130:R193" si="38">IFERROR(Q130/P130,"")</f>
        <v/>
      </c>
      <c r="S130" s="93"/>
      <c r="T130" s="94"/>
      <c r="U130" s="95" t="str">
        <f t="shared" ref="U130:U193" si="39">IFERROR(T130/S130,"")</f>
        <v/>
      </c>
      <c r="V130" s="93"/>
      <c r="W130" s="94"/>
      <c r="X130" s="95" t="str">
        <f t="shared" ref="X130:X193" si="40">IFERROR(W130/V130,"")</f>
        <v/>
      </c>
      <c r="Y130" s="94"/>
      <c r="Z130" s="94"/>
      <c r="AA130" s="112" t="str">
        <f t="shared" ref="AA130:AA193" si="41">IFERROR(Z130/Y130,"")</f>
        <v/>
      </c>
      <c r="AB130" s="93"/>
      <c r="AC130" s="94"/>
      <c r="AD130" s="95" t="str">
        <f t="shared" ref="AD130:AD193" si="42">IFERROR(AC130/AB130,"")</f>
        <v/>
      </c>
      <c r="AE130" s="93"/>
      <c r="AF130" s="94"/>
      <c r="AG130" s="95" t="str">
        <f t="shared" ref="AG130:AG193" si="43">IFERROR(AF130/AE130,"")</f>
        <v/>
      </c>
      <c r="AH130" s="93"/>
      <c r="AI130" s="94"/>
      <c r="AJ130" s="95" t="str">
        <f t="shared" ref="AJ130:AJ193" si="44">IFERROR(AI130/AH130,"")</f>
        <v/>
      </c>
      <c r="AK130" s="93"/>
      <c r="AL130" s="94"/>
      <c r="AM130" s="95" t="str">
        <f t="shared" ref="AM130:AM193" si="45">IFERROR(AL130/AK130,"")</f>
        <v/>
      </c>
      <c r="AN130" s="93"/>
      <c r="AO130" s="94"/>
      <c r="AP130" s="95" t="str">
        <f t="shared" si="32"/>
        <v/>
      </c>
    </row>
    <row r="131" spans="1:42" x14ac:dyDescent="0.25">
      <c r="A131" s="91">
        <v>46152</v>
      </c>
      <c r="B131" s="92">
        <f t="shared" si="33"/>
        <v>19</v>
      </c>
      <c r="C131" s="92">
        <f t="shared" si="34"/>
        <v>5</v>
      </c>
      <c r="D131" s="93"/>
      <c r="E131" s="94"/>
      <c r="F131" s="95" t="str">
        <f t="shared" si="35"/>
        <v/>
      </c>
      <c r="G131" s="93"/>
      <c r="H131" s="94"/>
      <c r="I131" s="95" t="str">
        <f t="shared" ref="I131:I194" si="46">IFERROR(H131/G131,"")</f>
        <v/>
      </c>
      <c r="J131" s="93"/>
      <c r="K131" s="94"/>
      <c r="L131" s="95" t="str">
        <f t="shared" si="36"/>
        <v/>
      </c>
      <c r="M131" s="93"/>
      <c r="N131" s="94"/>
      <c r="O131" s="95" t="str">
        <f t="shared" si="37"/>
        <v/>
      </c>
      <c r="P131" s="93"/>
      <c r="Q131" s="94"/>
      <c r="R131" s="95" t="str">
        <f t="shared" si="38"/>
        <v/>
      </c>
      <c r="S131" s="93"/>
      <c r="T131" s="94"/>
      <c r="U131" s="95" t="str">
        <f t="shared" si="39"/>
        <v/>
      </c>
      <c r="V131" s="93"/>
      <c r="W131" s="94"/>
      <c r="X131" s="95" t="str">
        <f t="shared" si="40"/>
        <v/>
      </c>
      <c r="Y131" s="94"/>
      <c r="Z131" s="94"/>
      <c r="AA131" s="112" t="str">
        <f t="shared" si="41"/>
        <v/>
      </c>
      <c r="AB131" s="93"/>
      <c r="AC131" s="94"/>
      <c r="AD131" s="95" t="str">
        <f t="shared" si="42"/>
        <v/>
      </c>
      <c r="AE131" s="93"/>
      <c r="AF131" s="94"/>
      <c r="AG131" s="95" t="str">
        <f t="shared" si="43"/>
        <v/>
      </c>
      <c r="AH131" s="93"/>
      <c r="AI131" s="94"/>
      <c r="AJ131" s="95" t="str">
        <f t="shared" si="44"/>
        <v/>
      </c>
      <c r="AK131" s="93"/>
      <c r="AL131" s="94"/>
      <c r="AM131" s="95" t="str">
        <f t="shared" si="45"/>
        <v/>
      </c>
      <c r="AN131" s="93"/>
      <c r="AO131" s="94"/>
      <c r="AP131" s="95" t="str">
        <f t="shared" si="32"/>
        <v/>
      </c>
    </row>
    <row r="132" spans="1:42" x14ac:dyDescent="0.25">
      <c r="A132" s="91">
        <v>46153</v>
      </c>
      <c r="B132" s="92">
        <f t="shared" si="33"/>
        <v>20</v>
      </c>
      <c r="C132" s="92">
        <f t="shared" si="34"/>
        <v>5</v>
      </c>
      <c r="D132" s="93"/>
      <c r="E132" s="94"/>
      <c r="F132" s="95" t="str">
        <f t="shared" si="35"/>
        <v/>
      </c>
      <c r="G132" s="93"/>
      <c r="H132" s="94"/>
      <c r="I132" s="95" t="str">
        <f t="shared" si="46"/>
        <v/>
      </c>
      <c r="J132" s="93"/>
      <c r="K132" s="94"/>
      <c r="L132" s="95" t="str">
        <f t="shared" si="36"/>
        <v/>
      </c>
      <c r="M132" s="93"/>
      <c r="N132" s="94"/>
      <c r="O132" s="95" t="str">
        <f t="shared" si="37"/>
        <v/>
      </c>
      <c r="P132" s="93"/>
      <c r="Q132" s="94"/>
      <c r="R132" s="95" t="str">
        <f t="shared" si="38"/>
        <v/>
      </c>
      <c r="S132" s="93"/>
      <c r="T132" s="94"/>
      <c r="U132" s="95" t="str">
        <f t="shared" si="39"/>
        <v/>
      </c>
      <c r="V132" s="93"/>
      <c r="W132" s="94"/>
      <c r="X132" s="95" t="str">
        <f t="shared" si="40"/>
        <v/>
      </c>
      <c r="Y132" s="94"/>
      <c r="Z132" s="94"/>
      <c r="AA132" s="112" t="str">
        <f t="shared" si="41"/>
        <v/>
      </c>
      <c r="AB132" s="93"/>
      <c r="AC132" s="94"/>
      <c r="AD132" s="95" t="str">
        <f t="shared" si="42"/>
        <v/>
      </c>
      <c r="AE132" s="93"/>
      <c r="AF132" s="94"/>
      <c r="AG132" s="95" t="str">
        <f t="shared" si="43"/>
        <v/>
      </c>
      <c r="AH132" s="93"/>
      <c r="AI132" s="94"/>
      <c r="AJ132" s="95" t="str">
        <f t="shared" si="44"/>
        <v/>
      </c>
      <c r="AK132" s="93"/>
      <c r="AL132" s="94"/>
      <c r="AM132" s="95" t="str">
        <f t="shared" si="45"/>
        <v/>
      </c>
      <c r="AN132" s="93"/>
      <c r="AO132" s="94"/>
      <c r="AP132" s="95" t="str">
        <f t="shared" si="32"/>
        <v/>
      </c>
    </row>
    <row r="133" spans="1:42" x14ac:dyDescent="0.25">
      <c r="A133" s="91">
        <v>46154</v>
      </c>
      <c r="B133" s="92">
        <f t="shared" si="33"/>
        <v>20</v>
      </c>
      <c r="C133" s="92">
        <f t="shared" si="34"/>
        <v>5</v>
      </c>
      <c r="D133" s="93"/>
      <c r="E133" s="94"/>
      <c r="F133" s="95" t="str">
        <f t="shared" si="35"/>
        <v/>
      </c>
      <c r="G133" s="93"/>
      <c r="H133" s="94"/>
      <c r="I133" s="95" t="str">
        <f t="shared" si="46"/>
        <v/>
      </c>
      <c r="J133" s="93"/>
      <c r="K133" s="94"/>
      <c r="L133" s="95" t="str">
        <f t="shared" si="36"/>
        <v/>
      </c>
      <c r="M133" s="93"/>
      <c r="N133" s="94"/>
      <c r="O133" s="95" t="str">
        <f t="shared" si="37"/>
        <v/>
      </c>
      <c r="P133" s="93"/>
      <c r="Q133" s="94"/>
      <c r="R133" s="95" t="str">
        <f t="shared" si="38"/>
        <v/>
      </c>
      <c r="S133" s="93"/>
      <c r="T133" s="94"/>
      <c r="U133" s="95" t="str">
        <f t="shared" si="39"/>
        <v/>
      </c>
      <c r="V133" s="93"/>
      <c r="W133" s="94"/>
      <c r="X133" s="95" t="str">
        <f t="shared" si="40"/>
        <v/>
      </c>
      <c r="Y133" s="94"/>
      <c r="Z133" s="94"/>
      <c r="AA133" s="112" t="str">
        <f t="shared" si="41"/>
        <v/>
      </c>
      <c r="AB133" s="93"/>
      <c r="AC133" s="94"/>
      <c r="AD133" s="95" t="str">
        <f t="shared" si="42"/>
        <v/>
      </c>
      <c r="AE133" s="93"/>
      <c r="AF133" s="94"/>
      <c r="AG133" s="95" t="str">
        <f t="shared" si="43"/>
        <v/>
      </c>
      <c r="AH133" s="93"/>
      <c r="AI133" s="94"/>
      <c r="AJ133" s="95" t="str">
        <f t="shared" si="44"/>
        <v/>
      </c>
      <c r="AK133" s="93"/>
      <c r="AL133" s="94"/>
      <c r="AM133" s="95" t="str">
        <f t="shared" si="45"/>
        <v/>
      </c>
      <c r="AN133" s="93"/>
      <c r="AO133" s="94"/>
      <c r="AP133" s="95" t="str">
        <f t="shared" si="32"/>
        <v/>
      </c>
    </row>
    <row r="134" spans="1:42" x14ac:dyDescent="0.25">
      <c r="A134" s="91">
        <v>46155</v>
      </c>
      <c r="B134" s="92">
        <f t="shared" si="33"/>
        <v>20</v>
      </c>
      <c r="C134" s="92">
        <f t="shared" si="34"/>
        <v>5</v>
      </c>
      <c r="D134" s="93"/>
      <c r="E134" s="94"/>
      <c r="F134" s="95" t="str">
        <f t="shared" si="35"/>
        <v/>
      </c>
      <c r="G134" s="93"/>
      <c r="H134" s="94"/>
      <c r="I134" s="95" t="str">
        <f t="shared" si="46"/>
        <v/>
      </c>
      <c r="J134" s="93"/>
      <c r="K134" s="94"/>
      <c r="L134" s="95" t="str">
        <f t="shared" si="36"/>
        <v/>
      </c>
      <c r="M134" s="93"/>
      <c r="N134" s="94"/>
      <c r="O134" s="95" t="str">
        <f t="shared" si="37"/>
        <v/>
      </c>
      <c r="P134" s="93"/>
      <c r="Q134" s="94"/>
      <c r="R134" s="95" t="str">
        <f t="shared" si="38"/>
        <v/>
      </c>
      <c r="S134" s="93"/>
      <c r="T134" s="94"/>
      <c r="U134" s="95" t="str">
        <f t="shared" si="39"/>
        <v/>
      </c>
      <c r="V134" s="93"/>
      <c r="W134" s="94"/>
      <c r="X134" s="95" t="str">
        <f t="shared" si="40"/>
        <v/>
      </c>
      <c r="Y134" s="94"/>
      <c r="Z134" s="94"/>
      <c r="AA134" s="112" t="str">
        <f t="shared" si="41"/>
        <v/>
      </c>
      <c r="AB134" s="93"/>
      <c r="AC134" s="94"/>
      <c r="AD134" s="95" t="str">
        <f t="shared" si="42"/>
        <v/>
      </c>
      <c r="AE134" s="93"/>
      <c r="AF134" s="94"/>
      <c r="AG134" s="95" t="str">
        <f t="shared" si="43"/>
        <v/>
      </c>
      <c r="AH134" s="93"/>
      <c r="AI134" s="94"/>
      <c r="AJ134" s="95" t="str">
        <f t="shared" si="44"/>
        <v/>
      </c>
      <c r="AK134" s="93"/>
      <c r="AL134" s="94"/>
      <c r="AM134" s="95" t="str">
        <f t="shared" si="45"/>
        <v/>
      </c>
      <c r="AN134" s="93"/>
      <c r="AO134" s="94"/>
      <c r="AP134" s="95" t="str">
        <f t="shared" si="32"/>
        <v/>
      </c>
    </row>
    <row r="135" spans="1:42" x14ac:dyDescent="0.25">
      <c r="A135" s="91">
        <v>46156</v>
      </c>
      <c r="B135" s="92">
        <f t="shared" si="33"/>
        <v>20</v>
      </c>
      <c r="C135" s="92">
        <f t="shared" si="34"/>
        <v>5</v>
      </c>
      <c r="D135" s="93"/>
      <c r="E135" s="94"/>
      <c r="F135" s="95" t="str">
        <f t="shared" si="35"/>
        <v/>
      </c>
      <c r="G135" s="93"/>
      <c r="H135" s="94"/>
      <c r="I135" s="95" t="str">
        <f t="shared" si="46"/>
        <v/>
      </c>
      <c r="J135" s="93"/>
      <c r="K135" s="94"/>
      <c r="L135" s="95" t="str">
        <f t="shared" si="36"/>
        <v/>
      </c>
      <c r="M135" s="93"/>
      <c r="N135" s="94"/>
      <c r="O135" s="95" t="str">
        <f t="shared" si="37"/>
        <v/>
      </c>
      <c r="P135" s="93"/>
      <c r="Q135" s="94"/>
      <c r="R135" s="95" t="str">
        <f t="shared" si="38"/>
        <v/>
      </c>
      <c r="S135" s="93"/>
      <c r="T135" s="94"/>
      <c r="U135" s="95" t="str">
        <f t="shared" si="39"/>
        <v/>
      </c>
      <c r="V135" s="93"/>
      <c r="W135" s="94"/>
      <c r="X135" s="95" t="str">
        <f t="shared" si="40"/>
        <v/>
      </c>
      <c r="Y135" s="94"/>
      <c r="Z135" s="94"/>
      <c r="AA135" s="112" t="str">
        <f t="shared" si="41"/>
        <v/>
      </c>
      <c r="AB135" s="93"/>
      <c r="AC135" s="94"/>
      <c r="AD135" s="95" t="str">
        <f t="shared" si="42"/>
        <v/>
      </c>
      <c r="AE135" s="93"/>
      <c r="AF135" s="94"/>
      <c r="AG135" s="95" t="str">
        <f t="shared" si="43"/>
        <v/>
      </c>
      <c r="AH135" s="93"/>
      <c r="AI135" s="94"/>
      <c r="AJ135" s="95" t="str">
        <f t="shared" si="44"/>
        <v/>
      </c>
      <c r="AK135" s="93"/>
      <c r="AL135" s="94"/>
      <c r="AM135" s="95" t="str">
        <f t="shared" si="45"/>
        <v/>
      </c>
      <c r="AN135" s="93"/>
      <c r="AO135" s="94"/>
      <c r="AP135" s="95" t="str">
        <f t="shared" ref="AP135:AP198" si="47">IFERROR(AO135/AN135,"")</f>
        <v/>
      </c>
    </row>
    <row r="136" spans="1:42" x14ac:dyDescent="0.25">
      <c r="A136" s="91">
        <v>46157</v>
      </c>
      <c r="B136" s="92">
        <f t="shared" si="33"/>
        <v>20</v>
      </c>
      <c r="C136" s="92">
        <f t="shared" si="34"/>
        <v>5</v>
      </c>
      <c r="D136" s="93"/>
      <c r="E136" s="94"/>
      <c r="F136" s="95" t="str">
        <f t="shared" si="35"/>
        <v/>
      </c>
      <c r="G136" s="93"/>
      <c r="H136" s="94"/>
      <c r="I136" s="95" t="str">
        <f t="shared" si="46"/>
        <v/>
      </c>
      <c r="J136" s="93"/>
      <c r="K136" s="94"/>
      <c r="L136" s="95" t="str">
        <f t="shared" si="36"/>
        <v/>
      </c>
      <c r="M136" s="93"/>
      <c r="N136" s="94"/>
      <c r="O136" s="95" t="str">
        <f t="shared" si="37"/>
        <v/>
      </c>
      <c r="P136" s="93"/>
      <c r="Q136" s="94"/>
      <c r="R136" s="95" t="str">
        <f t="shared" si="38"/>
        <v/>
      </c>
      <c r="S136" s="93"/>
      <c r="T136" s="94"/>
      <c r="U136" s="95" t="str">
        <f t="shared" si="39"/>
        <v/>
      </c>
      <c r="V136" s="93"/>
      <c r="W136" s="94"/>
      <c r="X136" s="95" t="str">
        <f t="shared" si="40"/>
        <v/>
      </c>
      <c r="Y136" s="94"/>
      <c r="Z136" s="94"/>
      <c r="AA136" s="112" t="str">
        <f t="shared" si="41"/>
        <v/>
      </c>
      <c r="AB136" s="93"/>
      <c r="AC136" s="94"/>
      <c r="AD136" s="95" t="str">
        <f t="shared" si="42"/>
        <v/>
      </c>
      <c r="AE136" s="93"/>
      <c r="AF136" s="94"/>
      <c r="AG136" s="95" t="str">
        <f t="shared" si="43"/>
        <v/>
      </c>
      <c r="AH136" s="93"/>
      <c r="AI136" s="94"/>
      <c r="AJ136" s="95" t="str">
        <f t="shared" si="44"/>
        <v/>
      </c>
      <c r="AK136" s="93"/>
      <c r="AL136" s="94"/>
      <c r="AM136" s="95" t="str">
        <f t="shared" si="45"/>
        <v/>
      </c>
      <c r="AN136" s="93"/>
      <c r="AO136" s="94"/>
      <c r="AP136" s="95" t="str">
        <f t="shared" si="47"/>
        <v/>
      </c>
    </row>
    <row r="137" spans="1:42" x14ac:dyDescent="0.25">
      <c r="A137" s="91">
        <v>46158</v>
      </c>
      <c r="B137" s="92">
        <f t="shared" si="33"/>
        <v>20</v>
      </c>
      <c r="C137" s="92">
        <f t="shared" si="34"/>
        <v>5</v>
      </c>
      <c r="D137" s="93"/>
      <c r="E137" s="94"/>
      <c r="F137" s="95" t="str">
        <f t="shared" si="35"/>
        <v/>
      </c>
      <c r="G137" s="93"/>
      <c r="H137" s="94"/>
      <c r="I137" s="95" t="str">
        <f t="shared" si="46"/>
        <v/>
      </c>
      <c r="J137" s="93"/>
      <c r="K137" s="94"/>
      <c r="L137" s="95" t="str">
        <f t="shared" si="36"/>
        <v/>
      </c>
      <c r="M137" s="93"/>
      <c r="N137" s="94"/>
      <c r="O137" s="95" t="str">
        <f t="shared" si="37"/>
        <v/>
      </c>
      <c r="P137" s="93"/>
      <c r="Q137" s="94"/>
      <c r="R137" s="95" t="str">
        <f t="shared" si="38"/>
        <v/>
      </c>
      <c r="S137" s="93"/>
      <c r="T137" s="94"/>
      <c r="U137" s="95" t="str">
        <f t="shared" si="39"/>
        <v/>
      </c>
      <c r="V137" s="93"/>
      <c r="W137" s="94"/>
      <c r="X137" s="95" t="str">
        <f t="shared" si="40"/>
        <v/>
      </c>
      <c r="Y137" s="94"/>
      <c r="Z137" s="94"/>
      <c r="AA137" s="112" t="str">
        <f t="shared" si="41"/>
        <v/>
      </c>
      <c r="AB137" s="93"/>
      <c r="AC137" s="94"/>
      <c r="AD137" s="95" t="str">
        <f t="shared" si="42"/>
        <v/>
      </c>
      <c r="AE137" s="93"/>
      <c r="AF137" s="94"/>
      <c r="AG137" s="95" t="str">
        <f t="shared" si="43"/>
        <v/>
      </c>
      <c r="AH137" s="93"/>
      <c r="AI137" s="94"/>
      <c r="AJ137" s="95" t="str">
        <f t="shared" si="44"/>
        <v/>
      </c>
      <c r="AK137" s="93"/>
      <c r="AL137" s="94"/>
      <c r="AM137" s="95" t="str">
        <f t="shared" si="45"/>
        <v/>
      </c>
      <c r="AN137" s="93"/>
      <c r="AO137" s="94"/>
      <c r="AP137" s="95" t="str">
        <f t="shared" si="47"/>
        <v/>
      </c>
    </row>
    <row r="138" spans="1:42" x14ac:dyDescent="0.25">
      <c r="A138" s="91">
        <v>46159</v>
      </c>
      <c r="B138" s="92">
        <f t="shared" si="33"/>
        <v>20</v>
      </c>
      <c r="C138" s="92">
        <f t="shared" si="34"/>
        <v>5</v>
      </c>
      <c r="D138" s="93"/>
      <c r="E138" s="94"/>
      <c r="F138" s="95" t="str">
        <f t="shared" si="35"/>
        <v/>
      </c>
      <c r="G138" s="93"/>
      <c r="H138" s="94"/>
      <c r="I138" s="95" t="str">
        <f t="shared" si="46"/>
        <v/>
      </c>
      <c r="J138" s="93"/>
      <c r="K138" s="94"/>
      <c r="L138" s="95" t="str">
        <f t="shared" si="36"/>
        <v/>
      </c>
      <c r="M138" s="93"/>
      <c r="N138" s="94"/>
      <c r="O138" s="95" t="str">
        <f t="shared" si="37"/>
        <v/>
      </c>
      <c r="P138" s="93"/>
      <c r="Q138" s="94"/>
      <c r="R138" s="95" t="str">
        <f t="shared" si="38"/>
        <v/>
      </c>
      <c r="S138" s="93"/>
      <c r="T138" s="94"/>
      <c r="U138" s="95" t="str">
        <f t="shared" si="39"/>
        <v/>
      </c>
      <c r="V138" s="93"/>
      <c r="W138" s="94"/>
      <c r="X138" s="95" t="str">
        <f t="shared" si="40"/>
        <v/>
      </c>
      <c r="Y138" s="94"/>
      <c r="Z138" s="94"/>
      <c r="AA138" s="112" t="str">
        <f t="shared" si="41"/>
        <v/>
      </c>
      <c r="AB138" s="93"/>
      <c r="AC138" s="94"/>
      <c r="AD138" s="95" t="str">
        <f t="shared" si="42"/>
        <v/>
      </c>
      <c r="AE138" s="93"/>
      <c r="AF138" s="94"/>
      <c r="AG138" s="95" t="str">
        <f t="shared" si="43"/>
        <v/>
      </c>
      <c r="AH138" s="93"/>
      <c r="AI138" s="94"/>
      <c r="AJ138" s="95" t="str">
        <f t="shared" si="44"/>
        <v/>
      </c>
      <c r="AK138" s="93"/>
      <c r="AL138" s="94"/>
      <c r="AM138" s="95" t="str">
        <f t="shared" si="45"/>
        <v/>
      </c>
      <c r="AN138" s="93"/>
      <c r="AO138" s="94"/>
      <c r="AP138" s="95" t="str">
        <f t="shared" si="47"/>
        <v/>
      </c>
    </row>
    <row r="139" spans="1:42" x14ac:dyDescent="0.25">
      <c r="A139" s="91">
        <v>46160</v>
      </c>
      <c r="B139" s="92">
        <f t="shared" si="33"/>
        <v>21</v>
      </c>
      <c r="C139" s="92">
        <f t="shared" si="34"/>
        <v>5</v>
      </c>
      <c r="D139" s="93"/>
      <c r="E139" s="94"/>
      <c r="F139" s="95" t="str">
        <f t="shared" si="35"/>
        <v/>
      </c>
      <c r="G139" s="93"/>
      <c r="H139" s="94"/>
      <c r="I139" s="95" t="str">
        <f t="shared" si="46"/>
        <v/>
      </c>
      <c r="J139" s="93"/>
      <c r="K139" s="94"/>
      <c r="L139" s="95" t="str">
        <f t="shared" si="36"/>
        <v/>
      </c>
      <c r="M139" s="93"/>
      <c r="N139" s="94"/>
      <c r="O139" s="95" t="str">
        <f t="shared" si="37"/>
        <v/>
      </c>
      <c r="P139" s="93"/>
      <c r="Q139" s="94"/>
      <c r="R139" s="95" t="str">
        <f t="shared" si="38"/>
        <v/>
      </c>
      <c r="S139" s="93"/>
      <c r="T139" s="94"/>
      <c r="U139" s="95" t="str">
        <f t="shared" si="39"/>
        <v/>
      </c>
      <c r="V139" s="93"/>
      <c r="W139" s="94"/>
      <c r="X139" s="95" t="str">
        <f t="shared" si="40"/>
        <v/>
      </c>
      <c r="Y139" s="94"/>
      <c r="Z139" s="94"/>
      <c r="AA139" s="112" t="str">
        <f t="shared" si="41"/>
        <v/>
      </c>
      <c r="AB139" s="93"/>
      <c r="AC139" s="94"/>
      <c r="AD139" s="95" t="str">
        <f t="shared" si="42"/>
        <v/>
      </c>
      <c r="AE139" s="93"/>
      <c r="AF139" s="94"/>
      <c r="AG139" s="95" t="str">
        <f t="shared" si="43"/>
        <v/>
      </c>
      <c r="AH139" s="93"/>
      <c r="AI139" s="94"/>
      <c r="AJ139" s="95" t="str">
        <f t="shared" si="44"/>
        <v/>
      </c>
      <c r="AK139" s="93"/>
      <c r="AL139" s="94"/>
      <c r="AM139" s="95" t="str">
        <f t="shared" si="45"/>
        <v/>
      </c>
      <c r="AN139" s="93"/>
      <c r="AO139" s="94"/>
      <c r="AP139" s="95" t="str">
        <f t="shared" si="47"/>
        <v/>
      </c>
    </row>
    <row r="140" spans="1:42" x14ac:dyDescent="0.25">
      <c r="A140" s="91">
        <v>46161</v>
      </c>
      <c r="B140" s="92">
        <f t="shared" si="33"/>
        <v>21</v>
      </c>
      <c r="C140" s="92">
        <f t="shared" si="34"/>
        <v>5</v>
      </c>
      <c r="D140" s="93"/>
      <c r="E140" s="94"/>
      <c r="F140" s="95" t="str">
        <f t="shared" si="35"/>
        <v/>
      </c>
      <c r="G140" s="93"/>
      <c r="H140" s="94"/>
      <c r="I140" s="95" t="str">
        <f t="shared" si="46"/>
        <v/>
      </c>
      <c r="J140" s="93"/>
      <c r="K140" s="94"/>
      <c r="L140" s="95" t="str">
        <f t="shared" si="36"/>
        <v/>
      </c>
      <c r="M140" s="93"/>
      <c r="N140" s="94"/>
      <c r="O140" s="95" t="str">
        <f t="shared" si="37"/>
        <v/>
      </c>
      <c r="P140" s="93"/>
      <c r="Q140" s="94"/>
      <c r="R140" s="95" t="str">
        <f t="shared" si="38"/>
        <v/>
      </c>
      <c r="S140" s="93"/>
      <c r="T140" s="94"/>
      <c r="U140" s="95" t="str">
        <f t="shared" si="39"/>
        <v/>
      </c>
      <c r="V140" s="93"/>
      <c r="W140" s="94"/>
      <c r="X140" s="95" t="str">
        <f t="shared" si="40"/>
        <v/>
      </c>
      <c r="Y140" s="94"/>
      <c r="Z140" s="94"/>
      <c r="AA140" s="112" t="str">
        <f t="shared" si="41"/>
        <v/>
      </c>
      <c r="AB140" s="93"/>
      <c r="AC140" s="94"/>
      <c r="AD140" s="95" t="str">
        <f t="shared" si="42"/>
        <v/>
      </c>
      <c r="AE140" s="93"/>
      <c r="AF140" s="94"/>
      <c r="AG140" s="95" t="str">
        <f t="shared" si="43"/>
        <v/>
      </c>
      <c r="AH140" s="93"/>
      <c r="AI140" s="94"/>
      <c r="AJ140" s="95" t="str">
        <f t="shared" si="44"/>
        <v/>
      </c>
      <c r="AK140" s="93"/>
      <c r="AL140" s="94"/>
      <c r="AM140" s="95" t="str">
        <f t="shared" si="45"/>
        <v/>
      </c>
      <c r="AN140" s="93"/>
      <c r="AO140" s="94"/>
      <c r="AP140" s="95" t="str">
        <f t="shared" si="47"/>
        <v/>
      </c>
    </row>
    <row r="141" spans="1:42" x14ac:dyDescent="0.25">
      <c r="A141" s="91">
        <v>46162</v>
      </c>
      <c r="B141" s="92">
        <f t="shared" si="33"/>
        <v>21</v>
      </c>
      <c r="C141" s="92">
        <f t="shared" si="34"/>
        <v>5</v>
      </c>
      <c r="D141" s="93"/>
      <c r="E141" s="94"/>
      <c r="F141" s="95" t="str">
        <f t="shared" si="35"/>
        <v/>
      </c>
      <c r="G141" s="93"/>
      <c r="H141" s="94"/>
      <c r="I141" s="95" t="str">
        <f t="shared" si="46"/>
        <v/>
      </c>
      <c r="J141" s="93"/>
      <c r="K141" s="94"/>
      <c r="L141" s="95" t="str">
        <f t="shared" si="36"/>
        <v/>
      </c>
      <c r="M141" s="93"/>
      <c r="N141" s="94"/>
      <c r="O141" s="95" t="str">
        <f t="shared" si="37"/>
        <v/>
      </c>
      <c r="P141" s="93"/>
      <c r="Q141" s="94"/>
      <c r="R141" s="95" t="str">
        <f t="shared" si="38"/>
        <v/>
      </c>
      <c r="S141" s="93"/>
      <c r="T141" s="94"/>
      <c r="U141" s="95" t="str">
        <f t="shared" si="39"/>
        <v/>
      </c>
      <c r="V141" s="93"/>
      <c r="W141" s="94"/>
      <c r="X141" s="95" t="str">
        <f t="shared" si="40"/>
        <v/>
      </c>
      <c r="Y141" s="94"/>
      <c r="Z141" s="94"/>
      <c r="AA141" s="112" t="str">
        <f t="shared" si="41"/>
        <v/>
      </c>
      <c r="AB141" s="93"/>
      <c r="AC141" s="94"/>
      <c r="AD141" s="95" t="str">
        <f t="shared" si="42"/>
        <v/>
      </c>
      <c r="AE141" s="93"/>
      <c r="AF141" s="94"/>
      <c r="AG141" s="95" t="str">
        <f t="shared" si="43"/>
        <v/>
      </c>
      <c r="AH141" s="93"/>
      <c r="AI141" s="94"/>
      <c r="AJ141" s="95" t="str">
        <f t="shared" si="44"/>
        <v/>
      </c>
      <c r="AK141" s="93"/>
      <c r="AL141" s="94"/>
      <c r="AM141" s="95" t="str">
        <f t="shared" si="45"/>
        <v/>
      </c>
      <c r="AN141" s="93"/>
      <c r="AO141" s="94"/>
      <c r="AP141" s="95" t="str">
        <f t="shared" si="47"/>
        <v/>
      </c>
    </row>
    <row r="142" spans="1:42" x14ac:dyDescent="0.25">
      <c r="A142" s="91">
        <v>46163</v>
      </c>
      <c r="B142" s="92">
        <f t="shared" si="33"/>
        <v>21</v>
      </c>
      <c r="C142" s="92">
        <f t="shared" si="34"/>
        <v>5</v>
      </c>
      <c r="D142" s="93"/>
      <c r="E142" s="94"/>
      <c r="F142" s="95" t="str">
        <f t="shared" si="35"/>
        <v/>
      </c>
      <c r="G142" s="93"/>
      <c r="H142" s="94"/>
      <c r="I142" s="95" t="str">
        <f t="shared" si="46"/>
        <v/>
      </c>
      <c r="J142" s="93"/>
      <c r="K142" s="94"/>
      <c r="L142" s="95" t="str">
        <f t="shared" si="36"/>
        <v/>
      </c>
      <c r="M142" s="93"/>
      <c r="N142" s="94"/>
      <c r="O142" s="95" t="str">
        <f t="shared" si="37"/>
        <v/>
      </c>
      <c r="P142" s="93"/>
      <c r="Q142" s="94"/>
      <c r="R142" s="95" t="str">
        <f t="shared" si="38"/>
        <v/>
      </c>
      <c r="S142" s="93"/>
      <c r="T142" s="94"/>
      <c r="U142" s="95" t="str">
        <f t="shared" si="39"/>
        <v/>
      </c>
      <c r="V142" s="93"/>
      <c r="W142" s="94"/>
      <c r="X142" s="95" t="str">
        <f t="shared" si="40"/>
        <v/>
      </c>
      <c r="Y142" s="94"/>
      <c r="Z142" s="94"/>
      <c r="AA142" s="112" t="str">
        <f t="shared" si="41"/>
        <v/>
      </c>
      <c r="AB142" s="93"/>
      <c r="AC142" s="94"/>
      <c r="AD142" s="95" t="str">
        <f t="shared" si="42"/>
        <v/>
      </c>
      <c r="AE142" s="93"/>
      <c r="AF142" s="94"/>
      <c r="AG142" s="95" t="str">
        <f t="shared" si="43"/>
        <v/>
      </c>
      <c r="AH142" s="93"/>
      <c r="AI142" s="94"/>
      <c r="AJ142" s="95" t="str">
        <f t="shared" si="44"/>
        <v/>
      </c>
      <c r="AK142" s="93"/>
      <c r="AL142" s="94"/>
      <c r="AM142" s="95" t="str">
        <f t="shared" si="45"/>
        <v/>
      </c>
      <c r="AN142" s="93"/>
      <c r="AO142" s="94"/>
      <c r="AP142" s="95" t="str">
        <f t="shared" si="47"/>
        <v/>
      </c>
    </row>
    <row r="143" spans="1:42" x14ac:dyDescent="0.25">
      <c r="A143" s="91">
        <v>46164</v>
      </c>
      <c r="B143" s="92">
        <f t="shared" si="33"/>
        <v>21</v>
      </c>
      <c r="C143" s="92">
        <f t="shared" si="34"/>
        <v>5</v>
      </c>
      <c r="D143" s="93"/>
      <c r="E143" s="94"/>
      <c r="F143" s="95" t="str">
        <f t="shared" si="35"/>
        <v/>
      </c>
      <c r="G143" s="93"/>
      <c r="H143" s="94"/>
      <c r="I143" s="95" t="str">
        <f t="shared" si="46"/>
        <v/>
      </c>
      <c r="J143" s="93"/>
      <c r="K143" s="94"/>
      <c r="L143" s="95" t="str">
        <f t="shared" si="36"/>
        <v/>
      </c>
      <c r="M143" s="93"/>
      <c r="N143" s="94"/>
      <c r="O143" s="95" t="str">
        <f t="shared" si="37"/>
        <v/>
      </c>
      <c r="P143" s="93"/>
      <c r="Q143" s="94"/>
      <c r="R143" s="95" t="str">
        <f t="shared" si="38"/>
        <v/>
      </c>
      <c r="S143" s="93"/>
      <c r="T143" s="94"/>
      <c r="U143" s="95" t="str">
        <f t="shared" si="39"/>
        <v/>
      </c>
      <c r="V143" s="93"/>
      <c r="W143" s="94"/>
      <c r="X143" s="95" t="str">
        <f t="shared" si="40"/>
        <v/>
      </c>
      <c r="Y143" s="94"/>
      <c r="Z143" s="94"/>
      <c r="AA143" s="112" t="str">
        <f t="shared" si="41"/>
        <v/>
      </c>
      <c r="AB143" s="93"/>
      <c r="AC143" s="94"/>
      <c r="AD143" s="95" t="str">
        <f t="shared" si="42"/>
        <v/>
      </c>
      <c r="AE143" s="93"/>
      <c r="AF143" s="94"/>
      <c r="AG143" s="95" t="str">
        <f t="shared" si="43"/>
        <v/>
      </c>
      <c r="AH143" s="93"/>
      <c r="AI143" s="94"/>
      <c r="AJ143" s="95" t="str">
        <f t="shared" si="44"/>
        <v/>
      </c>
      <c r="AK143" s="93"/>
      <c r="AL143" s="94"/>
      <c r="AM143" s="95" t="str">
        <f t="shared" si="45"/>
        <v/>
      </c>
      <c r="AN143" s="93"/>
      <c r="AO143" s="94"/>
      <c r="AP143" s="95" t="str">
        <f t="shared" si="47"/>
        <v/>
      </c>
    </row>
    <row r="144" spans="1:42" x14ac:dyDescent="0.25">
      <c r="A144" s="91">
        <v>46165</v>
      </c>
      <c r="B144" s="92">
        <f t="shared" si="33"/>
        <v>21</v>
      </c>
      <c r="C144" s="92">
        <f t="shared" si="34"/>
        <v>5</v>
      </c>
      <c r="D144" s="93"/>
      <c r="E144" s="94"/>
      <c r="F144" s="95" t="str">
        <f t="shared" si="35"/>
        <v/>
      </c>
      <c r="G144" s="93"/>
      <c r="H144" s="94"/>
      <c r="I144" s="95" t="str">
        <f t="shared" si="46"/>
        <v/>
      </c>
      <c r="J144" s="93"/>
      <c r="K144" s="94"/>
      <c r="L144" s="95" t="str">
        <f t="shared" si="36"/>
        <v/>
      </c>
      <c r="M144" s="93"/>
      <c r="N144" s="94"/>
      <c r="O144" s="95" t="str">
        <f t="shared" si="37"/>
        <v/>
      </c>
      <c r="P144" s="93"/>
      <c r="Q144" s="94"/>
      <c r="R144" s="95" t="str">
        <f t="shared" si="38"/>
        <v/>
      </c>
      <c r="S144" s="93"/>
      <c r="T144" s="94"/>
      <c r="U144" s="95" t="str">
        <f t="shared" si="39"/>
        <v/>
      </c>
      <c r="V144" s="93"/>
      <c r="W144" s="94"/>
      <c r="X144" s="95" t="str">
        <f t="shared" si="40"/>
        <v/>
      </c>
      <c r="Y144" s="94"/>
      <c r="Z144" s="94"/>
      <c r="AA144" s="112" t="str">
        <f t="shared" si="41"/>
        <v/>
      </c>
      <c r="AB144" s="93"/>
      <c r="AC144" s="94"/>
      <c r="AD144" s="95" t="str">
        <f t="shared" si="42"/>
        <v/>
      </c>
      <c r="AE144" s="93"/>
      <c r="AF144" s="94"/>
      <c r="AG144" s="95" t="str">
        <f t="shared" si="43"/>
        <v/>
      </c>
      <c r="AH144" s="93"/>
      <c r="AI144" s="94"/>
      <c r="AJ144" s="95" t="str">
        <f t="shared" si="44"/>
        <v/>
      </c>
      <c r="AK144" s="93"/>
      <c r="AL144" s="94"/>
      <c r="AM144" s="95" t="str">
        <f t="shared" si="45"/>
        <v/>
      </c>
      <c r="AN144" s="93"/>
      <c r="AO144" s="94"/>
      <c r="AP144" s="95" t="str">
        <f t="shared" si="47"/>
        <v/>
      </c>
    </row>
    <row r="145" spans="1:42" x14ac:dyDescent="0.25">
      <c r="A145" s="91">
        <v>46166</v>
      </c>
      <c r="B145" s="92">
        <f t="shared" si="33"/>
        <v>21</v>
      </c>
      <c r="C145" s="92">
        <f t="shared" si="34"/>
        <v>5</v>
      </c>
      <c r="D145" s="93"/>
      <c r="E145" s="94"/>
      <c r="F145" s="95" t="str">
        <f t="shared" si="35"/>
        <v/>
      </c>
      <c r="G145" s="93"/>
      <c r="H145" s="94"/>
      <c r="I145" s="95" t="str">
        <f t="shared" si="46"/>
        <v/>
      </c>
      <c r="J145" s="93"/>
      <c r="K145" s="94"/>
      <c r="L145" s="95" t="str">
        <f t="shared" si="36"/>
        <v/>
      </c>
      <c r="M145" s="93"/>
      <c r="N145" s="94"/>
      <c r="O145" s="95" t="str">
        <f t="shared" si="37"/>
        <v/>
      </c>
      <c r="P145" s="93"/>
      <c r="Q145" s="94"/>
      <c r="R145" s="95" t="str">
        <f t="shared" si="38"/>
        <v/>
      </c>
      <c r="S145" s="93"/>
      <c r="T145" s="94"/>
      <c r="U145" s="95" t="str">
        <f t="shared" si="39"/>
        <v/>
      </c>
      <c r="V145" s="93"/>
      <c r="W145" s="94"/>
      <c r="X145" s="95" t="str">
        <f t="shared" si="40"/>
        <v/>
      </c>
      <c r="Y145" s="94"/>
      <c r="Z145" s="94"/>
      <c r="AA145" s="112" t="str">
        <f t="shared" si="41"/>
        <v/>
      </c>
      <c r="AB145" s="93"/>
      <c r="AC145" s="94"/>
      <c r="AD145" s="95" t="str">
        <f t="shared" si="42"/>
        <v/>
      </c>
      <c r="AE145" s="93"/>
      <c r="AF145" s="94"/>
      <c r="AG145" s="95" t="str">
        <f t="shared" si="43"/>
        <v/>
      </c>
      <c r="AH145" s="93"/>
      <c r="AI145" s="94"/>
      <c r="AJ145" s="95" t="str">
        <f t="shared" si="44"/>
        <v/>
      </c>
      <c r="AK145" s="93"/>
      <c r="AL145" s="94"/>
      <c r="AM145" s="95" t="str">
        <f t="shared" si="45"/>
        <v/>
      </c>
      <c r="AN145" s="93"/>
      <c r="AO145" s="94"/>
      <c r="AP145" s="95" t="str">
        <f t="shared" si="47"/>
        <v/>
      </c>
    </row>
    <row r="146" spans="1:42" x14ac:dyDescent="0.25">
      <c r="A146" s="91">
        <v>46167</v>
      </c>
      <c r="B146" s="92">
        <f t="shared" si="33"/>
        <v>22</v>
      </c>
      <c r="C146" s="92">
        <f t="shared" si="34"/>
        <v>5</v>
      </c>
      <c r="D146" s="93"/>
      <c r="E146" s="94"/>
      <c r="F146" s="95" t="str">
        <f t="shared" si="35"/>
        <v/>
      </c>
      <c r="G146" s="93"/>
      <c r="H146" s="94"/>
      <c r="I146" s="95" t="str">
        <f t="shared" si="46"/>
        <v/>
      </c>
      <c r="J146" s="93"/>
      <c r="K146" s="94"/>
      <c r="L146" s="95" t="str">
        <f t="shared" si="36"/>
        <v/>
      </c>
      <c r="M146" s="93"/>
      <c r="N146" s="94"/>
      <c r="O146" s="95" t="str">
        <f t="shared" si="37"/>
        <v/>
      </c>
      <c r="P146" s="93"/>
      <c r="Q146" s="94"/>
      <c r="R146" s="95" t="str">
        <f t="shared" si="38"/>
        <v/>
      </c>
      <c r="S146" s="93"/>
      <c r="T146" s="94"/>
      <c r="U146" s="95" t="str">
        <f t="shared" si="39"/>
        <v/>
      </c>
      <c r="V146" s="93"/>
      <c r="W146" s="94"/>
      <c r="X146" s="95" t="str">
        <f t="shared" si="40"/>
        <v/>
      </c>
      <c r="Y146" s="94"/>
      <c r="Z146" s="94"/>
      <c r="AA146" s="112" t="str">
        <f t="shared" si="41"/>
        <v/>
      </c>
      <c r="AB146" s="93"/>
      <c r="AC146" s="94"/>
      <c r="AD146" s="95" t="str">
        <f t="shared" si="42"/>
        <v/>
      </c>
      <c r="AE146" s="93"/>
      <c r="AF146" s="94"/>
      <c r="AG146" s="95" t="str">
        <f t="shared" si="43"/>
        <v/>
      </c>
      <c r="AH146" s="93"/>
      <c r="AI146" s="94"/>
      <c r="AJ146" s="95" t="str">
        <f t="shared" si="44"/>
        <v/>
      </c>
      <c r="AK146" s="93"/>
      <c r="AL146" s="94"/>
      <c r="AM146" s="95" t="str">
        <f t="shared" si="45"/>
        <v/>
      </c>
      <c r="AN146" s="93"/>
      <c r="AO146" s="94"/>
      <c r="AP146" s="95" t="str">
        <f t="shared" si="47"/>
        <v/>
      </c>
    </row>
    <row r="147" spans="1:42" x14ac:dyDescent="0.25">
      <c r="A147" s="91">
        <v>46168</v>
      </c>
      <c r="B147" s="92">
        <f t="shared" si="33"/>
        <v>22</v>
      </c>
      <c r="C147" s="92">
        <f t="shared" si="34"/>
        <v>5</v>
      </c>
      <c r="D147" s="93"/>
      <c r="E147" s="94"/>
      <c r="F147" s="95" t="str">
        <f t="shared" si="35"/>
        <v/>
      </c>
      <c r="G147" s="93"/>
      <c r="H147" s="94"/>
      <c r="I147" s="95" t="str">
        <f t="shared" si="46"/>
        <v/>
      </c>
      <c r="J147" s="93"/>
      <c r="K147" s="94"/>
      <c r="L147" s="95" t="str">
        <f t="shared" si="36"/>
        <v/>
      </c>
      <c r="M147" s="93"/>
      <c r="N147" s="94"/>
      <c r="O147" s="95" t="str">
        <f t="shared" si="37"/>
        <v/>
      </c>
      <c r="P147" s="93"/>
      <c r="Q147" s="94"/>
      <c r="R147" s="95" t="str">
        <f t="shared" si="38"/>
        <v/>
      </c>
      <c r="S147" s="93"/>
      <c r="T147" s="94"/>
      <c r="U147" s="95" t="str">
        <f t="shared" si="39"/>
        <v/>
      </c>
      <c r="V147" s="93"/>
      <c r="W147" s="94"/>
      <c r="X147" s="95" t="str">
        <f t="shared" si="40"/>
        <v/>
      </c>
      <c r="Y147" s="94"/>
      <c r="Z147" s="94"/>
      <c r="AA147" s="112" t="str">
        <f t="shared" si="41"/>
        <v/>
      </c>
      <c r="AB147" s="93"/>
      <c r="AC147" s="94"/>
      <c r="AD147" s="95" t="str">
        <f t="shared" si="42"/>
        <v/>
      </c>
      <c r="AE147" s="93"/>
      <c r="AF147" s="94"/>
      <c r="AG147" s="95" t="str">
        <f t="shared" si="43"/>
        <v/>
      </c>
      <c r="AH147" s="93"/>
      <c r="AI147" s="94"/>
      <c r="AJ147" s="95" t="str">
        <f t="shared" si="44"/>
        <v/>
      </c>
      <c r="AK147" s="93"/>
      <c r="AL147" s="94"/>
      <c r="AM147" s="95" t="str">
        <f t="shared" si="45"/>
        <v/>
      </c>
      <c r="AN147" s="93"/>
      <c r="AO147" s="94"/>
      <c r="AP147" s="95" t="str">
        <f t="shared" si="47"/>
        <v/>
      </c>
    </row>
    <row r="148" spans="1:42" x14ac:dyDescent="0.25">
      <c r="A148" s="91">
        <v>46169</v>
      </c>
      <c r="B148" s="92">
        <f t="shared" si="33"/>
        <v>22</v>
      </c>
      <c r="C148" s="92">
        <f t="shared" si="34"/>
        <v>5</v>
      </c>
      <c r="D148" s="93"/>
      <c r="E148" s="94"/>
      <c r="F148" s="95" t="str">
        <f t="shared" si="35"/>
        <v/>
      </c>
      <c r="G148" s="93"/>
      <c r="H148" s="94"/>
      <c r="I148" s="95" t="str">
        <f t="shared" si="46"/>
        <v/>
      </c>
      <c r="J148" s="93"/>
      <c r="K148" s="94"/>
      <c r="L148" s="95" t="str">
        <f t="shared" si="36"/>
        <v/>
      </c>
      <c r="M148" s="93"/>
      <c r="N148" s="94"/>
      <c r="O148" s="95" t="str">
        <f t="shared" si="37"/>
        <v/>
      </c>
      <c r="P148" s="93"/>
      <c r="Q148" s="94"/>
      <c r="R148" s="95" t="str">
        <f t="shared" si="38"/>
        <v/>
      </c>
      <c r="S148" s="93"/>
      <c r="T148" s="94"/>
      <c r="U148" s="95" t="str">
        <f t="shared" si="39"/>
        <v/>
      </c>
      <c r="V148" s="93"/>
      <c r="W148" s="94"/>
      <c r="X148" s="95" t="str">
        <f t="shared" si="40"/>
        <v/>
      </c>
      <c r="Y148" s="94"/>
      <c r="Z148" s="94"/>
      <c r="AA148" s="112" t="str">
        <f t="shared" si="41"/>
        <v/>
      </c>
      <c r="AB148" s="93"/>
      <c r="AC148" s="94"/>
      <c r="AD148" s="95" t="str">
        <f t="shared" si="42"/>
        <v/>
      </c>
      <c r="AE148" s="93"/>
      <c r="AF148" s="94"/>
      <c r="AG148" s="95" t="str">
        <f t="shared" si="43"/>
        <v/>
      </c>
      <c r="AH148" s="93"/>
      <c r="AI148" s="94"/>
      <c r="AJ148" s="95" t="str">
        <f t="shared" si="44"/>
        <v/>
      </c>
      <c r="AK148" s="93"/>
      <c r="AL148" s="94"/>
      <c r="AM148" s="95" t="str">
        <f t="shared" si="45"/>
        <v/>
      </c>
      <c r="AN148" s="93"/>
      <c r="AO148" s="94"/>
      <c r="AP148" s="95" t="str">
        <f t="shared" si="47"/>
        <v/>
      </c>
    </row>
    <row r="149" spans="1:42" x14ac:dyDescent="0.25">
      <c r="A149" s="91">
        <v>46170</v>
      </c>
      <c r="B149" s="92">
        <f t="shared" si="33"/>
        <v>22</v>
      </c>
      <c r="C149" s="92">
        <f t="shared" si="34"/>
        <v>5</v>
      </c>
      <c r="D149" s="93"/>
      <c r="E149" s="94"/>
      <c r="F149" s="95" t="str">
        <f t="shared" si="35"/>
        <v/>
      </c>
      <c r="G149" s="93"/>
      <c r="H149" s="94"/>
      <c r="I149" s="95" t="str">
        <f t="shared" si="46"/>
        <v/>
      </c>
      <c r="J149" s="93"/>
      <c r="K149" s="94"/>
      <c r="L149" s="95" t="str">
        <f t="shared" si="36"/>
        <v/>
      </c>
      <c r="M149" s="93"/>
      <c r="N149" s="94"/>
      <c r="O149" s="95" t="str">
        <f t="shared" si="37"/>
        <v/>
      </c>
      <c r="P149" s="93"/>
      <c r="Q149" s="94"/>
      <c r="R149" s="95" t="str">
        <f t="shared" si="38"/>
        <v/>
      </c>
      <c r="S149" s="93"/>
      <c r="T149" s="94"/>
      <c r="U149" s="95" t="str">
        <f t="shared" si="39"/>
        <v/>
      </c>
      <c r="V149" s="93"/>
      <c r="W149" s="94"/>
      <c r="X149" s="95" t="str">
        <f t="shared" si="40"/>
        <v/>
      </c>
      <c r="Y149" s="94"/>
      <c r="Z149" s="94"/>
      <c r="AA149" s="112" t="str">
        <f t="shared" si="41"/>
        <v/>
      </c>
      <c r="AB149" s="93"/>
      <c r="AC149" s="94"/>
      <c r="AD149" s="95" t="str">
        <f t="shared" si="42"/>
        <v/>
      </c>
      <c r="AE149" s="93"/>
      <c r="AF149" s="94"/>
      <c r="AG149" s="95" t="str">
        <f t="shared" si="43"/>
        <v/>
      </c>
      <c r="AH149" s="93"/>
      <c r="AI149" s="94"/>
      <c r="AJ149" s="95" t="str">
        <f t="shared" si="44"/>
        <v/>
      </c>
      <c r="AK149" s="93"/>
      <c r="AL149" s="94"/>
      <c r="AM149" s="95" t="str">
        <f t="shared" si="45"/>
        <v/>
      </c>
      <c r="AN149" s="93"/>
      <c r="AO149" s="94"/>
      <c r="AP149" s="95" t="str">
        <f t="shared" si="47"/>
        <v/>
      </c>
    </row>
    <row r="150" spans="1:42" x14ac:dyDescent="0.25">
      <c r="A150" s="91">
        <v>46171</v>
      </c>
      <c r="B150" s="92">
        <f t="shared" si="33"/>
        <v>22</v>
      </c>
      <c r="C150" s="92">
        <f t="shared" si="34"/>
        <v>5</v>
      </c>
      <c r="D150" s="93"/>
      <c r="E150" s="94"/>
      <c r="F150" s="95" t="str">
        <f t="shared" si="35"/>
        <v/>
      </c>
      <c r="G150" s="93"/>
      <c r="H150" s="94"/>
      <c r="I150" s="95" t="str">
        <f t="shared" si="46"/>
        <v/>
      </c>
      <c r="J150" s="93"/>
      <c r="K150" s="94"/>
      <c r="L150" s="95" t="str">
        <f t="shared" si="36"/>
        <v/>
      </c>
      <c r="M150" s="93"/>
      <c r="N150" s="94"/>
      <c r="O150" s="95" t="str">
        <f t="shared" si="37"/>
        <v/>
      </c>
      <c r="P150" s="93"/>
      <c r="Q150" s="94"/>
      <c r="R150" s="95" t="str">
        <f t="shared" si="38"/>
        <v/>
      </c>
      <c r="S150" s="93"/>
      <c r="T150" s="94"/>
      <c r="U150" s="95" t="str">
        <f t="shared" si="39"/>
        <v/>
      </c>
      <c r="V150" s="93"/>
      <c r="W150" s="94"/>
      <c r="X150" s="95" t="str">
        <f t="shared" si="40"/>
        <v/>
      </c>
      <c r="Y150" s="94"/>
      <c r="Z150" s="94"/>
      <c r="AA150" s="112" t="str">
        <f t="shared" si="41"/>
        <v/>
      </c>
      <c r="AB150" s="93"/>
      <c r="AC150" s="94"/>
      <c r="AD150" s="95" t="str">
        <f t="shared" si="42"/>
        <v/>
      </c>
      <c r="AE150" s="93"/>
      <c r="AF150" s="94"/>
      <c r="AG150" s="95" t="str">
        <f t="shared" si="43"/>
        <v/>
      </c>
      <c r="AH150" s="93"/>
      <c r="AI150" s="94"/>
      <c r="AJ150" s="95" t="str">
        <f t="shared" si="44"/>
        <v/>
      </c>
      <c r="AK150" s="93"/>
      <c r="AL150" s="94"/>
      <c r="AM150" s="95" t="str">
        <f t="shared" si="45"/>
        <v/>
      </c>
      <c r="AN150" s="93"/>
      <c r="AO150" s="94"/>
      <c r="AP150" s="95" t="str">
        <f t="shared" si="47"/>
        <v/>
      </c>
    </row>
    <row r="151" spans="1:42" x14ac:dyDescent="0.25">
      <c r="A151" s="91">
        <v>46172</v>
      </c>
      <c r="B151" s="92">
        <f t="shared" si="33"/>
        <v>22</v>
      </c>
      <c r="C151" s="92">
        <f t="shared" si="34"/>
        <v>5</v>
      </c>
      <c r="D151" s="93"/>
      <c r="E151" s="94"/>
      <c r="F151" s="95" t="str">
        <f t="shared" si="35"/>
        <v/>
      </c>
      <c r="G151" s="93"/>
      <c r="H151" s="94"/>
      <c r="I151" s="95" t="str">
        <f t="shared" si="46"/>
        <v/>
      </c>
      <c r="J151" s="93"/>
      <c r="K151" s="94"/>
      <c r="L151" s="95" t="str">
        <f t="shared" si="36"/>
        <v/>
      </c>
      <c r="M151" s="93"/>
      <c r="N151" s="94"/>
      <c r="O151" s="95" t="str">
        <f t="shared" si="37"/>
        <v/>
      </c>
      <c r="P151" s="93"/>
      <c r="Q151" s="94"/>
      <c r="R151" s="95" t="str">
        <f t="shared" si="38"/>
        <v/>
      </c>
      <c r="S151" s="93"/>
      <c r="T151" s="94"/>
      <c r="U151" s="95" t="str">
        <f t="shared" si="39"/>
        <v/>
      </c>
      <c r="V151" s="93"/>
      <c r="W151" s="94"/>
      <c r="X151" s="95" t="str">
        <f t="shared" si="40"/>
        <v/>
      </c>
      <c r="Y151" s="94"/>
      <c r="Z151" s="94"/>
      <c r="AA151" s="112" t="str">
        <f t="shared" si="41"/>
        <v/>
      </c>
      <c r="AB151" s="93"/>
      <c r="AC151" s="94"/>
      <c r="AD151" s="95" t="str">
        <f t="shared" si="42"/>
        <v/>
      </c>
      <c r="AE151" s="93"/>
      <c r="AF151" s="94"/>
      <c r="AG151" s="95" t="str">
        <f t="shared" si="43"/>
        <v/>
      </c>
      <c r="AH151" s="93"/>
      <c r="AI151" s="94"/>
      <c r="AJ151" s="95" t="str">
        <f t="shared" si="44"/>
        <v/>
      </c>
      <c r="AK151" s="93"/>
      <c r="AL151" s="94"/>
      <c r="AM151" s="95" t="str">
        <f t="shared" si="45"/>
        <v/>
      </c>
      <c r="AN151" s="93"/>
      <c r="AO151" s="94"/>
      <c r="AP151" s="95" t="str">
        <f t="shared" si="47"/>
        <v/>
      </c>
    </row>
    <row r="152" spans="1:42" x14ac:dyDescent="0.25">
      <c r="A152" s="91">
        <v>46173</v>
      </c>
      <c r="B152" s="92">
        <f t="shared" si="33"/>
        <v>22</v>
      </c>
      <c r="C152" s="92">
        <f t="shared" si="34"/>
        <v>5</v>
      </c>
      <c r="D152" s="93"/>
      <c r="E152" s="94"/>
      <c r="F152" s="95" t="str">
        <f t="shared" si="35"/>
        <v/>
      </c>
      <c r="G152" s="93"/>
      <c r="H152" s="94"/>
      <c r="I152" s="95" t="str">
        <f t="shared" si="46"/>
        <v/>
      </c>
      <c r="J152" s="93"/>
      <c r="K152" s="94"/>
      <c r="L152" s="95" t="str">
        <f t="shared" si="36"/>
        <v/>
      </c>
      <c r="M152" s="93"/>
      <c r="N152" s="94"/>
      <c r="O152" s="95" t="str">
        <f t="shared" si="37"/>
        <v/>
      </c>
      <c r="P152" s="93"/>
      <c r="Q152" s="94"/>
      <c r="R152" s="95" t="str">
        <f t="shared" si="38"/>
        <v/>
      </c>
      <c r="S152" s="93"/>
      <c r="T152" s="94"/>
      <c r="U152" s="95" t="str">
        <f t="shared" si="39"/>
        <v/>
      </c>
      <c r="V152" s="93"/>
      <c r="W152" s="94"/>
      <c r="X152" s="95" t="str">
        <f t="shared" si="40"/>
        <v/>
      </c>
      <c r="Y152" s="94"/>
      <c r="Z152" s="94"/>
      <c r="AA152" s="112" t="str">
        <f t="shared" si="41"/>
        <v/>
      </c>
      <c r="AB152" s="93"/>
      <c r="AC152" s="94"/>
      <c r="AD152" s="95" t="str">
        <f t="shared" si="42"/>
        <v/>
      </c>
      <c r="AE152" s="93"/>
      <c r="AF152" s="94"/>
      <c r="AG152" s="95" t="str">
        <f t="shared" si="43"/>
        <v/>
      </c>
      <c r="AH152" s="93"/>
      <c r="AI152" s="94"/>
      <c r="AJ152" s="95" t="str">
        <f t="shared" si="44"/>
        <v/>
      </c>
      <c r="AK152" s="93"/>
      <c r="AL152" s="94"/>
      <c r="AM152" s="95" t="str">
        <f t="shared" si="45"/>
        <v/>
      </c>
      <c r="AN152" s="93"/>
      <c r="AO152" s="94"/>
      <c r="AP152" s="95" t="str">
        <f t="shared" si="47"/>
        <v/>
      </c>
    </row>
    <row r="153" spans="1:42" x14ac:dyDescent="0.25">
      <c r="A153" s="91">
        <v>46174</v>
      </c>
      <c r="B153" s="92">
        <f t="shared" si="33"/>
        <v>23</v>
      </c>
      <c r="C153" s="92">
        <f t="shared" si="34"/>
        <v>6</v>
      </c>
      <c r="D153" s="93"/>
      <c r="E153" s="94"/>
      <c r="F153" s="95" t="str">
        <f t="shared" si="35"/>
        <v/>
      </c>
      <c r="G153" s="93"/>
      <c r="H153" s="94"/>
      <c r="I153" s="95" t="str">
        <f t="shared" si="46"/>
        <v/>
      </c>
      <c r="J153" s="93"/>
      <c r="K153" s="94"/>
      <c r="L153" s="95" t="str">
        <f t="shared" si="36"/>
        <v/>
      </c>
      <c r="M153" s="93"/>
      <c r="N153" s="94"/>
      <c r="O153" s="95" t="str">
        <f t="shared" si="37"/>
        <v/>
      </c>
      <c r="P153" s="93"/>
      <c r="Q153" s="94"/>
      <c r="R153" s="95" t="str">
        <f t="shared" si="38"/>
        <v/>
      </c>
      <c r="S153" s="93"/>
      <c r="T153" s="94"/>
      <c r="U153" s="95" t="str">
        <f t="shared" si="39"/>
        <v/>
      </c>
      <c r="V153" s="93"/>
      <c r="W153" s="94"/>
      <c r="X153" s="95" t="str">
        <f t="shared" si="40"/>
        <v/>
      </c>
      <c r="Y153" s="94"/>
      <c r="Z153" s="94"/>
      <c r="AA153" s="112" t="str">
        <f t="shared" si="41"/>
        <v/>
      </c>
      <c r="AB153" s="93"/>
      <c r="AC153" s="94"/>
      <c r="AD153" s="95" t="str">
        <f t="shared" si="42"/>
        <v/>
      </c>
      <c r="AE153" s="93"/>
      <c r="AF153" s="94"/>
      <c r="AG153" s="95" t="str">
        <f t="shared" si="43"/>
        <v/>
      </c>
      <c r="AH153" s="93"/>
      <c r="AI153" s="94"/>
      <c r="AJ153" s="95" t="str">
        <f t="shared" si="44"/>
        <v/>
      </c>
      <c r="AK153" s="93"/>
      <c r="AL153" s="94"/>
      <c r="AM153" s="95" t="str">
        <f t="shared" si="45"/>
        <v/>
      </c>
      <c r="AN153" s="93"/>
      <c r="AO153" s="94"/>
      <c r="AP153" s="95" t="str">
        <f t="shared" si="47"/>
        <v/>
      </c>
    </row>
    <row r="154" spans="1:42" x14ac:dyDescent="0.25">
      <c r="A154" s="91">
        <v>46175</v>
      </c>
      <c r="B154" s="92">
        <f t="shared" si="33"/>
        <v>23</v>
      </c>
      <c r="C154" s="92">
        <f t="shared" si="34"/>
        <v>6</v>
      </c>
      <c r="D154" s="93"/>
      <c r="E154" s="94"/>
      <c r="F154" s="95" t="str">
        <f t="shared" si="35"/>
        <v/>
      </c>
      <c r="G154" s="93"/>
      <c r="H154" s="94"/>
      <c r="I154" s="95" t="str">
        <f t="shared" si="46"/>
        <v/>
      </c>
      <c r="J154" s="93"/>
      <c r="K154" s="94"/>
      <c r="L154" s="95" t="str">
        <f t="shared" si="36"/>
        <v/>
      </c>
      <c r="M154" s="93"/>
      <c r="N154" s="94"/>
      <c r="O154" s="95" t="str">
        <f t="shared" si="37"/>
        <v/>
      </c>
      <c r="P154" s="93"/>
      <c r="Q154" s="94"/>
      <c r="R154" s="95" t="str">
        <f t="shared" si="38"/>
        <v/>
      </c>
      <c r="S154" s="93"/>
      <c r="T154" s="94"/>
      <c r="U154" s="95" t="str">
        <f t="shared" si="39"/>
        <v/>
      </c>
      <c r="V154" s="93"/>
      <c r="W154" s="94"/>
      <c r="X154" s="95" t="str">
        <f t="shared" si="40"/>
        <v/>
      </c>
      <c r="Y154" s="94"/>
      <c r="Z154" s="94"/>
      <c r="AA154" s="112" t="str">
        <f t="shared" si="41"/>
        <v/>
      </c>
      <c r="AB154" s="93"/>
      <c r="AC154" s="94"/>
      <c r="AD154" s="95" t="str">
        <f t="shared" si="42"/>
        <v/>
      </c>
      <c r="AE154" s="93"/>
      <c r="AF154" s="94"/>
      <c r="AG154" s="95" t="str">
        <f t="shared" si="43"/>
        <v/>
      </c>
      <c r="AH154" s="93"/>
      <c r="AI154" s="94"/>
      <c r="AJ154" s="95" t="str">
        <f t="shared" si="44"/>
        <v/>
      </c>
      <c r="AK154" s="93"/>
      <c r="AL154" s="94"/>
      <c r="AM154" s="95" t="str">
        <f t="shared" si="45"/>
        <v/>
      </c>
      <c r="AN154" s="93"/>
      <c r="AO154" s="94"/>
      <c r="AP154" s="95" t="str">
        <f t="shared" si="47"/>
        <v/>
      </c>
    </row>
    <row r="155" spans="1:42" x14ac:dyDescent="0.25">
      <c r="A155" s="91">
        <v>46176</v>
      </c>
      <c r="B155" s="92">
        <f t="shared" si="33"/>
        <v>23</v>
      </c>
      <c r="C155" s="92">
        <f t="shared" si="34"/>
        <v>6</v>
      </c>
      <c r="D155" s="93"/>
      <c r="E155" s="94"/>
      <c r="F155" s="95" t="str">
        <f t="shared" si="35"/>
        <v/>
      </c>
      <c r="G155" s="93"/>
      <c r="H155" s="94"/>
      <c r="I155" s="95" t="str">
        <f t="shared" si="46"/>
        <v/>
      </c>
      <c r="J155" s="93"/>
      <c r="K155" s="94"/>
      <c r="L155" s="95" t="str">
        <f t="shared" si="36"/>
        <v/>
      </c>
      <c r="M155" s="93"/>
      <c r="N155" s="94"/>
      <c r="O155" s="95" t="str">
        <f t="shared" si="37"/>
        <v/>
      </c>
      <c r="P155" s="93"/>
      <c r="Q155" s="94"/>
      <c r="R155" s="95" t="str">
        <f t="shared" si="38"/>
        <v/>
      </c>
      <c r="S155" s="93"/>
      <c r="T155" s="94"/>
      <c r="U155" s="95" t="str">
        <f t="shared" si="39"/>
        <v/>
      </c>
      <c r="V155" s="93"/>
      <c r="W155" s="94"/>
      <c r="X155" s="95" t="str">
        <f t="shared" si="40"/>
        <v/>
      </c>
      <c r="Y155" s="94"/>
      <c r="Z155" s="94"/>
      <c r="AA155" s="112" t="str">
        <f t="shared" si="41"/>
        <v/>
      </c>
      <c r="AB155" s="93"/>
      <c r="AC155" s="94"/>
      <c r="AD155" s="95" t="str">
        <f t="shared" si="42"/>
        <v/>
      </c>
      <c r="AE155" s="93"/>
      <c r="AF155" s="94"/>
      <c r="AG155" s="95" t="str">
        <f t="shared" si="43"/>
        <v/>
      </c>
      <c r="AH155" s="93"/>
      <c r="AI155" s="94"/>
      <c r="AJ155" s="95" t="str">
        <f t="shared" si="44"/>
        <v/>
      </c>
      <c r="AK155" s="93"/>
      <c r="AL155" s="94"/>
      <c r="AM155" s="95" t="str">
        <f t="shared" si="45"/>
        <v/>
      </c>
      <c r="AN155" s="93"/>
      <c r="AO155" s="94"/>
      <c r="AP155" s="95" t="str">
        <f t="shared" si="47"/>
        <v/>
      </c>
    </row>
    <row r="156" spans="1:42" x14ac:dyDescent="0.25">
      <c r="A156" s="91">
        <v>46177</v>
      </c>
      <c r="B156" s="92">
        <f t="shared" si="33"/>
        <v>23</v>
      </c>
      <c r="C156" s="92">
        <f t="shared" si="34"/>
        <v>6</v>
      </c>
      <c r="D156" s="93"/>
      <c r="E156" s="94"/>
      <c r="F156" s="95" t="str">
        <f t="shared" si="35"/>
        <v/>
      </c>
      <c r="G156" s="93"/>
      <c r="H156" s="94"/>
      <c r="I156" s="95" t="str">
        <f t="shared" si="46"/>
        <v/>
      </c>
      <c r="J156" s="93"/>
      <c r="K156" s="94"/>
      <c r="L156" s="95" t="str">
        <f t="shared" si="36"/>
        <v/>
      </c>
      <c r="M156" s="93"/>
      <c r="N156" s="94"/>
      <c r="O156" s="95" t="str">
        <f t="shared" si="37"/>
        <v/>
      </c>
      <c r="P156" s="93"/>
      <c r="Q156" s="94"/>
      <c r="R156" s="95" t="str">
        <f t="shared" si="38"/>
        <v/>
      </c>
      <c r="S156" s="93"/>
      <c r="T156" s="94"/>
      <c r="U156" s="95" t="str">
        <f t="shared" si="39"/>
        <v/>
      </c>
      <c r="V156" s="93"/>
      <c r="W156" s="94"/>
      <c r="X156" s="95" t="str">
        <f t="shared" si="40"/>
        <v/>
      </c>
      <c r="Y156" s="94"/>
      <c r="Z156" s="94"/>
      <c r="AA156" s="112" t="str">
        <f t="shared" si="41"/>
        <v/>
      </c>
      <c r="AB156" s="93"/>
      <c r="AC156" s="94"/>
      <c r="AD156" s="95" t="str">
        <f t="shared" si="42"/>
        <v/>
      </c>
      <c r="AE156" s="93"/>
      <c r="AF156" s="94"/>
      <c r="AG156" s="95" t="str">
        <f t="shared" si="43"/>
        <v/>
      </c>
      <c r="AH156" s="93"/>
      <c r="AI156" s="94"/>
      <c r="AJ156" s="95" t="str">
        <f t="shared" si="44"/>
        <v/>
      </c>
      <c r="AK156" s="93"/>
      <c r="AL156" s="94"/>
      <c r="AM156" s="95" t="str">
        <f t="shared" si="45"/>
        <v/>
      </c>
      <c r="AN156" s="93"/>
      <c r="AO156" s="94"/>
      <c r="AP156" s="95" t="str">
        <f t="shared" si="47"/>
        <v/>
      </c>
    </row>
    <row r="157" spans="1:42" x14ac:dyDescent="0.25">
      <c r="A157" s="91">
        <v>46178</v>
      </c>
      <c r="B157" s="92">
        <f t="shared" si="33"/>
        <v>23</v>
      </c>
      <c r="C157" s="92">
        <f t="shared" si="34"/>
        <v>6</v>
      </c>
      <c r="D157" s="93"/>
      <c r="E157" s="94"/>
      <c r="F157" s="95" t="str">
        <f t="shared" si="35"/>
        <v/>
      </c>
      <c r="G157" s="93"/>
      <c r="H157" s="94"/>
      <c r="I157" s="95" t="str">
        <f t="shared" si="46"/>
        <v/>
      </c>
      <c r="J157" s="93"/>
      <c r="K157" s="94"/>
      <c r="L157" s="95" t="str">
        <f t="shared" si="36"/>
        <v/>
      </c>
      <c r="M157" s="93"/>
      <c r="N157" s="94"/>
      <c r="O157" s="95" t="str">
        <f t="shared" si="37"/>
        <v/>
      </c>
      <c r="P157" s="93"/>
      <c r="Q157" s="94"/>
      <c r="R157" s="95" t="str">
        <f t="shared" si="38"/>
        <v/>
      </c>
      <c r="S157" s="93"/>
      <c r="T157" s="94"/>
      <c r="U157" s="95" t="str">
        <f t="shared" si="39"/>
        <v/>
      </c>
      <c r="V157" s="93"/>
      <c r="W157" s="94"/>
      <c r="X157" s="95" t="str">
        <f t="shared" si="40"/>
        <v/>
      </c>
      <c r="Y157" s="94"/>
      <c r="Z157" s="94"/>
      <c r="AA157" s="112" t="str">
        <f t="shared" si="41"/>
        <v/>
      </c>
      <c r="AB157" s="93"/>
      <c r="AC157" s="94"/>
      <c r="AD157" s="95" t="str">
        <f t="shared" si="42"/>
        <v/>
      </c>
      <c r="AE157" s="93"/>
      <c r="AF157" s="94"/>
      <c r="AG157" s="95" t="str">
        <f t="shared" si="43"/>
        <v/>
      </c>
      <c r="AH157" s="93"/>
      <c r="AI157" s="94"/>
      <c r="AJ157" s="95" t="str">
        <f t="shared" si="44"/>
        <v/>
      </c>
      <c r="AK157" s="93"/>
      <c r="AL157" s="94"/>
      <c r="AM157" s="95" t="str">
        <f t="shared" si="45"/>
        <v/>
      </c>
      <c r="AN157" s="93"/>
      <c r="AO157" s="94"/>
      <c r="AP157" s="95" t="str">
        <f t="shared" si="47"/>
        <v/>
      </c>
    </row>
    <row r="158" spans="1:42" x14ac:dyDescent="0.25">
      <c r="A158" s="91">
        <v>46179</v>
      </c>
      <c r="B158" s="92">
        <f t="shared" si="33"/>
        <v>23</v>
      </c>
      <c r="C158" s="92">
        <f t="shared" si="34"/>
        <v>6</v>
      </c>
      <c r="D158" s="93"/>
      <c r="E158" s="94"/>
      <c r="F158" s="95" t="str">
        <f t="shared" si="35"/>
        <v/>
      </c>
      <c r="G158" s="93"/>
      <c r="H158" s="94"/>
      <c r="I158" s="95" t="str">
        <f t="shared" si="46"/>
        <v/>
      </c>
      <c r="J158" s="93"/>
      <c r="K158" s="94"/>
      <c r="L158" s="95" t="str">
        <f t="shared" si="36"/>
        <v/>
      </c>
      <c r="M158" s="93"/>
      <c r="N158" s="94"/>
      <c r="O158" s="95" t="str">
        <f t="shared" si="37"/>
        <v/>
      </c>
      <c r="P158" s="93"/>
      <c r="Q158" s="94"/>
      <c r="R158" s="95" t="str">
        <f t="shared" si="38"/>
        <v/>
      </c>
      <c r="S158" s="93"/>
      <c r="T158" s="94"/>
      <c r="U158" s="95" t="str">
        <f t="shared" si="39"/>
        <v/>
      </c>
      <c r="V158" s="93"/>
      <c r="W158" s="94"/>
      <c r="X158" s="95" t="str">
        <f t="shared" si="40"/>
        <v/>
      </c>
      <c r="Y158" s="94"/>
      <c r="Z158" s="94"/>
      <c r="AA158" s="112" t="str">
        <f t="shared" si="41"/>
        <v/>
      </c>
      <c r="AB158" s="93"/>
      <c r="AC158" s="94"/>
      <c r="AD158" s="95" t="str">
        <f t="shared" si="42"/>
        <v/>
      </c>
      <c r="AE158" s="93"/>
      <c r="AF158" s="94"/>
      <c r="AG158" s="95" t="str">
        <f t="shared" si="43"/>
        <v/>
      </c>
      <c r="AH158" s="93"/>
      <c r="AI158" s="94"/>
      <c r="AJ158" s="95" t="str">
        <f t="shared" si="44"/>
        <v/>
      </c>
      <c r="AK158" s="93"/>
      <c r="AL158" s="94"/>
      <c r="AM158" s="95" t="str">
        <f t="shared" si="45"/>
        <v/>
      </c>
      <c r="AN158" s="93"/>
      <c r="AO158" s="94"/>
      <c r="AP158" s="95" t="str">
        <f t="shared" si="47"/>
        <v/>
      </c>
    </row>
    <row r="159" spans="1:42" x14ac:dyDescent="0.25">
      <c r="A159" s="91">
        <v>46180</v>
      </c>
      <c r="B159" s="92">
        <f t="shared" si="33"/>
        <v>23</v>
      </c>
      <c r="C159" s="92">
        <f t="shared" si="34"/>
        <v>6</v>
      </c>
      <c r="D159" s="93"/>
      <c r="E159" s="94"/>
      <c r="F159" s="95" t="str">
        <f t="shared" si="35"/>
        <v/>
      </c>
      <c r="G159" s="93"/>
      <c r="H159" s="94"/>
      <c r="I159" s="95" t="str">
        <f t="shared" si="46"/>
        <v/>
      </c>
      <c r="J159" s="93"/>
      <c r="K159" s="94"/>
      <c r="L159" s="95" t="str">
        <f t="shared" si="36"/>
        <v/>
      </c>
      <c r="M159" s="93"/>
      <c r="N159" s="94"/>
      <c r="O159" s="95" t="str">
        <f t="shared" si="37"/>
        <v/>
      </c>
      <c r="P159" s="93"/>
      <c r="Q159" s="94"/>
      <c r="R159" s="95" t="str">
        <f t="shared" si="38"/>
        <v/>
      </c>
      <c r="S159" s="93"/>
      <c r="T159" s="94"/>
      <c r="U159" s="95" t="str">
        <f t="shared" si="39"/>
        <v/>
      </c>
      <c r="V159" s="93"/>
      <c r="W159" s="94"/>
      <c r="X159" s="95" t="str">
        <f t="shared" si="40"/>
        <v/>
      </c>
      <c r="Y159" s="94"/>
      <c r="Z159" s="94"/>
      <c r="AA159" s="112" t="str">
        <f t="shared" si="41"/>
        <v/>
      </c>
      <c r="AB159" s="93"/>
      <c r="AC159" s="94"/>
      <c r="AD159" s="95" t="str">
        <f t="shared" si="42"/>
        <v/>
      </c>
      <c r="AE159" s="93"/>
      <c r="AF159" s="94"/>
      <c r="AG159" s="95" t="str">
        <f t="shared" si="43"/>
        <v/>
      </c>
      <c r="AH159" s="93"/>
      <c r="AI159" s="94"/>
      <c r="AJ159" s="95" t="str">
        <f t="shared" si="44"/>
        <v/>
      </c>
      <c r="AK159" s="93"/>
      <c r="AL159" s="94"/>
      <c r="AM159" s="95" t="str">
        <f t="shared" si="45"/>
        <v/>
      </c>
      <c r="AN159" s="93"/>
      <c r="AO159" s="94"/>
      <c r="AP159" s="95" t="str">
        <f t="shared" si="47"/>
        <v/>
      </c>
    </row>
    <row r="160" spans="1:42" x14ac:dyDescent="0.25">
      <c r="A160" s="91">
        <v>46181</v>
      </c>
      <c r="B160" s="92">
        <f t="shared" si="33"/>
        <v>24</v>
      </c>
      <c r="C160" s="92">
        <f t="shared" si="34"/>
        <v>6</v>
      </c>
      <c r="D160" s="93"/>
      <c r="E160" s="94"/>
      <c r="F160" s="95" t="str">
        <f t="shared" si="35"/>
        <v/>
      </c>
      <c r="G160" s="93"/>
      <c r="H160" s="94"/>
      <c r="I160" s="95" t="str">
        <f t="shared" si="46"/>
        <v/>
      </c>
      <c r="J160" s="93"/>
      <c r="K160" s="94"/>
      <c r="L160" s="95" t="str">
        <f t="shared" si="36"/>
        <v/>
      </c>
      <c r="M160" s="93"/>
      <c r="N160" s="94"/>
      <c r="O160" s="95" t="str">
        <f t="shared" si="37"/>
        <v/>
      </c>
      <c r="P160" s="93"/>
      <c r="Q160" s="94"/>
      <c r="R160" s="95" t="str">
        <f t="shared" si="38"/>
        <v/>
      </c>
      <c r="S160" s="93"/>
      <c r="T160" s="94"/>
      <c r="U160" s="95" t="str">
        <f t="shared" si="39"/>
        <v/>
      </c>
      <c r="V160" s="93"/>
      <c r="W160" s="94"/>
      <c r="X160" s="95" t="str">
        <f t="shared" si="40"/>
        <v/>
      </c>
      <c r="Y160" s="94"/>
      <c r="Z160" s="94"/>
      <c r="AA160" s="112" t="str">
        <f t="shared" si="41"/>
        <v/>
      </c>
      <c r="AB160" s="93"/>
      <c r="AC160" s="94"/>
      <c r="AD160" s="95" t="str">
        <f t="shared" si="42"/>
        <v/>
      </c>
      <c r="AE160" s="93"/>
      <c r="AF160" s="94"/>
      <c r="AG160" s="95" t="str">
        <f t="shared" si="43"/>
        <v/>
      </c>
      <c r="AH160" s="93"/>
      <c r="AI160" s="94"/>
      <c r="AJ160" s="95" t="str">
        <f t="shared" si="44"/>
        <v/>
      </c>
      <c r="AK160" s="93"/>
      <c r="AL160" s="94"/>
      <c r="AM160" s="95" t="str">
        <f t="shared" si="45"/>
        <v/>
      </c>
      <c r="AN160" s="93"/>
      <c r="AO160" s="94"/>
      <c r="AP160" s="95" t="str">
        <f t="shared" si="47"/>
        <v/>
      </c>
    </row>
    <row r="161" spans="1:42" x14ac:dyDescent="0.25">
      <c r="A161" s="91">
        <v>46182</v>
      </c>
      <c r="B161" s="92">
        <f t="shared" si="33"/>
        <v>24</v>
      </c>
      <c r="C161" s="92">
        <f t="shared" si="34"/>
        <v>6</v>
      </c>
      <c r="D161" s="93"/>
      <c r="E161" s="94"/>
      <c r="F161" s="95" t="str">
        <f t="shared" si="35"/>
        <v/>
      </c>
      <c r="G161" s="93"/>
      <c r="H161" s="94"/>
      <c r="I161" s="95" t="str">
        <f t="shared" si="46"/>
        <v/>
      </c>
      <c r="J161" s="93"/>
      <c r="K161" s="94"/>
      <c r="L161" s="95" t="str">
        <f t="shared" si="36"/>
        <v/>
      </c>
      <c r="M161" s="93"/>
      <c r="N161" s="94"/>
      <c r="O161" s="95" t="str">
        <f t="shared" si="37"/>
        <v/>
      </c>
      <c r="P161" s="93"/>
      <c r="Q161" s="94"/>
      <c r="R161" s="95" t="str">
        <f t="shared" si="38"/>
        <v/>
      </c>
      <c r="S161" s="93"/>
      <c r="T161" s="94"/>
      <c r="U161" s="95" t="str">
        <f t="shared" si="39"/>
        <v/>
      </c>
      <c r="V161" s="93"/>
      <c r="W161" s="94"/>
      <c r="X161" s="95" t="str">
        <f t="shared" si="40"/>
        <v/>
      </c>
      <c r="Y161" s="94"/>
      <c r="Z161" s="94"/>
      <c r="AA161" s="112" t="str">
        <f t="shared" si="41"/>
        <v/>
      </c>
      <c r="AB161" s="93"/>
      <c r="AC161" s="94"/>
      <c r="AD161" s="95" t="str">
        <f t="shared" si="42"/>
        <v/>
      </c>
      <c r="AE161" s="93"/>
      <c r="AF161" s="94"/>
      <c r="AG161" s="95" t="str">
        <f t="shared" si="43"/>
        <v/>
      </c>
      <c r="AH161" s="93"/>
      <c r="AI161" s="94"/>
      <c r="AJ161" s="95" t="str">
        <f t="shared" si="44"/>
        <v/>
      </c>
      <c r="AK161" s="93"/>
      <c r="AL161" s="94"/>
      <c r="AM161" s="95" t="str">
        <f t="shared" si="45"/>
        <v/>
      </c>
      <c r="AN161" s="93"/>
      <c r="AO161" s="94"/>
      <c r="AP161" s="95" t="str">
        <f t="shared" si="47"/>
        <v/>
      </c>
    </row>
    <row r="162" spans="1:42" x14ac:dyDescent="0.25">
      <c r="A162" s="91">
        <v>46183</v>
      </c>
      <c r="B162" s="92">
        <f t="shared" si="33"/>
        <v>24</v>
      </c>
      <c r="C162" s="92">
        <f t="shared" si="34"/>
        <v>6</v>
      </c>
      <c r="D162" s="93"/>
      <c r="E162" s="94"/>
      <c r="F162" s="95" t="str">
        <f t="shared" si="35"/>
        <v/>
      </c>
      <c r="G162" s="93"/>
      <c r="H162" s="94"/>
      <c r="I162" s="95" t="str">
        <f t="shared" si="46"/>
        <v/>
      </c>
      <c r="J162" s="93"/>
      <c r="K162" s="94"/>
      <c r="L162" s="95" t="str">
        <f t="shared" si="36"/>
        <v/>
      </c>
      <c r="M162" s="93"/>
      <c r="N162" s="94"/>
      <c r="O162" s="95" t="str">
        <f t="shared" si="37"/>
        <v/>
      </c>
      <c r="P162" s="93"/>
      <c r="Q162" s="94"/>
      <c r="R162" s="95" t="str">
        <f t="shared" si="38"/>
        <v/>
      </c>
      <c r="S162" s="93"/>
      <c r="T162" s="94"/>
      <c r="U162" s="95" t="str">
        <f t="shared" si="39"/>
        <v/>
      </c>
      <c r="V162" s="93"/>
      <c r="W162" s="94"/>
      <c r="X162" s="95" t="str">
        <f t="shared" si="40"/>
        <v/>
      </c>
      <c r="Y162" s="94"/>
      <c r="Z162" s="94"/>
      <c r="AA162" s="112" t="str">
        <f t="shared" si="41"/>
        <v/>
      </c>
      <c r="AB162" s="93"/>
      <c r="AC162" s="94"/>
      <c r="AD162" s="95" t="str">
        <f t="shared" si="42"/>
        <v/>
      </c>
      <c r="AE162" s="93"/>
      <c r="AF162" s="94"/>
      <c r="AG162" s="95" t="str">
        <f t="shared" si="43"/>
        <v/>
      </c>
      <c r="AH162" s="93"/>
      <c r="AI162" s="94"/>
      <c r="AJ162" s="95" t="str">
        <f t="shared" si="44"/>
        <v/>
      </c>
      <c r="AK162" s="93"/>
      <c r="AL162" s="94"/>
      <c r="AM162" s="95" t="str">
        <f t="shared" si="45"/>
        <v/>
      </c>
      <c r="AN162" s="93"/>
      <c r="AO162" s="94"/>
      <c r="AP162" s="95" t="str">
        <f t="shared" si="47"/>
        <v/>
      </c>
    </row>
    <row r="163" spans="1:42" x14ac:dyDescent="0.25">
      <c r="A163" s="91">
        <v>46184</v>
      </c>
      <c r="B163" s="92">
        <f t="shared" si="33"/>
        <v>24</v>
      </c>
      <c r="C163" s="92">
        <f t="shared" si="34"/>
        <v>6</v>
      </c>
      <c r="D163" s="93"/>
      <c r="E163" s="94"/>
      <c r="F163" s="95" t="str">
        <f t="shared" si="35"/>
        <v/>
      </c>
      <c r="G163" s="93"/>
      <c r="H163" s="94"/>
      <c r="I163" s="95" t="str">
        <f t="shared" si="46"/>
        <v/>
      </c>
      <c r="J163" s="93"/>
      <c r="K163" s="94"/>
      <c r="L163" s="95" t="str">
        <f t="shared" si="36"/>
        <v/>
      </c>
      <c r="M163" s="93"/>
      <c r="N163" s="94"/>
      <c r="O163" s="95" t="str">
        <f t="shared" si="37"/>
        <v/>
      </c>
      <c r="P163" s="93"/>
      <c r="Q163" s="94"/>
      <c r="R163" s="95" t="str">
        <f t="shared" si="38"/>
        <v/>
      </c>
      <c r="S163" s="93"/>
      <c r="T163" s="94"/>
      <c r="U163" s="95" t="str">
        <f t="shared" si="39"/>
        <v/>
      </c>
      <c r="V163" s="93"/>
      <c r="W163" s="94"/>
      <c r="X163" s="95" t="str">
        <f t="shared" si="40"/>
        <v/>
      </c>
      <c r="Y163" s="94"/>
      <c r="Z163" s="94"/>
      <c r="AA163" s="112" t="str">
        <f t="shared" si="41"/>
        <v/>
      </c>
      <c r="AB163" s="93"/>
      <c r="AC163" s="94"/>
      <c r="AD163" s="95" t="str">
        <f t="shared" si="42"/>
        <v/>
      </c>
      <c r="AE163" s="93"/>
      <c r="AF163" s="94"/>
      <c r="AG163" s="95" t="str">
        <f t="shared" si="43"/>
        <v/>
      </c>
      <c r="AH163" s="93"/>
      <c r="AI163" s="94"/>
      <c r="AJ163" s="95" t="str">
        <f t="shared" si="44"/>
        <v/>
      </c>
      <c r="AK163" s="93"/>
      <c r="AL163" s="94"/>
      <c r="AM163" s="95" t="str">
        <f t="shared" si="45"/>
        <v/>
      </c>
      <c r="AN163" s="93"/>
      <c r="AO163" s="94"/>
      <c r="AP163" s="95" t="str">
        <f t="shared" si="47"/>
        <v/>
      </c>
    </row>
    <row r="164" spans="1:42" x14ac:dyDescent="0.25">
      <c r="A164" s="91">
        <v>46185</v>
      </c>
      <c r="B164" s="92">
        <f t="shared" si="33"/>
        <v>24</v>
      </c>
      <c r="C164" s="92">
        <f t="shared" si="34"/>
        <v>6</v>
      </c>
      <c r="D164" s="93"/>
      <c r="E164" s="94"/>
      <c r="F164" s="95" t="str">
        <f t="shared" si="35"/>
        <v/>
      </c>
      <c r="G164" s="93"/>
      <c r="H164" s="94"/>
      <c r="I164" s="95" t="str">
        <f t="shared" si="46"/>
        <v/>
      </c>
      <c r="J164" s="93"/>
      <c r="K164" s="94"/>
      <c r="L164" s="95" t="str">
        <f t="shared" si="36"/>
        <v/>
      </c>
      <c r="M164" s="93"/>
      <c r="N164" s="94"/>
      <c r="O164" s="95" t="str">
        <f t="shared" si="37"/>
        <v/>
      </c>
      <c r="P164" s="93"/>
      <c r="Q164" s="94"/>
      <c r="R164" s="95" t="str">
        <f t="shared" si="38"/>
        <v/>
      </c>
      <c r="S164" s="93"/>
      <c r="T164" s="94"/>
      <c r="U164" s="95" t="str">
        <f t="shared" si="39"/>
        <v/>
      </c>
      <c r="V164" s="93"/>
      <c r="W164" s="94"/>
      <c r="X164" s="95" t="str">
        <f t="shared" si="40"/>
        <v/>
      </c>
      <c r="Y164" s="94"/>
      <c r="Z164" s="94"/>
      <c r="AA164" s="112" t="str">
        <f t="shared" si="41"/>
        <v/>
      </c>
      <c r="AB164" s="93"/>
      <c r="AC164" s="94"/>
      <c r="AD164" s="95" t="str">
        <f t="shared" si="42"/>
        <v/>
      </c>
      <c r="AE164" s="93"/>
      <c r="AF164" s="94"/>
      <c r="AG164" s="95" t="str">
        <f t="shared" si="43"/>
        <v/>
      </c>
      <c r="AH164" s="93"/>
      <c r="AI164" s="94"/>
      <c r="AJ164" s="95" t="str">
        <f t="shared" si="44"/>
        <v/>
      </c>
      <c r="AK164" s="93"/>
      <c r="AL164" s="94"/>
      <c r="AM164" s="95" t="str">
        <f t="shared" si="45"/>
        <v/>
      </c>
      <c r="AN164" s="93"/>
      <c r="AO164" s="94"/>
      <c r="AP164" s="95" t="str">
        <f t="shared" si="47"/>
        <v/>
      </c>
    </row>
    <row r="165" spans="1:42" x14ac:dyDescent="0.25">
      <c r="A165" s="91">
        <v>46186</v>
      </c>
      <c r="B165" s="92">
        <f t="shared" si="33"/>
        <v>24</v>
      </c>
      <c r="C165" s="92">
        <f t="shared" si="34"/>
        <v>6</v>
      </c>
      <c r="D165" s="93"/>
      <c r="E165" s="94"/>
      <c r="F165" s="95" t="str">
        <f t="shared" si="35"/>
        <v/>
      </c>
      <c r="G165" s="93"/>
      <c r="H165" s="94"/>
      <c r="I165" s="95" t="str">
        <f t="shared" si="46"/>
        <v/>
      </c>
      <c r="J165" s="93"/>
      <c r="K165" s="94"/>
      <c r="L165" s="95" t="str">
        <f t="shared" si="36"/>
        <v/>
      </c>
      <c r="M165" s="93"/>
      <c r="N165" s="94"/>
      <c r="O165" s="95" t="str">
        <f t="shared" si="37"/>
        <v/>
      </c>
      <c r="P165" s="93"/>
      <c r="Q165" s="94"/>
      <c r="R165" s="95" t="str">
        <f t="shared" si="38"/>
        <v/>
      </c>
      <c r="S165" s="93"/>
      <c r="T165" s="94"/>
      <c r="U165" s="95" t="str">
        <f t="shared" si="39"/>
        <v/>
      </c>
      <c r="V165" s="93"/>
      <c r="W165" s="94"/>
      <c r="X165" s="95" t="str">
        <f t="shared" si="40"/>
        <v/>
      </c>
      <c r="Y165" s="94"/>
      <c r="Z165" s="94"/>
      <c r="AA165" s="112" t="str">
        <f t="shared" si="41"/>
        <v/>
      </c>
      <c r="AB165" s="93"/>
      <c r="AC165" s="94"/>
      <c r="AD165" s="95" t="str">
        <f t="shared" si="42"/>
        <v/>
      </c>
      <c r="AE165" s="93"/>
      <c r="AF165" s="94"/>
      <c r="AG165" s="95" t="str">
        <f t="shared" si="43"/>
        <v/>
      </c>
      <c r="AH165" s="93"/>
      <c r="AI165" s="94"/>
      <c r="AJ165" s="95" t="str">
        <f t="shared" si="44"/>
        <v/>
      </c>
      <c r="AK165" s="93"/>
      <c r="AL165" s="94"/>
      <c r="AM165" s="95" t="str">
        <f t="shared" si="45"/>
        <v/>
      </c>
      <c r="AN165" s="93"/>
      <c r="AO165" s="94"/>
      <c r="AP165" s="95" t="str">
        <f t="shared" si="47"/>
        <v/>
      </c>
    </row>
    <row r="166" spans="1:42" x14ac:dyDescent="0.25">
      <c r="A166" s="91">
        <v>46187</v>
      </c>
      <c r="B166" s="92">
        <f t="shared" si="33"/>
        <v>24</v>
      </c>
      <c r="C166" s="92">
        <f t="shared" si="34"/>
        <v>6</v>
      </c>
      <c r="D166" s="93"/>
      <c r="E166" s="94"/>
      <c r="F166" s="95" t="str">
        <f t="shared" si="35"/>
        <v/>
      </c>
      <c r="G166" s="93"/>
      <c r="H166" s="94"/>
      <c r="I166" s="95" t="str">
        <f t="shared" si="46"/>
        <v/>
      </c>
      <c r="J166" s="93"/>
      <c r="K166" s="94"/>
      <c r="L166" s="95" t="str">
        <f t="shared" si="36"/>
        <v/>
      </c>
      <c r="M166" s="93"/>
      <c r="N166" s="94"/>
      <c r="O166" s="95" t="str">
        <f t="shared" si="37"/>
        <v/>
      </c>
      <c r="P166" s="93"/>
      <c r="Q166" s="94"/>
      <c r="R166" s="95" t="str">
        <f t="shared" si="38"/>
        <v/>
      </c>
      <c r="S166" s="93"/>
      <c r="T166" s="94"/>
      <c r="U166" s="95" t="str">
        <f t="shared" si="39"/>
        <v/>
      </c>
      <c r="V166" s="93"/>
      <c r="W166" s="94"/>
      <c r="X166" s="95" t="str">
        <f t="shared" si="40"/>
        <v/>
      </c>
      <c r="Y166" s="94"/>
      <c r="Z166" s="94"/>
      <c r="AA166" s="112" t="str">
        <f t="shared" si="41"/>
        <v/>
      </c>
      <c r="AB166" s="93"/>
      <c r="AC166" s="94"/>
      <c r="AD166" s="95" t="str">
        <f t="shared" si="42"/>
        <v/>
      </c>
      <c r="AE166" s="93"/>
      <c r="AF166" s="94"/>
      <c r="AG166" s="95" t="str">
        <f t="shared" si="43"/>
        <v/>
      </c>
      <c r="AH166" s="93"/>
      <c r="AI166" s="94"/>
      <c r="AJ166" s="95" t="str">
        <f t="shared" si="44"/>
        <v/>
      </c>
      <c r="AK166" s="93"/>
      <c r="AL166" s="94"/>
      <c r="AM166" s="95" t="str">
        <f t="shared" si="45"/>
        <v/>
      </c>
      <c r="AN166" s="93"/>
      <c r="AO166" s="94"/>
      <c r="AP166" s="95" t="str">
        <f t="shared" si="47"/>
        <v/>
      </c>
    </row>
    <row r="167" spans="1:42" x14ac:dyDescent="0.25">
      <c r="A167" s="91">
        <v>46188</v>
      </c>
      <c r="B167" s="92">
        <f t="shared" si="33"/>
        <v>25</v>
      </c>
      <c r="C167" s="92">
        <f t="shared" si="34"/>
        <v>6</v>
      </c>
      <c r="D167" s="93"/>
      <c r="E167" s="94"/>
      <c r="F167" s="95" t="str">
        <f t="shared" si="35"/>
        <v/>
      </c>
      <c r="G167" s="93"/>
      <c r="H167" s="94"/>
      <c r="I167" s="95" t="str">
        <f t="shared" si="46"/>
        <v/>
      </c>
      <c r="J167" s="93"/>
      <c r="K167" s="94"/>
      <c r="L167" s="95" t="str">
        <f t="shared" si="36"/>
        <v/>
      </c>
      <c r="M167" s="93"/>
      <c r="N167" s="94"/>
      <c r="O167" s="95" t="str">
        <f t="shared" si="37"/>
        <v/>
      </c>
      <c r="P167" s="93"/>
      <c r="Q167" s="94"/>
      <c r="R167" s="95" t="str">
        <f t="shared" si="38"/>
        <v/>
      </c>
      <c r="S167" s="93"/>
      <c r="T167" s="94"/>
      <c r="U167" s="95" t="str">
        <f t="shared" si="39"/>
        <v/>
      </c>
      <c r="V167" s="93"/>
      <c r="W167" s="94"/>
      <c r="X167" s="95" t="str">
        <f t="shared" si="40"/>
        <v/>
      </c>
      <c r="Y167" s="94"/>
      <c r="Z167" s="94"/>
      <c r="AA167" s="112" t="str">
        <f t="shared" si="41"/>
        <v/>
      </c>
      <c r="AB167" s="93"/>
      <c r="AC167" s="94"/>
      <c r="AD167" s="95" t="str">
        <f t="shared" si="42"/>
        <v/>
      </c>
      <c r="AE167" s="93"/>
      <c r="AF167" s="94"/>
      <c r="AG167" s="95" t="str">
        <f t="shared" si="43"/>
        <v/>
      </c>
      <c r="AH167" s="93"/>
      <c r="AI167" s="94"/>
      <c r="AJ167" s="95" t="str">
        <f t="shared" si="44"/>
        <v/>
      </c>
      <c r="AK167" s="93"/>
      <c r="AL167" s="94"/>
      <c r="AM167" s="95" t="str">
        <f t="shared" si="45"/>
        <v/>
      </c>
      <c r="AN167" s="93"/>
      <c r="AO167" s="94"/>
      <c r="AP167" s="95" t="str">
        <f t="shared" si="47"/>
        <v/>
      </c>
    </row>
    <row r="168" spans="1:42" x14ac:dyDescent="0.25">
      <c r="A168" s="91">
        <v>46189</v>
      </c>
      <c r="B168" s="92">
        <f t="shared" si="33"/>
        <v>25</v>
      </c>
      <c r="C168" s="92">
        <f t="shared" si="34"/>
        <v>6</v>
      </c>
      <c r="D168" s="93"/>
      <c r="E168" s="94"/>
      <c r="F168" s="95" t="str">
        <f t="shared" si="35"/>
        <v/>
      </c>
      <c r="G168" s="93"/>
      <c r="H168" s="94"/>
      <c r="I168" s="95" t="str">
        <f t="shared" si="46"/>
        <v/>
      </c>
      <c r="J168" s="93"/>
      <c r="K168" s="94"/>
      <c r="L168" s="95" t="str">
        <f t="shared" si="36"/>
        <v/>
      </c>
      <c r="M168" s="93"/>
      <c r="N168" s="94"/>
      <c r="O168" s="95" t="str">
        <f t="shared" si="37"/>
        <v/>
      </c>
      <c r="P168" s="93"/>
      <c r="Q168" s="94"/>
      <c r="R168" s="95" t="str">
        <f t="shared" si="38"/>
        <v/>
      </c>
      <c r="S168" s="93"/>
      <c r="T168" s="94"/>
      <c r="U168" s="95" t="str">
        <f t="shared" si="39"/>
        <v/>
      </c>
      <c r="V168" s="93"/>
      <c r="W168" s="94"/>
      <c r="X168" s="95" t="str">
        <f t="shared" si="40"/>
        <v/>
      </c>
      <c r="Y168" s="94"/>
      <c r="Z168" s="94"/>
      <c r="AA168" s="112" t="str">
        <f t="shared" si="41"/>
        <v/>
      </c>
      <c r="AB168" s="93"/>
      <c r="AC168" s="94"/>
      <c r="AD168" s="95" t="str">
        <f t="shared" si="42"/>
        <v/>
      </c>
      <c r="AE168" s="93"/>
      <c r="AF168" s="94"/>
      <c r="AG168" s="95" t="str">
        <f t="shared" si="43"/>
        <v/>
      </c>
      <c r="AH168" s="93"/>
      <c r="AI168" s="94"/>
      <c r="AJ168" s="95" t="str">
        <f t="shared" si="44"/>
        <v/>
      </c>
      <c r="AK168" s="93"/>
      <c r="AL168" s="94"/>
      <c r="AM168" s="95" t="str">
        <f t="shared" si="45"/>
        <v/>
      </c>
      <c r="AN168" s="93"/>
      <c r="AO168" s="94"/>
      <c r="AP168" s="95" t="str">
        <f t="shared" si="47"/>
        <v/>
      </c>
    </row>
    <row r="169" spans="1:42" x14ac:dyDescent="0.25">
      <c r="A169" s="91">
        <v>46190</v>
      </c>
      <c r="B169" s="92">
        <f t="shared" si="33"/>
        <v>25</v>
      </c>
      <c r="C169" s="92">
        <f t="shared" si="34"/>
        <v>6</v>
      </c>
      <c r="D169" s="93"/>
      <c r="E169" s="94"/>
      <c r="F169" s="95" t="str">
        <f t="shared" si="35"/>
        <v/>
      </c>
      <c r="G169" s="93"/>
      <c r="H169" s="94"/>
      <c r="I169" s="95" t="str">
        <f t="shared" si="46"/>
        <v/>
      </c>
      <c r="J169" s="93"/>
      <c r="K169" s="94"/>
      <c r="L169" s="95" t="str">
        <f t="shared" si="36"/>
        <v/>
      </c>
      <c r="M169" s="93"/>
      <c r="N169" s="94"/>
      <c r="O169" s="95" t="str">
        <f t="shared" si="37"/>
        <v/>
      </c>
      <c r="P169" s="93"/>
      <c r="Q169" s="94"/>
      <c r="R169" s="95" t="str">
        <f t="shared" si="38"/>
        <v/>
      </c>
      <c r="S169" s="93"/>
      <c r="T169" s="94"/>
      <c r="U169" s="95" t="str">
        <f t="shared" si="39"/>
        <v/>
      </c>
      <c r="V169" s="93"/>
      <c r="W169" s="94"/>
      <c r="X169" s="95" t="str">
        <f t="shared" si="40"/>
        <v/>
      </c>
      <c r="Y169" s="94"/>
      <c r="Z169" s="94"/>
      <c r="AA169" s="112" t="str">
        <f t="shared" si="41"/>
        <v/>
      </c>
      <c r="AB169" s="93"/>
      <c r="AC169" s="94"/>
      <c r="AD169" s="95" t="str">
        <f t="shared" si="42"/>
        <v/>
      </c>
      <c r="AE169" s="93"/>
      <c r="AF169" s="94"/>
      <c r="AG169" s="95" t="str">
        <f t="shared" si="43"/>
        <v/>
      </c>
      <c r="AH169" s="93"/>
      <c r="AI169" s="94"/>
      <c r="AJ169" s="95" t="str">
        <f t="shared" si="44"/>
        <v/>
      </c>
      <c r="AK169" s="93"/>
      <c r="AL169" s="94"/>
      <c r="AM169" s="95" t="str">
        <f t="shared" si="45"/>
        <v/>
      </c>
      <c r="AN169" s="93"/>
      <c r="AO169" s="94"/>
      <c r="AP169" s="95" t="str">
        <f t="shared" si="47"/>
        <v/>
      </c>
    </row>
    <row r="170" spans="1:42" x14ac:dyDescent="0.25">
      <c r="A170" s="91">
        <v>46191</v>
      </c>
      <c r="B170" s="92">
        <f t="shared" si="33"/>
        <v>25</v>
      </c>
      <c r="C170" s="92">
        <f t="shared" si="34"/>
        <v>6</v>
      </c>
      <c r="D170" s="93"/>
      <c r="E170" s="94"/>
      <c r="F170" s="95" t="str">
        <f t="shared" si="35"/>
        <v/>
      </c>
      <c r="G170" s="93"/>
      <c r="H170" s="94"/>
      <c r="I170" s="95" t="str">
        <f t="shared" si="46"/>
        <v/>
      </c>
      <c r="J170" s="93"/>
      <c r="K170" s="94"/>
      <c r="L170" s="95" t="str">
        <f t="shared" si="36"/>
        <v/>
      </c>
      <c r="M170" s="93"/>
      <c r="N170" s="94"/>
      <c r="O170" s="95" t="str">
        <f t="shared" si="37"/>
        <v/>
      </c>
      <c r="P170" s="93"/>
      <c r="Q170" s="94"/>
      <c r="R170" s="95" t="str">
        <f t="shared" si="38"/>
        <v/>
      </c>
      <c r="S170" s="93"/>
      <c r="T170" s="94"/>
      <c r="U170" s="95" t="str">
        <f t="shared" si="39"/>
        <v/>
      </c>
      <c r="V170" s="93"/>
      <c r="W170" s="94"/>
      <c r="X170" s="95" t="str">
        <f t="shared" si="40"/>
        <v/>
      </c>
      <c r="Y170" s="94"/>
      <c r="Z170" s="94"/>
      <c r="AA170" s="112" t="str">
        <f t="shared" si="41"/>
        <v/>
      </c>
      <c r="AB170" s="93"/>
      <c r="AC170" s="94"/>
      <c r="AD170" s="95" t="str">
        <f t="shared" si="42"/>
        <v/>
      </c>
      <c r="AE170" s="93"/>
      <c r="AF170" s="94"/>
      <c r="AG170" s="95" t="str">
        <f t="shared" si="43"/>
        <v/>
      </c>
      <c r="AH170" s="93"/>
      <c r="AI170" s="94"/>
      <c r="AJ170" s="95" t="str">
        <f t="shared" si="44"/>
        <v/>
      </c>
      <c r="AK170" s="93"/>
      <c r="AL170" s="94"/>
      <c r="AM170" s="95" t="str">
        <f t="shared" si="45"/>
        <v/>
      </c>
      <c r="AN170" s="93"/>
      <c r="AO170" s="94"/>
      <c r="AP170" s="95" t="str">
        <f t="shared" si="47"/>
        <v/>
      </c>
    </row>
    <row r="171" spans="1:42" x14ac:dyDescent="0.25">
      <c r="A171" s="91">
        <v>46192</v>
      </c>
      <c r="B171" s="92">
        <f t="shared" si="33"/>
        <v>25</v>
      </c>
      <c r="C171" s="92">
        <f t="shared" si="34"/>
        <v>6</v>
      </c>
      <c r="D171" s="93"/>
      <c r="E171" s="94"/>
      <c r="F171" s="95" t="str">
        <f t="shared" si="35"/>
        <v/>
      </c>
      <c r="G171" s="93"/>
      <c r="H171" s="94"/>
      <c r="I171" s="95" t="str">
        <f t="shared" si="46"/>
        <v/>
      </c>
      <c r="J171" s="93"/>
      <c r="K171" s="94"/>
      <c r="L171" s="95" t="str">
        <f t="shared" si="36"/>
        <v/>
      </c>
      <c r="M171" s="93"/>
      <c r="N171" s="94"/>
      <c r="O171" s="95" t="str">
        <f t="shared" si="37"/>
        <v/>
      </c>
      <c r="P171" s="93"/>
      <c r="Q171" s="94"/>
      <c r="R171" s="95" t="str">
        <f t="shared" si="38"/>
        <v/>
      </c>
      <c r="S171" s="93"/>
      <c r="T171" s="94"/>
      <c r="U171" s="95" t="str">
        <f t="shared" si="39"/>
        <v/>
      </c>
      <c r="V171" s="93"/>
      <c r="W171" s="94"/>
      <c r="X171" s="95" t="str">
        <f t="shared" si="40"/>
        <v/>
      </c>
      <c r="Y171" s="94"/>
      <c r="Z171" s="94"/>
      <c r="AA171" s="112" t="str">
        <f t="shared" si="41"/>
        <v/>
      </c>
      <c r="AB171" s="93"/>
      <c r="AC171" s="94"/>
      <c r="AD171" s="95" t="str">
        <f t="shared" si="42"/>
        <v/>
      </c>
      <c r="AE171" s="93"/>
      <c r="AF171" s="94"/>
      <c r="AG171" s="95" t="str">
        <f t="shared" si="43"/>
        <v/>
      </c>
      <c r="AH171" s="93"/>
      <c r="AI171" s="94"/>
      <c r="AJ171" s="95" t="str">
        <f t="shared" si="44"/>
        <v/>
      </c>
      <c r="AK171" s="93"/>
      <c r="AL171" s="94"/>
      <c r="AM171" s="95" t="str">
        <f t="shared" si="45"/>
        <v/>
      </c>
      <c r="AN171" s="93"/>
      <c r="AO171" s="94"/>
      <c r="AP171" s="95" t="str">
        <f t="shared" si="47"/>
        <v/>
      </c>
    </row>
    <row r="172" spans="1:42" x14ac:dyDescent="0.25">
      <c r="A172" s="91">
        <v>46193</v>
      </c>
      <c r="B172" s="92">
        <f t="shared" si="33"/>
        <v>25</v>
      </c>
      <c r="C172" s="92">
        <f t="shared" si="34"/>
        <v>6</v>
      </c>
      <c r="D172" s="93"/>
      <c r="E172" s="94"/>
      <c r="F172" s="95" t="str">
        <f t="shared" si="35"/>
        <v/>
      </c>
      <c r="G172" s="93"/>
      <c r="H172" s="94"/>
      <c r="I172" s="95" t="str">
        <f t="shared" si="46"/>
        <v/>
      </c>
      <c r="J172" s="93"/>
      <c r="K172" s="94"/>
      <c r="L172" s="95" t="str">
        <f t="shared" si="36"/>
        <v/>
      </c>
      <c r="M172" s="93"/>
      <c r="N172" s="94"/>
      <c r="O172" s="95" t="str">
        <f t="shared" si="37"/>
        <v/>
      </c>
      <c r="P172" s="93"/>
      <c r="Q172" s="94"/>
      <c r="R172" s="95" t="str">
        <f t="shared" si="38"/>
        <v/>
      </c>
      <c r="S172" s="93"/>
      <c r="T172" s="94"/>
      <c r="U172" s="95" t="str">
        <f t="shared" si="39"/>
        <v/>
      </c>
      <c r="V172" s="93"/>
      <c r="W172" s="94"/>
      <c r="X172" s="95" t="str">
        <f t="shared" si="40"/>
        <v/>
      </c>
      <c r="Y172" s="94"/>
      <c r="Z172" s="94"/>
      <c r="AA172" s="112" t="str">
        <f t="shared" si="41"/>
        <v/>
      </c>
      <c r="AB172" s="93"/>
      <c r="AC172" s="94"/>
      <c r="AD172" s="95" t="str">
        <f t="shared" si="42"/>
        <v/>
      </c>
      <c r="AE172" s="93"/>
      <c r="AF172" s="94"/>
      <c r="AG172" s="95" t="str">
        <f t="shared" si="43"/>
        <v/>
      </c>
      <c r="AH172" s="93"/>
      <c r="AI172" s="94"/>
      <c r="AJ172" s="95" t="str">
        <f t="shared" si="44"/>
        <v/>
      </c>
      <c r="AK172" s="93"/>
      <c r="AL172" s="94"/>
      <c r="AM172" s="95" t="str">
        <f t="shared" si="45"/>
        <v/>
      </c>
      <c r="AN172" s="93"/>
      <c r="AO172" s="94"/>
      <c r="AP172" s="95" t="str">
        <f t="shared" si="47"/>
        <v/>
      </c>
    </row>
    <row r="173" spans="1:42" x14ac:dyDescent="0.25">
      <c r="A173" s="91">
        <v>46194</v>
      </c>
      <c r="B173" s="92">
        <f t="shared" si="33"/>
        <v>25</v>
      </c>
      <c r="C173" s="92">
        <f t="shared" si="34"/>
        <v>6</v>
      </c>
      <c r="D173" s="93"/>
      <c r="E173" s="94"/>
      <c r="F173" s="95" t="str">
        <f t="shared" si="35"/>
        <v/>
      </c>
      <c r="G173" s="93"/>
      <c r="H173" s="94"/>
      <c r="I173" s="95" t="str">
        <f t="shared" si="46"/>
        <v/>
      </c>
      <c r="J173" s="93"/>
      <c r="K173" s="94"/>
      <c r="L173" s="95" t="str">
        <f t="shared" si="36"/>
        <v/>
      </c>
      <c r="M173" s="93"/>
      <c r="N173" s="94"/>
      <c r="O173" s="95" t="str">
        <f t="shared" si="37"/>
        <v/>
      </c>
      <c r="P173" s="93"/>
      <c r="Q173" s="94"/>
      <c r="R173" s="95" t="str">
        <f t="shared" si="38"/>
        <v/>
      </c>
      <c r="S173" s="93"/>
      <c r="T173" s="94"/>
      <c r="U173" s="95" t="str">
        <f t="shared" si="39"/>
        <v/>
      </c>
      <c r="V173" s="93"/>
      <c r="W173" s="94"/>
      <c r="X173" s="95" t="str">
        <f t="shared" si="40"/>
        <v/>
      </c>
      <c r="Y173" s="94"/>
      <c r="Z173" s="94"/>
      <c r="AA173" s="112" t="str">
        <f t="shared" si="41"/>
        <v/>
      </c>
      <c r="AB173" s="93"/>
      <c r="AC173" s="94"/>
      <c r="AD173" s="95" t="str">
        <f t="shared" si="42"/>
        <v/>
      </c>
      <c r="AE173" s="93"/>
      <c r="AF173" s="94"/>
      <c r="AG173" s="95" t="str">
        <f t="shared" si="43"/>
        <v/>
      </c>
      <c r="AH173" s="93"/>
      <c r="AI173" s="94"/>
      <c r="AJ173" s="95" t="str">
        <f t="shared" si="44"/>
        <v/>
      </c>
      <c r="AK173" s="93"/>
      <c r="AL173" s="94"/>
      <c r="AM173" s="95" t="str">
        <f t="shared" si="45"/>
        <v/>
      </c>
      <c r="AN173" s="93"/>
      <c r="AO173" s="94"/>
      <c r="AP173" s="95" t="str">
        <f t="shared" si="47"/>
        <v/>
      </c>
    </row>
    <row r="174" spans="1:42" x14ac:dyDescent="0.25">
      <c r="A174" s="91">
        <v>46195</v>
      </c>
      <c r="B174" s="92">
        <f t="shared" si="33"/>
        <v>26</v>
      </c>
      <c r="C174" s="92">
        <f t="shared" si="34"/>
        <v>6</v>
      </c>
      <c r="D174" s="93"/>
      <c r="E174" s="94"/>
      <c r="F174" s="95" t="str">
        <f t="shared" si="35"/>
        <v/>
      </c>
      <c r="G174" s="93"/>
      <c r="H174" s="94"/>
      <c r="I174" s="95" t="str">
        <f t="shared" si="46"/>
        <v/>
      </c>
      <c r="J174" s="93"/>
      <c r="K174" s="94"/>
      <c r="L174" s="95" t="str">
        <f t="shared" si="36"/>
        <v/>
      </c>
      <c r="M174" s="93"/>
      <c r="N174" s="94"/>
      <c r="O174" s="95" t="str">
        <f t="shared" si="37"/>
        <v/>
      </c>
      <c r="P174" s="93"/>
      <c r="Q174" s="94"/>
      <c r="R174" s="95" t="str">
        <f t="shared" si="38"/>
        <v/>
      </c>
      <c r="S174" s="93"/>
      <c r="T174" s="94"/>
      <c r="U174" s="95" t="str">
        <f t="shared" si="39"/>
        <v/>
      </c>
      <c r="V174" s="93"/>
      <c r="W174" s="94"/>
      <c r="X174" s="95" t="str">
        <f t="shared" si="40"/>
        <v/>
      </c>
      <c r="Y174" s="94"/>
      <c r="Z174" s="94"/>
      <c r="AA174" s="112" t="str">
        <f t="shared" si="41"/>
        <v/>
      </c>
      <c r="AB174" s="93"/>
      <c r="AC174" s="94"/>
      <c r="AD174" s="95" t="str">
        <f t="shared" si="42"/>
        <v/>
      </c>
      <c r="AE174" s="93"/>
      <c r="AF174" s="94"/>
      <c r="AG174" s="95" t="str">
        <f t="shared" si="43"/>
        <v/>
      </c>
      <c r="AH174" s="93"/>
      <c r="AI174" s="94"/>
      <c r="AJ174" s="95" t="str">
        <f t="shared" si="44"/>
        <v/>
      </c>
      <c r="AK174" s="93"/>
      <c r="AL174" s="94"/>
      <c r="AM174" s="95" t="str">
        <f t="shared" si="45"/>
        <v/>
      </c>
      <c r="AN174" s="93"/>
      <c r="AO174" s="94"/>
      <c r="AP174" s="95" t="str">
        <f t="shared" si="47"/>
        <v/>
      </c>
    </row>
    <row r="175" spans="1:42" x14ac:dyDescent="0.25">
      <c r="A175" s="91">
        <v>46196</v>
      </c>
      <c r="B175" s="92">
        <f t="shared" si="33"/>
        <v>26</v>
      </c>
      <c r="C175" s="92">
        <f t="shared" si="34"/>
        <v>6</v>
      </c>
      <c r="D175" s="93"/>
      <c r="E175" s="94"/>
      <c r="F175" s="95" t="str">
        <f t="shared" si="35"/>
        <v/>
      </c>
      <c r="G175" s="93"/>
      <c r="H175" s="94"/>
      <c r="I175" s="95" t="str">
        <f t="shared" si="46"/>
        <v/>
      </c>
      <c r="J175" s="93"/>
      <c r="K175" s="94"/>
      <c r="L175" s="95" t="str">
        <f t="shared" si="36"/>
        <v/>
      </c>
      <c r="M175" s="93"/>
      <c r="N175" s="94"/>
      <c r="O175" s="95" t="str">
        <f t="shared" si="37"/>
        <v/>
      </c>
      <c r="P175" s="93"/>
      <c r="Q175" s="94"/>
      <c r="R175" s="95" t="str">
        <f t="shared" si="38"/>
        <v/>
      </c>
      <c r="S175" s="93"/>
      <c r="T175" s="94"/>
      <c r="U175" s="95" t="str">
        <f t="shared" si="39"/>
        <v/>
      </c>
      <c r="V175" s="93"/>
      <c r="W175" s="94"/>
      <c r="X175" s="95" t="str">
        <f t="shared" si="40"/>
        <v/>
      </c>
      <c r="Y175" s="94"/>
      <c r="Z175" s="94"/>
      <c r="AA175" s="112" t="str">
        <f t="shared" si="41"/>
        <v/>
      </c>
      <c r="AB175" s="93"/>
      <c r="AC175" s="94"/>
      <c r="AD175" s="95" t="str">
        <f t="shared" si="42"/>
        <v/>
      </c>
      <c r="AE175" s="93"/>
      <c r="AF175" s="94"/>
      <c r="AG175" s="95" t="str">
        <f t="shared" si="43"/>
        <v/>
      </c>
      <c r="AH175" s="93"/>
      <c r="AI175" s="94"/>
      <c r="AJ175" s="95" t="str">
        <f t="shared" si="44"/>
        <v/>
      </c>
      <c r="AK175" s="93"/>
      <c r="AL175" s="94"/>
      <c r="AM175" s="95" t="str">
        <f t="shared" si="45"/>
        <v/>
      </c>
      <c r="AN175" s="93"/>
      <c r="AO175" s="94"/>
      <c r="AP175" s="95" t="str">
        <f t="shared" si="47"/>
        <v/>
      </c>
    </row>
    <row r="176" spans="1:42" x14ac:dyDescent="0.25">
      <c r="A176" s="91">
        <v>46197</v>
      </c>
      <c r="B176" s="92">
        <f t="shared" si="33"/>
        <v>26</v>
      </c>
      <c r="C176" s="92">
        <f t="shared" si="34"/>
        <v>6</v>
      </c>
      <c r="D176" s="93"/>
      <c r="E176" s="94"/>
      <c r="F176" s="95" t="str">
        <f t="shared" si="35"/>
        <v/>
      </c>
      <c r="G176" s="93"/>
      <c r="H176" s="94"/>
      <c r="I176" s="95" t="str">
        <f t="shared" si="46"/>
        <v/>
      </c>
      <c r="J176" s="93"/>
      <c r="K176" s="94"/>
      <c r="L176" s="95" t="str">
        <f t="shared" si="36"/>
        <v/>
      </c>
      <c r="M176" s="93"/>
      <c r="N176" s="94"/>
      <c r="O176" s="95" t="str">
        <f t="shared" si="37"/>
        <v/>
      </c>
      <c r="P176" s="93"/>
      <c r="Q176" s="94"/>
      <c r="R176" s="95" t="str">
        <f t="shared" si="38"/>
        <v/>
      </c>
      <c r="S176" s="93"/>
      <c r="T176" s="94"/>
      <c r="U176" s="95" t="str">
        <f t="shared" si="39"/>
        <v/>
      </c>
      <c r="V176" s="93"/>
      <c r="W176" s="94"/>
      <c r="X176" s="95" t="str">
        <f t="shared" si="40"/>
        <v/>
      </c>
      <c r="Y176" s="94"/>
      <c r="Z176" s="94"/>
      <c r="AA176" s="112" t="str">
        <f t="shared" si="41"/>
        <v/>
      </c>
      <c r="AB176" s="93"/>
      <c r="AC176" s="94"/>
      <c r="AD176" s="95" t="str">
        <f t="shared" si="42"/>
        <v/>
      </c>
      <c r="AE176" s="93"/>
      <c r="AF176" s="94"/>
      <c r="AG176" s="95" t="str">
        <f t="shared" si="43"/>
        <v/>
      </c>
      <c r="AH176" s="93"/>
      <c r="AI176" s="94"/>
      <c r="AJ176" s="95" t="str">
        <f t="shared" si="44"/>
        <v/>
      </c>
      <c r="AK176" s="93"/>
      <c r="AL176" s="94"/>
      <c r="AM176" s="95" t="str">
        <f t="shared" si="45"/>
        <v/>
      </c>
      <c r="AN176" s="93"/>
      <c r="AO176" s="94"/>
      <c r="AP176" s="95" t="str">
        <f t="shared" si="47"/>
        <v/>
      </c>
    </row>
    <row r="177" spans="1:42" x14ac:dyDescent="0.25">
      <c r="A177" s="91">
        <v>46198</v>
      </c>
      <c r="B177" s="92">
        <f t="shared" si="33"/>
        <v>26</v>
      </c>
      <c r="C177" s="92">
        <f t="shared" si="34"/>
        <v>6</v>
      </c>
      <c r="D177" s="93"/>
      <c r="E177" s="94"/>
      <c r="F177" s="95" t="str">
        <f t="shared" si="35"/>
        <v/>
      </c>
      <c r="G177" s="93"/>
      <c r="H177" s="94"/>
      <c r="I177" s="95" t="str">
        <f t="shared" si="46"/>
        <v/>
      </c>
      <c r="J177" s="93"/>
      <c r="K177" s="94"/>
      <c r="L177" s="95" t="str">
        <f t="shared" si="36"/>
        <v/>
      </c>
      <c r="M177" s="93"/>
      <c r="N177" s="94"/>
      <c r="O177" s="95" t="str">
        <f t="shared" si="37"/>
        <v/>
      </c>
      <c r="P177" s="93"/>
      <c r="Q177" s="94"/>
      <c r="R177" s="95" t="str">
        <f t="shared" si="38"/>
        <v/>
      </c>
      <c r="S177" s="93"/>
      <c r="T177" s="94"/>
      <c r="U177" s="95" t="str">
        <f t="shared" si="39"/>
        <v/>
      </c>
      <c r="V177" s="93"/>
      <c r="W177" s="94"/>
      <c r="X177" s="95" t="str">
        <f t="shared" si="40"/>
        <v/>
      </c>
      <c r="Y177" s="94"/>
      <c r="Z177" s="94"/>
      <c r="AA177" s="112" t="str">
        <f t="shared" si="41"/>
        <v/>
      </c>
      <c r="AB177" s="93"/>
      <c r="AC177" s="94"/>
      <c r="AD177" s="95" t="str">
        <f t="shared" si="42"/>
        <v/>
      </c>
      <c r="AE177" s="93"/>
      <c r="AF177" s="94"/>
      <c r="AG177" s="95" t="str">
        <f t="shared" si="43"/>
        <v/>
      </c>
      <c r="AH177" s="93"/>
      <c r="AI177" s="94"/>
      <c r="AJ177" s="95" t="str">
        <f t="shared" si="44"/>
        <v/>
      </c>
      <c r="AK177" s="93"/>
      <c r="AL177" s="94"/>
      <c r="AM177" s="95" t="str">
        <f t="shared" si="45"/>
        <v/>
      </c>
      <c r="AN177" s="93"/>
      <c r="AO177" s="94"/>
      <c r="AP177" s="95" t="str">
        <f t="shared" si="47"/>
        <v/>
      </c>
    </row>
    <row r="178" spans="1:42" x14ac:dyDescent="0.25">
      <c r="A178" s="91">
        <v>46199</v>
      </c>
      <c r="B178" s="92">
        <f t="shared" si="33"/>
        <v>26</v>
      </c>
      <c r="C178" s="92">
        <f t="shared" si="34"/>
        <v>6</v>
      </c>
      <c r="D178" s="93"/>
      <c r="E178" s="94"/>
      <c r="F178" s="95" t="str">
        <f t="shared" si="35"/>
        <v/>
      </c>
      <c r="G178" s="93"/>
      <c r="H178" s="94"/>
      <c r="I178" s="95" t="str">
        <f t="shared" si="46"/>
        <v/>
      </c>
      <c r="J178" s="93"/>
      <c r="K178" s="94"/>
      <c r="L178" s="95" t="str">
        <f t="shared" si="36"/>
        <v/>
      </c>
      <c r="M178" s="93"/>
      <c r="N178" s="94"/>
      <c r="O178" s="95" t="str">
        <f t="shared" si="37"/>
        <v/>
      </c>
      <c r="P178" s="93"/>
      <c r="Q178" s="94"/>
      <c r="R178" s="95" t="str">
        <f t="shared" si="38"/>
        <v/>
      </c>
      <c r="S178" s="93"/>
      <c r="T178" s="94"/>
      <c r="U178" s="95" t="str">
        <f t="shared" si="39"/>
        <v/>
      </c>
      <c r="V178" s="93"/>
      <c r="W178" s="94"/>
      <c r="X178" s="95" t="str">
        <f t="shared" si="40"/>
        <v/>
      </c>
      <c r="Y178" s="94"/>
      <c r="Z178" s="94"/>
      <c r="AA178" s="112" t="str">
        <f t="shared" si="41"/>
        <v/>
      </c>
      <c r="AB178" s="93"/>
      <c r="AC178" s="94"/>
      <c r="AD178" s="95" t="str">
        <f t="shared" si="42"/>
        <v/>
      </c>
      <c r="AE178" s="93"/>
      <c r="AF178" s="94"/>
      <c r="AG178" s="95" t="str">
        <f t="shared" si="43"/>
        <v/>
      </c>
      <c r="AH178" s="93"/>
      <c r="AI178" s="94"/>
      <c r="AJ178" s="95" t="str">
        <f t="shared" si="44"/>
        <v/>
      </c>
      <c r="AK178" s="93"/>
      <c r="AL178" s="94"/>
      <c r="AM178" s="95" t="str">
        <f t="shared" si="45"/>
        <v/>
      </c>
      <c r="AN178" s="93"/>
      <c r="AO178" s="94"/>
      <c r="AP178" s="95" t="str">
        <f t="shared" si="47"/>
        <v/>
      </c>
    </row>
    <row r="179" spans="1:42" x14ac:dyDescent="0.25">
      <c r="A179" s="91">
        <v>46200</v>
      </c>
      <c r="B179" s="92">
        <f t="shared" si="33"/>
        <v>26</v>
      </c>
      <c r="C179" s="92">
        <f t="shared" si="34"/>
        <v>6</v>
      </c>
      <c r="D179" s="93"/>
      <c r="E179" s="94"/>
      <c r="F179" s="95" t="str">
        <f t="shared" si="35"/>
        <v/>
      </c>
      <c r="G179" s="93"/>
      <c r="H179" s="94"/>
      <c r="I179" s="95" t="str">
        <f t="shared" si="46"/>
        <v/>
      </c>
      <c r="J179" s="93"/>
      <c r="K179" s="94"/>
      <c r="L179" s="95" t="str">
        <f t="shared" si="36"/>
        <v/>
      </c>
      <c r="M179" s="93"/>
      <c r="N179" s="94"/>
      <c r="O179" s="95" t="str">
        <f t="shared" si="37"/>
        <v/>
      </c>
      <c r="P179" s="93"/>
      <c r="Q179" s="94"/>
      <c r="R179" s="95" t="str">
        <f t="shared" si="38"/>
        <v/>
      </c>
      <c r="S179" s="93"/>
      <c r="T179" s="94"/>
      <c r="U179" s="95" t="str">
        <f t="shared" si="39"/>
        <v/>
      </c>
      <c r="V179" s="93"/>
      <c r="W179" s="94"/>
      <c r="X179" s="95" t="str">
        <f t="shared" si="40"/>
        <v/>
      </c>
      <c r="Y179" s="94"/>
      <c r="Z179" s="94"/>
      <c r="AA179" s="112" t="str">
        <f t="shared" si="41"/>
        <v/>
      </c>
      <c r="AB179" s="93"/>
      <c r="AC179" s="94"/>
      <c r="AD179" s="95" t="str">
        <f t="shared" si="42"/>
        <v/>
      </c>
      <c r="AE179" s="93"/>
      <c r="AF179" s="94"/>
      <c r="AG179" s="95" t="str">
        <f t="shared" si="43"/>
        <v/>
      </c>
      <c r="AH179" s="93"/>
      <c r="AI179" s="94"/>
      <c r="AJ179" s="95" t="str">
        <f t="shared" si="44"/>
        <v/>
      </c>
      <c r="AK179" s="93"/>
      <c r="AL179" s="94"/>
      <c r="AM179" s="95" t="str">
        <f t="shared" si="45"/>
        <v/>
      </c>
      <c r="AN179" s="93"/>
      <c r="AO179" s="94"/>
      <c r="AP179" s="95" t="str">
        <f t="shared" si="47"/>
        <v/>
      </c>
    </row>
    <row r="180" spans="1:42" x14ac:dyDescent="0.25">
      <c r="A180" s="91">
        <v>46201</v>
      </c>
      <c r="B180" s="92">
        <f t="shared" si="33"/>
        <v>26</v>
      </c>
      <c r="C180" s="92">
        <f t="shared" si="34"/>
        <v>6</v>
      </c>
      <c r="D180" s="93"/>
      <c r="E180" s="94"/>
      <c r="F180" s="95" t="str">
        <f t="shared" si="35"/>
        <v/>
      </c>
      <c r="G180" s="93"/>
      <c r="H180" s="94"/>
      <c r="I180" s="95" t="str">
        <f t="shared" si="46"/>
        <v/>
      </c>
      <c r="J180" s="93"/>
      <c r="K180" s="94"/>
      <c r="L180" s="95" t="str">
        <f t="shared" si="36"/>
        <v/>
      </c>
      <c r="M180" s="93"/>
      <c r="N180" s="94"/>
      <c r="O180" s="95" t="str">
        <f t="shared" si="37"/>
        <v/>
      </c>
      <c r="P180" s="93"/>
      <c r="Q180" s="94"/>
      <c r="R180" s="95" t="str">
        <f t="shared" si="38"/>
        <v/>
      </c>
      <c r="S180" s="93"/>
      <c r="T180" s="94"/>
      <c r="U180" s="95" t="str">
        <f t="shared" si="39"/>
        <v/>
      </c>
      <c r="V180" s="93"/>
      <c r="W180" s="94"/>
      <c r="X180" s="95" t="str">
        <f t="shared" si="40"/>
        <v/>
      </c>
      <c r="Y180" s="94"/>
      <c r="Z180" s="94"/>
      <c r="AA180" s="112" t="str">
        <f t="shared" si="41"/>
        <v/>
      </c>
      <c r="AB180" s="93"/>
      <c r="AC180" s="94"/>
      <c r="AD180" s="95" t="str">
        <f t="shared" si="42"/>
        <v/>
      </c>
      <c r="AE180" s="93"/>
      <c r="AF180" s="94"/>
      <c r="AG180" s="95" t="str">
        <f t="shared" si="43"/>
        <v/>
      </c>
      <c r="AH180" s="93"/>
      <c r="AI180" s="94"/>
      <c r="AJ180" s="95" t="str">
        <f t="shared" si="44"/>
        <v/>
      </c>
      <c r="AK180" s="93"/>
      <c r="AL180" s="94"/>
      <c r="AM180" s="95" t="str">
        <f t="shared" si="45"/>
        <v/>
      </c>
      <c r="AN180" s="93"/>
      <c r="AO180" s="94"/>
      <c r="AP180" s="95" t="str">
        <f t="shared" si="47"/>
        <v/>
      </c>
    </row>
    <row r="181" spans="1:42" x14ac:dyDescent="0.25">
      <c r="A181" s="91">
        <v>46202</v>
      </c>
      <c r="B181" s="92">
        <f t="shared" si="33"/>
        <v>27</v>
      </c>
      <c r="C181" s="92">
        <f t="shared" si="34"/>
        <v>6</v>
      </c>
      <c r="D181" s="93"/>
      <c r="E181" s="94"/>
      <c r="F181" s="95" t="str">
        <f t="shared" si="35"/>
        <v/>
      </c>
      <c r="G181" s="93"/>
      <c r="H181" s="94"/>
      <c r="I181" s="95" t="str">
        <f t="shared" si="46"/>
        <v/>
      </c>
      <c r="J181" s="93"/>
      <c r="K181" s="94"/>
      <c r="L181" s="95" t="str">
        <f t="shared" si="36"/>
        <v/>
      </c>
      <c r="M181" s="93"/>
      <c r="N181" s="94"/>
      <c r="O181" s="95" t="str">
        <f t="shared" si="37"/>
        <v/>
      </c>
      <c r="P181" s="93"/>
      <c r="Q181" s="94"/>
      <c r="R181" s="95" t="str">
        <f t="shared" si="38"/>
        <v/>
      </c>
      <c r="S181" s="93"/>
      <c r="T181" s="94"/>
      <c r="U181" s="95" t="str">
        <f t="shared" si="39"/>
        <v/>
      </c>
      <c r="V181" s="93"/>
      <c r="W181" s="94"/>
      <c r="X181" s="95" t="str">
        <f t="shared" si="40"/>
        <v/>
      </c>
      <c r="Y181" s="94"/>
      <c r="Z181" s="94"/>
      <c r="AA181" s="112" t="str">
        <f t="shared" si="41"/>
        <v/>
      </c>
      <c r="AB181" s="93"/>
      <c r="AC181" s="94"/>
      <c r="AD181" s="95" t="str">
        <f t="shared" si="42"/>
        <v/>
      </c>
      <c r="AE181" s="93"/>
      <c r="AF181" s="94"/>
      <c r="AG181" s="95" t="str">
        <f t="shared" si="43"/>
        <v/>
      </c>
      <c r="AH181" s="93"/>
      <c r="AI181" s="94"/>
      <c r="AJ181" s="95" t="str">
        <f t="shared" si="44"/>
        <v/>
      </c>
      <c r="AK181" s="93"/>
      <c r="AL181" s="94"/>
      <c r="AM181" s="95" t="str">
        <f t="shared" si="45"/>
        <v/>
      </c>
      <c r="AN181" s="93"/>
      <c r="AO181" s="94"/>
      <c r="AP181" s="95" t="str">
        <f t="shared" si="47"/>
        <v/>
      </c>
    </row>
    <row r="182" spans="1:42" x14ac:dyDescent="0.25">
      <c r="A182" s="91">
        <v>46203</v>
      </c>
      <c r="B182" s="92">
        <f t="shared" si="33"/>
        <v>27</v>
      </c>
      <c r="C182" s="92">
        <f t="shared" si="34"/>
        <v>6</v>
      </c>
      <c r="D182" s="93"/>
      <c r="E182" s="94"/>
      <c r="F182" s="95" t="str">
        <f t="shared" si="35"/>
        <v/>
      </c>
      <c r="G182" s="93"/>
      <c r="H182" s="94"/>
      <c r="I182" s="95" t="str">
        <f t="shared" si="46"/>
        <v/>
      </c>
      <c r="J182" s="93"/>
      <c r="K182" s="94"/>
      <c r="L182" s="95" t="str">
        <f t="shared" si="36"/>
        <v/>
      </c>
      <c r="M182" s="93"/>
      <c r="N182" s="94"/>
      <c r="O182" s="95" t="str">
        <f t="shared" si="37"/>
        <v/>
      </c>
      <c r="P182" s="93"/>
      <c r="Q182" s="94"/>
      <c r="R182" s="95" t="str">
        <f t="shared" si="38"/>
        <v/>
      </c>
      <c r="S182" s="93"/>
      <c r="T182" s="94"/>
      <c r="U182" s="95" t="str">
        <f t="shared" si="39"/>
        <v/>
      </c>
      <c r="V182" s="93"/>
      <c r="W182" s="94"/>
      <c r="X182" s="95" t="str">
        <f t="shared" si="40"/>
        <v/>
      </c>
      <c r="Y182" s="94"/>
      <c r="Z182" s="94"/>
      <c r="AA182" s="112" t="str">
        <f t="shared" si="41"/>
        <v/>
      </c>
      <c r="AB182" s="93"/>
      <c r="AC182" s="94"/>
      <c r="AD182" s="95" t="str">
        <f t="shared" si="42"/>
        <v/>
      </c>
      <c r="AE182" s="93"/>
      <c r="AF182" s="94"/>
      <c r="AG182" s="95" t="str">
        <f t="shared" si="43"/>
        <v/>
      </c>
      <c r="AH182" s="93"/>
      <c r="AI182" s="94"/>
      <c r="AJ182" s="95" t="str">
        <f t="shared" si="44"/>
        <v/>
      </c>
      <c r="AK182" s="93"/>
      <c r="AL182" s="94"/>
      <c r="AM182" s="95" t="str">
        <f t="shared" si="45"/>
        <v/>
      </c>
      <c r="AN182" s="93"/>
      <c r="AO182" s="94"/>
      <c r="AP182" s="95" t="str">
        <f t="shared" si="47"/>
        <v/>
      </c>
    </row>
    <row r="183" spans="1:42" x14ac:dyDescent="0.25">
      <c r="A183" s="91">
        <v>46204</v>
      </c>
      <c r="B183" s="92">
        <f t="shared" si="33"/>
        <v>27</v>
      </c>
      <c r="C183" s="92">
        <f t="shared" si="34"/>
        <v>7</v>
      </c>
      <c r="D183" s="93"/>
      <c r="E183" s="94"/>
      <c r="F183" s="95" t="str">
        <f t="shared" si="35"/>
        <v/>
      </c>
      <c r="G183" s="93"/>
      <c r="H183" s="94"/>
      <c r="I183" s="95" t="str">
        <f t="shared" si="46"/>
        <v/>
      </c>
      <c r="J183" s="93"/>
      <c r="K183" s="94"/>
      <c r="L183" s="95" t="str">
        <f t="shared" si="36"/>
        <v/>
      </c>
      <c r="M183" s="93"/>
      <c r="N183" s="94"/>
      <c r="O183" s="95" t="str">
        <f t="shared" si="37"/>
        <v/>
      </c>
      <c r="P183" s="93"/>
      <c r="Q183" s="94"/>
      <c r="R183" s="95" t="str">
        <f t="shared" si="38"/>
        <v/>
      </c>
      <c r="S183" s="93"/>
      <c r="T183" s="94"/>
      <c r="U183" s="95" t="str">
        <f t="shared" si="39"/>
        <v/>
      </c>
      <c r="V183" s="93"/>
      <c r="W183" s="94"/>
      <c r="X183" s="95" t="str">
        <f t="shared" si="40"/>
        <v/>
      </c>
      <c r="Y183" s="94"/>
      <c r="Z183" s="94"/>
      <c r="AA183" s="112" t="str">
        <f t="shared" si="41"/>
        <v/>
      </c>
      <c r="AB183" s="93"/>
      <c r="AC183" s="94"/>
      <c r="AD183" s="95" t="str">
        <f t="shared" si="42"/>
        <v/>
      </c>
      <c r="AE183" s="93"/>
      <c r="AF183" s="94"/>
      <c r="AG183" s="95" t="str">
        <f t="shared" si="43"/>
        <v/>
      </c>
      <c r="AH183" s="93"/>
      <c r="AI183" s="94"/>
      <c r="AJ183" s="95" t="str">
        <f t="shared" si="44"/>
        <v/>
      </c>
      <c r="AK183" s="93"/>
      <c r="AL183" s="94"/>
      <c r="AM183" s="95" t="str">
        <f t="shared" si="45"/>
        <v/>
      </c>
      <c r="AN183" s="93"/>
      <c r="AO183" s="94"/>
      <c r="AP183" s="95" t="str">
        <f t="shared" si="47"/>
        <v/>
      </c>
    </row>
    <row r="184" spans="1:42" x14ac:dyDescent="0.25">
      <c r="A184" s="91">
        <v>46205</v>
      </c>
      <c r="B184" s="92">
        <f t="shared" si="33"/>
        <v>27</v>
      </c>
      <c r="C184" s="92">
        <f t="shared" si="34"/>
        <v>7</v>
      </c>
      <c r="D184" s="93"/>
      <c r="E184" s="94"/>
      <c r="F184" s="95" t="str">
        <f t="shared" si="35"/>
        <v/>
      </c>
      <c r="G184" s="93"/>
      <c r="H184" s="94"/>
      <c r="I184" s="95" t="str">
        <f t="shared" si="46"/>
        <v/>
      </c>
      <c r="J184" s="93"/>
      <c r="K184" s="94"/>
      <c r="L184" s="95" t="str">
        <f t="shared" si="36"/>
        <v/>
      </c>
      <c r="M184" s="93"/>
      <c r="N184" s="94"/>
      <c r="O184" s="95" t="str">
        <f t="shared" si="37"/>
        <v/>
      </c>
      <c r="P184" s="93"/>
      <c r="Q184" s="94"/>
      <c r="R184" s="95" t="str">
        <f t="shared" si="38"/>
        <v/>
      </c>
      <c r="S184" s="93"/>
      <c r="T184" s="94"/>
      <c r="U184" s="95" t="str">
        <f t="shared" si="39"/>
        <v/>
      </c>
      <c r="V184" s="93"/>
      <c r="W184" s="94"/>
      <c r="X184" s="95" t="str">
        <f t="shared" si="40"/>
        <v/>
      </c>
      <c r="Y184" s="94"/>
      <c r="Z184" s="94"/>
      <c r="AA184" s="112" t="str">
        <f t="shared" si="41"/>
        <v/>
      </c>
      <c r="AB184" s="93"/>
      <c r="AC184" s="94"/>
      <c r="AD184" s="95" t="str">
        <f t="shared" si="42"/>
        <v/>
      </c>
      <c r="AE184" s="93"/>
      <c r="AF184" s="94"/>
      <c r="AG184" s="95" t="str">
        <f t="shared" si="43"/>
        <v/>
      </c>
      <c r="AH184" s="93"/>
      <c r="AI184" s="94"/>
      <c r="AJ184" s="95" t="str">
        <f t="shared" si="44"/>
        <v/>
      </c>
      <c r="AK184" s="93"/>
      <c r="AL184" s="94"/>
      <c r="AM184" s="95" t="str">
        <f t="shared" si="45"/>
        <v/>
      </c>
      <c r="AN184" s="93"/>
      <c r="AO184" s="94"/>
      <c r="AP184" s="95" t="str">
        <f t="shared" si="47"/>
        <v/>
      </c>
    </row>
    <row r="185" spans="1:42" x14ac:dyDescent="0.25">
      <c r="A185" s="91">
        <v>46206</v>
      </c>
      <c r="B185" s="92">
        <f t="shared" si="33"/>
        <v>27</v>
      </c>
      <c r="C185" s="92">
        <f t="shared" si="34"/>
        <v>7</v>
      </c>
      <c r="D185" s="93"/>
      <c r="E185" s="94"/>
      <c r="F185" s="95" t="str">
        <f t="shared" si="35"/>
        <v/>
      </c>
      <c r="G185" s="93"/>
      <c r="H185" s="94"/>
      <c r="I185" s="95" t="str">
        <f t="shared" si="46"/>
        <v/>
      </c>
      <c r="J185" s="93"/>
      <c r="K185" s="94"/>
      <c r="L185" s="95" t="str">
        <f t="shared" si="36"/>
        <v/>
      </c>
      <c r="M185" s="93"/>
      <c r="N185" s="94"/>
      <c r="O185" s="95" t="str">
        <f t="shared" si="37"/>
        <v/>
      </c>
      <c r="P185" s="93"/>
      <c r="Q185" s="94"/>
      <c r="R185" s="95" t="str">
        <f t="shared" si="38"/>
        <v/>
      </c>
      <c r="S185" s="93"/>
      <c r="T185" s="94"/>
      <c r="U185" s="95" t="str">
        <f t="shared" si="39"/>
        <v/>
      </c>
      <c r="V185" s="93"/>
      <c r="W185" s="94"/>
      <c r="X185" s="95" t="str">
        <f t="shared" si="40"/>
        <v/>
      </c>
      <c r="Y185" s="94"/>
      <c r="Z185" s="94"/>
      <c r="AA185" s="112" t="str">
        <f t="shared" si="41"/>
        <v/>
      </c>
      <c r="AB185" s="93"/>
      <c r="AC185" s="94"/>
      <c r="AD185" s="95" t="str">
        <f t="shared" si="42"/>
        <v/>
      </c>
      <c r="AE185" s="93"/>
      <c r="AF185" s="94"/>
      <c r="AG185" s="95" t="str">
        <f t="shared" si="43"/>
        <v/>
      </c>
      <c r="AH185" s="93"/>
      <c r="AI185" s="94"/>
      <c r="AJ185" s="95" t="str">
        <f t="shared" si="44"/>
        <v/>
      </c>
      <c r="AK185" s="93"/>
      <c r="AL185" s="94"/>
      <c r="AM185" s="95" t="str">
        <f t="shared" si="45"/>
        <v/>
      </c>
      <c r="AN185" s="93"/>
      <c r="AO185" s="94"/>
      <c r="AP185" s="95" t="str">
        <f t="shared" si="47"/>
        <v/>
      </c>
    </row>
    <row r="186" spans="1:42" x14ac:dyDescent="0.25">
      <c r="A186" s="91">
        <v>46207</v>
      </c>
      <c r="B186" s="92">
        <f t="shared" si="33"/>
        <v>27</v>
      </c>
      <c r="C186" s="92">
        <f t="shared" si="34"/>
        <v>7</v>
      </c>
      <c r="D186" s="93"/>
      <c r="E186" s="94"/>
      <c r="F186" s="95" t="str">
        <f t="shared" si="35"/>
        <v/>
      </c>
      <c r="G186" s="93"/>
      <c r="H186" s="94"/>
      <c r="I186" s="95" t="str">
        <f t="shared" si="46"/>
        <v/>
      </c>
      <c r="J186" s="93"/>
      <c r="K186" s="94"/>
      <c r="L186" s="95" t="str">
        <f t="shared" si="36"/>
        <v/>
      </c>
      <c r="M186" s="93"/>
      <c r="N186" s="94"/>
      <c r="O186" s="95" t="str">
        <f t="shared" si="37"/>
        <v/>
      </c>
      <c r="P186" s="93"/>
      <c r="Q186" s="94"/>
      <c r="R186" s="95" t="str">
        <f t="shared" si="38"/>
        <v/>
      </c>
      <c r="S186" s="93"/>
      <c r="T186" s="94"/>
      <c r="U186" s="95" t="str">
        <f t="shared" si="39"/>
        <v/>
      </c>
      <c r="V186" s="93"/>
      <c r="W186" s="94"/>
      <c r="X186" s="95" t="str">
        <f t="shared" si="40"/>
        <v/>
      </c>
      <c r="Y186" s="94"/>
      <c r="Z186" s="94"/>
      <c r="AA186" s="112" t="str">
        <f t="shared" si="41"/>
        <v/>
      </c>
      <c r="AB186" s="93"/>
      <c r="AC186" s="94"/>
      <c r="AD186" s="95" t="str">
        <f t="shared" si="42"/>
        <v/>
      </c>
      <c r="AE186" s="93"/>
      <c r="AF186" s="94"/>
      <c r="AG186" s="95" t="str">
        <f t="shared" si="43"/>
        <v/>
      </c>
      <c r="AH186" s="93"/>
      <c r="AI186" s="94"/>
      <c r="AJ186" s="95" t="str">
        <f t="shared" si="44"/>
        <v/>
      </c>
      <c r="AK186" s="93"/>
      <c r="AL186" s="94"/>
      <c r="AM186" s="95" t="str">
        <f t="shared" si="45"/>
        <v/>
      </c>
      <c r="AN186" s="93"/>
      <c r="AO186" s="94"/>
      <c r="AP186" s="95" t="str">
        <f t="shared" si="47"/>
        <v/>
      </c>
    </row>
    <row r="187" spans="1:42" x14ac:dyDescent="0.25">
      <c r="A187" s="91">
        <v>46208</v>
      </c>
      <c r="B187" s="92">
        <f t="shared" si="33"/>
        <v>27</v>
      </c>
      <c r="C187" s="92">
        <f t="shared" si="34"/>
        <v>7</v>
      </c>
      <c r="D187" s="93"/>
      <c r="E187" s="94"/>
      <c r="F187" s="95" t="str">
        <f t="shared" si="35"/>
        <v/>
      </c>
      <c r="G187" s="93"/>
      <c r="H187" s="94"/>
      <c r="I187" s="95" t="str">
        <f t="shared" si="46"/>
        <v/>
      </c>
      <c r="J187" s="93"/>
      <c r="K187" s="94"/>
      <c r="L187" s="95" t="str">
        <f t="shared" si="36"/>
        <v/>
      </c>
      <c r="M187" s="93"/>
      <c r="N187" s="94"/>
      <c r="O187" s="95" t="str">
        <f t="shared" si="37"/>
        <v/>
      </c>
      <c r="P187" s="93"/>
      <c r="Q187" s="94"/>
      <c r="R187" s="95" t="str">
        <f t="shared" si="38"/>
        <v/>
      </c>
      <c r="S187" s="93"/>
      <c r="T187" s="94"/>
      <c r="U187" s="95" t="str">
        <f t="shared" si="39"/>
        <v/>
      </c>
      <c r="V187" s="93"/>
      <c r="W187" s="94"/>
      <c r="X187" s="95" t="str">
        <f t="shared" si="40"/>
        <v/>
      </c>
      <c r="Y187" s="94"/>
      <c r="Z187" s="94"/>
      <c r="AA187" s="112" t="str">
        <f t="shared" si="41"/>
        <v/>
      </c>
      <c r="AB187" s="93"/>
      <c r="AC187" s="94"/>
      <c r="AD187" s="95" t="str">
        <f t="shared" si="42"/>
        <v/>
      </c>
      <c r="AE187" s="93"/>
      <c r="AF187" s="94"/>
      <c r="AG187" s="95" t="str">
        <f t="shared" si="43"/>
        <v/>
      </c>
      <c r="AH187" s="93"/>
      <c r="AI187" s="94"/>
      <c r="AJ187" s="95" t="str">
        <f t="shared" si="44"/>
        <v/>
      </c>
      <c r="AK187" s="93"/>
      <c r="AL187" s="94"/>
      <c r="AM187" s="95" t="str">
        <f t="shared" si="45"/>
        <v/>
      </c>
      <c r="AN187" s="93"/>
      <c r="AO187" s="94"/>
      <c r="AP187" s="95" t="str">
        <f t="shared" si="47"/>
        <v/>
      </c>
    </row>
    <row r="188" spans="1:42" x14ac:dyDescent="0.25">
      <c r="A188" s="91">
        <v>46209</v>
      </c>
      <c r="B188" s="92">
        <f t="shared" si="33"/>
        <v>28</v>
      </c>
      <c r="C188" s="92">
        <f t="shared" si="34"/>
        <v>7</v>
      </c>
      <c r="D188" s="93"/>
      <c r="E188" s="94"/>
      <c r="F188" s="95" t="str">
        <f t="shared" si="35"/>
        <v/>
      </c>
      <c r="G188" s="93"/>
      <c r="H188" s="94"/>
      <c r="I188" s="95" t="str">
        <f t="shared" si="46"/>
        <v/>
      </c>
      <c r="J188" s="93"/>
      <c r="K188" s="94"/>
      <c r="L188" s="95" t="str">
        <f t="shared" si="36"/>
        <v/>
      </c>
      <c r="M188" s="93"/>
      <c r="N188" s="94"/>
      <c r="O188" s="95" t="str">
        <f t="shared" si="37"/>
        <v/>
      </c>
      <c r="P188" s="93"/>
      <c r="Q188" s="94"/>
      <c r="R188" s="95" t="str">
        <f t="shared" si="38"/>
        <v/>
      </c>
      <c r="S188" s="93"/>
      <c r="T188" s="94"/>
      <c r="U188" s="95" t="str">
        <f t="shared" si="39"/>
        <v/>
      </c>
      <c r="V188" s="93"/>
      <c r="W188" s="94"/>
      <c r="X188" s="95" t="str">
        <f t="shared" si="40"/>
        <v/>
      </c>
      <c r="Y188" s="94"/>
      <c r="Z188" s="94"/>
      <c r="AA188" s="112" t="str">
        <f t="shared" si="41"/>
        <v/>
      </c>
      <c r="AB188" s="93"/>
      <c r="AC188" s="94"/>
      <c r="AD188" s="95" t="str">
        <f t="shared" si="42"/>
        <v/>
      </c>
      <c r="AE188" s="93"/>
      <c r="AF188" s="94"/>
      <c r="AG188" s="95" t="str">
        <f t="shared" si="43"/>
        <v/>
      </c>
      <c r="AH188" s="93"/>
      <c r="AI188" s="94"/>
      <c r="AJ188" s="95" t="str">
        <f t="shared" si="44"/>
        <v/>
      </c>
      <c r="AK188" s="93"/>
      <c r="AL188" s="94"/>
      <c r="AM188" s="95" t="str">
        <f t="shared" si="45"/>
        <v/>
      </c>
      <c r="AN188" s="93"/>
      <c r="AO188" s="94"/>
      <c r="AP188" s="95" t="str">
        <f t="shared" si="47"/>
        <v/>
      </c>
    </row>
    <row r="189" spans="1:42" x14ac:dyDescent="0.25">
      <c r="A189" s="91">
        <v>46210</v>
      </c>
      <c r="B189" s="92">
        <f t="shared" si="33"/>
        <v>28</v>
      </c>
      <c r="C189" s="92">
        <f t="shared" si="34"/>
        <v>7</v>
      </c>
      <c r="D189" s="93"/>
      <c r="E189" s="94"/>
      <c r="F189" s="95" t="str">
        <f t="shared" si="35"/>
        <v/>
      </c>
      <c r="G189" s="93"/>
      <c r="H189" s="94"/>
      <c r="I189" s="95" t="str">
        <f t="shared" si="46"/>
        <v/>
      </c>
      <c r="J189" s="93"/>
      <c r="K189" s="94"/>
      <c r="L189" s="95" t="str">
        <f t="shared" si="36"/>
        <v/>
      </c>
      <c r="M189" s="93"/>
      <c r="N189" s="94"/>
      <c r="O189" s="95" t="str">
        <f t="shared" si="37"/>
        <v/>
      </c>
      <c r="P189" s="93"/>
      <c r="Q189" s="94"/>
      <c r="R189" s="95" t="str">
        <f t="shared" si="38"/>
        <v/>
      </c>
      <c r="S189" s="93"/>
      <c r="T189" s="94"/>
      <c r="U189" s="95" t="str">
        <f t="shared" si="39"/>
        <v/>
      </c>
      <c r="V189" s="93"/>
      <c r="W189" s="94"/>
      <c r="X189" s="95" t="str">
        <f t="shared" si="40"/>
        <v/>
      </c>
      <c r="Y189" s="94"/>
      <c r="Z189" s="94"/>
      <c r="AA189" s="112" t="str">
        <f t="shared" si="41"/>
        <v/>
      </c>
      <c r="AB189" s="93"/>
      <c r="AC189" s="94"/>
      <c r="AD189" s="95" t="str">
        <f t="shared" si="42"/>
        <v/>
      </c>
      <c r="AE189" s="93"/>
      <c r="AF189" s="94"/>
      <c r="AG189" s="95" t="str">
        <f t="shared" si="43"/>
        <v/>
      </c>
      <c r="AH189" s="93"/>
      <c r="AI189" s="94"/>
      <c r="AJ189" s="95" t="str">
        <f t="shared" si="44"/>
        <v/>
      </c>
      <c r="AK189" s="93"/>
      <c r="AL189" s="94"/>
      <c r="AM189" s="95" t="str">
        <f t="shared" si="45"/>
        <v/>
      </c>
      <c r="AN189" s="93"/>
      <c r="AO189" s="94"/>
      <c r="AP189" s="95" t="str">
        <f t="shared" si="47"/>
        <v/>
      </c>
    </row>
    <row r="190" spans="1:42" x14ac:dyDescent="0.25">
      <c r="A190" s="91">
        <v>46211</v>
      </c>
      <c r="B190" s="92">
        <f t="shared" si="33"/>
        <v>28</v>
      </c>
      <c r="C190" s="92">
        <f t="shared" si="34"/>
        <v>7</v>
      </c>
      <c r="D190" s="93"/>
      <c r="E190" s="94"/>
      <c r="F190" s="95" t="str">
        <f t="shared" si="35"/>
        <v/>
      </c>
      <c r="G190" s="93"/>
      <c r="H190" s="94"/>
      <c r="I190" s="95" t="str">
        <f t="shared" si="46"/>
        <v/>
      </c>
      <c r="J190" s="93"/>
      <c r="K190" s="94"/>
      <c r="L190" s="95" t="str">
        <f t="shared" si="36"/>
        <v/>
      </c>
      <c r="M190" s="93"/>
      <c r="N190" s="94"/>
      <c r="O190" s="95" t="str">
        <f t="shared" si="37"/>
        <v/>
      </c>
      <c r="P190" s="93"/>
      <c r="Q190" s="94"/>
      <c r="R190" s="95" t="str">
        <f t="shared" si="38"/>
        <v/>
      </c>
      <c r="S190" s="93"/>
      <c r="T190" s="94"/>
      <c r="U190" s="95" t="str">
        <f t="shared" si="39"/>
        <v/>
      </c>
      <c r="V190" s="93"/>
      <c r="W190" s="94"/>
      <c r="X190" s="95" t="str">
        <f t="shared" si="40"/>
        <v/>
      </c>
      <c r="Y190" s="94"/>
      <c r="Z190" s="94"/>
      <c r="AA190" s="112" t="str">
        <f t="shared" si="41"/>
        <v/>
      </c>
      <c r="AB190" s="93"/>
      <c r="AC190" s="94"/>
      <c r="AD190" s="95" t="str">
        <f t="shared" si="42"/>
        <v/>
      </c>
      <c r="AE190" s="93"/>
      <c r="AF190" s="94"/>
      <c r="AG190" s="95" t="str">
        <f t="shared" si="43"/>
        <v/>
      </c>
      <c r="AH190" s="93"/>
      <c r="AI190" s="94"/>
      <c r="AJ190" s="95" t="str">
        <f t="shared" si="44"/>
        <v/>
      </c>
      <c r="AK190" s="93"/>
      <c r="AL190" s="94"/>
      <c r="AM190" s="95" t="str">
        <f t="shared" si="45"/>
        <v/>
      </c>
      <c r="AN190" s="93"/>
      <c r="AO190" s="94"/>
      <c r="AP190" s="95" t="str">
        <f t="shared" si="47"/>
        <v/>
      </c>
    </row>
    <row r="191" spans="1:42" x14ac:dyDescent="0.25">
      <c r="A191" s="91">
        <v>46212</v>
      </c>
      <c r="B191" s="92">
        <f t="shared" si="33"/>
        <v>28</v>
      </c>
      <c r="C191" s="92">
        <f t="shared" si="34"/>
        <v>7</v>
      </c>
      <c r="D191" s="93"/>
      <c r="E191" s="94"/>
      <c r="F191" s="95" t="str">
        <f t="shared" si="35"/>
        <v/>
      </c>
      <c r="G191" s="93"/>
      <c r="H191" s="94"/>
      <c r="I191" s="95" t="str">
        <f t="shared" si="46"/>
        <v/>
      </c>
      <c r="J191" s="93"/>
      <c r="K191" s="94"/>
      <c r="L191" s="95" t="str">
        <f t="shared" si="36"/>
        <v/>
      </c>
      <c r="M191" s="93"/>
      <c r="N191" s="94"/>
      <c r="O191" s="95" t="str">
        <f t="shared" si="37"/>
        <v/>
      </c>
      <c r="P191" s="93"/>
      <c r="Q191" s="94"/>
      <c r="R191" s="95" t="str">
        <f t="shared" si="38"/>
        <v/>
      </c>
      <c r="S191" s="93"/>
      <c r="T191" s="94"/>
      <c r="U191" s="95" t="str">
        <f t="shared" si="39"/>
        <v/>
      </c>
      <c r="V191" s="93"/>
      <c r="W191" s="94"/>
      <c r="X191" s="95" t="str">
        <f t="shared" si="40"/>
        <v/>
      </c>
      <c r="Y191" s="94"/>
      <c r="Z191" s="94"/>
      <c r="AA191" s="112" t="str">
        <f t="shared" si="41"/>
        <v/>
      </c>
      <c r="AB191" s="93"/>
      <c r="AC191" s="94"/>
      <c r="AD191" s="95" t="str">
        <f t="shared" si="42"/>
        <v/>
      </c>
      <c r="AE191" s="93"/>
      <c r="AF191" s="94"/>
      <c r="AG191" s="95" t="str">
        <f t="shared" si="43"/>
        <v/>
      </c>
      <c r="AH191" s="93"/>
      <c r="AI191" s="94"/>
      <c r="AJ191" s="95" t="str">
        <f t="shared" si="44"/>
        <v/>
      </c>
      <c r="AK191" s="93"/>
      <c r="AL191" s="94"/>
      <c r="AM191" s="95" t="str">
        <f t="shared" si="45"/>
        <v/>
      </c>
      <c r="AN191" s="93"/>
      <c r="AO191" s="94"/>
      <c r="AP191" s="95" t="str">
        <f t="shared" si="47"/>
        <v/>
      </c>
    </row>
    <row r="192" spans="1:42" x14ac:dyDescent="0.25">
      <c r="A192" s="91">
        <v>46213</v>
      </c>
      <c r="B192" s="92">
        <f t="shared" si="33"/>
        <v>28</v>
      </c>
      <c r="C192" s="92">
        <f t="shared" si="34"/>
        <v>7</v>
      </c>
      <c r="D192" s="93"/>
      <c r="E192" s="94"/>
      <c r="F192" s="95" t="str">
        <f t="shared" si="35"/>
        <v/>
      </c>
      <c r="G192" s="93"/>
      <c r="H192" s="94"/>
      <c r="I192" s="95" t="str">
        <f t="shared" si="46"/>
        <v/>
      </c>
      <c r="J192" s="93"/>
      <c r="K192" s="94"/>
      <c r="L192" s="95" t="str">
        <f t="shared" si="36"/>
        <v/>
      </c>
      <c r="M192" s="93"/>
      <c r="N192" s="94"/>
      <c r="O192" s="95" t="str">
        <f t="shared" si="37"/>
        <v/>
      </c>
      <c r="P192" s="93"/>
      <c r="Q192" s="94"/>
      <c r="R192" s="95" t="str">
        <f t="shared" si="38"/>
        <v/>
      </c>
      <c r="S192" s="93"/>
      <c r="T192" s="94"/>
      <c r="U192" s="95" t="str">
        <f t="shared" si="39"/>
        <v/>
      </c>
      <c r="V192" s="93"/>
      <c r="W192" s="94"/>
      <c r="X192" s="95" t="str">
        <f t="shared" si="40"/>
        <v/>
      </c>
      <c r="Y192" s="94"/>
      <c r="Z192" s="94"/>
      <c r="AA192" s="112" t="str">
        <f t="shared" si="41"/>
        <v/>
      </c>
      <c r="AB192" s="93"/>
      <c r="AC192" s="94"/>
      <c r="AD192" s="95" t="str">
        <f t="shared" si="42"/>
        <v/>
      </c>
      <c r="AE192" s="93"/>
      <c r="AF192" s="94"/>
      <c r="AG192" s="95" t="str">
        <f t="shared" si="43"/>
        <v/>
      </c>
      <c r="AH192" s="93"/>
      <c r="AI192" s="94"/>
      <c r="AJ192" s="95" t="str">
        <f t="shared" si="44"/>
        <v/>
      </c>
      <c r="AK192" s="93"/>
      <c r="AL192" s="94"/>
      <c r="AM192" s="95" t="str">
        <f t="shared" si="45"/>
        <v/>
      </c>
      <c r="AN192" s="93"/>
      <c r="AO192" s="94"/>
      <c r="AP192" s="95" t="str">
        <f t="shared" si="47"/>
        <v/>
      </c>
    </row>
    <row r="193" spans="1:42" x14ac:dyDescent="0.25">
      <c r="A193" s="91">
        <v>46214</v>
      </c>
      <c r="B193" s="92">
        <f t="shared" si="33"/>
        <v>28</v>
      </c>
      <c r="C193" s="92">
        <f t="shared" si="34"/>
        <v>7</v>
      </c>
      <c r="D193" s="93"/>
      <c r="E193" s="94"/>
      <c r="F193" s="95" t="str">
        <f t="shared" si="35"/>
        <v/>
      </c>
      <c r="G193" s="93"/>
      <c r="H193" s="94"/>
      <c r="I193" s="95" t="str">
        <f t="shared" si="46"/>
        <v/>
      </c>
      <c r="J193" s="93"/>
      <c r="K193" s="94"/>
      <c r="L193" s="95" t="str">
        <f t="shared" si="36"/>
        <v/>
      </c>
      <c r="M193" s="93"/>
      <c r="N193" s="94"/>
      <c r="O193" s="95" t="str">
        <f t="shared" si="37"/>
        <v/>
      </c>
      <c r="P193" s="93"/>
      <c r="Q193" s="94"/>
      <c r="R193" s="95" t="str">
        <f t="shared" si="38"/>
        <v/>
      </c>
      <c r="S193" s="93"/>
      <c r="T193" s="94"/>
      <c r="U193" s="95" t="str">
        <f t="shared" si="39"/>
        <v/>
      </c>
      <c r="V193" s="93"/>
      <c r="W193" s="94"/>
      <c r="X193" s="95" t="str">
        <f t="shared" si="40"/>
        <v/>
      </c>
      <c r="Y193" s="94"/>
      <c r="Z193" s="94"/>
      <c r="AA193" s="112" t="str">
        <f t="shared" si="41"/>
        <v/>
      </c>
      <c r="AB193" s="93"/>
      <c r="AC193" s="94"/>
      <c r="AD193" s="95" t="str">
        <f t="shared" si="42"/>
        <v/>
      </c>
      <c r="AE193" s="93"/>
      <c r="AF193" s="94"/>
      <c r="AG193" s="95" t="str">
        <f t="shared" si="43"/>
        <v/>
      </c>
      <c r="AH193" s="93"/>
      <c r="AI193" s="94"/>
      <c r="AJ193" s="95" t="str">
        <f t="shared" si="44"/>
        <v/>
      </c>
      <c r="AK193" s="93"/>
      <c r="AL193" s="94"/>
      <c r="AM193" s="95" t="str">
        <f t="shared" si="45"/>
        <v/>
      </c>
      <c r="AN193" s="93"/>
      <c r="AO193" s="94"/>
      <c r="AP193" s="95" t="str">
        <f t="shared" si="47"/>
        <v/>
      </c>
    </row>
    <row r="194" spans="1:42" x14ac:dyDescent="0.25">
      <c r="A194" s="91">
        <v>46215</v>
      </c>
      <c r="B194" s="92">
        <f t="shared" ref="B194:B257" si="48">ROUNDUP((A194-DATE(YEAR(A194),1,1)+WEEKDAY(DATE(YEAR(A194),1,1),2))/7,0)</f>
        <v>28</v>
      </c>
      <c r="C194" s="92">
        <f t="shared" ref="C194:C257" si="49">MONTH(A194)</f>
        <v>7</v>
      </c>
      <c r="D194" s="93"/>
      <c r="E194" s="94"/>
      <c r="F194" s="95" t="str">
        <f t="shared" ref="F194:F257" si="50">IFERROR(E194/D194,"")</f>
        <v/>
      </c>
      <c r="G194" s="93"/>
      <c r="H194" s="94"/>
      <c r="I194" s="95" t="str">
        <f t="shared" si="46"/>
        <v/>
      </c>
      <c r="J194" s="93"/>
      <c r="K194" s="94"/>
      <c r="L194" s="95" t="str">
        <f t="shared" ref="L194:L257" si="51">IFERROR(K194/J194,"")</f>
        <v/>
      </c>
      <c r="M194" s="93"/>
      <c r="N194" s="94"/>
      <c r="O194" s="95" t="str">
        <f t="shared" ref="O194:O257" si="52">IFERROR(N194/M194,"")</f>
        <v/>
      </c>
      <c r="P194" s="93"/>
      <c r="Q194" s="94"/>
      <c r="R194" s="95" t="str">
        <f t="shared" ref="R194:R257" si="53">IFERROR(Q194/P194,"")</f>
        <v/>
      </c>
      <c r="S194" s="93"/>
      <c r="T194" s="94"/>
      <c r="U194" s="95" t="str">
        <f t="shared" ref="U194:U257" si="54">IFERROR(T194/S194,"")</f>
        <v/>
      </c>
      <c r="V194" s="93"/>
      <c r="W194" s="94"/>
      <c r="X194" s="95" t="str">
        <f t="shared" ref="X194:X257" si="55">IFERROR(W194/V194,"")</f>
        <v/>
      </c>
      <c r="Y194" s="94"/>
      <c r="Z194" s="94"/>
      <c r="AA194" s="112" t="str">
        <f t="shared" ref="AA194:AA257" si="56">IFERROR(Z194/Y194,"")</f>
        <v/>
      </c>
      <c r="AB194" s="93"/>
      <c r="AC194" s="94"/>
      <c r="AD194" s="95" t="str">
        <f t="shared" ref="AD194:AD257" si="57">IFERROR(AC194/AB194,"")</f>
        <v/>
      </c>
      <c r="AE194" s="93"/>
      <c r="AF194" s="94"/>
      <c r="AG194" s="95" t="str">
        <f t="shared" ref="AG194:AG257" si="58">IFERROR(AF194/AE194,"")</f>
        <v/>
      </c>
      <c r="AH194" s="93"/>
      <c r="AI194" s="94"/>
      <c r="AJ194" s="95" t="str">
        <f t="shared" ref="AJ194:AJ257" si="59">IFERROR(AI194/AH194,"")</f>
        <v/>
      </c>
      <c r="AK194" s="93"/>
      <c r="AL194" s="94"/>
      <c r="AM194" s="95" t="str">
        <f t="shared" ref="AM194:AM257" si="60">IFERROR(AL194/AK194,"")</f>
        <v/>
      </c>
      <c r="AN194" s="93"/>
      <c r="AO194" s="94"/>
      <c r="AP194" s="95" t="str">
        <f t="shared" si="47"/>
        <v/>
      </c>
    </row>
    <row r="195" spans="1:42" x14ac:dyDescent="0.25">
      <c r="A195" s="91">
        <v>46216</v>
      </c>
      <c r="B195" s="92">
        <f t="shared" si="48"/>
        <v>29</v>
      </c>
      <c r="C195" s="92">
        <f t="shared" si="49"/>
        <v>7</v>
      </c>
      <c r="D195" s="93"/>
      <c r="E195" s="94"/>
      <c r="F195" s="95" t="str">
        <f t="shared" si="50"/>
        <v/>
      </c>
      <c r="G195" s="93"/>
      <c r="H195" s="94"/>
      <c r="I195" s="95" t="str">
        <f t="shared" ref="I195:I258" si="61">IFERROR(H195/G195,"")</f>
        <v/>
      </c>
      <c r="J195" s="93"/>
      <c r="K195" s="94"/>
      <c r="L195" s="95" t="str">
        <f t="shared" si="51"/>
        <v/>
      </c>
      <c r="M195" s="93"/>
      <c r="N195" s="94"/>
      <c r="O195" s="95" t="str">
        <f t="shared" si="52"/>
        <v/>
      </c>
      <c r="P195" s="93"/>
      <c r="Q195" s="94"/>
      <c r="R195" s="95" t="str">
        <f t="shared" si="53"/>
        <v/>
      </c>
      <c r="S195" s="93"/>
      <c r="T195" s="94"/>
      <c r="U195" s="95" t="str">
        <f t="shared" si="54"/>
        <v/>
      </c>
      <c r="V195" s="93"/>
      <c r="W195" s="94"/>
      <c r="X195" s="95" t="str">
        <f t="shared" si="55"/>
        <v/>
      </c>
      <c r="Y195" s="94"/>
      <c r="Z195" s="94"/>
      <c r="AA195" s="112" t="str">
        <f t="shared" si="56"/>
        <v/>
      </c>
      <c r="AB195" s="93"/>
      <c r="AC195" s="94"/>
      <c r="AD195" s="95" t="str">
        <f t="shared" si="57"/>
        <v/>
      </c>
      <c r="AE195" s="93"/>
      <c r="AF195" s="94"/>
      <c r="AG195" s="95" t="str">
        <f t="shared" si="58"/>
        <v/>
      </c>
      <c r="AH195" s="93"/>
      <c r="AI195" s="94"/>
      <c r="AJ195" s="95" t="str">
        <f t="shared" si="59"/>
        <v/>
      </c>
      <c r="AK195" s="93"/>
      <c r="AL195" s="94"/>
      <c r="AM195" s="95" t="str">
        <f t="shared" si="60"/>
        <v/>
      </c>
      <c r="AN195" s="93"/>
      <c r="AO195" s="94"/>
      <c r="AP195" s="95" t="str">
        <f t="shared" si="47"/>
        <v/>
      </c>
    </row>
    <row r="196" spans="1:42" x14ac:dyDescent="0.25">
      <c r="A196" s="91">
        <v>46217</v>
      </c>
      <c r="B196" s="92">
        <f t="shared" si="48"/>
        <v>29</v>
      </c>
      <c r="C196" s="92">
        <f t="shared" si="49"/>
        <v>7</v>
      </c>
      <c r="D196" s="93"/>
      <c r="E196" s="94"/>
      <c r="F196" s="95" t="str">
        <f t="shared" si="50"/>
        <v/>
      </c>
      <c r="G196" s="93"/>
      <c r="H196" s="94"/>
      <c r="I196" s="95" t="str">
        <f t="shared" si="61"/>
        <v/>
      </c>
      <c r="J196" s="93"/>
      <c r="K196" s="94"/>
      <c r="L196" s="95" t="str">
        <f t="shared" si="51"/>
        <v/>
      </c>
      <c r="M196" s="93"/>
      <c r="N196" s="94"/>
      <c r="O196" s="95" t="str">
        <f t="shared" si="52"/>
        <v/>
      </c>
      <c r="P196" s="93"/>
      <c r="Q196" s="94"/>
      <c r="R196" s="95" t="str">
        <f t="shared" si="53"/>
        <v/>
      </c>
      <c r="S196" s="93"/>
      <c r="T196" s="94"/>
      <c r="U196" s="95" t="str">
        <f t="shared" si="54"/>
        <v/>
      </c>
      <c r="V196" s="93"/>
      <c r="W196" s="94"/>
      <c r="X196" s="95" t="str">
        <f t="shared" si="55"/>
        <v/>
      </c>
      <c r="Y196" s="94"/>
      <c r="Z196" s="94"/>
      <c r="AA196" s="112" t="str">
        <f t="shared" si="56"/>
        <v/>
      </c>
      <c r="AB196" s="93"/>
      <c r="AC196" s="94"/>
      <c r="AD196" s="95" t="str">
        <f t="shared" si="57"/>
        <v/>
      </c>
      <c r="AE196" s="93"/>
      <c r="AF196" s="94"/>
      <c r="AG196" s="95" t="str">
        <f t="shared" si="58"/>
        <v/>
      </c>
      <c r="AH196" s="93"/>
      <c r="AI196" s="94"/>
      <c r="AJ196" s="95" t="str">
        <f t="shared" si="59"/>
        <v/>
      </c>
      <c r="AK196" s="93"/>
      <c r="AL196" s="94"/>
      <c r="AM196" s="95" t="str">
        <f t="shared" si="60"/>
        <v/>
      </c>
      <c r="AN196" s="93"/>
      <c r="AO196" s="94"/>
      <c r="AP196" s="95" t="str">
        <f t="shared" si="47"/>
        <v/>
      </c>
    </row>
    <row r="197" spans="1:42" x14ac:dyDescent="0.25">
      <c r="A197" s="91">
        <v>46218</v>
      </c>
      <c r="B197" s="92">
        <f t="shared" si="48"/>
        <v>29</v>
      </c>
      <c r="C197" s="92">
        <f t="shared" si="49"/>
        <v>7</v>
      </c>
      <c r="D197" s="93"/>
      <c r="E197" s="94"/>
      <c r="F197" s="95" t="str">
        <f t="shared" si="50"/>
        <v/>
      </c>
      <c r="G197" s="93"/>
      <c r="H197" s="94"/>
      <c r="I197" s="95" t="str">
        <f t="shared" si="61"/>
        <v/>
      </c>
      <c r="J197" s="93"/>
      <c r="K197" s="94"/>
      <c r="L197" s="95" t="str">
        <f t="shared" si="51"/>
        <v/>
      </c>
      <c r="M197" s="93"/>
      <c r="N197" s="94"/>
      <c r="O197" s="95" t="str">
        <f t="shared" si="52"/>
        <v/>
      </c>
      <c r="P197" s="93"/>
      <c r="Q197" s="94"/>
      <c r="R197" s="95" t="str">
        <f t="shared" si="53"/>
        <v/>
      </c>
      <c r="S197" s="93"/>
      <c r="T197" s="94"/>
      <c r="U197" s="95" t="str">
        <f t="shared" si="54"/>
        <v/>
      </c>
      <c r="V197" s="93"/>
      <c r="W197" s="94"/>
      <c r="X197" s="95" t="str">
        <f t="shared" si="55"/>
        <v/>
      </c>
      <c r="Y197" s="94"/>
      <c r="Z197" s="94"/>
      <c r="AA197" s="112" t="str">
        <f t="shared" si="56"/>
        <v/>
      </c>
      <c r="AB197" s="93"/>
      <c r="AC197" s="94"/>
      <c r="AD197" s="95" t="str">
        <f t="shared" si="57"/>
        <v/>
      </c>
      <c r="AE197" s="93"/>
      <c r="AF197" s="94"/>
      <c r="AG197" s="95" t="str">
        <f t="shared" si="58"/>
        <v/>
      </c>
      <c r="AH197" s="93"/>
      <c r="AI197" s="94"/>
      <c r="AJ197" s="95" t="str">
        <f t="shared" si="59"/>
        <v/>
      </c>
      <c r="AK197" s="93"/>
      <c r="AL197" s="94"/>
      <c r="AM197" s="95" t="str">
        <f t="shared" si="60"/>
        <v/>
      </c>
      <c r="AN197" s="93"/>
      <c r="AO197" s="94"/>
      <c r="AP197" s="95" t="str">
        <f t="shared" si="47"/>
        <v/>
      </c>
    </row>
    <row r="198" spans="1:42" x14ac:dyDescent="0.25">
      <c r="A198" s="91">
        <v>46219</v>
      </c>
      <c r="B198" s="92">
        <f t="shared" si="48"/>
        <v>29</v>
      </c>
      <c r="C198" s="92">
        <f t="shared" si="49"/>
        <v>7</v>
      </c>
      <c r="D198" s="93"/>
      <c r="E198" s="94"/>
      <c r="F198" s="95" t="str">
        <f t="shared" si="50"/>
        <v/>
      </c>
      <c r="G198" s="93"/>
      <c r="H198" s="94"/>
      <c r="I198" s="95" t="str">
        <f t="shared" si="61"/>
        <v/>
      </c>
      <c r="J198" s="93"/>
      <c r="K198" s="94"/>
      <c r="L198" s="95" t="str">
        <f t="shared" si="51"/>
        <v/>
      </c>
      <c r="M198" s="93"/>
      <c r="N198" s="94"/>
      <c r="O198" s="95" t="str">
        <f t="shared" si="52"/>
        <v/>
      </c>
      <c r="P198" s="93"/>
      <c r="Q198" s="94"/>
      <c r="R198" s="95" t="str">
        <f t="shared" si="53"/>
        <v/>
      </c>
      <c r="S198" s="93"/>
      <c r="T198" s="94"/>
      <c r="U198" s="95" t="str">
        <f t="shared" si="54"/>
        <v/>
      </c>
      <c r="V198" s="93"/>
      <c r="W198" s="94"/>
      <c r="X198" s="95" t="str">
        <f t="shared" si="55"/>
        <v/>
      </c>
      <c r="Y198" s="94"/>
      <c r="Z198" s="94"/>
      <c r="AA198" s="112" t="str">
        <f t="shared" si="56"/>
        <v/>
      </c>
      <c r="AB198" s="93"/>
      <c r="AC198" s="94"/>
      <c r="AD198" s="95" t="str">
        <f t="shared" si="57"/>
        <v/>
      </c>
      <c r="AE198" s="93"/>
      <c r="AF198" s="94"/>
      <c r="AG198" s="95" t="str">
        <f t="shared" si="58"/>
        <v/>
      </c>
      <c r="AH198" s="93"/>
      <c r="AI198" s="94"/>
      <c r="AJ198" s="95" t="str">
        <f t="shared" si="59"/>
        <v/>
      </c>
      <c r="AK198" s="93"/>
      <c r="AL198" s="94"/>
      <c r="AM198" s="95" t="str">
        <f t="shared" si="60"/>
        <v/>
      </c>
      <c r="AN198" s="93"/>
      <c r="AO198" s="94"/>
      <c r="AP198" s="95" t="str">
        <f t="shared" si="47"/>
        <v/>
      </c>
    </row>
    <row r="199" spans="1:42" x14ac:dyDescent="0.25">
      <c r="A199" s="91">
        <v>46220</v>
      </c>
      <c r="B199" s="92">
        <f t="shared" si="48"/>
        <v>29</v>
      </c>
      <c r="C199" s="92">
        <f t="shared" si="49"/>
        <v>7</v>
      </c>
      <c r="D199" s="93"/>
      <c r="E199" s="94"/>
      <c r="F199" s="95" t="str">
        <f t="shared" si="50"/>
        <v/>
      </c>
      <c r="G199" s="93"/>
      <c r="H199" s="94"/>
      <c r="I199" s="95" t="str">
        <f t="shared" si="61"/>
        <v/>
      </c>
      <c r="J199" s="93"/>
      <c r="K199" s="94"/>
      <c r="L199" s="95" t="str">
        <f t="shared" si="51"/>
        <v/>
      </c>
      <c r="M199" s="93"/>
      <c r="N199" s="94"/>
      <c r="O199" s="95" t="str">
        <f t="shared" si="52"/>
        <v/>
      </c>
      <c r="P199" s="93"/>
      <c r="Q199" s="94"/>
      <c r="R199" s="95" t="str">
        <f t="shared" si="53"/>
        <v/>
      </c>
      <c r="S199" s="93"/>
      <c r="T199" s="94"/>
      <c r="U199" s="95" t="str">
        <f t="shared" si="54"/>
        <v/>
      </c>
      <c r="V199" s="93"/>
      <c r="W199" s="94"/>
      <c r="X199" s="95" t="str">
        <f t="shared" si="55"/>
        <v/>
      </c>
      <c r="Y199" s="94"/>
      <c r="Z199" s="94"/>
      <c r="AA199" s="112" t="str">
        <f t="shared" si="56"/>
        <v/>
      </c>
      <c r="AB199" s="93"/>
      <c r="AC199" s="94"/>
      <c r="AD199" s="95" t="str">
        <f t="shared" si="57"/>
        <v/>
      </c>
      <c r="AE199" s="93"/>
      <c r="AF199" s="94"/>
      <c r="AG199" s="95" t="str">
        <f t="shared" si="58"/>
        <v/>
      </c>
      <c r="AH199" s="93"/>
      <c r="AI199" s="94"/>
      <c r="AJ199" s="95" t="str">
        <f t="shared" si="59"/>
        <v/>
      </c>
      <c r="AK199" s="93"/>
      <c r="AL199" s="94"/>
      <c r="AM199" s="95" t="str">
        <f t="shared" si="60"/>
        <v/>
      </c>
      <c r="AN199" s="93"/>
      <c r="AO199" s="94"/>
      <c r="AP199" s="95" t="str">
        <f t="shared" ref="AP199:AP262" si="62">IFERROR(AO199/AN199,"")</f>
        <v/>
      </c>
    </row>
    <row r="200" spans="1:42" x14ac:dyDescent="0.25">
      <c r="A200" s="91">
        <v>46221</v>
      </c>
      <c r="B200" s="92">
        <f t="shared" si="48"/>
        <v>29</v>
      </c>
      <c r="C200" s="92">
        <f t="shared" si="49"/>
        <v>7</v>
      </c>
      <c r="D200" s="93"/>
      <c r="E200" s="94"/>
      <c r="F200" s="95" t="str">
        <f t="shared" si="50"/>
        <v/>
      </c>
      <c r="G200" s="93"/>
      <c r="H200" s="94"/>
      <c r="I200" s="95" t="str">
        <f t="shared" si="61"/>
        <v/>
      </c>
      <c r="J200" s="93"/>
      <c r="K200" s="94"/>
      <c r="L200" s="95" t="str">
        <f t="shared" si="51"/>
        <v/>
      </c>
      <c r="M200" s="93"/>
      <c r="N200" s="94"/>
      <c r="O200" s="95" t="str">
        <f t="shared" si="52"/>
        <v/>
      </c>
      <c r="P200" s="93"/>
      <c r="Q200" s="94"/>
      <c r="R200" s="95" t="str">
        <f t="shared" si="53"/>
        <v/>
      </c>
      <c r="S200" s="93"/>
      <c r="T200" s="94"/>
      <c r="U200" s="95" t="str">
        <f t="shared" si="54"/>
        <v/>
      </c>
      <c r="V200" s="93"/>
      <c r="W200" s="94"/>
      <c r="X200" s="95" t="str">
        <f t="shared" si="55"/>
        <v/>
      </c>
      <c r="Y200" s="94"/>
      <c r="Z200" s="94"/>
      <c r="AA200" s="112" t="str">
        <f t="shared" si="56"/>
        <v/>
      </c>
      <c r="AB200" s="93"/>
      <c r="AC200" s="94"/>
      <c r="AD200" s="95" t="str">
        <f t="shared" si="57"/>
        <v/>
      </c>
      <c r="AE200" s="93"/>
      <c r="AF200" s="94"/>
      <c r="AG200" s="95" t="str">
        <f t="shared" si="58"/>
        <v/>
      </c>
      <c r="AH200" s="93"/>
      <c r="AI200" s="94"/>
      <c r="AJ200" s="95" t="str">
        <f t="shared" si="59"/>
        <v/>
      </c>
      <c r="AK200" s="93"/>
      <c r="AL200" s="94"/>
      <c r="AM200" s="95" t="str">
        <f t="shared" si="60"/>
        <v/>
      </c>
      <c r="AN200" s="93"/>
      <c r="AO200" s="94"/>
      <c r="AP200" s="95" t="str">
        <f t="shared" si="62"/>
        <v/>
      </c>
    </row>
    <row r="201" spans="1:42" x14ac:dyDescent="0.25">
      <c r="A201" s="91">
        <v>46222</v>
      </c>
      <c r="B201" s="92">
        <f t="shared" si="48"/>
        <v>29</v>
      </c>
      <c r="C201" s="92">
        <f t="shared" si="49"/>
        <v>7</v>
      </c>
      <c r="D201" s="93"/>
      <c r="E201" s="94"/>
      <c r="F201" s="95" t="str">
        <f t="shared" si="50"/>
        <v/>
      </c>
      <c r="G201" s="93"/>
      <c r="H201" s="94"/>
      <c r="I201" s="95" t="str">
        <f t="shared" si="61"/>
        <v/>
      </c>
      <c r="J201" s="93"/>
      <c r="K201" s="94"/>
      <c r="L201" s="95" t="str">
        <f t="shared" si="51"/>
        <v/>
      </c>
      <c r="M201" s="93"/>
      <c r="N201" s="94"/>
      <c r="O201" s="95" t="str">
        <f t="shared" si="52"/>
        <v/>
      </c>
      <c r="P201" s="93"/>
      <c r="Q201" s="94"/>
      <c r="R201" s="95" t="str">
        <f t="shared" si="53"/>
        <v/>
      </c>
      <c r="S201" s="93"/>
      <c r="T201" s="94"/>
      <c r="U201" s="95" t="str">
        <f t="shared" si="54"/>
        <v/>
      </c>
      <c r="V201" s="93"/>
      <c r="W201" s="94"/>
      <c r="X201" s="95" t="str">
        <f t="shared" si="55"/>
        <v/>
      </c>
      <c r="Y201" s="94"/>
      <c r="Z201" s="94"/>
      <c r="AA201" s="112" t="str">
        <f t="shared" si="56"/>
        <v/>
      </c>
      <c r="AB201" s="93"/>
      <c r="AC201" s="94"/>
      <c r="AD201" s="95" t="str">
        <f t="shared" si="57"/>
        <v/>
      </c>
      <c r="AE201" s="93"/>
      <c r="AF201" s="94"/>
      <c r="AG201" s="95" t="str">
        <f t="shared" si="58"/>
        <v/>
      </c>
      <c r="AH201" s="93"/>
      <c r="AI201" s="94"/>
      <c r="AJ201" s="95" t="str">
        <f t="shared" si="59"/>
        <v/>
      </c>
      <c r="AK201" s="93"/>
      <c r="AL201" s="94"/>
      <c r="AM201" s="95" t="str">
        <f t="shared" si="60"/>
        <v/>
      </c>
      <c r="AN201" s="93"/>
      <c r="AO201" s="94"/>
      <c r="AP201" s="95" t="str">
        <f t="shared" si="62"/>
        <v/>
      </c>
    </row>
    <row r="202" spans="1:42" x14ac:dyDescent="0.25">
      <c r="A202" s="91">
        <v>46223</v>
      </c>
      <c r="B202" s="92">
        <f t="shared" si="48"/>
        <v>30</v>
      </c>
      <c r="C202" s="92">
        <f t="shared" si="49"/>
        <v>7</v>
      </c>
      <c r="D202" s="93"/>
      <c r="E202" s="94"/>
      <c r="F202" s="95" t="str">
        <f t="shared" si="50"/>
        <v/>
      </c>
      <c r="G202" s="93"/>
      <c r="H202" s="94"/>
      <c r="I202" s="95" t="str">
        <f t="shared" si="61"/>
        <v/>
      </c>
      <c r="J202" s="93"/>
      <c r="K202" s="94"/>
      <c r="L202" s="95" t="str">
        <f t="shared" si="51"/>
        <v/>
      </c>
      <c r="M202" s="93"/>
      <c r="N202" s="94"/>
      <c r="O202" s="95" t="str">
        <f t="shared" si="52"/>
        <v/>
      </c>
      <c r="P202" s="93"/>
      <c r="Q202" s="94"/>
      <c r="R202" s="95" t="str">
        <f t="shared" si="53"/>
        <v/>
      </c>
      <c r="S202" s="93"/>
      <c r="T202" s="94"/>
      <c r="U202" s="95" t="str">
        <f t="shared" si="54"/>
        <v/>
      </c>
      <c r="V202" s="93"/>
      <c r="W202" s="94"/>
      <c r="X202" s="95" t="str">
        <f t="shared" si="55"/>
        <v/>
      </c>
      <c r="Y202" s="94"/>
      <c r="Z202" s="94"/>
      <c r="AA202" s="112" t="str">
        <f t="shared" si="56"/>
        <v/>
      </c>
      <c r="AB202" s="93"/>
      <c r="AC202" s="94"/>
      <c r="AD202" s="95" t="str">
        <f t="shared" si="57"/>
        <v/>
      </c>
      <c r="AE202" s="93"/>
      <c r="AF202" s="94"/>
      <c r="AG202" s="95" t="str">
        <f t="shared" si="58"/>
        <v/>
      </c>
      <c r="AH202" s="93"/>
      <c r="AI202" s="94"/>
      <c r="AJ202" s="95" t="str">
        <f t="shared" si="59"/>
        <v/>
      </c>
      <c r="AK202" s="93"/>
      <c r="AL202" s="94"/>
      <c r="AM202" s="95" t="str">
        <f t="shared" si="60"/>
        <v/>
      </c>
      <c r="AN202" s="93"/>
      <c r="AO202" s="94"/>
      <c r="AP202" s="95" t="str">
        <f t="shared" si="62"/>
        <v/>
      </c>
    </row>
    <row r="203" spans="1:42" x14ac:dyDescent="0.25">
      <c r="A203" s="91">
        <v>46224</v>
      </c>
      <c r="B203" s="92">
        <f t="shared" si="48"/>
        <v>30</v>
      </c>
      <c r="C203" s="92">
        <f t="shared" si="49"/>
        <v>7</v>
      </c>
      <c r="D203" s="93"/>
      <c r="E203" s="94"/>
      <c r="F203" s="95" t="str">
        <f t="shared" si="50"/>
        <v/>
      </c>
      <c r="G203" s="93"/>
      <c r="H203" s="94"/>
      <c r="I203" s="95" t="str">
        <f t="shared" si="61"/>
        <v/>
      </c>
      <c r="J203" s="93"/>
      <c r="K203" s="94"/>
      <c r="L203" s="95" t="str">
        <f t="shared" si="51"/>
        <v/>
      </c>
      <c r="M203" s="93"/>
      <c r="N203" s="94"/>
      <c r="O203" s="95" t="str">
        <f t="shared" si="52"/>
        <v/>
      </c>
      <c r="P203" s="93"/>
      <c r="Q203" s="94"/>
      <c r="R203" s="95" t="str">
        <f t="shared" si="53"/>
        <v/>
      </c>
      <c r="S203" s="93"/>
      <c r="T203" s="94"/>
      <c r="U203" s="95" t="str">
        <f t="shared" si="54"/>
        <v/>
      </c>
      <c r="V203" s="93"/>
      <c r="W203" s="94"/>
      <c r="X203" s="95" t="str">
        <f t="shared" si="55"/>
        <v/>
      </c>
      <c r="Y203" s="94"/>
      <c r="Z203" s="94"/>
      <c r="AA203" s="112" t="str">
        <f t="shared" si="56"/>
        <v/>
      </c>
      <c r="AB203" s="93"/>
      <c r="AC203" s="94"/>
      <c r="AD203" s="95" t="str">
        <f t="shared" si="57"/>
        <v/>
      </c>
      <c r="AE203" s="93"/>
      <c r="AF203" s="94"/>
      <c r="AG203" s="95" t="str">
        <f t="shared" si="58"/>
        <v/>
      </c>
      <c r="AH203" s="93"/>
      <c r="AI203" s="94"/>
      <c r="AJ203" s="95" t="str">
        <f t="shared" si="59"/>
        <v/>
      </c>
      <c r="AK203" s="93"/>
      <c r="AL203" s="94"/>
      <c r="AM203" s="95" t="str">
        <f t="shared" si="60"/>
        <v/>
      </c>
      <c r="AN203" s="93"/>
      <c r="AO203" s="94"/>
      <c r="AP203" s="95" t="str">
        <f t="shared" si="62"/>
        <v/>
      </c>
    </row>
    <row r="204" spans="1:42" x14ac:dyDescent="0.25">
      <c r="A204" s="91">
        <v>46225</v>
      </c>
      <c r="B204" s="92">
        <f t="shared" si="48"/>
        <v>30</v>
      </c>
      <c r="C204" s="92">
        <f t="shared" si="49"/>
        <v>7</v>
      </c>
      <c r="D204" s="93"/>
      <c r="E204" s="94"/>
      <c r="F204" s="95" t="str">
        <f t="shared" si="50"/>
        <v/>
      </c>
      <c r="G204" s="93"/>
      <c r="H204" s="94"/>
      <c r="I204" s="95" t="str">
        <f t="shared" si="61"/>
        <v/>
      </c>
      <c r="J204" s="93"/>
      <c r="K204" s="94"/>
      <c r="L204" s="95" t="str">
        <f t="shared" si="51"/>
        <v/>
      </c>
      <c r="M204" s="93"/>
      <c r="N204" s="94"/>
      <c r="O204" s="95" t="str">
        <f t="shared" si="52"/>
        <v/>
      </c>
      <c r="P204" s="93"/>
      <c r="Q204" s="94"/>
      <c r="R204" s="95" t="str">
        <f t="shared" si="53"/>
        <v/>
      </c>
      <c r="S204" s="93"/>
      <c r="T204" s="94"/>
      <c r="U204" s="95" t="str">
        <f t="shared" si="54"/>
        <v/>
      </c>
      <c r="V204" s="93"/>
      <c r="W204" s="94"/>
      <c r="X204" s="95" t="str">
        <f t="shared" si="55"/>
        <v/>
      </c>
      <c r="Y204" s="94"/>
      <c r="Z204" s="94"/>
      <c r="AA204" s="112" t="str">
        <f t="shared" si="56"/>
        <v/>
      </c>
      <c r="AB204" s="93"/>
      <c r="AC204" s="94"/>
      <c r="AD204" s="95" t="str">
        <f t="shared" si="57"/>
        <v/>
      </c>
      <c r="AE204" s="93"/>
      <c r="AF204" s="94"/>
      <c r="AG204" s="95" t="str">
        <f t="shared" si="58"/>
        <v/>
      </c>
      <c r="AH204" s="93"/>
      <c r="AI204" s="94"/>
      <c r="AJ204" s="95" t="str">
        <f t="shared" si="59"/>
        <v/>
      </c>
      <c r="AK204" s="93"/>
      <c r="AL204" s="94"/>
      <c r="AM204" s="95" t="str">
        <f t="shared" si="60"/>
        <v/>
      </c>
      <c r="AN204" s="93"/>
      <c r="AO204" s="94"/>
      <c r="AP204" s="95" t="str">
        <f t="shared" si="62"/>
        <v/>
      </c>
    </row>
    <row r="205" spans="1:42" x14ac:dyDescent="0.25">
      <c r="A205" s="91">
        <v>46226</v>
      </c>
      <c r="B205" s="92">
        <f t="shared" si="48"/>
        <v>30</v>
      </c>
      <c r="C205" s="92">
        <f t="shared" si="49"/>
        <v>7</v>
      </c>
      <c r="D205" s="93"/>
      <c r="E205" s="94"/>
      <c r="F205" s="95" t="str">
        <f t="shared" si="50"/>
        <v/>
      </c>
      <c r="G205" s="93"/>
      <c r="H205" s="94"/>
      <c r="I205" s="95" t="str">
        <f t="shared" si="61"/>
        <v/>
      </c>
      <c r="J205" s="93"/>
      <c r="K205" s="94"/>
      <c r="L205" s="95" t="str">
        <f t="shared" si="51"/>
        <v/>
      </c>
      <c r="M205" s="93"/>
      <c r="N205" s="94"/>
      <c r="O205" s="95" t="str">
        <f t="shared" si="52"/>
        <v/>
      </c>
      <c r="P205" s="93"/>
      <c r="Q205" s="94"/>
      <c r="R205" s="95" t="str">
        <f t="shared" si="53"/>
        <v/>
      </c>
      <c r="S205" s="93"/>
      <c r="T205" s="94"/>
      <c r="U205" s="95" t="str">
        <f t="shared" si="54"/>
        <v/>
      </c>
      <c r="V205" s="93"/>
      <c r="W205" s="94"/>
      <c r="X205" s="95" t="str">
        <f t="shared" si="55"/>
        <v/>
      </c>
      <c r="Y205" s="94"/>
      <c r="Z205" s="94"/>
      <c r="AA205" s="112" t="str">
        <f t="shared" si="56"/>
        <v/>
      </c>
      <c r="AB205" s="93"/>
      <c r="AC205" s="94"/>
      <c r="AD205" s="95" t="str">
        <f t="shared" si="57"/>
        <v/>
      </c>
      <c r="AE205" s="93"/>
      <c r="AF205" s="94"/>
      <c r="AG205" s="95" t="str">
        <f t="shared" si="58"/>
        <v/>
      </c>
      <c r="AH205" s="93"/>
      <c r="AI205" s="94"/>
      <c r="AJ205" s="95" t="str">
        <f t="shared" si="59"/>
        <v/>
      </c>
      <c r="AK205" s="93"/>
      <c r="AL205" s="94"/>
      <c r="AM205" s="95" t="str">
        <f t="shared" si="60"/>
        <v/>
      </c>
      <c r="AN205" s="93"/>
      <c r="AO205" s="94"/>
      <c r="AP205" s="95" t="str">
        <f t="shared" si="62"/>
        <v/>
      </c>
    </row>
    <row r="206" spans="1:42" x14ac:dyDescent="0.25">
      <c r="A206" s="91">
        <v>46227</v>
      </c>
      <c r="B206" s="92">
        <f t="shared" si="48"/>
        <v>30</v>
      </c>
      <c r="C206" s="92">
        <f t="shared" si="49"/>
        <v>7</v>
      </c>
      <c r="D206" s="93"/>
      <c r="E206" s="94"/>
      <c r="F206" s="95" t="str">
        <f t="shared" si="50"/>
        <v/>
      </c>
      <c r="G206" s="93"/>
      <c r="H206" s="94"/>
      <c r="I206" s="95" t="str">
        <f t="shared" si="61"/>
        <v/>
      </c>
      <c r="J206" s="93"/>
      <c r="K206" s="94"/>
      <c r="L206" s="95" t="str">
        <f t="shared" si="51"/>
        <v/>
      </c>
      <c r="M206" s="93"/>
      <c r="N206" s="94"/>
      <c r="O206" s="95" t="str">
        <f t="shared" si="52"/>
        <v/>
      </c>
      <c r="P206" s="93"/>
      <c r="Q206" s="94"/>
      <c r="R206" s="95" t="str">
        <f t="shared" si="53"/>
        <v/>
      </c>
      <c r="S206" s="93"/>
      <c r="T206" s="94"/>
      <c r="U206" s="95" t="str">
        <f t="shared" si="54"/>
        <v/>
      </c>
      <c r="V206" s="93"/>
      <c r="W206" s="94"/>
      <c r="X206" s="95" t="str">
        <f t="shared" si="55"/>
        <v/>
      </c>
      <c r="Y206" s="94"/>
      <c r="Z206" s="94"/>
      <c r="AA206" s="112" t="str">
        <f t="shared" si="56"/>
        <v/>
      </c>
      <c r="AB206" s="93"/>
      <c r="AC206" s="94"/>
      <c r="AD206" s="95" t="str">
        <f t="shared" si="57"/>
        <v/>
      </c>
      <c r="AE206" s="93"/>
      <c r="AF206" s="94"/>
      <c r="AG206" s="95" t="str">
        <f t="shared" si="58"/>
        <v/>
      </c>
      <c r="AH206" s="93"/>
      <c r="AI206" s="94"/>
      <c r="AJ206" s="95" t="str">
        <f t="shared" si="59"/>
        <v/>
      </c>
      <c r="AK206" s="93"/>
      <c r="AL206" s="94"/>
      <c r="AM206" s="95" t="str">
        <f t="shared" si="60"/>
        <v/>
      </c>
      <c r="AN206" s="93"/>
      <c r="AO206" s="94"/>
      <c r="AP206" s="95" t="str">
        <f t="shared" si="62"/>
        <v/>
      </c>
    </row>
    <row r="207" spans="1:42" x14ac:dyDescent="0.25">
      <c r="A207" s="91">
        <v>46228</v>
      </c>
      <c r="B207" s="92">
        <f t="shared" si="48"/>
        <v>30</v>
      </c>
      <c r="C207" s="92">
        <f t="shared" si="49"/>
        <v>7</v>
      </c>
      <c r="D207" s="93"/>
      <c r="E207" s="94"/>
      <c r="F207" s="95" t="str">
        <f t="shared" si="50"/>
        <v/>
      </c>
      <c r="G207" s="93"/>
      <c r="H207" s="94"/>
      <c r="I207" s="95" t="str">
        <f t="shared" si="61"/>
        <v/>
      </c>
      <c r="J207" s="93"/>
      <c r="K207" s="94"/>
      <c r="L207" s="95" t="str">
        <f t="shared" si="51"/>
        <v/>
      </c>
      <c r="M207" s="93"/>
      <c r="N207" s="94"/>
      <c r="O207" s="95" t="str">
        <f t="shared" si="52"/>
        <v/>
      </c>
      <c r="P207" s="93"/>
      <c r="Q207" s="94"/>
      <c r="R207" s="95" t="str">
        <f t="shared" si="53"/>
        <v/>
      </c>
      <c r="S207" s="93"/>
      <c r="T207" s="94"/>
      <c r="U207" s="95" t="str">
        <f t="shared" si="54"/>
        <v/>
      </c>
      <c r="V207" s="93"/>
      <c r="W207" s="94"/>
      <c r="X207" s="95" t="str">
        <f t="shared" si="55"/>
        <v/>
      </c>
      <c r="Y207" s="94"/>
      <c r="Z207" s="94"/>
      <c r="AA207" s="112" t="str">
        <f t="shared" si="56"/>
        <v/>
      </c>
      <c r="AB207" s="93"/>
      <c r="AC207" s="94"/>
      <c r="AD207" s="95" t="str">
        <f t="shared" si="57"/>
        <v/>
      </c>
      <c r="AE207" s="93"/>
      <c r="AF207" s="94"/>
      <c r="AG207" s="95" t="str">
        <f t="shared" si="58"/>
        <v/>
      </c>
      <c r="AH207" s="93"/>
      <c r="AI207" s="94"/>
      <c r="AJ207" s="95" t="str">
        <f t="shared" si="59"/>
        <v/>
      </c>
      <c r="AK207" s="93"/>
      <c r="AL207" s="94"/>
      <c r="AM207" s="95" t="str">
        <f t="shared" si="60"/>
        <v/>
      </c>
      <c r="AN207" s="93"/>
      <c r="AO207" s="94"/>
      <c r="AP207" s="95" t="str">
        <f t="shared" si="62"/>
        <v/>
      </c>
    </row>
    <row r="208" spans="1:42" x14ac:dyDescent="0.25">
      <c r="A208" s="91">
        <v>46229</v>
      </c>
      <c r="B208" s="92">
        <f t="shared" si="48"/>
        <v>30</v>
      </c>
      <c r="C208" s="92">
        <f t="shared" si="49"/>
        <v>7</v>
      </c>
      <c r="D208" s="93"/>
      <c r="E208" s="94"/>
      <c r="F208" s="95" t="str">
        <f t="shared" si="50"/>
        <v/>
      </c>
      <c r="G208" s="93"/>
      <c r="H208" s="94"/>
      <c r="I208" s="95" t="str">
        <f t="shared" si="61"/>
        <v/>
      </c>
      <c r="J208" s="93"/>
      <c r="K208" s="94"/>
      <c r="L208" s="95" t="str">
        <f t="shared" si="51"/>
        <v/>
      </c>
      <c r="M208" s="93"/>
      <c r="N208" s="94"/>
      <c r="O208" s="95" t="str">
        <f t="shared" si="52"/>
        <v/>
      </c>
      <c r="P208" s="93"/>
      <c r="Q208" s="94"/>
      <c r="R208" s="95" t="str">
        <f t="shared" si="53"/>
        <v/>
      </c>
      <c r="S208" s="93"/>
      <c r="T208" s="94"/>
      <c r="U208" s="95" t="str">
        <f t="shared" si="54"/>
        <v/>
      </c>
      <c r="V208" s="93"/>
      <c r="W208" s="94"/>
      <c r="X208" s="95" t="str">
        <f t="shared" si="55"/>
        <v/>
      </c>
      <c r="Y208" s="94"/>
      <c r="Z208" s="94"/>
      <c r="AA208" s="112" t="str">
        <f t="shared" si="56"/>
        <v/>
      </c>
      <c r="AB208" s="93"/>
      <c r="AC208" s="94"/>
      <c r="AD208" s="95" t="str">
        <f t="shared" si="57"/>
        <v/>
      </c>
      <c r="AE208" s="93"/>
      <c r="AF208" s="94"/>
      <c r="AG208" s="95" t="str">
        <f t="shared" si="58"/>
        <v/>
      </c>
      <c r="AH208" s="93"/>
      <c r="AI208" s="94"/>
      <c r="AJ208" s="95" t="str">
        <f t="shared" si="59"/>
        <v/>
      </c>
      <c r="AK208" s="93"/>
      <c r="AL208" s="94"/>
      <c r="AM208" s="95" t="str">
        <f t="shared" si="60"/>
        <v/>
      </c>
      <c r="AN208" s="93"/>
      <c r="AO208" s="94"/>
      <c r="AP208" s="95" t="str">
        <f t="shared" si="62"/>
        <v/>
      </c>
    </row>
    <row r="209" spans="1:42" x14ac:dyDescent="0.25">
      <c r="A209" s="91">
        <v>46230</v>
      </c>
      <c r="B209" s="92">
        <f t="shared" si="48"/>
        <v>31</v>
      </c>
      <c r="C209" s="92">
        <f t="shared" si="49"/>
        <v>7</v>
      </c>
      <c r="D209" s="93"/>
      <c r="E209" s="94"/>
      <c r="F209" s="95" t="str">
        <f t="shared" si="50"/>
        <v/>
      </c>
      <c r="G209" s="93"/>
      <c r="H209" s="94"/>
      <c r="I209" s="95" t="str">
        <f t="shared" si="61"/>
        <v/>
      </c>
      <c r="J209" s="93"/>
      <c r="K209" s="94"/>
      <c r="L209" s="95" t="str">
        <f t="shared" si="51"/>
        <v/>
      </c>
      <c r="M209" s="93"/>
      <c r="N209" s="94"/>
      <c r="O209" s="95" t="str">
        <f t="shared" si="52"/>
        <v/>
      </c>
      <c r="P209" s="93"/>
      <c r="Q209" s="94"/>
      <c r="R209" s="95" t="str">
        <f t="shared" si="53"/>
        <v/>
      </c>
      <c r="S209" s="93"/>
      <c r="T209" s="94"/>
      <c r="U209" s="95" t="str">
        <f t="shared" si="54"/>
        <v/>
      </c>
      <c r="V209" s="93"/>
      <c r="W209" s="94"/>
      <c r="X209" s="95" t="str">
        <f t="shared" si="55"/>
        <v/>
      </c>
      <c r="Y209" s="94"/>
      <c r="Z209" s="94"/>
      <c r="AA209" s="112" t="str">
        <f t="shared" si="56"/>
        <v/>
      </c>
      <c r="AB209" s="93"/>
      <c r="AC209" s="94"/>
      <c r="AD209" s="95" t="str">
        <f t="shared" si="57"/>
        <v/>
      </c>
      <c r="AE209" s="93"/>
      <c r="AF209" s="94"/>
      <c r="AG209" s="95" t="str">
        <f t="shared" si="58"/>
        <v/>
      </c>
      <c r="AH209" s="93"/>
      <c r="AI209" s="94"/>
      <c r="AJ209" s="95" t="str">
        <f t="shared" si="59"/>
        <v/>
      </c>
      <c r="AK209" s="93"/>
      <c r="AL209" s="94"/>
      <c r="AM209" s="95" t="str">
        <f t="shared" si="60"/>
        <v/>
      </c>
      <c r="AN209" s="93"/>
      <c r="AO209" s="94"/>
      <c r="AP209" s="95" t="str">
        <f t="shared" si="62"/>
        <v/>
      </c>
    </row>
    <row r="210" spans="1:42" x14ac:dyDescent="0.25">
      <c r="A210" s="91">
        <v>46231</v>
      </c>
      <c r="B210" s="92">
        <f t="shared" si="48"/>
        <v>31</v>
      </c>
      <c r="C210" s="92">
        <f t="shared" si="49"/>
        <v>7</v>
      </c>
      <c r="D210" s="93"/>
      <c r="E210" s="94"/>
      <c r="F210" s="95" t="str">
        <f t="shared" si="50"/>
        <v/>
      </c>
      <c r="G210" s="93"/>
      <c r="H210" s="94"/>
      <c r="I210" s="95" t="str">
        <f t="shared" si="61"/>
        <v/>
      </c>
      <c r="J210" s="93"/>
      <c r="K210" s="94"/>
      <c r="L210" s="95" t="str">
        <f t="shared" si="51"/>
        <v/>
      </c>
      <c r="M210" s="93"/>
      <c r="N210" s="94"/>
      <c r="O210" s="95" t="str">
        <f t="shared" si="52"/>
        <v/>
      </c>
      <c r="P210" s="93"/>
      <c r="Q210" s="94"/>
      <c r="R210" s="95" t="str">
        <f t="shared" si="53"/>
        <v/>
      </c>
      <c r="S210" s="93"/>
      <c r="T210" s="94"/>
      <c r="U210" s="95" t="str">
        <f t="shared" si="54"/>
        <v/>
      </c>
      <c r="V210" s="93"/>
      <c r="W210" s="94"/>
      <c r="X210" s="95" t="str">
        <f t="shared" si="55"/>
        <v/>
      </c>
      <c r="Y210" s="94"/>
      <c r="Z210" s="94"/>
      <c r="AA210" s="112" t="str">
        <f t="shared" si="56"/>
        <v/>
      </c>
      <c r="AB210" s="93"/>
      <c r="AC210" s="94"/>
      <c r="AD210" s="95" t="str">
        <f t="shared" si="57"/>
        <v/>
      </c>
      <c r="AE210" s="93"/>
      <c r="AF210" s="94"/>
      <c r="AG210" s="95" t="str">
        <f t="shared" si="58"/>
        <v/>
      </c>
      <c r="AH210" s="93"/>
      <c r="AI210" s="94"/>
      <c r="AJ210" s="95" t="str">
        <f t="shared" si="59"/>
        <v/>
      </c>
      <c r="AK210" s="93"/>
      <c r="AL210" s="94"/>
      <c r="AM210" s="95" t="str">
        <f t="shared" si="60"/>
        <v/>
      </c>
      <c r="AN210" s="93"/>
      <c r="AO210" s="94"/>
      <c r="AP210" s="95" t="str">
        <f t="shared" si="62"/>
        <v/>
      </c>
    </row>
    <row r="211" spans="1:42" x14ac:dyDescent="0.25">
      <c r="A211" s="91">
        <v>46232</v>
      </c>
      <c r="B211" s="92">
        <f t="shared" si="48"/>
        <v>31</v>
      </c>
      <c r="C211" s="92">
        <f t="shared" si="49"/>
        <v>7</v>
      </c>
      <c r="D211" s="93"/>
      <c r="E211" s="94"/>
      <c r="F211" s="95" t="str">
        <f t="shared" si="50"/>
        <v/>
      </c>
      <c r="G211" s="93"/>
      <c r="H211" s="94"/>
      <c r="I211" s="95" t="str">
        <f t="shared" si="61"/>
        <v/>
      </c>
      <c r="J211" s="93"/>
      <c r="K211" s="94"/>
      <c r="L211" s="95" t="str">
        <f t="shared" si="51"/>
        <v/>
      </c>
      <c r="M211" s="93"/>
      <c r="N211" s="94"/>
      <c r="O211" s="95" t="str">
        <f t="shared" si="52"/>
        <v/>
      </c>
      <c r="P211" s="93"/>
      <c r="Q211" s="94"/>
      <c r="R211" s="95" t="str">
        <f t="shared" si="53"/>
        <v/>
      </c>
      <c r="S211" s="93"/>
      <c r="T211" s="94"/>
      <c r="U211" s="95" t="str">
        <f t="shared" si="54"/>
        <v/>
      </c>
      <c r="V211" s="93"/>
      <c r="W211" s="94"/>
      <c r="X211" s="95" t="str">
        <f t="shared" si="55"/>
        <v/>
      </c>
      <c r="Y211" s="94"/>
      <c r="Z211" s="94"/>
      <c r="AA211" s="112" t="str">
        <f t="shared" si="56"/>
        <v/>
      </c>
      <c r="AB211" s="93"/>
      <c r="AC211" s="94"/>
      <c r="AD211" s="95" t="str">
        <f t="shared" si="57"/>
        <v/>
      </c>
      <c r="AE211" s="93"/>
      <c r="AF211" s="94"/>
      <c r="AG211" s="95" t="str">
        <f t="shared" si="58"/>
        <v/>
      </c>
      <c r="AH211" s="93"/>
      <c r="AI211" s="94"/>
      <c r="AJ211" s="95" t="str">
        <f t="shared" si="59"/>
        <v/>
      </c>
      <c r="AK211" s="93"/>
      <c r="AL211" s="94"/>
      <c r="AM211" s="95" t="str">
        <f t="shared" si="60"/>
        <v/>
      </c>
      <c r="AN211" s="93"/>
      <c r="AO211" s="94"/>
      <c r="AP211" s="95" t="str">
        <f t="shared" si="62"/>
        <v/>
      </c>
    </row>
    <row r="212" spans="1:42" x14ac:dyDescent="0.25">
      <c r="A212" s="91">
        <v>46233</v>
      </c>
      <c r="B212" s="92">
        <f t="shared" si="48"/>
        <v>31</v>
      </c>
      <c r="C212" s="92">
        <f t="shared" si="49"/>
        <v>7</v>
      </c>
      <c r="D212" s="93"/>
      <c r="E212" s="94"/>
      <c r="F212" s="95" t="str">
        <f t="shared" si="50"/>
        <v/>
      </c>
      <c r="G212" s="93"/>
      <c r="H212" s="94"/>
      <c r="I212" s="95" t="str">
        <f t="shared" si="61"/>
        <v/>
      </c>
      <c r="J212" s="93"/>
      <c r="K212" s="94"/>
      <c r="L212" s="95" t="str">
        <f t="shared" si="51"/>
        <v/>
      </c>
      <c r="M212" s="93"/>
      <c r="N212" s="94"/>
      <c r="O212" s="95" t="str">
        <f t="shared" si="52"/>
        <v/>
      </c>
      <c r="P212" s="93"/>
      <c r="Q212" s="94"/>
      <c r="R212" s="95" t="str">
        <f t="shared" si="53"/>
        <v/>
      </c>
      <c r="S212" s="93"/>
      <c r="T212" s="94"/>
      <c r="U212" s="95" t="str">
        <f t="shared" si="54"/>
        <v/>
      </c>
      <c r="V212" s="93"/>
      <c r="W212" s="94"/>
      <c r="X212" s="95" t="str">
        <f t="shared" si="55"/>
        <v/>
      </c>
      <c r="Y212" s="94"/>
      <c r="Z212" s="94"/>
      <c r="AA212" s="112" t="str">
        <f t="shared" si="56"/>
        <v/>
      </c>
      <c r="AB212" s="93"/>
      <c r="AC212" s="94"/>
      <c r="AD212" s="95" t="str">
        <f t="shared" si="57"/>
        <v/>
      </c>
      <c r="AE212" s="93"/>
      <c r="AF212" s="94"/>
      <c r="AG212" s="95" t="str">
        <f t="shared" si="58"/>
        <v/>
      </c>
      <c r="AH212" s="93"/>
      <c r="AI212" s="94"/>
      <c r="AJ212" s="95" t="str">
        <f t="shared" si="59"/>
        <v/>
      </c>
      <c r="AK212" s="93"/>
      <c r="AL212" s="94"/>
      <c r="AM212" s="95" t="str">
        <f t="shared" si="60"/>
        <v/>
      </c>
      <c r="AN212" s="93"/>
      <c r="AO212" s="94"/>
      <c r="AP212" s="95" t="str">
        <f t="shared" si="62"/>
        <v/>
      </c>
    </row>
    <row r="213" spans="1:42" x14ac:dyDescent="0.25">
      <c r="A213" s="91">
        <v>46234</v>
      </c>
      <c r="B213" s="92">
        <f t="shared" si="48"/>
        <v>31</v>
      </c>
      <c r="C213" s="92">
        <f t="shared" si="49"/>
        <v>7</v>
      </c>
      <c r="D213" s="93"/>
      <c r="E213" s="94"/>
      <c r="F213" s="95" t="str">
        <f t="shared" si="50"/>
        <v/>
      </c>
      <c r="G213" s="93"/>
      <c r="H213" s="94"/>
      <c r="I213" s="95" t="str">
        <f t="shared" si="61"/>
        <v/>
      </c>
      <c r="J213" s="93"/>
      <c r="K213" s="94"/>
      <c r="L213" s="95" t="str">
        <f t="shared" si="51"/>
        <v/>
      </c>
      <c r="M213" s="93"/>
      <c r="N213" s="94"/>
      <c r="O213" s="95" t="str">
        <f t="shared" si="52"/>
        <v/>
      </c>
      <c r="P213" s="93"/>
      <c r="Q213" s="94"/>
      <c r="R213" s="95" t="str">
        <f t="shared" si="53"/>
        <v/>
      </c>
      <c r="S213" s="93"/>
      <c r="T213" s="94"/>
      <c r="U213" s="95" t="str">
        <f t="shared" si="54"/>
        <v/>
      </c>
      <c r="V213" s="93"/>
      <c r="W213" s="94"/>
      <c r="X213" s="95" t="str">
        <f t="shared" si="55"/>
        <v/>
      </c>
      <c r="Y213" s="94"/>
      <c r="Z213" s="94"/>
      <c r="AA213" s="112" t="str">
        <f t="shared" si="56"/>
        <v/>
      </c>
      <c r="AB213" s="93"/>
      <c r="AC213" s="94"/>
      <c r="AD213" s="95" t="str">
        <f t="shared" si="57"/>
        <v/>
      </c>
      <c r="AE213" s="93"/>
      <c r="AF213" s="94"/>
      <c r="AG213" s="95" t="str">
        <f t="shared" si="58"/>
        <v/>
      </c>
      <c r="AH213" s="93"/>
      <c r="AI213" s="94"/>
      <c r="AJ213" s="95" t="str">
        <f t="shared" si="59"/>
        <v/>
      </c>
      <c r="AK213" s="93"/>
      <c r="AL213" s="94"/>
      <c r="AM213" s="95" t="str">
        <f t="shared" si="60"/>
        <v/>
      </c>
      <c r="AN213" s="93"/>
      <c r="AO213" s="94"/>
      <c r="AP213" s="95" t="str">
        <f t="shared" si="62"/>
        <v/>
      </c>
    </row>
    <row r="214" spans="1:42" x14ac:dyDescent="0.25">
      <c r="A214" s="91">
        <v>46235</v>
      </c>
      <c r="B214" s="92">
        <f t="shared" si="48"/>
        <v>31</v>
      </c>
      <c r="C214" s="92">
        <f t="shared" si="49"/>
        <v>8</v>
      </c>
      <c r="D214" s="93"/>
      <c r="E214" s="94"/>
      <c r="F214" s="95" t="str">
        <f t="shared" si="50"/>
        <v/>
      </c>
      <c r="G214" s="93"/>
      <c r="H214" s="94"/>
      <c r="I214" s="95" t="str">
        <f t="shared" si="61"/>
        <v/>
      </c>
      <c r="J214" s="93"/>
      <c r="K214" s="94"/>
      <c r="L214" s="95" t="str">
        <f t="shared" si="51"/>
        <v/>
      </c>
      <c r="M214" s="93"/>
      <c r="N214" s="94"/>
      <c r="O214" s="95" t="str">
        <f t="shared" si="52"/>
        <v/>
      </c>
      <c r="P214" s="93"/>
      <c r="Q214" s="94"/>
      <c r="R214" s="95" t="str">
        <f t="shared" si="53"/>
        <v/>
      </c>
      <c r="S214" s="93"/>
      <c r="T214" s="94"/>
      <c r="U214" s="95" t="str">
        <f t="shared" si="54"/>
        <v/>
      </c>
      <c r="V214" s="93"/>
      <c r="W214" s="94"/>
      <c r="X214" s="95" t="str">
        <f t="shared" si="55"/>
        <v/>
      </c>
      <c r="Y214" s="94"/>
      <c r="Z214" s="94"/>
      <c r="AA214" s="112" t="str">
        <f t="shared" si="56"/>
        <v/>
      </c>
      <c r="AB214" s="93"/>
      <c r="AC214" s="94"/>
      <c r="AD214" s="95" t="str">
        <f t="shared" si="57"/>
        <v/>
      </c>
      <c r="AE214" s="93"/>
      <c r="AF214" s="94"/>
      <c r="AG214" s="95" t="str">
        <f t="shared" si="58"/>
        <v/>
      </c>
      <c r="AH214" s="93"/>
      <c r="AI214" s="94"/>
      <c r="AJ214" s="95" t="str">
        <f t="shared" si="59"/>
        <v/>
      </c>
      <c r="AK214" s="93"/>
      <c r="AL214" s="94"/>
      <c r="AM214" s="95" t="str">
        <f t="shared" si="60"/>
        <v/>
      </c>
      <c r="AN214" s="93"/>
      <c r="AO214" s="94"/>
      <c r="AP214" s="95" t="str">
        <f t="shared" si="62"/>
        <v/>
      </c>
    </row>
    <row r="215" spans="1:42" x14ac:dyDescent="0.25">
      <c r="A215" s="91">
        <v>46236</v>
      </c>
      <c r="B215" s="92">
        <f t="shared" si="48"/>
        <v>31</v>
      </c>
      <c r="C215" s="92">
        <f t="shared" si="49"/>
        <v>8</v>
      </c>
      <c r="D215" s="93"/>
      <c r="E215" s="94"/>
      <c r="F215" s="95" t="str">
        <f t="shared" si="50"/>
        <v/>
      </c>
      <c r="G215" s="93"/>
      <c r="H215" s="94"/>
      <c r="I215" s="95" t="str">
        <f t="shared" si="61"/>
        <v/>
      </c>
      <c r="J215" s="93"/>
      <c r="K215" s="94"/>
      <c r="L215" s="95" t="str">
        <f t="shared" si="51"/>
        <v/>
      </c>
      <c r="M215" s="93"/>
      <c r="N215" s="94"/>
      <c r="O215" s="95" t="str">
        <f t="shared" si="52"/>
        <v/>
      </c>
      <c r="P215" s="93"/>
      <c r="Q215" s="94"/>
      <c r="R215" s="95" t="str">
        <f t="shared" si="53"/>
        <v/>
      </c>
      <c r="S215" s="93"/>
      <c r="T215" s="94"/>
      <c r="U215" s="95" t="str">
        <f t="shared" si="54"/>
        <v/>
      </c>
      <c r="V215" s="93"/>
      <c r="W215" s="94"/>
      <c r="X215" s="95" t="str">
        <f t="shared" si="55"/>
        <v/>
      </c>
      <c r="Y215" s="94"/>
      <c r="Z215" s="94"/>
      <c r="AA215" s="112" t="str">
        <f t="shared" si="56"/>
        <v/>
      </c>
      <c r="AB215" s="93"/>
      <c r="AC215" s="94"/>
      <c r="AD215" s="95" t="str">
        <f t="shared" si="57"/>
        <v/>
      </c>
      <c r="AE215" s="93"/>
      <c r="AF215" s="94"/>
      <c r="AG215" s="95" t="str">
        <f t="shared" si="58"/>
        <v/>
      </c>
      <c r="AH215" s="93"/>
      <c r="AI215" s="94"/>
      <c r="AJ215" s="95" t="str">
        <f t="shared" si="59"/>
        <v/>
      </c>
      <c r="AK215" s="93"/>
      <c r="AL215" s="94"/>
      <c r="AM215" s="95" t="str">
        <f t="shared" si="60"/>
        <v/>
      </c>
      <c r="AN215" s="93"/>
      <c r="AO215" s="94"/>
      <c r="AP215" s="95" t="str">
        <f t="shared" si="62"/>
        <v/>
      </c>
    </row>
    <row r="216" spans="1:42" x14ac:dyDescent="0.25">
      <c r="A216" s="91">
        <v>46237</v>
      </c>
      <c r="B216" s="92">
        <f t="shared" si="48"/>
        <v>32</v>
      </c>
      <c r="C216" s="92">
        <f t="shared" si="49"/>
        <v>8</v>
      </c>
      <c r="D216" s="93"/>
      <c r="E216" s="94"/>
      <c r="F216" s="95" t="str">
        <f t="shared" si="50"/>
        <v/>
      </c>
      <c r="G216" s="93"/>
      <c r="H216" s="94"/>
      <c r="I216" s="95" t="str">
        <f t="shared" si="61"/>
        <v/>
      </c>
      <c r="J216" s="93"/>
      <c r="K216" s="94"/>
      <c r="L216" s="95" t="str">
        <f t="shared" si="51"/>
        <v/>
      </c>
      <c r="M216" s="93"/>
      <c r="N216" s="94"/>
      <c r="O216" s="95" t="str">
        <f t="shared" si="52"/>
        <v/>
      </c>
      <c r="P216" s="93"/>
      <c r="Q216" s="94"/>
      <c r="R216" s="95" t="str">
        <f t="shared" si="53"/>
        <v/>
      </c>
      <c r="S216" s="93"/>
      <c r="T216" s="94"/>
      <c r="U216" s="95" t="str">
        <f t="shared" si="54"/>
        <v/>
      </c>
      <c r="V216" s="93"/>
      <c r="W216" s="94"/>
      <c r="X216" s="95" t="str">
        <f t="shared" si="55"/>
        <v/>
      </c>
      <c r="Y216" s="94"/>
      <c r="Z216" s="94"/>
      <c r="AA216" s="112" t="str">
        <f t="shared" si="56"/>
        <v/>
      </c>
      <c r="AB216" s="93"/>
      <c r="AC216" s="94"/>
      <c r="AD216" s="95" t="str">
        <f t="shared" si="57"/>
        <v/>
      </c>
      <c r="AE216" s="93"/>
      <c r="AF216" s="94"/>
      <c r="AG216" s="95" t="str">
        <f t="shared" si="58"/>
        <v/>
      </c>
      <c r="AH216" s="93"/>
      <c r="AI216" s="94"/>
      <c r="AJ216" s="95" t="str">
        <f t="shared" si="59"/>
        <v/>
      </c>
      <c r="AK216" s="93"/>
      <c r="AL216" s="94"/>
      <c r="AM216" s="95" t="str">
        <f t="shared" si="60"/>
        <v/>
      </c>
      <c r="AN216" s="93"/>
      <c r="AO216" s="94"/>
      <c r="AP216" s="95" t="str">
        <f t="shared" si="62"/>
        <v/>
      </c>
    </row>
    <row r="217" spans="1:42" x14ac:dyDescent="0.25">
      <c r="A217" s="91">
        <v>46238</v>
      </c>
      <c r="B217" s="92">
        <f t="shared" si="48"/>
        <v>32</v>
      </c>
      <c r="C217" s="92">
        <f t="shared" si="49"/>
        <v>8</v>
      </c>
      <c r="D217" s="93"/>
      <c r="E217" s="94"/>
      <c r="F217" s="95" t="str">
        <f t="shared" si="50"/>
        <v/>
      </c>
      <c r="G217" s="93"/>
      <c r="H217" s="94"/>
      <c r="I217" s="95" t="str">
        <f t="shared" si="61"/>
        <v/>
      </c>
      <c r="J217" s="93"/>
      <c r="K217" s="94"/>
      <c r="L217" s="95" t="str">
        <f t="shared" si="51"/>
        <v/>
      </c>
      <c r="M217" s="93"/>
      <c r="N217" s="94"/>
      <c r="O217" s="95" t="str">
        <f t="shared" si="52"/>
        <v/>
      </c>
      <c r="P217" s="93"/>
      <c r="Q217" s="94"/>
      <c r="R217" s="95" t="str">
        <f t="shared" si="53"/>
        <v/>
      </c>
      <c r="S217" s="93"/>
      <c r="T217" s="94"/>
      <c r="U217" s="95" t="str">
        <f t="shared" si="54"/>
        <v/>
      </c>
      <c r="V217" s="93"/>
      <c r="W217" s="94"/>
      <c r="X217" s="95" t="str">
        <f t="shared" si="55"/>
        <v/>
      </c>
      <c r="Y217" s="94"/>
      <c r="Z217" s="94"/>
      <c r="AA217" s="112" t="str">
        <f t="shared" si="56"/>
        <v/>
      </c>
      <c r="AB217" s="93"/>
      <c r="AC217" s="94"/>
      <c r="AD217" s="95" t="str">
        <f t="shared" si="57"/>
        <v/>
      </c>
      <c r="AE217" s="93"/>
      <c r="AF217" s="94"/>
      <c r="AG217" s="95" t="str">
        <f t="shared" si="58"/>
        <v/>
      </c>
      <c r="AH217" s="93"/>
      <c r="AI217" s="94"/>
      <c r="AJ217" s="95" t="str">
        <f t="shared" si="59"/>
        <v/>
      </c>
      <c r="AK217" s="93"/>
      <c r="AL217" s="94"/>
      <c r="AM217" s="95" t="str">
        <f t="shared" si="60"/>
        <v/>
      </c>
      <c r="AN217" s="93"/>
      <c r="AO217" s="94"/>
      <c r="AP217" s="95" t="str">
        <f t="shared" si="62"/>
        <v/>
      </c>
    </row>
    <row r="218" spans="1:42" x14ac:dyDescent="0.25">
      <c r="A218" s="91">
        <v>46239</v>
      </c>
      <c r="B218" s="92">
        <f t="shared" si="48"/>
        <v>32</v>
      </c>
      <c r="C218" s="92">
        <f t="shared" si="49"/>
        <v>8</v>
      </c>
      <c r="D218" s="93"/>
      <c r="E218" s="94"/>
      <c r="F218" s="95" t="str">
        <f t="shared" si="50"/>
        <v/>
      </c>
      <c r="G218" s="93"/>
      <c r="H218" s="94"/>
      <c r="I218" s="95" t="str">
        <f t="shared" si="61"/>
        <v/>
      </c>
      <c r="J218" s="93"/>
      <c r="K218" s="94"/>
      <c r="L218" s="95" t="str">
        <f t="shared" si="51"/>
        <v/>
      </c>
      <c r="M218" s="93"/>
      <c r="N218" s="94"/>
      <c r="O218" s="95" t="str">
        <f t="shared" si="52"/>
        <v/>
      </c>
      <c r="P218" s="93"/>
      <c r="Q218" s="94"/>
      <c r="R218" s="95" t="str">
        <f t="shared" si="53"/>
        <v/>
      </c>
      <c r="S218" s="93"/>
      <c r="T218" s="94"/>
      <c r="U218" s="95" t="str">
        <f t="shared" si="54"/>
        <v/>
      </c>
      <c r="V218" s="93"/>
      <c r="W218" s="94"/>
      <c r="X218" s="95" t="str">
        <f t="shared" si="55"/>
        <v/>
      </c>
      <c r="Y218" s="94"/>
      <c r="Z218" s="94"/>
      <c r="AA218" s="112" t="str">
        <f t="shared" si="56"/>
        <v/>
      </c>
      <c r="AB218" s="93"/>
      <c r="AC218" s="94"/>
      <c r="AD218" s="95" t="str">
        <f t="shared" si="57"/>
        <v/>
      </c>
      <c r="AE218" s="93"/>
      <c r="AF218" s="94"/>
      <c r="AG218" s="95" t="str">
        <f t="shared" si="58"/>
        <v/>
      </c>
      <c r="AH218" s="93"/>
      <c r="AI218" s="94"/>
      <c r="AJ218" s="95" t="str">
        <f t="shared" si="59"/>
        <v/>
      </c>
      <c r="AK218" s="93"/>
      <c r="AL218" s="94"/>
      <c r="AM218" s="95" t="str">
        <f t="shared" si="60"/>
        <v/>
      </c>
      <c r="AN218" s="93"/>
      <c r="AO218" s="94"/>
      <c r="AP218" s="95" t="str">
        <f t="shared" si="62"/>
        <v/>
      </c>
    </row>
    <row r="219" spans="1:42" x14ac:dyDescent="0.25">
      <c r="A219" s="91">
        <v>46240</v>
      </c>
      <c r="B219" s="92">
        <f t="shared" si="48"/>
        <v>32</v>
      </c>
      <c r="C219" s="92">
        <f t="shared" si="49"/>
        <v>8</v>
      </c>
      <c r="D219" s="93"/>
      <c r="E219" s="94"/>
      <c r="F219" s="95" t="str">
        <f t="shared" si="50"/>
        <v/>
      </c>
      <c r="G219" s="93"/>
      <c r="H219" s="94"/>
      <c r="I219" s="95" t="str">
        <f t="shared" si="61"/>
        <v/>
      </c>
      <c r="J219" s="93"/>
      <c r="K219" s="94"/>
      <c r="L219" s="95" t="str">
        <f t="shared" si="51"/>
        <v/>
      </c>
      <c r="M219" s="93"/>
      <c r="N219" s="94"/>
      <c r="O219" s="95" t="str">
        <f t="shared" si="52"/>
        <v/>
      </c>
      <c r="P219" s="93"/>
      <c r="Q219" s="94"/>
      <c r="R219" s="95" t="str">
        <f t="shared" si="53"/>
        <v/>
      </c>
      <c r="S219" s="93"/>
      <c r="T219" s="94"/>
      <c r="U219" s="95" t="str">
        <f t="shared" si="54"/>
        <v/>
      </c>
      <c r="V219" s="93"/>
      <c r="W219" s="94"/>
      <c r="X219" s="95" t="str">
        <f t="shared" si="55"/>
        <v/>
      </c>
      <c r="Y219" s="94"/>
      <c r="Z219" s="94"/>
      <c r="AA219" s="112" t="str">
        <f t="shared" si="56"/>
        <v/>
      </c>
      <c r="AB219" s="93"/>
      <c r="AC219" s="94"/>
      <c r="AD219" s="95" t="str">
        <f t="shared" si="57"/>
        <v/>
      </c>
      <c r="AE219" s="93"/>
      <c r="AF219" s="94"/>
      <c r="AG219" s="95" t="str">
        <f t="shared" si="58"/>
        <v/>
      </c>
      <c r="AH219" s="93"/>
      <c r="AI219" s="94"/>
      <c r="AJ219" s="95" t="str">
        <f t="shared" si="59"/>
        <v/>
      </c>
      <c r="AK219" s="93"/>
      <c r="AL219" s="94"/>
      <c r="AM219" s="95" t="str">
        <f t="shared" si="60"/>
        <v/>
      </c>
      <c r="AN219" s="93"/>
      <c r="AO219" s="94"/>
      <c r="AP219" s="95" t="str">
        <f t="shared" si="62"/>
        <v/>
      </c>
    </row>
    <row r="220" spans="1:42" x14ac:dyDescent="0.25">
      <c r="A220" s="91">
        <v>46241</v>
      </c>
      <c r="B220" s="92">
        <f t="shared" si="48"/>
        <v>32</v>
      </c>
      <c r="C220" s="92">
        <f t="shared" si="49"/>
        <v>8</v>
      </c>
      <c r="D220" s="93"/>
      <c r="E220" s="94"/>
      <c r="F220" s="95" t="str">
        <f t="shared" si="50"/>
        <v/>
      </c>
      <c r="G220" s="93"/>
      <c r="H220" s="94"/>
      <c r="I220" s="95" t="str">
        <f t="shared" si="61"/>
        <v/>
      </c>
      <c r="J220" s="93"/>
      <c r="K220" s="94"/>
      <c r="L220" s="95" t="str">
        <f t="shared" si="51"/>
        <v/>
      </c>
      <c r="M220" s="93"/>
      <c r="N220" s="94"/>
      <c r="O220" s="95" t="str">
        <f t="shared" si="52"/>
        <v/>
      </c>
      <c r="P220" s="93"/>
      <c r="Q220" s="94"/>
      <c r="R220" s="95" t="str">
        <f t="shared" si="53"/>
        <v/>
      </c>
      <c r="S220" s="93"/>
      <c r="T220" s="94"/>
      <c r="U220" s="95" t="str">
        <f t="shared" si="54"/>
        <v/>
      </c>
      <c r="V220" s="93"/>
      <c r="W220" s="94"/>
      <c r="X220" s="95" t="str">
        <f t="shared" si="55"/>
        <v/>
      </c>
      <c r="Y220" s="94"/>
      <c r="Z220" s="94"/>
      <c r="AA220" s="112" t="str">
        <f t="shared" si="56"/>
        <v/>
      </c>
      <c r="AB220" s="93"/>
      <c r="AC220" s="94"/>
      <c r="AD220" s="95" t="str">
        <f t="shared" si="57"/>
        <v/>
      </c>
      <c r="AE220" s="93"/>
      <c r="AF220" s="94"/>
      <c r="AG220" s="95" t="str">
        <f t="shared" si="58"/>
        <v/>
      </c>
      <c r="AH220" s="93"/>
      <c r="AI220" s="94"/>
      <c r="AJ220" s="95" t="str">
        <f t="shared" si="59"/>
        <v/>
      </c>
      <c r="AK220" s="93"/>
      <c r="AL220" s="94"/>
      <c r="AM220" s="95" t="str">
        <f t="shared" si="60"/>
        <v/>
      </c>
      <c r="AN220" s="93"/>
      <c r="AO220" s="94"/>
      <c r="AP220" s="95" t="str">
        <f t="shared" si="62"/>
        <v/>
      </c>
    </row>
    <row r="221" spans="1:42" x14ac:dyDescent="0.25">
      <c r="A221" s="91">
        <v>46242</v>
      </c>
      <c r="B221" s="92">
        <f t="shared" si="48"/>
        <v>32</v>
      </c>
      <c r="C221" s="92">
        <f t="shared" si="49"/>
        <v>8</v>
      </c>
      <c r="D221" s="93"/>
      <c r="E221" s="94"/>
      <c r="F221" s="95" t="str">
        <f t="shared" si="50"/>
        <v/>
      </c>
      <c r="G221" s="93"/>
      <c r="H221" s="94"/>
      <c r="I221" s="95" t="str">
        <f t="shared" si="61"/>
        <v/>
      </c>
      <c r="J221" s="93"/>
      <c r="K221" s="94"/>
      <c r="L221" s="95" t="str">
        <f t="shared" si="51"/>
        <v/>
      </c>
      <c r="M221" s="93"/>
      <c r="N221" s="94"/>
      <c r="O221" s="95" t="str">
        <f t="shared" si="52"/>
        <v/>
      </c>
      <c r="P221" s="93"/>
      <c r="Q221" s="94"/>
      <c r="R221" s="95" t="str">
        <f t="shared" si="53"/>
        <v/>
      </c>
      <c r="S221" s="93"/>
      <c r="T221" s="94"/>
      <c r="U221" s="95" t="str">
        <f t="shared" si="54"/>
        <v/>
      </c>
      <c r="V221" s="93"/>
      <c r="W221" s="94"/>
      <c r="X221" s="95" t="str">
        <f t="shared" si="55"/>
        <v/>
      </c>
      <c r="Y221" s="94"/>
      <c r="Z221" s="94"/>
      <c r="AA221" s="112" t="str">
        <f t="shared" si="56"/>
        <v/>
      </c>
      <c r="AB221" s="93"/>
      <c r="AC221" s="94"/>
      <c r="AD221" s="95" t="str">
        <f t="shared" si="57"/>
        <v/>
      </c>
      <c r="AE221" s="93"/>
      <c r="AF221" s="94"/>
      <c r="AG221" s="95" t="str">
        <f t="shared" si="58"/>
        <v/>
      </c>
      <c r="AH221" s="93"/>
      <c r="AI221" s="94"/>
      <c r="AJ221" s="95" t="str">
        <f t="shared" si="59"/>
        <v/>
      </c>
      <c r="AK221" s="93"/>
      <c r="AL221" s="94"/>
      <c r="AM221" s="95" t="str">
        <f t="shared" si="60"/>
        <v/>
      </c>
      <c r="AN221" s="93"/>
      <c r="AO221" s="94"/>
      <c r="AP221" s="95" t="str">
        <f t="shared" si="62"/>
        <v/>
      </c>
    </row>
    <row r="222" spans="1:42" x14ac:dyDescent="0.25">
      <c r="A222" s="91">
        <v>46243</v>
      </c>
      <c r="B222" s="92">
        <f t="shared" si="48"/>
        <v>32</v>
      </c>
      <c r="C222" s="92">
        <f t="shared" si="49"/>
        <v>8</v>
      </c>
      <c r="D222" s="93"/>
      <c r="E222" s="94"/>
      <c r="F222" s="95" t="str">
        <f t="shared" si="50"/>
        <v/>
      </c>
      <c r="G222" s="93"/>
      <c r="H222" s="94"/>
      <c r="I222" s="95" t="str">
        <f t="shared" si="61"/>
        <v/>
      </c>
      <c r="J222" s="93"/>
      <c r="K222" s="94"/>
      <c r="L222" s="95" t="str">
        <f t="shared" si="51"/>
        <v/>
      </c>
      <c r="M222" s="93"/>
      <c r="N222" s="94"/>
      <c r="O222" s="95" t="str">
        <f t="shared" si="52"/>
        <v/>
      </c>
      <c r="P222" s="93"/>
      <c r="Q222" s="94"/>
      <c r="R222" s="95" t="str">
        <f t="shared" si="53"/>
        <v/>
      </c>
      <c r="S222" s="93"/>
      <c r="T222" s="94"/>
      <c r="U222" s="95" t="str">
        <f t="shared" si="54"/>
        <v/>
      </c>
      <c r="V222" s="93"/>
      <c r="W222" s="94"/>
      <c r="X222" s="95" t="str">
        <f t="shared" si="55"/>
        <v/>
      </c>
      <c r="Y222" s="94"/>
      <c r="Z222" s="94"/>
      <c r="AA222" s="112" t="str">
        <f t="shared" si="56"/>
        <v/>
      </c>
      <c r="AB222" s="93"/>
      <c r="AC222" s="94"/>
      <c r="AD222" s="95" t="str">
        <f t="shared" si="57"/>
        <v/>
      </c>
      <c r="AE222" s="93"/>
      <c r="AF222" s="94"/>
      <c r="AG222" s="95" t="str">
        <f t="shared" si="58"/>
        <v/>
      </c>
      <c r="AH222" s="93"/>
      <c r="AI222" s="94"/>
      <c r="AJ222" s="95" t="str">
        <f t="shared" si="59"/>
        <v/>
      </c>
      <c r="AK222" s="93"/>
      <c r="AL222" s="94"/>
      <c r="AM222" s="95" t="str">
        <f t="shared" si="60"/>
        <v/>
      </c>
      <c r="AN222" s="93"/>
      <c r="AO222" s="94"/>
      <c r="AP222" s="95" t="str">
        <f t="shared" si="62"/>
        <v/>
      </c>
    </row>
    <row r="223" spans="1:42" x14ac:dyDescent="0.25">
      <c r="A223" s="91">
        <v>46244</v>
      </c>
      <c r="B223" s="92">
        <f t="shared" si="48"/>
        <v>33</v>
      </c>
      <c r="C223" s="92">
        <f t="shared" si="49"/>
        <v>8</v>
      </c>
      <c r="D223" s="93"/>
      <c r="E223" s="94"/>
      <c r="F223" s="95" t="str">
        <f t="shared" si="50"/>
        <v/>
      </c>
      <c r="G223" s="93"/>
      <c r="H223" s="94"/>
      <c r="I223" s="95" t="str">
        <f t="shared" si="61"/>
        <v/>
      </c>
      <c r="J223" s="93"/>
      <c r="K223" s="94"/>
      <c r="L223" s="95" t="str">
        <f t="shared" si="51"/>
        <v/>
      </c>
      <c r="M223" s="93"/>
      <c r="N223" s="94"/>
      <c r="O223" s="95" t="str">
        <f t="shared" si="52"/>
        <v/>
      </c>
      <c r="P223" s="93"/>
      <c r="Q223" s="94"/>
      <c r="R223" s="95" t="str">
        <f t="shared" si="53"/>
        <v/>
      </c>
      <c r="S223" s="93"/>
      <c r="T223" s="94"/>
      <c r="U223" s="95" t="str">
        <f t="shared" si="54"/>
        <v/>
      </c>
      <c r="V223" s="93"/>
      <c r="W223" s="94"/>
      <c r="X223" s="95" t="str">
        <f t="shared" si="55"/>
        <v/>
      </c>
      <c r="Y223" s="94"/>
      <c r="Z223" s="94"/>
      <c r="AA223" s="112" t="str">
        <f t="shared" si="56"/>
        <v/>
      </c>
      <c r="AB223" s="93"/>
      <c r="AC223" s="94"/>
      <c r="AD223" s="95" t="str">
        <f t="shared" si="57"/>
        <v/>
      </c>
      <c r="AE223" s="93"/>
      <c r="AF223" s="94"/>
      <c r="AG223" s="95" t="str">
        <f t="shared" si="58"/>
        <v/>
      </c>
      <c r="AH223" s="93"/>
      <c r="AI223" s="94"/>
      <c r="AJ223" s="95" t="str">
        <f t="shared" si="59"/>
        <v/>
      </c>
      <c r="AK223" s="93"/>
      <c r="AL223" s="94"/>
      <c r="AM223" s="95" t="str">
        <f t="shared" si="60"/>
        <v/>
      </c>
      <c r="AN223" s="93"/>
      <c r="AO223" s="94"/>
      <c r="AP223" s="95" t="str">
        <f t="shared" si="62"/>
        <v/>
      </c>
    </row>
    <row r="224" spans="1:42" x14ac:dyDescent="0.25">
      <c r="A224" s="91">
        <v>46245</v>
      </c>
      <c r="B224" s="92">
        <f t="shared" si="48"/>
        <v>33</v>
      </c>
      <c r="C224" s="92">
        <f t="shared" si="49"/>
        <v>8</v>
      </c>
      <c r="D224" s="93"/>
      <c r="E224" s="94"/>
      <c r="F224" s="95" t="str">
        <f t="shared" si="50"/>
        <v/>
      </c>
      <c r="G224" s="93"/>
      <c r="H224" s="94"/>
      <c r="I224" s="95" t="str">
        <f t="shared" si="61"/>
        <v/>
      </c>
      <c r="J224" s="93"/>
      <c r="K224" s="94"/>
      <c r="L224" s="95" t="str">
        <f t="shared" si="51"/>
        <v/>
      </c>
      <c r="M224" s="93"/>
      <c r="N224" s="94"/>
      <c r="O224" s="95" t="str">
        <f t="shared" si="52"/>
        <v/>
      </c>
      <c r="P224" s="93"/>
      <c r="Q224" s="94"/>
      <c r="R224" s="95" t="str">
        <f t="shared" si="53"/>
        <v/>
      </c>
      <c r="S224" s="93"/>
      <c r="T224" s="94"/>
      <c r="U224" s="95" t="str">
        <f t="shared" si="54"/>
        <v/>
      </c>
      <c r="V224" s="93"/>
      <c r="W224" s="94"/>
      <c r="X224" s="95" t="str">
        <f t="shared" si="55"/>
        <v/>
      </c>
      <c r="Y224" s="94"/>
      <c r="Z224" s="94"/>
      <c r="AA224" s="112" t="str">
        <f t="shared" si="56"/>
        <v/>
      </c>
      <c r="AB224" s="93"/>
      <c r="AC224" s="94"/>
      <c r="AD224" s="95" t="str">
        <f t="shared" si="57"/>
        <v/>
      </c>
      <c r="AE224" s="93"/>
      <c r="AF224" s="94"/>
      <c r="AG224" s="95" t="str">
        <f t="shared" si="58"/>
        <v/>
      </c>
      <c r="AH224" s="93"/>
      <c r="AI224" s="94"/>
      <c r="AJ224" s="95" t="str">
        <f t="shared" si="59"/>
        <v/>
      </c>
      <c r="AK224" s="93"/>
      <c r="AL224" s="94"/>
      <c r="AM224" s="95" t="str">
        <f t="shared" si="60"/>
        <v/>
      </c>
      <c r="AN224" s="93"/>
      <c r="AO224" s="94"/>
      <c r="AP224" s="95" t="str">
        <f t="shared" si="62"/>
        <v/>
      </c>
    </row>
    <row r="225" spans="1:42" x14ac:dyDescent="0.25">
      <c r="A225" s="91">
        <v>46246</v>
      </c>
      <c r="B225" s="92">
        <f t="shared" si="48"/>
        <v>33</v>
      </c>
      <c r="C225" s="92">
        <f t="shared" si="49"/>
        <v>8</v>
      </c>
      <c r="D225" s="93"/>
      <c r="E225" s="94"/>
      <c r="F225" s="95" t="str">
        <f t="shared" si="50"/>
        <v/>
      </c>
      <c r="G225" s="93"/>
      <c r="H225" s="94"/>
      <c r="I225" s="95" t="str">
        <f t="shared" si="61"/>
        <v/>
      </c>
      <c r="J225" s="93"/>
      <c r="K225" s="94"/>
      <c r="L225" s="95" t="str">
        <f t="shared" si="51"/>
        <v/>
      </c>
      <c r="M225" s="93"/>
      <c r="N225" s="94"/>
      <c r="O225" s="95" t="str">
        <f t="shared" si="52"/>
        <v/>
      </c>
      <c r="P225" s="93"/>
      <c r="Q225" s="94"/>
      <c r="R225" s="95" t="str">
        <f t="shared" si="53"/>
        <v/>
      </c>
      <c r="S225" s="93"/>
      <c r="T225" s="94"/>
      <c r="U225" s="95" t="str">
        <f t="shared" si="54"/>
        <v/>
      </c>
      <c r="V225" s="93"/>
      <c r="W225" s="94"/>
      <c r="X225" s="95" t="str">
        <f t="shared" si="55"/>
        <v/>
      </c>
      <c r="Y225" s="94"/>
      <c r="Z225" s="94"/>
      <c r="AA225" s="112" t="str">
        <f t="shared" si="56"/>
        <v/>
      </c>
      <c r="AB225" s="93"/>
      <c r="AC225" s="94"/>
      <c r="AD225" s="95" t="str">
        <f t="shared" si="57"/>
        <v/>
      </c>
      <c r="AE225" s="93"/>
      <c r="AF225" s="94"/>
      <c r="AG225" s="95" t="str">
        <f t="shared" si="58"/>
        <v/>
      </c>
      <c r="AH225" s="93"/>
      <c r="AI225" s="94"/>
      <c r="AJ225" s="95" t="str">
        <f t="shared" si="59"/>
        <v/>
      </c>
      <c r="AK225" s="93"/>
      <c r="AL225" s="94"/>
      <c r="AM225" s="95" t="str">
        <f t="shared" si="60"/>
        <v/>
      </c>
      <c r="AN225" s="93"/>
      <c r="AO225" s="94"/>
      <c r="AP225" s="95" t="str">
        <f t="shared" si="62"/>
        <v/>
      </c>
    </row>
    <row r="226" spans="1:42" x14ac:dyDescent="0.25">
      <c r="A226" s="91">
        <v>46247</v>
      </c>
      <c r="B226" s="92">
        <f t="shared" si="48"/>
        <v>33</v>
      </c>
      <c r="C226" s="92">
        <f t="shared" si="49"/>
        <v>8</v>
      </c>
      <c r="D226" s="93"/>
      <c r="E226" s="94"/>
      <c r="F226" s="95" t="str">
        <f t="shared" si="50"/>
        <v/>
      </c>
      <c r="G226" s="93"/>
      <c r="H226" s="94"/>
      <c r="I226" s="95" t="str">
        <f t="shared" si="61"/>
        <v/>
      </c>
      <c r="J226" s="93"/>
      <c r="K226" s="94"/>
      <c r="L226" s="95" t="str">
        <f t="shared" si="51"/>
        <v/>
      </c>
      <c r="M226" s="93"/>
      <c r="N226" s="94"/>
      <c r="O226" s="95" t="str">
        <f t="shared" si="52"/>
        <v/>
      </c>
      <c r="P226" s="93"/>
      <c r="Q226" s="94"/>
      <c r="R226" s="95" t="str">
        <f t="shared" si="53"/>
        <v/>
      </c>
      <c r="S226" s="93"/>
      <c r="T226" s="94"/>
      <c r="U226" s="95" t="str">
        <f t="shared" si="54"/>
        <v/>
      </c>
      <c r="V226" s="93"/>
      <c r="W226" s="94"/>
      <c r="X226" s="95" t="str">
        <f t="shared" si="55"/>
        <v/>
      </c>
      <c r="Y226" s="94"/>
      <c r="Z226" s="94"/>
      <c r="AA226" s="112" t="str">
        <f t="shared" si="56"/>
        <v/>
      </c>
      <c r="AB226" s="93"/>
      <c r="AC226" s="94"/>
      <c r="AD226" s="95" t="str">
        <f t="shared" si="57"/>
        <v/>
      </c>
      <c r="AE226" s="93"/>
      <c r="AF226" s="94"/>
      <c r="AG226" s="95" t="str">
        <f t="shared" si="58"/>
        <v/>
      </c>
      <c r="AH226" s="93"/>
      <c r="AI226" s="94"/>
      <c r="AJ226" s="95" t="str">
        <f t="shared" si="59"/>
        <v/>
      </c>
      <c r="AK226" s="93"/>
      <c r="AL226" s="94"/>
      <c r="AM226" s="95" t="str">
        <f t="shared" si="60"/>
        <v/>
      </c>
      <c r="AN226" s="93"/>
      <c r="AO226" s="94"/>
      <c r="AP226" s="95" t="str">
        <f t="shared" si="62"/>
        <v/>
      </c>
    </row>
    <row r="227" spans="1:42" x14ac:dyDescent="0.25">
      <c r="A227" s="91">
        <v>46248</v>
      </c>
      <c r="B227" s="92">
        <f t="shared" si="48"/>
        <v>33</v>
      </c>
      <c r="C227" s="92">
        <f t="shared" si="49"/>
        <v>8</v>
      </c>
      <c r="D227" s="93"/>
      <c r="E227" s="94"/>
      <c r="F227" s="95" t="str">
        <f t="shared" si="50"/>
        <v/>
      </c>
      <c r="G227" s="93"/>
      <c r="H227" s="94"/>
      <c r="I227" s="95" t="str">
        <f t="shared" si="61"/>
        <v/>
      </c>
      <c r="J227" s="93"/>
      <c r="K227" s="94"/>
      <c r="L227" s="95" t="str">
        <f t="shared" si="51"/>
        <v/>
      </c>
      <c r="M227" s="93"/>
      <c r="N227" s="94"/>
      <c r="O227" s="95" t="str">
        <f t="shared" si="52"/>
        <v/>
      </c>
      <c r="P227" s="93"/>
      <c r="Q227" s="94"/>
      <c r="R227" s="95" t="str">
        <f t="shared" si="53"/>
        <v/>
      </c>
      <c r="S227" s="93"/>
      <c r="T227" s="94"/>
      <c r="U227" s="95" t="str">
        <f t="shared" si="54"/>
        <v/>
      </c>
      <c r="V227" s="93"/>
      <c r="W227" s="94"/>
      <c r="X227" s="95" t="str">
        <f t="shared" si="55"/>
        <v/>
      </c>
      <c r="Y227" s="94"/>
      <c r="Z227" s="94"/>
      <c r="AA227" s="112" t="str">
        <f t="shared" si="56"/>
        <v/>
      </c>
      <c r="AB227" s="93"/>
      <c r="AC227" s="94"/>
      <c r="AD227" s="95" t="str">
        <f t="shared" si="57"/>
        <v/>
      </c>
      <c r="AE227" s="93"/>
      <c r="AF227" s="94"/>
      <c r="AG227" s="95" t="str">
        <f t="shared" si="58"/>
        <v/>
      </c>
      <c r="AH227" s="93"/>
      <c r="AI227" s="94"/>
      <c r="AJ227" s="95" t="str">
        <f t="shared" si="59"/>
        <v/>
      </c>
      <c r="AK227" s="93"/>
      <c r="AL227" s="94"/>
      <c r="AM227" s="95" t="str">
        <f t="shared" si="60"/>
        <v/>
      </c>
      <c r="AN227" s="93"/>
      <c r="AO227" s="94"/>
      <c r="AP227" s="95" t="str">
        <f t="shared" si="62"/>
        <v/>
      </c>
    </row>
    <row r="228" spans="1:42" x14ac:dyDescent="0.25">
      <c r="A228" s="91">
        <v>46249</v>
      </c>
      <c r="B228" s="92">
        <f t="shared" si="48"/>
        <v>33</v>
      </c>
      <c r="C228" s="92">
        <f t="shared" si="49"/>
        <v>8</v>
      </c>
      <c r="D228" s="93"/>
      <c r="E228" s="94"/>
      <c r="F228" s="95" t="str">
        <f t="shared" si="50"/>
        <v/>
      </c>
      <c r="G228" s="93"/>
      <c r="H228" s="94"/>
      <c r="I228" s="95" t="str">
        <f t="shared" si="61"/>
        <v/>
      </c>
      <c r="J228" s="93"/>
      <c r="K228" s="94"/>
      <c r="L228" s="95" t="str">
        <f t="shared" si="51"/>
        <v/>
      </c>
      <c r="M228" s="93"/>
      <c r="N228" s="94"/>
      <c r="O228" s="95" t="str">
        <f t="shared" si="52"/>
        <v/>
      </c>
      <c r="P228" s="93"/>
      <c r="Q228" s="94"/>
      <c r="R228" s="95" t="str">
        <f t="shared" si="53"/>
        <v/>
      </c>
      <c r="S228" s="93"/>
      <c r="T228" s="94"/>
      <c r="U228" s="95" t="str">
        <f t="shared" si="54"/>
        <v/>
      </c>
      <c r="V228" s="93"/>
      <c r="W228" s="94"/>
      <c r="X228" s="95" t="str">
        <f t="shared" si="55"/>
        <v/>
      </c>
      <c r="Y228" s="94"/>
      <c r="Z228" s="94"/>
      <c r="AA228" s="112" t="str">
        <f t="shared" si="56"/>
        <v/>
      </c>
      <c r="AB228" s="93"/>
      <c r="AC228" s="94"/>
      <c r="AD228" s="95" t="str">
        <f t="shared" si="57"/>
        <v/>
      </c>
      <c r="AE228" s="93"/>
      <c r="AF228" s="94"/>
      <c r="AG228" s="95" t="str">
        <f t="shared" si="58"/>
        <v/>
      </c>
      <c r="AH228" s="93"/>
      <c r="AI228" s="94"/>
      <c r="AJ228" s="95" t="str">
        <f t="shared" si="59"/>
        <v/>
      </c>
      <c r="AK228" s="93"/>
      <c r="AL228" s="94"/>
      <c r="AM228" s="95" t="str">
        <f t="shared" si="60"/>
        <v/>
      </c>
      <c r="AN228" s="93"/>
      <c r="AO228" s="94"/>
      <c r="AP228" s="95" t="str">
        <f t="shared" si="62"/>
        <v/>
      </c>
    </row>
    <row r="229" spans="1:42" x14ac:dyDescent="0.25">
      <c r="A229" s="91">
        <v>46250</v>
      </c>
      <c r="B229" s="92">
        <f t="shared" si="48"/>
        <v>33</v>
      </c>
      <c r="C229" s="92">
        <f t="shared" si="49"/>
        <v>8</v>
      </c>
      <c r="D229" s="93"/>
      <c r="E229" s="94"/>
      <c r="F229" s="95" t="str">
        <f t="shared" si="50"/>
        <v/>
      </c>
      <c r="G229" s="93"/>
      <c r="H229" s="94"/>
      <c r="I229" s="95" t="str">
        <f t="shared" si="61"/>
        <v/>
      </c>
      <c r="J229" s="93"/>
      <c r="K229" s="94"/>
      <c r="L229" s="95" t="str">
        <f t="shared" si="51"/>
        <v/>
      </c>
      <c r="M229" s="93"/>
      <c r="N229" s="94"/>
      <c r="O229" s="95" t="str">
        <f t="shared" si="52"/>
        <v/>
      </c>
      <c r="P229" s="93"/>
      <c r="Q229" s="94"/>
      <c r="R229" s="95" t="str">
        <f t="shared" si="53"/>
        <v/>
      </c>
      <c r="S229" s="93"/>
      <c r="T229" s="94"/>
      <c r="U229" s="95" t="str">
        <f t="shared" si="54"/>
        <v/>
      </c>
      <c r="V229" s="93"/>
      <c r="W229" s="94"/>
      <c r="X229" s="95" t="str">
        <f t="shared" si="55"/>
        <v/>
      </c>
      <c r="Y229" s="94"/>
      <c r="Z229" s="94"/>
      <c r="AA229" s="112" t="str">
        <f t="shared" si="56"/>
        <v/>
      </c>
      <c r="AB229" s="93"/>
      <c r="AC229" s="94"/>
      <c r="AD229" s="95" t="str">
        <f t="shared" si="57"/>
        <v/>
      </c>
      <c r="AE229" s="93"/>
      <c r="AF229" s="94"/>
      <c r="AG229" s="95" t="str">
        <f t="shared" si="58"/>
        <v/>
      </c>
      <c r="AH229" s="93"/>
      <c r="AI229" s="94"/>
      <c r="AJ229" s="95" t="str">
        <f t="shared" si="59"/>
        <v/>
      </c>
      <c r="AK229" s="93"/>
      <c r="AL229" s="94"/>
      <c r="AM229" s="95" t="str">
        <f t="shared" si="60"/>
        <v/>
      </c>
      <c r="AN229" s="93"/>
      <c r="AO229" s="94"/>
      <c r="AP229" s="95" t="str">
        <f t="shared" si="62"/>
        <v/>
      </c>
    </row>
    <row r="230" spans="1:42" x14ac:dyDescent="0.25">
      <c r="A230" s="91">
        <v>46251</v>
      </c>
      <c r="B230" s="92">
        <f t="shared" si="48"/>
        <v>34</v>
      </c>
      <c r="C230" s="92">
        <f t="shared" si="49"/>
        <v>8</v>
      </c>
      <c r="D230" s="93"/>
      <c r="E230" s="94"/>
      <c r="F230" s="95" t="str">
        <f t="shared" si="50"/>
        <v/>
      </c>
      <c r="G230" s="93"/>
      <c r="H230" s="94"/>
      <c r="I230" s="95" t="str">
        <f t="shared" si="61"/>
        <v/>
      </c>
      <c r="J230" s="93"/>
      <c r="K230" s="94"/>
      <c r="L230" s="95" t="str">
        <f t="shared" si="51"/>
        <v/>
      </c>
      <c r="M230" s="93"/>
      <c r="N230" s="94"/>
      <c r="O230" s="95" t="str">
        <f t="shared" si="52"/>
        <v/>
      </c>
      <c r="P230" s="93"/>
      <c r="Q230" s="94"/>
      <c r="R230" s="95" t="str">
        <f t="shared" si="53"/>
        <v/>
      </c>
      <c r="S230" s="93"/>
      <c r="T230" s="94"/>
      <c r="U230" s="95" t="str">
        <f t="shared" si="54"/>
        <v/>
      </c>
      <c r="V230" s="93"/>
      <c r="W230" s="94"/>
      <c r="X230" s="95" t="str">
        <f t="shared" si="55"/>
        <v/>
      </c>
      <c r="Y230" s="94"/>
      <c r="Z230" s="94"/>
      <c r="AA230" s="112" t="str">
        <f t="shared" si="56"/>
        <v/>
      </c>
      <c r="AB230" s="93"/>
      <c r="AC230" s="94"/>
      <c r="AD230" s="95" t="str">
        <f t="shared" si="57"/>
        <v/>
      </c>
      <c r="AE230" s="93"/>
      <c r="AF230" s="94"/>
      <c r="AG230" s="95" t="str">
        <f t="shared" si="58"/>
        <v/>
      </c>
      <c r="AH230" s="93"/>
      <c r="AI230" s="94"/>
      <c r="AJ230" s="95" t="str">
        <f t="shared" si="59"/>
        <v/>
      </c>
      <c r="AK230" s="93"/>
      <c r="AL230" s="94"/>
      <c r="AM230" s="95" t="str">
        <f t="shared" si="60"/>
        <v/>
      </c>
      <c r="AN230" s="93"/>
      <c r="AO230" s="94"/>
      <c r="AP230" s="95" t="str">
        <f t="shared" si="62"/>
        <v/>
      </c>
    </row>
    <row r="231" spans="1:42" x14ac:dyDescent="0.25">
      <c r="A231" s="91">
        <v>46252</v>
      </c>
      <c r="B231" s="92">
        <f t="shared" si="48"/>
        <v>34</v>
      </c>
      <c r="C231" s="92">
        <f t="shared" si="49"/>
        <v>8</v>
      </c>
      <c r="D231" s="93"/>
      <c r="E231" s="94"/>
      <c r="F231" s="95" t="str">
        <f t="shared" si="50"/>
        <v/>
      </c>
      <c r="G231" s="93"/>
      <c r="H231" s="94"/>
      <c r="I231" s="95" t="str">
        <f t="shared" si="61"/>
        <v/>
      </c>
      <c r="J231" s="93"/>
      <c r="K231" s="94"/>
      <c r="L231" s="95" t="str">
        <f t="shared" si="51"/>
        <v/>
      </c>
      <c r="M231" s="93"/>
      <c r="N231" s="94"/>
      <c r="O231" s="95" t="str">
        <f t="shared" si="52"/>
        <v/>
      </c>
      <c r="P231" s="93"/>
      <c r="Q231" s="94"/>
      <c r="R231" s="95" t="str">
        <f t="shared" si="53"/>
        <v/>
      </c>
      <c r="S231" s="93"/>
      <c r="T231" s="94"/>
      <c r="U231" s="95" t="str">
        <f t="shared" si="54"/>
        <v/>
      </c>
      <c r="V231" s="93"/>
      <c r="W231" s="94"/>
      <c r="X231" s="95" t="str">
        <f t="shared" si="55"/>
        <v/>
      </c>
      <c r="Y231" s="94"/>
      <c r="Z231" s="94"/>
      <c r="AA231" s="112" t="str">
        <f t="shared" si="56"/>
        <v/>
      </c>
      <c r="AB231" s="93"/>
      <c r="AC231" s="94"/>
      <c r="AD231" s="95" t="str">
        <f t="shared" si="57"/>
        <v/>
      </c>
      <c r="AE231" s="93"/>
      <c r="AF231" s="94"/>
      <c r="AG231" s="95" t="str">
        <f t="shared" si="58"/>
        <v/>
      </c>
      <c r="AH231" s="93"/>
      <c r="AI231" s="94"/>
      <c r="AJ231" s="95" t="str">
        <f t="shared" si="59"/>
        <v/>
      </c>
      <c r="AK231" s="93"/>
      <c r="AL231" s="94"/>
      <c r="AM231" s="95" t="str">
        <f t="shared" si="60"/>
        <v/>
      </c>
      <c r="AN231" s="93"/>
      <c r="AO231" s="94"/>
      <c r="AP231" s="95" t="str">
        <f t="shared" si="62"/>
        <v/>
      </c>
    </row>
    <row r="232" spans="1:42" x14ac:dyDescent="0.25">
      <c r="A232" s="91">
        <v>46253</v>
      </c>
      <c r="B232" s="92">
        <f t="shared" si="48"/>
        <v>34</v>
      </c>
      <c r="C232" s="92">
        <f t="shared" si="49"/>
        <v>8</v>
      </c>
      <c r="D232" s="93"/>
      <c r="E232" s="94"/>
      <c r="F232" s="95" t="str">
        <f t="shared" si="50"/>
        <v/>
      </c>
      <c r="G232" s="93"/>
      <c r="H232" s="94"/>
      <c r="I232" s="95" t="str">
        <f t="shared" si="61"/>
        <v/>
      </c>
      <c r="J232" s="93"/>
      <c r="K232" s="94"/>
      <c r="L232" s="95" t="str">
        <f t="shared" si="51"/>
        <v/>
      </c>
      <c r="M232" s="93"/>
      <c r="N232" s="94"/>
      <c r="O232" s="95" t="str">
        <f t="shared" si="52"/>
        <v/>
      </c>
      <c r="P232" s="93"/>
      <c r="Q232" s="94"/>
      <c r="R232" s="95" t="str">
        <f t="shared" si="53"/>
        <v/>
      </c>
      <c r="S232" s="93"/>
      <c r="T232" s="94"/>
      <c r="U232" s="95" t="str">
        <f t="shared" si="54"/>
        <v/>
      </c>
      <c r="V232" s="93"/>
      <c r="W232" s="94"/>
      <c r="X232" s="95" t="str">
        <f t="shared" si="55"/>
        <v/>
      </c>
      <c r="Y232" s="94"/>
      <c r="Z232" s="94"/>
      <c r="AA232" s="112" t="str">
        <f t="shared" si="56"/>
        <v/>
      </c>
      <c r="AB232" s="93"/>
      <c r="AC232" s="94"/>
      <c r="AD232" s="95" t="str">
        <f t="shared" si="57"/>
        <v/>
      </c>
      <c r="AE232" s="93"/>
      <c r="AF232" s="94"/>
      <c r="AG232" s="95" t="str">
        <f t="shared" si="58"/>
        <v/>
      </c>
      <c r="AH232" s="93"/>
      <c r="AI232" s="94"/>
      <c r="AJ232" s="95" t="str">
        <f t="shared" si="59"/>
        <v/>
      </c>
      <c r="AK232" s="93"/>
      <c r="AL232" s="94"/>
      <c r="AM232" s="95" t="str">
        <f t="shared" si="60"/>
        <v/>
      </c>
      <c r="AN232" s="93"/>
      <c r="AO232" s="94"/>
      <c r="AP232" s="95" t="str">
        <f t="shared" si="62"/>
        <v/>
      </c>
    </row>
    <row r="233" spans="1:42" x14ac:dyDescent="0.25">
      <c r="A233" s="91">
        <v>46254</v>
      </c>
      <c r="B233" s="92">
        <f t="shared" si="48"/>
        <v>34</v>
      </c>
      <c r="C233" s="92">
        <f t="shared" si="49"/>
        <v>8</v>
      </c>
      <c r="D233" s="93"/>
      <c r="E233" s="94"/>
      <c r="F233" s="95" t="str">
        <f t="shared" si="50"/>
        <v/>
      </c>
      <c r="G233" s="93"/>
      <c r="H233" s="94"/>
      <c r="I233" s="95" t="str">
        <f t="shared" si="61"/>
        <v/>
      </c>
      <c r="J233" s="93"/>
      <c r="K233" s="94"/>
      <c r="L233" s="95" t="str">
        <f t="shared" si="51"/>
        <v/>
      </c>
      <c r="M233" s="93"/>
      <c r="N233" s="94"/>
      <c r="O233" s="95" t="str">
        <f t="shared" si="52"/>
        <v/>
      </c>
      <c r="P233" s="93"/>
      <c r="Q233" s="94"/>
      <c r="R233" s="95" t="str">
        <f t="shared" si="53"/>
        <v/>
      </c>
      <c r="S233" s="93"/>
      <c r="T233" s="94"/>
      <c r="U233" s="95" t="str">
        <f t="shared" si="54"/>
        <v/>
      </c>
      <c r="V233" s="93"/>
      <c r="W233" s="94"/>
      <c r="X233" s="95" t="str">
        <f t="shared" si="55"/>
        <v/>
      </c>
      <c r="Y233" s="94"/>
      <c r="Z233" s="94"/>
      <c r="AA233" s="112" t="str">
        <f t="shared" si="56"/>
        <v/>
      </c>
      <c r="AB233" s="93"/>
      <c r="AC233" s="94"/>
      <c r="AD233" s="95" t="str">
        <f t="shared" si="57"/>
        <v/>
      </c>
      <c r="AE233" s="93"/>
      <c r="AF233" s="94"/>
      <c r="AG233" s="95" t="str">
        <f t="shared" si="58"/>
        <v/>
      </c>
      <c r="AH233" s="93"/>
      <c r="AI233" s="94"/>
      <c r="AJ233" s="95" t="str">
        <f t="shared" si="59"/>
        <v/>
      </c>
      <c r="AK233" s="93"/>
      <c r="AL233" s="94"/>
      <c r="AM233" s="95" t="str">
        <f t="shared" si="60"/>
        <v/>
      </c>
      <c r="AN233" s="93"/>
      <c r="AO233" s="94"/>
      <c r="AP233" s="95" t="str">
        <f t="shared" si="62"/>
        <v/>
      </c>
    </row>
    <row r="234" spans="1:42" x14ac:dyDescent="0.25">
      <c r="A234" s="91">
        <v>46255</v>
      </c>
      <c r="B234" s="92">
        <f t="shared" si="48"/>
        <v>34</v>
      </c>
      <c r="C234" s="92">
        <f t="shared" si="49"/>
        <v>8</v>
      </c>
      <c r="D234" s="93"/>
      <c r="E234" s="94"/>
      <c r="F234" s="95" t="str">
        <f t="shared" si="50"/>
        <v/>
      </c>
      <c r="G234" s="93"/>
      <c r="H234" s="94"/>
      <c r="I234" s="95" t="str">
        <f t="shared" si="61"/>
        <v/>
      </c>
      <c r="J234" s="93"/>
      <c r="K234" s="94"/>
      <c r="L234" s="95" t="str">
        <f t="shared" si="51"/>
        <v/>
      </c>
      <c r="M234" s="93"/>
      <c r="N234" s="94"/>
      <c r="O234" s="95" t="str">
        <f t="shared" si="52"/>
        <v/>
      </c>
      <c r="P234" s="93"/>
      <c r="Q234" s="94"/>
      <c r="R234" s="95" t="str">
        <f t="shared" si="53"/>
        <v/>
      </c>
      <c r="S234" s="93"/>
      <c r="T234" s="94"/>
      <c r="U234" s="95" t="str">
        <f t="shared" si="54"/>
        <v/>
      </c>
      <c r="V234" s="93"/>
      <c r="W234" s="94"/>
      <c r="X234" s="95" t="str">
        <f t="shared" si="55"/>
        <v/>
      </c>
      <c r="Y234" s="94"/>
      <c r="Z234" s="94"/>
      <c r="AA234" s="112" t="str">
        <f t="shared" si="56"/>
        <v/>
      </c>
      <c r="AB234" s="93"/>
      <c r="AC234" s="94"/>
      <c r="AD234" s="95" t="str">
        <f t="shared" si="57"/>
        <v/>
      </c>
      <c r="AE234" s="93"/>
      <c r="AF234" s="94"/>
      <c r="AG234" s="95" t="str">
        <f t="shared" si="58"/>
        <v/>
      </c>
      <c r="AH234" s="93"/>
      <c r="AI234" s="94"/>
      <c r="AJ234" s="95" t="str">
        <f t="shared" si="59"/>
        <v/>
      </c>
      <c r="AK234" s="93"/>
      <c r="AL234" s="94"/>
      <c r="AM234" s="95" t="str">
        <f t="shared" si="60"/>
        <v/>
      </c>
      <c r="AN234" s="93"/>
      <c r="AO234" s="94"/>
      <c r="AP234" s="95" t="str">
        <f t="shared" si="62"/>
        <v/>
      </c>
    </row>
    <row r="235" spans="1:42" x14ac:dyDescent="0.25">
      <c r="A235" s="91">
        <v>46256</v>
      </c>
      <c r="B235" s="92">
        <f t="shared" si="48"/>
        <v>34</v>
      </c>
      <c r="C235" s="92">
        <f t="shared" si="49"/>
        <v>8</v>
      </c>
      <c r="D235" s="93"/>
      <c r="E235" s="94"/>
      <c r="F235" s="95" t="str">
        <f t="shared" si="50"/>
        <v/>
      </c>
      <c r="G235" s="93"/>
      <c r="H235" s="94"/>
      <c r="I235" s="95" t="str">
        <f t="shared" si="61"/>
        <v/>
      </c>
      <c r="J235" s="93"/>
      <c r="K235" s="94"/>
      <c r="L235" s="95" t="str">
        <f t="shared" si="51"/>
        <v/>
      </c>
      <c r="M235" s="93"/>
      <c r="N235" s="94"/>
      <c r="O235" s="95" t="str">
        <f t="shared" si="52"/>
        <v/>
      </c>
      <c r="P235" s="93"/>
      <c r="Q235" s="94"/>
      <c r="R235" s="95" t="str">
        <f t="shared" si="53"/>
        <v/>
      </c>
      <c r="S235" s="93"/>
      <c r="T235" s="94"/>
      <c r="U235" s="95" t="str">
        <f t="shared" si="54"/>
        <v/>
      </c>
      <c r="V235" s="93"/>
      <c r="W235" s="94"/>
      <c r="X235" s="95" t="str">
        <f t="shared" si="55"/>
        <v/>
      </c>
      <c r="Y235" s="94"/>
      <c r="Z235" s="94"/>
      <c r="AA235" s="112" t="str">
        <f t="shared" si="56"/>
        <v/>
      </c>
      <c r="AB235" s="93"/>
      <c r="AC235" s="94"/>
      <c r="AD235" s="95" t="str">
        <f t="shared" si="57"/>
        <v/>
      </c>
      <c r="AE235" s="93"/>
      <c r="AF235" s="94"/>
      <c r="AG235" s="95" t="str">
        <f t="shared" si="58"/>
        <v/>
      </c>
      <c r="AH235" s="93"/>
      <c r="AI235" s="94"/>
      <c r="AJ235" s="95" t="str">
        <f t="shared" si="59"/>
        <v/>
      </c>
      <c r="AK235" s="93"/>
      <c r="AL235" s="94"/>
      <c r="AM235" s="95" t="str">
        <f t="shared" si="60"/>
        <v/>
      </c>
      <c r="AN235" s="93"/>
      <c r="AO235" s="94"/>
      <c r="AP235" s="95" t="str">
        <f t="shared" si="62"/>
        <v/>
      </c>
    </row>
    <row r="236" spans="1:42" x14ac:dyDescent="0.25">
      <c r="A236" s="91">
        <v>46257</v>
      </c>
      <c r="B236" s="92">
        <f t="shared" si="48"/>
        <v>34</v>
      </c>
      <c r="C236" s="92">
        <f t="shared" si="49"/>
        <v>8</v>
      </c>
      <c r="D236" s="93"/>
      <c r="E236" s="94"/>
      <c r="F236" s="95" t="str">
        <f t="shared" si="50"/>
        <v/>
      </c>
      <c r="G236" s="93"/>
      <c r="H236" s="94"/>
      <c r="I236" s="95" t="str">
        <f t="shared" si="61"/>
        <v/>
      </c>
      <c r="J236" s="93"/>
      <c r="K236" s="94"/>
      <c r="L236" s="95" t="str">
        <f t="shared" si="51"/>
        <v/>
      </c>
      <c r="M236" s="93"/>
      <c r="N236" s="94"/>
      <c r="O236" s="95" t="str">
        <f t="shared" si="52"/>
        <v/>
      </c>
      <c r="P236" s="93"/>
      <c r="Q236" s="94"/>
      <c r="R236" s="95" t="str">
        <f t="shared" si="53"/>
        <v/>
      </c>
      <c r="S236" s="93"/>
      <c r="T236" s="94"/>
      <c r="U236" s="95" t="str">
        <f t="shared" si="54"/>
        <v/>
      </c>
      <c r="V236" s="93"/>
      <c r="W236" s="94"/>
      <c r="X236" s="95" t="str">
        <f t="shared" si="55"/>
        <v/>
      </c>
      <c r="Y236" s="94"/>
      <c r="Z236" s="94"/>
      <c r="AA236" s="112" t="str">
        <f t="shared" si="56"/>
        <v/>
      </c>
      <c r="AB236" s="93"/>
      <c r="AC236" s="94"/>
      <c r="AD236" s="95" t="str">
        <f t="shared" si="57"/>
        <v/>
      </c>
      <c r="AE236" s="93"/>
      <c r="AF236" s="94"/>
      <c r="AG236" s="95" t="str">
        <f t="shared" si="58"/>
        <v/>
      </c>
      <c r="AH236" s="93"/>
      <c r="AI236" s="94"/>
      <c r="AJ236" s="95" t="str">
        <f t="shared" si="59"/>
        <v/>
      </c>
      <c r="AK236" s="93"/>
      <c r="AL236" s="94"/>
      <c r="AM236" s="95" t="str">
        <f t="shared" si="60"/>
        <v/>
      </c>
      <c r="AN236" s="93"/>
      <c r="AO236" s="94"/>
      <c r="AP236" s="95" t="str">
        <f t="shared" si="62"/>
        <v/>
      </c>
    </row>
    <row r="237" spans="1:42" x14ac:dyDescent="0.25">
      <c r="A237" s="91">
        <v>46258</v>
      </c>
      <c r="B237" s="92">
        <f t="shared" si="48"/>
        <v>35</v>
      </c>
      <c r="C237" s="92">
        <f t="shared" si="49"/>
        <v>8</v>
      </c>
      <c r="D237" s="93"/>
      <c r="E237" s="94"/>
      <c r="F237" s="95" t="str">
        <f t="shared" si="50"/>
        <v/>
      </c>
      <c r="G237" s="93"/>
      <c r="H237" s="94"/>
      <c r="I237" s="95" t="str">
        <f t="shared" si="61"/>
        <v/>
      </c>
      <c r="J237" s="93"/>
      <c r="K237" s="94"/>
      <c r="L237" s="95" t="str">
        <f t="shared" si="51"/>
        <v/>
      </c>
      <c r="M237" s="93"/>
      <c r="N237" s="94"/>
      <c r="O237" s="95" t="str">
        <f t="shared" si="52"/>
        <v/>
      </c>
      <c r="P237" s="93"/>
      <c r="Q237" s="94"/>
      <c r="R237" s="95" t="str">
        <f t="shared" si="53"/>
        <v/>
      </c>
      <c r="S237" s="93"/>
      <c r="T237" s="94"/>
      <c r="U237" s="95" t="str">
        <f t="shared" si="54"/>
        <v/>
      </c>
      <c r="V237" s="93"/>
      <c r="W237" s="94"/>
      <c r="X237" s="95" t="str">
        <f t="shared" si="55"/>
        <v/>
      </c>
      <c r="Y237" s="94"/>
      <c r="Z237" s="94"/>
      <c r="AA237" s="112" t="str">
        <f t="shared" si="56"/>
        <v/>
      </c>
      <c r="AB237" s="93"/>
      <c r="AC237" s="94"/>
      <c r="AD237" s="95" t="str">
        <f t="shared" si="57"/>
        <v/>
      </c>
      <c r="AE237" s="93"/>
      <c r="AF237" s="94"/>
      <c r="AG237" s="95" t="str">
        <f t="shared" si="58"/>
        <v/>
      </c>
      <c r="AH237" s="93"/>
      <c r="AI237" s="94"/>
      <c r="AJ237" s="95" t="str">
        <f t="shared" si="59"/>
        <v/>
      </c>
      <c r="AK237" s="93"/>
      <c r="AL237" s="94"/>
      <c r="AM237" s="95" t="str">
        <f t="shared" si="60"/>
        <v/>
      </c>
      <c r="AN237" s="93"/>
      <c r="AO237" s="94"/>
      <c r="AP237" s="95" t="str">
        <f t="shared" si="62"/>
        <v/>
      </c>
    </row>
    <row r="238" spans="1:42" x14ac:dyDescent="0.25">
      <c r="A238" s="91">
        <v>46259</v>
      </c>
      <c r="B238" s="92">
        <f t="shared" si="48"/>
        <v>35</v>
      </c>
      <c r="C238" s="92">
        <f t="shared" si="49"/>
        <v>8</v>
      </c>
      <c r="D238" s="93"/>
      <c r="E238" s="94"/>
      <c r="F238" s="95" t="str">
        <f t="shared" si="50"/>
        <v/>
      </c>
      <c r="G238" s="93"/>
      <c r="H238" s="94"/>
      <c r="I238" s="95" t="str">
        <f t="shared" si="61"/>
        <v/>
      </c>
      <c r="J238" s="93"/>
      <c r="K238" s="94"/>
      <c r="L238" s="95" t="str">
        <f t="shared" si="51"/>
        <v/>
      </c>
      <c r="M238" s="93"/>
      <c r="N238" s="94"/>
      <c r="O238" s="95" t="str">
        <f t="shared" si="52"/>
        <v/>
      </c>
      <c r="P238" s="93"/>
      <c r="Q238" s="94"/>
      <c r="R238" s="95" t="str">
        <f t="shared" si="53"/>
        <v/>
      </c>
      <c r="S238" s="93"/>
      <c r="T238" s="94"/>
      <c r="U238" s="95" t="str">
        <f t="shared" si="54"/>
        <v/>
      </c>
      <c r="V238" s="93"/>
      <c r="W238" s="94"/>
      <c r="X238" s="95" t="str">
        <f t="shared" si="55"/>
        <v/>
      </c>
      <c r="Y238" s="94"/>
      <c r="Z238" s="94"/>
      <c r="AA238" s="112" t="str">
        <f t="shared" si="56"/>
        <v/>
      </c>
      <c r="AB238" s="93"/>
      <c r="AC238" s="94"/>
      <c r="AD238" s="95" t="str">
        <f t="shared" si="57"/>
        <v/>
      </c>
      <c r="AE238" s="93"/>
      <c r="AF238" s="94"/>
      <c r="AG238" s="95" t="str">
        <f t="shared" si="58"/>
        <v/>
      </c>
      <c r="AH238" s="93"/>
      <c r="AI238" s="94"/>
      <c r="AJ238" s="95" t="str">
        <f t="shared" si="59"/>
        <v/>
      </c>
      <c r="AK238" s="93"/>
      <c r="AL238" s="94"/>
      <c r="AM238" s="95" t="str">
        <f t="shared" si="60"/>
        <v/>
      </c>
      <c r="AN238" s="93"/>
      <c r="AO238" s="94"/>
      <c r="AP238" s="95" t="str">
        <f t="shared" si="62"/>
        <v/>
      </c>
    </row>
    <row r="239" spans="1:42" x14ac:dyDescent="0.25">
      <c r="A239" s="91">
        <v>46260</v>
      </c>
      <c r="B239" s="92">
        <f t="shared" si="48"/>
        <v>35</v>
      </c>
      <c r="C239" s="92">
        <f t="shared" si="49"/>
        <v>8</v>
      </c>
      <c r="D239" s="93"/>
      <c r="E239" s="94"/>
      <c r="F239" s="95" t="str">
        <f t="shared" si="50"/>
        <v/>
      </c>
      <c r="G239" s="93"/>
      <c r="H239" s="94"/>
      <c r="I239" s="95" t="str">
        <f t="shared" si="61"/>
        <v/>
      </c>
      <c r="J239" s="93"/>
      <c r="K239" s="94"/>
      <c r="L239" s="95" t="str">
        <f t="shared" si="51"/>
        <v/>
      </c>
      <c r="M239" s="93"/>
      <c r="N239" s="94"/>
      <c r="O239" s="95" t="str">
        <f t="shared" si="52"/>
        <v/>
      </c>
      <c r="P239" s="93"/>
      <c r="Q239" s="94"/>
      <c r="R239" s="95" t="str">
        <f t="shared" si="53"/>
        <v/>
      </c>
      <c r="S239" s="93"/>
      <c r="T239" s="94"/>
      <c r="U239" s="95" t="str">
        <f t="shared" si="54"/>
        <v/>
      </c>
      <c r="V239" s="93"/>
      <c r="W239" s="94"/>
      <c r="X239" s="95" t="str">
        <f t="shared" si="55"/>
        <v/>
      </c>
      <c r="Y239" s="94"/>
      <c r="Z239" s="94"/>
      <c r="AA239" s="112" t="str">
        <f t="shared" si="56"/>
        <v/>
      </c>
      <c r="AB239" s="93"/>
      <c r="AC239" s="94"/>
      <c r="AD239" s="95" t="str">
        <f t="shared" si="57"/>
        <v/>
      </c>
      <c r="AE239" s="93"/>
      <c r="AF239" s="94"/>
      <c r="AG239" s="95" t="str">
        <f t="shared" si="58"/>
        <v/>
      </c>
      <c r="AH239" s="93"/>
      <c r="AI239" s="94"/>
      <c r="AJ239" s="95" t="str">
        <f t="shared" si="59"/>
        <v/>
      </c>
      <c r="AK239" s="93"/>
      <c r="AL239" s="94"/>
      <c r="AM239" s="95" t="str">
        <f t="shared" si="60"/>
        <v/>
      </c>
      <c r="AN239" s="93"/>
      <c r="AO239" s="94"/>
      <c r="AP239" s="95" t="str">
        <f t="shared" si="62"/>
        <v/>
      </c>
    </row>
    <row r="240" spans="1:42" x14ac:dyDescent="0.25">
      <c r="A240" s="91">
        <v>46261</v>
      </c>
      <c r="B240" s="92">
        <f t="shared" si="48"/>
        <v>35</v>
      </c>
      <c r="C240" s="92">
        <f t="shared" si="49"/>
        <v>8</v>
      </c>
      <c r="D240" s="93"/>
      <c r="E240" s="94"/>
      <c r="F240" s="95" t="str">
        <f t="shared" si="50"/>
        <v/>
      </c>
      <c r="G240" s="93"/>
      <c r="H240" s="94"/>
      <c r="I240" s="95" t="str">
        <f t="shared" si="61"/>
        <v/>
      </c>
      <c r="J240" s="93"/>
      <c r="K240" s="94"/>
      <c r="L240" s="95" t="str">
        <f t="shared" si="51"/>
        <v/>
      </c>
      <c r="M240" s="93"/>
      <c r="N240" s="94"/>
      <c r="O240" s="95" t="str">
        <f t="shared" si="52"/>
        <v/>
      </c>
      <c r="P240" s="93"/>
      <c r="Q240" s="94"/>
      <c r="R240" s="95" t="str">
        <f t="shared" si="53"/>
        <v/>
      </c>
      <c r="S240" s="93"/>
      <c r="T240" s="94"/>
      <c r="U240" s="95" t="str">
        <f t="shared" si="54"/>
        <v/>
      </c>
      <c r="V240" s="93"/>
      <c r="W240" s="94"/>
      <c r="X240" s="95" t="str">
        <f t="shared" si="55"/>
        <v/>
      </c>
      <c r="Y240" s="94"/>
      <c r="Z240" s="94"/>
      <c r="AA240" s="112" t="str">
        <f t="shared" si="56"/>
        <v/>
      </c>
      <c r="AB240" s="93"/>
      <c r="AC240" s="94"/>
      <c r="AD240" s="95" t="str">
        <f t="shared" si="57"/>
        <v/>
      </c>
      <c r="AE240" s="93"/>
      <c r="AF240" s="94"/>
      <c r="AG240" s="95" t="str">
        <f t="shared" si="58"/>
        <v/>
      </c>
      <c r="AH240" s="93"/>
      <c r="AI240" s="94"/>
      <c r="AJ240" s="95" t="str">
        <f t="shared" si="59"/>
        <v/>
      </c>
      <c r="AK240" s="93"/>
      <c r="AL240" s="94"/>
      <c r="AM240" s="95" t="str">
        <f t="shared" si="60"/>
        <v/>
      </c>
      <c r="AN240" s="93"/>
      <c r="AO240" s="94"/>
      <c r="AP240" s="95" t="str">
        <f t="shared" si="62"/>
        <v/>
      </c>
    </row>
    <row r="241" spans="1:42" x14ac:dyDescent="0.25">
      <c r="A241" s="91">
        <v>46262</v>
      </c>
      <c r="B241" s="92">
        <f t="shared" si="48"/>
        <v>35</v>
      </c>
      <c r="C241" s="92">
        <f t="shared" si="49"/>
        <v>8</v>
      </c>
      <c r="D241" s="93"/>
      <c r="E241" s="94"/>
      <c r="F241" s="95" t="str">
        <f t="shared" si="50"/>
        <v/>
      </c>
      <c r="G241" s="93"/>
      <c r="H241" s="94"/>
      <c r="I241" s="95" t="str">
        <f t="shared" si="61"/>
        <v/>
      </c>
      <c r="J241" s="93"/>
      <c r="K241" s="94"/>
      <c r="L241" s="95" t="str">
        <f t="shared" si="51"/>
        <v/>
      </c>
      <c r="M241" s="93"/>
      <c r="N241" s="94"/>
      <c r="O241" s="95" t="str">
        <f t="shared" si="52"/>
        <v/>
      </c>
      <c r="P241" s="93"/>
      <c r="Q241" s="94"/>
      <c r="R241" s="95" t="str">
        <f t="shared" si="53"/>
        <v/>
      </c>
      <c r="S241" s="93"/>
      <c r="T241" s="94"/>
      <c r="U241" s="95" t="str">
        <f t="shared" si="54"/>
        <v/>
      </c>
      <c r="V241" s="93"/>
      <c r="W241" s="94"/>
      <c r="X241" s="95" t="str">
        <f t="shared" si="55"/>
        <v/>
      </c>
      <c r="Y241" s="94"/>
      <c r="Z241" s="94"/>
      <c r="AA241" s="112" t="str">
        <f t="shared" si="56"/>
        <v/>
      </c>
      <c r="AB241" s="93"/>
      <c r="AC241" s="94"/>
      <c r="AD241" s="95" t="str">
        <f t="shared" si="57"/>
        <v/>
      </c>
      <c r="AE241" s="93"/>
      <c r="AF241" s="94"/>
      <c r="AG241" s="95" t="str">
        <f t="shared" si="58"/>
        <v/>
      </c>
      <c r="AH241" s="93"/>
      <c r="AI241" s="94"/>
      <c r="AJ241" s="95" t="str">
        <f t="shared" si="59"/>
        <v/>
      </c>
      <c r="AK241" s="93"/>
      <c r="AL241" s="94"/>
      <c r="AM241" s="95" t="str">
        <f t="shared" si="60"/>
        <v/>
      </c>
      <c r="AN241" s="93"/>
      <c r="AO241" s="94"/>
      <c r="AP241" s="95" t="str">
        <f t="shared" si="62"/>
        <v/>
      </c>
    </row>
    <row r="242" spans="1:42" x14ac:dyDescent="0.25">
      <c r="A242" s="91">
        <v>46263</v>
      </c>
      <c r="B242" s="92">
        <f t="shared" si="48"/>
        <v>35</v>
      </c>
      <c r="C242" s="92">
        <f t="shared" si="49"/>
        <v>8</v>
      </c>
      <c r="D242" s="93"/>
      <c r="E242" s="94"/>
      <c r="F242" s="95" t="str">
        <f t="shared" si="50"/>
        <v/>
      </c>
      <c r="G242" s="93"/>
      <c r="H242" s="94"/>
      <c r="I242" s="95" t="str">
        <f t="shared" si="61"/>
        <v/>
      </c>
      <c r="J242" s="93"/>
      <c r="K242" s="94"/>
      <c r="L242" s="95" t="str">
        <f t="shared" si="51"/>
        <v/>
      </c>
      <c r="M242" s="93"/>
      <c r="N242" s="94"/>
      <c r="O242" s="95" t="str">
        <f t="shared" si="52"/>
        <v/>
      </c>
      <c r="P242" s="93"/>
      <c r="Q242" s="94"/>
      <c r="R242" s="95" t="str">
        <f t="shared" si="53"/>
        <v/>
      </c>
      <c r="S242" s="93"/>
      <c r="T242" s="94"/>
      <c r="U242" s="95" t="str">
        <f t="shared" si="54"/>
        <v/>
      </c>
      <c r="V242" s="93"/>
      <c r="W242" s="94"/>
      <c r="X242" s="95" t="str">
        <f t="shared" si="55"/>
        <v/>
      </c>
      <c r="Y242" s="94"/>
      <c r="Z242" s="94"/>
      <c r="AA242" s="112" t="str">
        <f t="shared" si="56"/>
        <v/>
      </c>
      <c r="AB242" s="93"/>
      <c r="AC242" s="94"/>
      <c r="AD242" s="95" t="str">
        <f t="shared" si="57"/>
        <v/>
      </c>
      <c r="AE242" s="93"/>
      <c r="AF242" s="94"/>
      <c r="AG242" s="95" t="str">
        <f t="shared" si="58"/>
        <v/>
      </c>
      <c r="AH242" s="93"/>
      <c r="AI242" s="94"/>
      <c r="AJ242" s="95" t="str">
        <f t="shared" si="59"/>
        <v/>
      </c>
      <c r="AK242" s="93"/>
      <c r="AL242" s="94"/>
      <c r="AM242" s="95" t="str">
        <f t="shared" si="60"/>
        <v/>
      </c>
      <c r="AN242" s="93"/>
      <c r="AO242" s="94"/>
      <c r="AP242" s="95" t="str">
        <f t="shared" si="62"/>
        <v/>
      </c>
    </row>
    <row r="243" spans="1:42" x14ac:dyDescent="0.25">
      <c r="A243" s="91">
        <v>46264</v>
      </c>
      <c r="B243" s="92">
        <f t="shared" si="48"/>
        <v>35</v>
      </c>
      <c r="C243" s="92">
        <f t="shared" si="49"/>
        <v>8</v>
      </c>
      <c r="D243" s="93"/>
      <c r="E243" s="94"/>
      <c r="F243" s="95" t="str">
        <f t="shared" si="50"/>
        <v/>
      </c>
      <c r="G243" s="93"/>
      <c r="H243" s="94"/>
      <c r="I243" s="95" t="str">
        <f t="shared" si="61"/>
        <v/>
      </c>
      <c r="J243" s="93"/>
      <c r="K243" s="94"/>
      <c r="L243" s="95" t="str">
        <f t="shared" si="51"/>
        <v/>
      </c>
      <c r="M243" s="93"/>
      <c r="N243" s="94"/>
      <c r="O243" s="95" t="str">
        <f t="shared" si="52"/>
        <v/>
      </c>
      <c r="P243" s="93"/>
      <c r="Q243" s="94"/>
      <c r="R243" s="95" t="str">
        <f t="shared" si="53"/>
        <v/>
      </c>
      <c r="S243" s="93"/>
      <c r="T243" s="94"/>
      <c r="U243" s="95" t="str">
        <f t="shared" si="54"/>
        <v/>
      </c>
      <c r="V243" s="93"/>
      <c r="W243" s="94"/>
      <c r="X243" s="95" t="str">
        <f t="shared" si="55"/>
        <v/>
      </c>
      <c r="Y243" s="94"/>
      <c r="Z243" s="94"/>
      <c r="AA243" s="112" t="str">
        <f t="shared" si="56"/>
        <v/>
      </c>
      <c r="AB243" s="93"/>
      <c r="AC243" s="94"/>
      <c r="AD243" s="95" t="str">
        <f t="shared" si="57"/>
        <v/>
      </c>
      <c r="AE243" s="93"/>
      <c r="AF243" s="94"/>
      <c r="AG243" s="95" t="str">
        <f t="shared" si="58"/>
        <v/>
      </c>
      <c r="AH243" s="93"/>
      <c r="AI243" s="94"/>
      <c r="AJ243" s="95" t="str">
        <f t="shared" si="59"/>
        <v/>
      </c>
      <c r="AK243" s="93"/>
      <c r="AL243" s="94"/>
      <c r="AM243" s="95" t="str">
        <f t="shared" si="60"/>
        <v/>
      </c>
      <c r="AN243" s="93"/>
      <c r="AO243" s="94"/>
      <c r="AP243" s="95" t="str">
        <f t="shared" si="62"/>
        <v/>
      </c>
    </row>
    <row r="244" spans="1:42" x14ac:dyDescent="0.25">
      <c r="A244" s="91">
        <v>46265</v>
      </c>
      <c r="B244" s="92">
        <f t="shared" si="48"/>
        <v>36</v>
      </c>
      <c r="C244" s="92">
        <f t="shared" si="49"/>
        <v>8</v>
      </c>
      <c r="D244" s="93"/>
      <c r="E244" s="94"/>
      <c r="F244" s="95" t="str">
        <f t="shared" si="50"/>
        <v/>
      </c>
      <c r="G244" s="93"/>
      <c r="H244" s="94"/>
      <c r="I244" s="95" t="str">
        <f t="shared" si="61"/>
        <v/>
      </c>
      <c r="J244" s="93"/>
      <c r="K244" s="94"/>
      <c r="L244" s="95" t="str">
        <f t="shared" si="51"/>
        <v/>
      </c>
      <c r="M244" s="93"/>
      <c r="N244" s="94"/>
      <c r="O244" s="95" t="str">
        <f t="shared" si="52"/>
        <v/>
      </c>
      <c r="P244" s="93"/>
      <c r="Q244" s="94"/>
      <c r="R244" s="95" t="str">
        <f t="shared" si="53"/>
        <v/>
      </c>
      <c r="S244" s="93"/>
      <c r="T244" s="94"/>
      <c r="U244" s="95" t="str">
        <f t="shared" si="54"/>
        <v/>
      </c>
      <c r="V244" s="93"/>
      <c r="W244" s="94"/>
      <c r="X244" s="95" t="str">
        <f t="shared" si="55"/>
        <v/>
      </c>
      <c r="Y244" s="94"/>
      <c r="Z244" s="94"/>
      <c r="AA244" s="112" t="str">
        <f t="shared" si="56"/>
        <v/>
      </c>
      <c r="AB244" s="93"/>
      <c r="AC244" s="94"/>
      <c r="AD244" s="95" t="str">
        <f t="shared" si="57"/>
        <v/>
      </c>
      <c r="AE244" s="93"/>
      <c r="AF244" s="94"/>
      <c r="AG244" s="95" t="str">
        <f t="shared" si="58"/>
        <v/>
      </c>
      <c r="AH244" s="93"/>
      <c r="AI244" s="94"/>
      <c r="AJ244" s="95" t="str">
        <f t="shared" si="59"/>
        <v/>
      </c>
      <c r="AK244" s="93"/>
      <c r="AL244" s="94"/>
      <c r="AM244" s="95" t="str">
        <f t="shared" si="60"/>
        <v/>
      </c>
      <c r="AN244" s="93"/>
      <c r="AO244" s="94"/>
      <c r="AP244" s="95" t="str">
        <f t="shared" si="62"/>
        <v/>
      </c>
    </row>
    <row r="245" spans="1:42" x14ac:dyDescent="0.25">
      <c r="A245" s="91">
        <v>46266</v>
      </c>
      <c r="B245" s="92">
        <f t="shared" si="48"/>
        <v>36</v>
      </c>
      <c r="C245" s="92">
        <f t="shared" si="49"/>
        <v>9</v>
      </c>
      <c r="D245" s="93"/>
      <c r="E245" s="94"/>
      <c r="F245" s="95" t="str">
        <f t="shared" si="50"/>
        <v/>
      </c>
      <c r="G245" s="93"/>
      <c r="H245" s="94"/>
      <c r="I245" s="95" t="str">
        <f t="shared" si="61"/>
        <v/>
      </c>
      <c r="J245" s="93"/>
      <c r="K245" s="94"/>
      <c r="L245" s="95" t="str">
        <f t="shared" si="51"/>
        <v/>
      </c>
      <c r="M245" s="93"/>
      <c r="N245" s="94"/>
      <c r="O245" s="95" t="str">
        <f t="shared" si="52"/>
        <v/>
      </c>
      <c r="P245" s="93"/>
      <c r="Q245" s="94"/>
      <c r="R245" s="95" t="str">
        <f t="shared" si="53"/>
        <v/>
      </c>
      <c r="S245" s="93"/>
      <c r="T245" s="94"/>
      <c r="U245" s="95" t="str">
        <f t="shared" si="54"/>
        <v/>
      </c>
      <c r="V245" s="93"/>
      <c r="W245" s="94"/>
      <c r="X245" s="95" t="str">
        <f t="shared" si="55"/>
        <v/>
      </c>
      <c r="Y245" s="94"/>
      <c r="Z245" s="94"/>
      <c r="AA245" s="112" t="str">
        <f t="shared" si="56"/>
        <v/>
      </c>
      <c r="AB245" s="93"/>
      <c r="AC245" s="94"/>
      <c r="AD245" s="95" t="str">
        <f t="shared" si="57"/>
        <v/>
      </c>
      <c r="AE245" s="93"/>
      <c r="AF245" s="94"/>
      <c r="AG245" s="95" t="str">
        <f t="shared" si="58"/>
        <v/>
      </c>
      <c r="AH245" s="93"/>
      <c r="AI245" s="94"/>
      <c r="AJ245" s="95" t="str">
        <f t="shared" si="59"/>
        <v/>
      </c>
      <c r="AK245" s="93"/>
      <c r="AL245" s="94"/>
      <c r="AM245" s="95" t="str">
        <f t="shared" si="60"/>
        <v/>
      </c>
      <c r="AN245" s="93"/>
      <c r="AO245" s="94"/>
      <c r="AP245" s="95" t="str">
        <f t="shared" si="62"/>
        <v/>
      </c>
    </row>
    <row r="246" spans="1:42" x14ac:dyDescent="0.25">
      <c r="A246" s="91">
        <v>46267</v>
      </c>
      <c r="B246" s="92">
        <f t="shared" si="48"/>
        <v>36</v>
      </c>
      <c r="C246" s="92">
        <f t="shared" si="49"/>
        <v>9</v>
      </c>
      <c r="D246" s="93"/>
      <c r="E246" s="94"/>
      <c r="F246" s="95" t="str">
        <f t="shared" si="50"/>
        <v/>
      </c>
      <c r="G246" s="93"/>
      <c r="H246" s="94"/>
      <c r="I246" s="95" t="str">
        <f t="shared" si="61"/>
        <v/>
      </c>
      <c r="J246" s="93"/>
      <c r="K246" s="94"/>
      <c r="L246" s="95" t="str">
        <f t="shared" si="51"/>
        <v/>
      </c>
      <c r="M246" s="93"/>
      <c r="N246" s="94"/>
      <c r="O246" s="95" t="str">
        <f t="shared" si="52"/>
        <v/>
      </c>
      <c r="P246" s="93"/>
      <c r="Q246" s="94"/>
      <c r="R246" s="95" t="str">
        <f t="shared" si="53"/>
        <v/>
      </c>
      <c r="S246" s="93"/>
      <c r="T246" s="94"/>
      <c r="U246" s="95" t="str">
        <f t="shared" si="54"/>
        <v/>
      </c>
      <c r="V246" s="93"/>
      <c r="W246" s="94"/>
      <c r="X246" s="95" t="str">
        <f t="shared" si="55"/>
        <v/>
      </c>
      <c r="Y246" s="94"/>
      <c r="Z246" s="94"/>
      <c r="AA246" s="112" t="str">
        <f t="shared" si="56"/>
        <v/>
      </c>
      <c r="AB246" s="93"/>
      <c r="AC246" s="94"/>
      <c r="AD246" s="95" t="str">
        <f t="shared" si="57"/>
        <v/>
      </c>
      <c r="AE246" s="93"/>
      <c r="AF246" s="94"/>
      <c r="AG246" s="95" t="str">
        <f t="shared" si="58"/>
        <v/>
      </c>
      <c r="AH246" s="93"/>
      <c r="AI246" s="94"/>
      <c r="AJ246" s="95" t="str">
        <f t="shared" si="59"/>
        <v/>
      </c>
      <c r="AK246" s="93"/>
      <c r="AL246" s="94"/>
      <c r="AM246" s="95" t="str">
        <f t="shared" si="60"/>
        <v/>
      </c>
      <c r="AN246" s="93"/>
      <c r="AO246" s="94"/>
      <c r="AP246" s="95" t="str">
        <f t="shared" si="62"/>
        <v/>
      </c>
    </row>
    <row r="247" spans="1:42" x14ac:dyDescent="0.25">
      <c r="A247" s="91">
        <v>46268</v>
      </c>
      <c r="B247" s="92">
        <f t="shared" si="48"/>
        <v>36</v>
      </c>
      <c r="C247" s="92">
        <f t="shared" si="49"/>
        <v>9</v>
      </c>
      <c r="D247" s="93"/>
      <c r="E247" s="94"/>
      <c r="F247" s="95" t="str">
        <f t="shared" si="50"/>
        <v/>
      </c>
      <c r="G247" s="93"/>
      <c r="H247" s="94"/>
      <c r="I247" s="95" t="str">
        <f t="shared" si="61"/>
        <v/>
      </c>
      <c r="J247" s="93"/>
      <c r="K247" s="94"/>
      <c r="L247" s="95" t="str">
        <f t="shared" si="51"/>
        <v/>
      </c>
      <c r="M247" s="93"/>
      <c r="N247" s="94"/>
      <c r="O247" s="95" t="str">
        <f t="shared" si="52"/>
        <v/>
      </c>
      <c r="P247" s="93"/>
      <c r="Q247" s="94"/>
      <c r="R247" s="95" t="str">
        <f t="shared" si="53"/>
        <v/>
      </c>
      <c r="S247" s="93"/>
      <c r="T247" s="94"/>
      <c r="U247" s="95" t="str">
        <f t="shared" si="54"/>
        <v/>
      </c>
      <c r="V247" s="93"/>
      <c r="W247" s="94"/>
      <c r="X247" s="95" t="str">
        <f t="shared" si="55"/>
        <v/>
      </c>
      <c r="Y247" s="94"/>
      <c r="Z247" s="94"/>
      <c r="AA247" s="112" t="str">
        <f t="shared" si="56"/>
        <v/>
      </c>
      <c r="AB247" s="93"/>
      <c r="AC247" s="94"/>
      <c r="AD247" s="95" t="str">
        <f t="shared" si="57"/>
        <v/>
      </c>
      <c r="AE247" s="93"/>
      <c r="AF247" s="94"/>
      <c r="AG247" s="95" t="str">
        <f t="shared" si="58"/>
        <v/>
      </c>
      <c r="AH247" s="93"/>
      <c r="AI247" s="94"/>
      <c r="AJ247" s="95" t="str">
        <f t="shared" si="59"/>
        <v/>
      </c>
      <c r="AK247" s="93"/>
      <c r="AL247" s="94"/>
      <c r="AM247" s="95" t="str">
        <f t="shared" si="60"/>
        <v/>
      </c>
      <c r="AN247" s="93"/>
      <c r="AO247" s="94"/>
      <c r="AP247" s="95" t="str">
        <f t="shared" si="62"/>
        <v/>
      </c>
    </row>
    <row r="248" spans="1:42" x14ac:dyDescent="0.25">
      <c r="A248" s="91">
        <v>46269</v>
      </c>
      <c r="B248" s="92">
        <f t="shared" si="48"/>
        <v>36</v>
      </c>
      <c r="C248" s="92">
        <f t="shared" si="49"/>
        <v>9</v>
      </c>
      <c r="D248" s="93"/>
      <c r="E248" s="94"/>
      <c r="F248" s="95" t="str">
        <f t="shared" si="50"/>
        <v/>
      </c>
      <c r="G248" s="93"/>
      <c r="H248" s="94"/>
      <c r="I248" s="95" t="str">
        <f t="shared" si="61"/>
        <v/>
      </c>
      <c r="J248" s="93"/>
      <c r="K248" s="94"/>
      <c r="L248" s="95" t="str">
        <f t="shared" si="51"/>
        <v/>
      </c>
      <c r="M248" s="93"/>
      <c r="N248" s="94"/>
      <c r="O248" s="95" t="str">
        <f t="shared" si="52"/>
        <v/>
      </c>
      <c r="P248" s="93"/>
      <c r="Q248" s="94"/>
      <c r="R248" s="95" t="str">
        <f t="shared" si="53"/>
        <v/>
      </c>
      <c r="S248" s="93"/>
      <c r="T248" s="94"/>
      <c r="U248" s="95" t="str">
        <f t="shared" si="54"/>
        <v/>
      </c>
      <c r="V248" s="93"/>
      <c r="W248" s="94"/>
      <c r="X248" s="95" t="str">
        <f t="shared" si="55"/>
        <v/>
      </c>
      <c r="Y248" s="94"/>
      <c r="Z248" s="94"/>
      <c r="AA248" s="112" t="str">
        <f t="shared" si="56"/>
        <v/>
      </c>
      <c r="AB248" s="93"/>
      <c r="AC248" s="94"/>
      <c r="AD248" s="95" t="str">
        <f t="shared" si="57"/>
        <v/>
      </c>
      <c r="AE248" s="93"/>
      <c r="AF248" s="94"/>
      <c r="AG248" s="95" t="str">
        <f t="shared" si="58"/>
        <v/>
      </c>
      <c r="AH248" s="93"/>
      <c r="AI248" s="94"/>
      <c r="AJ248" s="95" t="str">
        <f t="shared" si="59"/>
        <v/>
      </c>
      <c r="AK248" s="93"/>
      <c r="AL248" s="94"/>
      <c r="AM248" s="95" t="str">
        <f t="shared" si="60"/>
        <v/>
      </c>
      <c r="AN248" s="93"/>
      <c r="AO248" s="94"/>
      <c r="AP248" s="95" t="str">
        <f t="shared" si="62"/>
        <v/>
      </c>
    </row>
    <row r="249" spans="1:42" x14ac:dyDescent="0.25">
      <c r="A249" s="91">
        <v>46270</v>
      </c>
      <c r="B249" s="92">
        <f t="shared" si="48"/>
        <v>36</v>
      </c>
      <c r="C249" s="92">
        <f t="shared" si="49"/>
        <v>9</v>
      </c>
      <c r="D249" s="93"/>
      <c r="E249" s="94"/>
      <c r="F249" s="95" t="str">
        <f t="shared" si="50"/>
        <v/>
      </c>
      <c r="G249" s="93"/>
      <c r="H249" s="94"/>
      <c r="I249" s="95" t="str">
        <f t="shared" si="61"/>
        <v/>
      </c>
      <c r="J249" s="93"/>
      <c r="K249" s="94"/>
      <c r="L249" s="95" t="str">
        <f t="shared" si="51"/>
        <v/>
      </c>
      <c r="M249" s="93"/>
      <c r="N249" s="94"/>
      <c r="O249" s="95" t="str">
        <f t="shared" si="52"/>
        <v/>
      </c>
      <c r="P249" s="93"/>
      <c r="Q249" s="94"/>
      <c r="R249" s="95" t="str">
        <f t="shared" si="53"/>
        <v/>
      </c>
      <c r="S249" s="93"/>
      <c r="T249" s="94"/>
      <c r="U249" s="95" t="str">
        <f t="shared" si="54"/>
        <v/>
      </c>
      <c r="V249" s="93"/>
      <c r="W249" s="94"/>
      <c r="X249" s="95" t="str">
        <f t="shared" si="55"/>
        <v/>
      </c>
      <c r="Y249" s="94"/>
      <c r="Z249" s="94"/>
      <c r="AA249" s="112" t="str">
        <f t="shared" si="56"/>
        <v/>
      </c>
      <c r="AB249" s="93"/>
      <c r="AC249" s="94"/>
      <c r="AD249" s="95" t="str">
        <f t="shared" si="57"/>
        <v/>
      </c>
      <c r="AE249" s="93"/>
      <c r="AF249" s="94"/>
      <c r="AG249" s="95" t="str">
        <f t="shared" si="58"/>
        <v/>
      </c>
      <c r="AH249" s="93"/>
      <c r="AI249" s="94"/>
      <c r="AJ249" s="95" t="str">
        <f t="shared" si="59"/>
        <v/>
      </c>
      <c r="AK249" s="93"/>
      <c r="AL249" s="94"/>
      <c r="AM249" s="95" t="str">
        <f t="shared" si="60"/>
        <v/>
      </c>
      <c r="AN249" s="93"/>
      <c r="AO249" s="94"/>
      <c r="AP249" s="95" t="str">
        <f t="shared" si="62"/>
        <v/>
      </c>
    </row>
    <row r="250" spans="1:42" x14ac:dyDescent="0.25">
      <c r="A250" s="91">
        <v>46271</v>
      </c>
      <c r="B250" s="92">
        <f t="shared" si="48"/>
        <v>36</v>
      </c>
      <c r="C250" s="92">
        <f t="shared" si="49"/>
        <v>9</v>
      </c>
      <c r="D250" s="93"/>
      <c r="E250" s="94"/>
      <c r="F250" s="95" t="str">
        <f t="shared" si="50"/>
        <v/>
      </c>
      <c r="G250" s="93"/>
      <c r="H250" s="94"/>
      <c r="I250" s="95" t="str">
        <f t="shared" si="61"/>
        <v/>
      </c>
      <c r="J250" s="93"/>
      <c r="K250" s="94"/>
      <c r="L250" s="95" t="str">
        <f t="shared" si="51"/>
        <v/>
      </c>
      <c r="M250" s="93"/>
      <c r="N250" s="94"/>
      <c r="O250" s="95" t="str">
        <f t="shared" si="52"/>
        <v/>
      </c>
      <c r="P250" s="93"/>
      <c r="Q250" s="94"/>
      <c r="R250" s="95" t="str">
        <f t="shared" si="53"/>
        <v/>
      </c>
      <c r="S250" s="93"/>
      <c r="T250" s="94"/>
      <c r="U250" s="95" t="str">
        <f t="shared" si="54"/>
        <v/>
      </c>
      <c r="V250" s="93"/>
      <c r="W250" s="94"/>
      <c r="X250" s="95" t="str">
        <f t="shared" si="55"/>
        <v/>
      </c>
      <c r="Y250" s="94"/>
      <c r="Z250" s="94"/>
      <c r="AA250" s="112" t="str">
        <f t="shared" si="56"/>
        <v/>
      </c>
      <c r="AB250" s="93"/>
      <c r="AC250" s="94"/>
      <c r="AD250" s="95" t="str">
        <f t="shared" si="57"/>
        <v/>
      </c>
      <c r="AE250" s="93"/>
      <c r="AF250" s="94"/>
      <c r="AG250" s="95" t="str">
        <f t="shared" si="58"/>
        <v/>
      </c>
      <c r="AH250" s="93"/>
      <c r="AI250" s="94"/>
      <c r="AJ250" s="95" t="str">
        <f t="shared" si="59"/>
        <v/>
      </c>
      <c r="AK250" s="93"/>
      <c r="AL250" s="94"/>
      <c r="AM250" s="95" t="str">
        <f t="shared" si="60"/>
        <v/>
      </c>
      <c r="AN250" s="93"/>
      <c r="AO250" s="94"/>
      <c r="AP250" s="95" t="str">
        <f t="shared" si="62"/>
        <v/>
      </c>
    </row>
    <row r="251" spans="1:42" x14ac:dyDescent="0.25">
      <c r="A251" s="91">
        <v>46272</v>
      </c>
      <c r="B251" s="92">
        <f t="shared" si="48"/>
        <v>37</v>
      </c>
      <c r="C251" s="92">
        <f t="shared" si="49"/>
        <v>9</v>
      </c>
      <c r="D251" s="93"/>
      <c r="E251" s="94"/>
      <c r="F251" s="95" t="str">
        <f t="shared" si="50"/>
        <v/>
      </c>
      <c r="G251" s="93"/>
      <c r="H251" s="94"/>
      <c r="I251" s="95" t="str">
        <f t="shared" si="61"/>
        <v/>
      </c>
      <c r="J251" s="93"/>
      <c r="K251" s="94"/>
      <c r="L251" s="95" t="str">
        <f t="shared" si="51"/>
        <v/>
      </c>
      <c r="M251" s="93"/>
      <c r="N251" s="94"/>
      <c r="O251" s="95" t="str">
        <f t="shared" si="52"/>
        <v/>
      </c>
      <c r="P251" s="93"/>
      <c r="Q251" s="94"/>
      <c r="R251" s="95" t="str">
        <f t="shared" si="53"/>
        <v/>
      </c>
      <c r="S251" s="93"/>
      <c r="T251" s="94"/>
      <c r="U251" s="95" t="str">
        <f t="shared" si="54"/>
        <v/>
      </c>
      <c r="V251" s="93"/>
      <c r="W251" s="94"/>
      <c r="X251" s="95" t="str">
        <f t="shared" si="55"/>
        <v/>
      </c>
      <c r="Y251" s="94"/>
      <c r="Z251" s="94"/>
      <c r="AA251" s="112" t="str">
        <f t="shared" si="56"/>
        <v/>
      </c>
      <c r="AB251" s="93"/>
      <c r="AC251" s="94"/>
      <c r="AD251" s="95" t="str">
        <f t="shared" si="57"/>
        <v/>
      </c>
      <c r="AE251" s="93"/>
      <c r="AF251" s="94"/>
      <c r="AG251" s="95" t="str">
        <f t="shared" si="58"/>
        <v/>
      </c>
      <c r="AH251" s="93"/>
      <c r="AI251" s="94"/>
      <c r="AJ251" s="95" t="str">
        <f t="shared" si="59"/>
        <v/>
      </c>
      <c r="AK251" s="93"/>
      <c r="AL251" s="94"/>
      <c r="AM251" s="95" t="str">
        <f t="shared" si="60"/>
        <v/>
      </c>
      <c r="AN251" s="93"/>
      <c r="AO251" s="94"/>
      <c r="AP251" s="95" t="str">
        <f t="shared" si="62"/>
        <v/>
      </c>
    </row>
    <row r="252" spans="1:42" x14ac:dyDescent="0.25">
      <c r="A252" s="91">
        <v>46273</v>
      </c>
      <c r="B252" s="92">
        <f t="shared" si="48"/>
        <v>37</v>
      </c>
      <c r="C252" s="92">
        <f t="shared" si="49"/>
        <v>9</v>
      </c>
      <c r="D252" s="93"/>
      <c r="E252" s="94"/>
      <c r="F252" s="95" t="str">
        <f t="shared" si="50"/>
        <v/>
      </c>
      <c r="G252" s="93"/>
      <c r="H252" s="94"/>
      <c r="I252" s="95" t="str">
        <f t="shared" si="61"/>
        <v/>
      </c>
      <c r="J252" s="93"/>
      <c r="K252" s="94"/>
      <c r="L252" s="95" t="str">
        <f t="shared" si="51"/>
        <v/>
      </c>
      <c r="M252" s="93"/>
      <c r="N252" s="94"/>
      <c r="O252" s="95" t="str">
        <f t="shared" si="52"/>
        <v/>
      </c>
      <c r="P252" s="93"/>
      <c r="Q252" s="94"/>
      <c r="R252" s="95" t="str">
        <f t="shared" si="53"/>
        <v/>
      </c>
      <c r="S252" s="93"/>
      <c r="T252" s="94"/>
      <c r="U252" s="95" t="str">
        <f t="shared" si="54"/>
        <v/>
      </c>
      <c r="V252" s="93"/>
      <c r="W252" s="94"/>
      <c r="X252" s="95" t="str">
        <f t="shared" si="55"/>
        <v/>
      </c>
      <c r="Y252" s="94"/>
      <c r="Z252" s="94"/>
      <c r="AA252" s="112" t="str">
        <f t="shared" si="56"/>
        <v/>
      </c>
      <c r="AB252" s="93"/>
      <c r="AC252" s="94"/>
      <c r="AD252" s="95" t="str">
        <f t="shared" si="57"/>
        <v/>
      </c>
      <c r="AE252" s="93"/>
      <c r="AF252" s="94"/>
      <c r="AG252" s="95" t="str">
        <f t="shared" si="58"/>
        <v/>
      </c>
      <c r="AH252" s="93"/>
      <c r="AI252" s="94"/>
      <c r="AJ252" s="95" t="str">
        <f t="shared" si="59"/>
        <v/>
      </c>
      <c r="AK252" s="93"/>
      <c r="AL252" s="94"/>
      <c r="AM252" s="95" t="str">
        <f t="shared" si="60"/>
        <v/>
      </c>
      <c r="AN252" s="93"/>
      <c r="AO252" s="94"/>
      <c r="AP252" s="95" t="str">
        <f t="shared" si="62"/>
        <v/>
      </c>
    </row>
    <row r="253" spans="1:42" x14ac:dyDescent="0.25">
      <c r="A253" s="91">
        <v>46274</v>
      </c>
      <c r="B253" s="92">
        <f t="shared" si="48"/>
        <v>37</v>
      </c>
      <c r="C253" s="92">
        <f t="shared" si="49"/>
        <v>9</v>
      </c>
      <c r="D253" s="93"/>
      <c r="E253" s="94"/>
      <c r="F253" s="95" t="str">
        <f t="shared" si="50"/>
        <v/>
      </c>
      <c r="G253" s="93"/>
      <c r="H253" s="94"/>
      <c r="I253" s="95" t="str">
        <f t="shared" si="61"/>
        <v/>
      </c>
      <c r="J253" s="93"/>
      <c r="K253" s="94"/>
      <c r="L253" s="95" t="str">
        <f t="shared" si="51"/>
        <v/>
      </c>
      <c r="M253" s="93"/>
      <c r="N253" s="94"/>
      <c r="O253" s="95" t="str">
        <f t="shared" si="52"/>
        <v/>
      </c>
      <c r="P253" s="93"/>
      <c r="Q253" s="94"/>
      <c r="R253" s="95" t="str">
        <f t="shared" si="53"/>
        <v/>
      </c>
      <c r="S253" s="93"/>
      <c r="T253" s="94"/>
      <c r="U253" s="95" t="str">
        <f t="shared" si="54"/>
        <v/>
      </c>
      <c r="V253" s="93"/>
      <c r="W253" s="94"/>
      <c r="X253" s="95" t="str">
        <f t="shared" si="55"/>
        <v/>
      </c>
      <c r="Y253" s="94"/>
      <c r="Z253" s="94"/>
      <c r="AA253" s="112" t="str">
        <f t="shared" si="56"/>
        <v/>
      </c>
      <c r="AB253" s="93"/>
      <c r="AC253" s="94"/>
      <c r="AD253" s="95" t="str">
        <f t="shared" si="57"/>
        <v/>
      </c>
      <c r="AE253" s="93"/>
      <c r="AF253" s="94"/>
      <c r="AG253" s="95" t="str">
        <f t="shared" si="58"/>
        <v/>
      </c>
      <c r="AH253" s="93"/>
      <c r="AI253" s="94"/>
      <c r="AJ253" s="95" t="str">
        <f t="shared" si="59"/>
        <v/>
      </c>
      <c r="AK253" s="93"/>
      <c r="AL253" s="94"/>
      <c r="AM253" s="95" t="str">
        <f t="shared" si="60"/>
        <v/>
      </c>
      <c r="AN253" s="93"/>
      <c r="AO253" s="94"/>
      <c r="AP253" s="95" t="str">
        <f t="shared" si="62"/>
        <v/>
      </c>
    </row>
    <row r="254" spans="1:42" x14ac:dyDescent="0.25">
      <c r="A254" s="91">
        <v>46275</v>
      </c>
      <c r="B254" s="92">
        <f t="shared" si="48"/>
        <v>37</v>
      </c>
      <c r="C254" s="92">
        <f t="shared" si="49"/>
        <v>9</v>
      </c>
      <c r="D254" s="93"/>
      <c r="E254" s="94"/>
      <c r="F254" s="95" t="str">
        <f t="shared" si="50"/>
        <v/>
      </c>
      <c r="G254" s="93"/>
      <c r="H254" s="94"/>
      <c r="I254" s="95" t="str">
        <f t="shared" si="61"/>
        <v/>
      </c>
      <c r="J254" s="93"/>
      <c r="K254" s="94"/>
      <c r="L254" s="95" t="str">
        <f t="shared" si="51"/>
        <v/>
      </c>
      <c r="M254" s="93"/>
      <c r="N254" s="94"/>
      <c r="O254" s="95" t="str">
        <f t="shared" si="52"/>
        <v/>
      </c>
      <c r="P254" s="93"/>
      <c r="Q254" s="94"/>
      <c r="R254" s="95" t="str">
        <f t="shared" si="53"/>
        <v/>
      </c>
      <c r="S254" s="93"/>
      <c r="T254" s="94"/>
      <c r="U254" s="95" t="str">
        <f t="shared" si="54"/>
        <v/>
      </c>
      <c r="V254" s="93"/>
      <c r="W254" s="94"/>
      <c r="X254" s="95" t="str">
        <f t="shared" si="55"/>
        <v/>
      </c>
      <c r="Y254" s="94"/>
      <c r="Z254" s="94"/>
      <c r="AA254" s="112" t="str">
        <f t="shared" si="56"/>
        <v/>
      </c>
      <c r="AB254" s="93"/>
      <c r="AC254" s="94"/>
      <c r="AD254" s="95" t="str">
        <f t="shared" si="57"/>
        <v/>
      </c>
      <c r="AE254" s="93"/>
      <c r="AF254" s="94"/>
      <c r="AG254" s="95" t="str">
        <f t="shared" si="58"/>
        <v/>
      </c>
      <c r="AH254" s="93"/>
      <c r="AI254" s="94"/>
      <c r="AJ254" s="95" t="str">
        <f t="shared" si="59"/>
        <v/>
      </c>
      <c r="AK254" s="93"/>
      <c r="AL254" s="94"/>
      <c r="AM254" s="95" t="str">
        <f t="shared" si="60"/>
        <v/>
      </c>
      <c r="AN254" s="93"/>
      <c r="AO254" s="94"/>
      <c r="AP254" s="95" t="str">
        <f t="shared" si="62"/>
        <v/>
      </c>
    </row>
    <row r="255" spans="1:42" x14ac:dyDescent="0.25">
      <c r="A255" s="91">
        <v>46276</v>
      </c>
      <c r="B255" s="92">
        <f t="shared" si="48"/>
        <v>37</v>
      </c>
      <c r="C255" s="92">
        <f t="shared" si="49"/>
        <v>9</v>
      </c>
      <c r="D255" s="93"/>
      <c r="E255" s="94"/>
      <c r="F255" s="95" t="str">
        <f t="shared" si="50"/>
        <v/>
      </c>
      <c r="G255" s="93"/>
      <c r="H255" s="94"/>
      <c r="I255" s="95" t="str">
        <f t="shared" si="61"/>
        <v/>
      </c>
      <c r="J255" s="93"/>
      <c r="K255" s="94"/>
      <c r="L255" s="95" t="str">
        <f t="shared" si="51"/>
        <v/>
      </c>
      <c r="M255" s="93"/>
      <c r="N255" s="94"/>
      <c r="O255" s="95" t="str">
        <f t="shared" si="52"/>
        <v/>
      </c>
      <c r="P255" s="93"/>
      <c r="Q255" s="94"/>
      <c r="R255" s="95" t="str">
        <f t="shared" si="53"/>
        <v/>
      </c>
      <c r="S255" s="93"/>
      <c r="T255" s="94"/>
      <c r="U255" s="95" t="str">
        <f t="shared" si="54"/>
        <v/>
      </c>
      <c r="V255" s="93"/>
      <c r="W255" s="94"/>
      <c r="X255" s="95" t="str">
        <f t="shared" si="55"/>
        <v/>
      </c>
      <c r="Y255" s="94"/>
      <c r="Z255" s="94"/>
      <c r="AA255" s="112" t="str">
        <f t="shared" si="56"/>
        <v/>
      </c>
      <c r="AB255" s="93"/>
      <c r="AC255" s="94"/>
      <c r="AD255" s="95" t="str">
        <f t="shared" si="57"/>
        <v/>
      </c>
      <c r="AE255" s="93"/>
      <c r="AF255" s="94"/>
      <c r="AG255" s="95" t="str">
        <f t="shared" si="58"/>
        <v/>
      </c>
      <c r="AH255" s="93"/>
      <c r="AI255" s="94"/>
      <c r="AJ255" s="95" t="str">
        <f t="shared" si="59"/>
        <v/>
      </c>
      <c r="AK255" s="93"/>
      <c r="AL255" s="94"/>
      <c r="AM255" s="95" t="str">
        <f t="shared" si="60"/>
        <v/>
      </c>
      <c r="AN255" s="93"/>
      <c r="AO255" s="94"/>
      <c r="AP255" s="95" t="str">
        <f t="shared" si="62"/>
        <v/>
      </c>
    </row>
    <row r="256" spans="1:42" x14ac:dyDescent="0.25">
      <c r="A256" s="91">
        <v>46277</v>
      </c>
      <c r="B256" s="92">
        <f t="shared" si="48"/>
        <v>37</v>
      </c>
      <c r="C256" s="92">
        <f t="shared" si="49"/>
        <v>9</v>
      </c>
      <c r="D256" s="93"/>
      <c r="E256" s="94"/>
      <c r="F256" s="95" t="str">
        <f t="shared" si="50"/>
        <v/>
      </c>
      <c r="G256" s="93"/>
      <c r="H256" s="94"/>
      <c r="I256" s="95" t="str">
        <f t="shared" si="61"/>
        <v/>
      </c>
      <c r="J256" s="93"/>
      <c r="K256" s="94"/>
      <c r="L256" s="95" t="str">
        <f t="shared" si="51"/>
        <v/>
      </c>
      <c r="M256" s="93"/>
      <c r="N256" s="94"/>
      <c r="O256" s="95" t="str">
        <f t="shared" si="52"/>
        <v/>
      </c>
      <c r="P256" s="93"/>
      <c r="Q256" s="94"/>
      <c r="R256" s="95" t="str">
        <f t="shared" si="53"/>
        <v/>
      </c>
      <c r="S256" s="93"/>
      <c r="T256" s="94"/>
      <c r="U256" s="95" t="str">
        <f t="shared" si="54"/>
        <v/>
      </c>
      <c r="V256" s="93"/>
      <c r="W256" s="94"/>
      <c r="X256" s="95" t="str">
        <f t="shared" si="55"/>
        <v/>
      </c>
      <c r="Y256" s="94"/>
      <c r="Z256" s="94"/>
      <c r="AA256" s="112" t="str">
        <f t="shared" si="56"/>
        <v/>
      </c>
      <c r="AB256" s="93"/>
      <c r="AC256" s="94"/>
      <c r="AD256" s="95" t="str">
        <f t="shared" si="57"/>
        <v/>
      </c>
      <c r="AE256" s="93"/>
      <c r="AF256" s="94"/>
      <c r="AG256" s="95" t="str">
        <f t="shared" si="58"/>
        <v/>
      </c>
      <c r="AH256" s="93"/>
      <c r="AI256" s="94"/>
      <c r="AJ256" s="95" t="str">
        <f t="shared" si="59"/>
        <v/>
      </c>
      <c r="AK256" s="93"/>
      <c r="AL256" s="94"/>
      <c r="AM256" s="95" t="str">
        <f t="shared" si="60"/>
        <v/>
      </c>
      <c r="AN256" s="93"/>
      <c r="AO256" s="94"/>
      <c r="AP256" s="95" t="str">
        <f t="shared" si="62"/>
        <v/>
      </c>
    </row>
    <row r="257" spans="1:42" x14ac:dyDescent="0.25">
      <c r="A257" s="91">
        <v>46278</v>
      </c>
      <c r="B257" s="92">
        <f t="shared" si="48"/>
        <v>37</v>
      </c>
      <c r="C257" s="92">
        <f t="shared" si="49"/>
        <v>9</v>
      </c>
      <c r="D257" s="93"/>
      <c r="E257" s="94"/>
      <c r="F257" s="95" t="str">
        <f t="shared" si="50"/>
        <v/>
      </c>
      <c r="G257" s="93"/>
      <c r="H257" s="94"/>
      <c r="I257" s="95" t="str">
        <f t="shared" si="61"/>
        <v/>
      </c>
      <c r="J257" s="93"/>
      <c r="K257" s="94"/>
      <c r="L257" s="95" t="str">
        <f t="shared" si="51"/>
        <v/>
      </c>
      <c r="M257" s="93"/>
      <c r="N257" s="94"/>
      <c r="O257" s="95" t="str">
        <f t="shared" si="52"/>
        <v/>
      </c>
      <c r="P257" s="93"/>
      <c r="Q257" s="94"/>
      <c r="R257" s="95" t="str">
        <f t="shared" si="53"/>
        <v/>
      </c>
      <c r="S257" s="93"/>
      <c r="T257" s="94"/>
      <c r="U257" s="95" t="str">
        <f t="shared" si="54"/>
        <v/>
      </c>
      <c r="V257" s="93"/>
      <c r="W257" s="94"/>
      <c r="X257" s="95" t="str">
        <f t="shared" si="55"/>
        <v/>
      </c>
      <c r="Y257" s="94"/>
      <c r="Z257" s="94"/>
      <c r="AA257" s="112" t="str">
        <f t="shared" si="56"/>
        <v/>
      </c>
      <c r="AB257" s="93"/>
      <c r="AC257" s="94"/>
      <c r="AD257" s="95" t="str">
        <f t="shared" si="57"/>
        <v/>
      </c>
      <c r="AE257" s="93"/>
      <c r="AF257" s="94"/>
      <c r="AG257" s="95" t="str">
        <f t="shared" si="58"/>
        <v/>
      </c>
      <c r="AH257" s="93"/>
      <c r="AI257" s="94"/>
      <c r="AJ257" s="95" t="str">
        <f t="shared" si="59"/>
        <v/>
      </c>
      <c r="AK257" s="93"/>
      <c r="AL257" s="94"/>
      <c r="AM257" s="95" t="str">
        <f t="shared" si="60"/>
        <v/>
      </c>
      <c r="AN257" s="93"/>
      <c r="AO257" s="94"/>
      <c r="AP257" s="95" t="str">
        <f t="shared" si="62"/>
        <v/>
      </c>
    </row>
    <row r="258" spans="1:42" x14ac:dyDescent="0.25">
      <c r="A258" s="91">
        <v>46279</v>
      </c>
      <c r="B258" s="92">
        <f t="shared" ref="B258:B321" si="63">ROUNDUP((A258-DATE(YEAR(A258),1,1)+WEEKDAY(DATE(YEAR(A258),1,1),2))/7,0)</f>
        <v>38</v>
      </c>
      <c r="C258" s="92">
        <f t="shared" ref="C258:C321" si="64">MONTH(A258)</f>
        <v>9</v>
      </c>
      <c r="D258" s="93"/>
      <c r="E258" s="94"/>
      <c r="F258" s="95" t="str">
        <f t="shared" ref="F258:F321" si="65">IFERROR(E258/D258,"")</f>
        <v/>
      </c>
      <c r="G258" s="93"/>
      <c r="H258" s="94"/>
      <c r="I258" s="95" t="str">
        <f t="shared" si="61"/>
        <v/>
      </c>
      <c r="J258" s="93"/>
      <c r="K258" s="94"/>
      <c r="L258" s="95" t="str">
        <f t="shared" ref="L258:L321" si="66">IFERROR(K258/J258,"")</f>
        <v/>
      </c>
      <c r="M258" s="93"/>
      <c r="N258" s="94"/>
      <c r="O258" s="95" t="str">
        <f t="shared" ref="O258:O321" si="67">IFERROR(N258/M258,"")</f>
        <v/>
      </c>
      <c r="P258" s="93"/>
      <c r="Q258" s="94"/>
      <c r="R258" s="95" t="str">
        <f t="shared" ref="R258:R321" si="68">IFERROR(Q258/P258,"")</f>
        <v/>
      </c>
      <c r="S258" s="93"/>
      <c r="T258" s="94"/>
      <c r="U258" s="95" t="str">
        <f t="shared" ref="U258:U321" si="69">IFERROR(T258/S258,"")</f>
        <v/>
      </c>
      <c r="V258" s="93"/>
      <c r="W258" s="94"/>
      <c r="X258" s="95" t="str">
        <f t="shared" ref="X258:X321" si="70">IFERROR(W258/V258,"")</f>
        <v/>
      </c>
      <c r="Y258" s="94"/>
      <c r="Z258" s="94"/>
      <c r="AA258" s="112" t="str">
        <f t="shared" ref="AA258:AA321" si="71">IFERROR(Z258/Y258,"")</f>
        <v/>
      </c>
      <c r="AB258" s="93"/>
      <c r="AC258" s="94"/>
      <c r="AD258" s="95" t="str">
        <f t="shared" ref="AD258:AD321" si="72">IFERROR(AC258/AB258,"")</f>
        <v/>
      </c>
      <c r="AE258" s="93"/>
      <c r="AF258" s="94"/>
      <c r="AG258" s="95" t="str">
        <f t="shared" ref="AG258:AG321" si="73">IFERROR(AF258/AE258,"")</f>
        <v/>
      </c>
      <c r="AH258" s="93"/>
      <c r="AI258" s="94"/>
      <c r="AJ258" s="95" t="str">
        <f t="shared" ref="AJ258:AJ321" si="74">IFERROR(AI258/AH258,"")</f>
        <v/>
      </c>
      <c r="AK258" s="93"/>
      <c r="AL258" s="94"/>
      <c r="AM258" s="95" t="str">
        <f t="shared" ref="AM258:AM321" si="75">IFERROR(AL258/AK258,"")</f>
        <v/>
      </c>
      <c r="AN258" s="93"/>
      <c r="AO258" s="94"/>
      <c r="AP258" s="95" t="str">
        <f t="shared" si="62"/>
        <v/>
      </c>
    </row>
    <row r="259" spans="1:42" x14ac:dyDescent="0.25">
      <c r="A259" s="91">
        <v>46280</v>
      </c>
      <c r="B259" s="92">
        <f t="shared" si="63"/>
        <v>38</v>
      </c>
      <c r="C259" s="92">
        <f t="shared" si="64"/>
        <v>9</v>
      </c>
      <c r="D259" s="93"/>
      <c r="E259" s="94"/>
      <c r="F259" s="95" t="str">
        <f t="shared" si="65"/>
        <v/>
      </c>
      <c r="G259" s="93"/>
      <c r="H259" s="94"/>
      <c r="I259" s="95" t="str">
        <f t="shared" ref="I259:I322" si="76">IFERROR(H259/G259,"")</f>
        <v/>
      </c>
      <c r="J259" s="93"/>
      <c r="K259" s="94"/>
      <c r="L259" s="95" t="str">
        <f t="shared" si="66"/>
        <v/>
      </c>
      <c r="M259" s="93"/>
      <c r="N259" s="94"/>
      <c r="O259" s="95" t="str">
        <f t="shared" si="67"/>
        <v/>
      </c>
      <c r="P259" s="93"/>
      <c r="Q259" s="94"/>
      <c r="R259" s="95" t="str">
        <f t="shared" si="68"/>
        <v/>
      </c>
      <c r="S259" s="93"/>
      <c r="T259" s="94"/>
      <c r="U259" s="95" t="str">
        <f t="shared" si="69"/>
        <v/>
      </c>
      <c r="V259" s="93"/>
      <c r="W259" s="94"/>
      <c r="X259" s="95" t="str">
        <f t="shared" si="70"/>
        <v/>
      </c>
      <c r="Y259" s="94"/>
      <c r="Z259" s="94"/>
      <c r="AA259" s="112" t="str">
        <f t="shared" si="71"/>
        <v/>
      </c>
      <c r="AB259" s="93"/>
      <c r="AC259" s="94"/>
      <c r="AD259" s="95" t="str">
        <f t="shared" si="72"/>
        <v/>
      </c>
      <c r="AE259" s="93"/>
      <c r="AF259" s="94"/>
      <c r="AG259" s="95" t="str">
        <f t="shared" si="73"/>
        <v/>
      </c>
      <c r="AH259" s="93"/>
      <c r="AI259" s="94"/>
      <c r="AJ259" s="95" t="str">
        <f t="shared" si="74"/>
        <v/>
      </c>
      <c r="AK259" s="93"/>
      <c r="AL259" s="94"/>
      <c r="AM259" s="95" t="str">
        <f t="shared" si="75"/>
        <v/>
      </c>
      <c r="AN259" s="93"/>
      <c r="AO259" s="94"/>
      <c r="AP259" s="95" t="str">
        <f t="shared" si="62"/>
        <v/>
      </c>
    </row>
    <row r="260" spans="1:42" x14ac:dyDescent="0.25">
      <c r="A260" s="91">
        <v>46281</v>
      </c>
      <c r="B260" s="92">
        <f t="shared" si="63"/>
        <v>38</v>
      </c>
      <c r="C260" s="92">
        <f t="shared" si="64"/>
        <v>9</v>
      </c>
      <c r="D260" s="93"/>
      <c r="E260" s="94"/>
      <c r="F260" s="95" t="str">
        <f t="shared" si="65"/>
        <v/>
      </c>
      <c r="G260" s="93"/>
      <c r="H260" s="94"/>
      <c r="I260" s="95" t="str">
        <f t="shared" si="76"/>
        <v/>
      </c>
      <c r="J260" s="93"/>
      <c r="K260" s="94"/>
      <c r="L260" s="95" t="str">
        <f t="shared" si="66"/>
        <v/>
      </c>
      <c r="M260" s="93"/>
      <c r="N260" s="94"/>
      <c r="O260" s="95" t="str">
        <f t="shared" si="67"/>
        <v/>
      </c>
      <c r="P260" s="93"/>
      <c r="Q260" s="94"/>
      <c r="R260" s="95" t="str">
        <f t="shared" si="68"/>
        <v/>
      </c>
      <c r="S260" s="93"/>
      <c r="T260" s="94"/>
      <c r="U260" s="95" t="str">
        <f t="shared" si="69"/>
        <v/>
      </c>
      <c r="V260" s="93"/>
      <c r="W260" s="94"/>
      <c r="X260" s="95" t="str">
        <f t="shared" si="70"/>
        <v/>
      </c>
      <c r="Y260" s="94"/>
      <c r="Z260" s="94"/>
      <c r="AA260" s="112" t="str">
        <f t="shared" si="71"/>
        <v/>
      </c>
      <c r="AB260" s="93"/>
      <c r="AC260" s="94"/>
      <c r="AD260" s="95" t="str">
        <f t="shared" si="72"/>
        <v/>
      </c>
      <c r="AE260" s="93"/>
      <c r="AF260" s="94"/>
      <c r="AG260" s="95" t="str">
        <f t="shared" si="73"/>
        <v/>
      </c>
      <c r="AH260" s="93"/>
      <c r="AI260" s="94"/>
      <c r="AJ260" s="95" t="str">
        <f t="shared" si="74"/>
        <v/>
      </c>
      <c r="AK260" s="93"/>
      <c r="AL260" s="94"/>
      <c r="AM260" s="95" t="str">
        <f t="shared" si="75"/>
        <v/>
      </c>
      <c r="AN260" s="93"/>
      <c r="AO260" s="94"/>
      <c r="AP260" s="95" t="str">
        <f t="shared" si="62"/>
        <v/>
      </c>
    </row>
    <row r="261" spans="1:42" x14ac:dyDescent="0.25">
      <c r="A261" s="91">
        <v>46282</v>
      </c>
      <c r="B261" s="92">
        <f t="shared" si="63"/>
        <v>38</v>
      </c>
      <c r="C261" s="92">
        <f t="shared" si="64"/>
        <v>9</v>
      </c>
      <c r="D261" s="93"/>
      <c r="E261" s="94"/>
      <c r="F261" s="95" t="str">
        <f t="shared" si="65"/>
        <v/>
      </c>
      <c r="G261" s="93"/>
      <c r="H261" s="94"/>
      <c r="I261" s="95" t="str">
        <f t="shared" si="76"/>
        <v/>
      </c>
      <c r="J261" s="93"/>
      <c r="K261" s="94"/>
      <c r="L261" s="95" t="str">
        <f t="shared" si="66"/>
        <v/>
      </c>
      <c r="M261" s="93"/>
      <c r="N261" s="94"/>
      <c r="O261" s="95" t="str">
        <f t="shared" si="67"/>
        <v/>
      </c>
      <c r="P261" s="93"/>
      <c r="Q261" s="94"/>
      <c r="R261" s="95" t="str">
        <f t="shared" si="68"/>
        <v/>
      </c>
      <c r="S261" s="93"/>
      <c r="T261" s="94"/>
      <c r="U261" s="95" t="str">
        <f t="shared" si="69"/>
        <v/>
      </c>
      <c r="V261" s="93"/>
      <c r="W261" s="94"/>
      <c r="X261" s="95" t="str">
        <f t="shared" si="70"/>
        <v/>
      </c>
      <c r="Y261" s="94"/>
      <c r="Z261" s="94"/>
      <c r="AA261" s="112" t="str">
        <f t="shared" si="71"/>
        <v/>
      </c>
      <c r="AB261" s="93"/>
      <c r="AC261" s="94"/>
      <c r="AD261" s="95" t="str">
        <f t="shared" si="72"/>
        <v/>
      </c>
      <c r="AE261" s="93"/>
      <c r="AF261" s="94"/>
      <c r="AG261" s="95" t="str">
        <f t="shared" si="73"/>
        <v/>
      </c>
      <c r="AH261" s="93"/>
      <c r="AI261" s="94"/>
      <c r="AJ261" s="95" t="str">
        <f t="shared" si="74"/>
        <v/>
      </c>
      <c r="AK261" s="93"/>
      <c r="AL261" s="94"/>
      <c r="AM261" s="95" t="str">
        <f t="shared" si="75"/>
        <v/>
      </c>
      <c r="AN261" s="93"/>
      <c r="AO261" s="94"/>
      <c r="AP261" s="95" t="str">
        <f t="shared" si="62"/>
        <v/>
      </c>
    </row>
    <row r="262" spans="1:42" x14ac:dyDescent="0.25">
      <c r="A262" s="91">
        <v>46283</v>
      </c>
      <c r="B262" s="92">
        <f t="shared" si="63"/>
        <v>38</v>
      </c>
      <c r="C262" s="92">
        <f t="shared" si="64"/>
        <v>9</v>
      </c>
      <c r="D262" s="93"/>
      <c r="E262" s="94"/>
      <c r="F262" s="95" t="str">
        <f t="shared" si="65"/>
        <v/>
      </c>
      <c r="G262" s="93"/>
      <c r="H262" s="94"/>
      <c r="I262" s="95" t="str">
        <f t="shared" si="76"/>
        <v/>
      </c>
      <c r="J262" s="93"/>
      <c r="K262" s="94"/>
      <c r="L262" s="95" t="str">
        <f t="shared" si="66"/>
        <v/>
      </c>
      <c r="M262" s="93"/>
      <c r="N262" s="94"/>
      <c r="O262" s="95" t="str">
        <f t="shared" si="67"/>
        <v/>
      </c>
      <c r="P262" s="93"/>
      <c r="Q262" s="94"/>
      <c r="R262" s="95" t="str">
        <f t="shared" si="68"/>
        <v/>
      </c>
      <c r="S262" s="93"/>
      <c r="T262" s="94"/>
      <c r="U262" s="95" t="str">
        <f t="shared" si="69"/>
        <v/>
      </c>
      <c r="V262" s="93"/>
      <c r="W262" s="94"/>
      <c r="X262" s="95" t="str">
        <f t="shared" si="70"/>
        <v/>
      </c>
      <c r="Y262" s="94"/>
      <c r="Z262" s="94"/>
      <c r="AA262" s="112" t="str">
        <f t="shared" si="71"/>
        <v/>
      </c>
      <c r="AB262" s="93"/>
      <c r="AC262" s="94"/>
      <c r="AD262" s="95" t="str">
        <f t="shared" si="72"/>
        <v/>
      </c>
      <c r="AE262" s="93"/>
      <c r="AF262" s="94"/>
      <c r="AG262" s="95" t="str">
        <f t="shared" si="73"/>
        <v/>
      </c>
      <c r="AH262" s="93"/>
      <c r="AI262" s="94"/>
      <c r="AJ262" s="95" t="str">
        <f t="shared" si="74"/>
        <v/>
      </c>
      <c r="AK262" s="93"/>
      <c r="AL262" s="94"/>
      <c r="AM262" s="95" t="str">
        <f t="shared" si="75"/>
        <v/>
      </c>
      <c r="AN262" s="93"/>
      <c r="AO262" s="94"/>
      <c r="AP262" s="95" t="str">
        <f t="shared" si="62"/>
        <v/>
      </c>
    </row>
    <row r="263" spans="1:42" x14ac:dyDescent="0.25">
      <c r="A263" s="91">
        <v>46284</v>
      </c>
      <c r="B263" s="92">
        <f t="shared" si="63"/>
        <v>38</v>
      </c>
      <c r="C263" s="92">
        <f t="shared" si="64"/>
        <v>9</v>
      </c>
      <c r="D263" s="93"/>
      <c r="E263" s="94"/>
      <c r="F263" s="95" t="str">
        <f t="shared" si="65"/>
        <v/>
      </c>
      <c r="G263" s="93"/>
      <c r="H263" s="94"/>
      <c r="I263" s="95" t="str">
        <f t="shared" si="76"/>
        <v/>
      </c>
      <c r="J263" s="93"/>
      <c r="K263" s="94"/>
      <c r="L263" s="95" t="str">
        <f t="shared" si="66"/>
        <v/>
      </c>
      <c r="M263" s="93"/>
      <c r="N263" s="94"/>
      <c r="O263" s="95" t="str">
        <f t="shared" si="67"/>
        <v/>
      </c>
      <c r="P263" s="93"/>
      <c r="Q263" s="94"/>
      <c r="R263" s="95" t="str">
        <f t="shared" si="68"/>
        <v/>
      </c>
      <c r="S263" s="93"/>
      <c r="T263" s="94"/>
      <c r="U263" s="95" t="str">
        <f t="shared" si="69"/>
        <v/>
      </c>
      <c r="V263" s="93"/>
      <c r="W263" s="94"/>
      <c r="X263" s="95" t="str">
        <f t="shared" si="70"/>
        <v/>
      </c>
      <c r="Y263" s="94"/>
      <c r="Z263" s="94"/>
      <c r="AA263" s="112" t="str">
        <f t="shared" si="71"/>
        <v/>
      </c>
      <c r="AB263" s="93"/>
      <c r="AC263" s="94"/>
      <c r="AD263" s="95" t="str">
        <f t="shared" si="72"/>
        <v/>
      </c>
      <c r="AE263" s="93"/>
      <c r="AF263" s="94"/>
      <c r="AG263" s="95" t="str">
        <f t="shared" si="73"/>
        <v/>
      </c>
      <c r="AH263" s="93"/>
      <c r="AI263" s="94"/>
      <c r="AJ263" s="95" t="str">
        <f t="shared" si="74"/>
        <v/>
      </c>
      <c r="AK263" s="93"/>
      <c r="AL263" s="94"/>
      <c r="AM263" s="95" t="str">
        <f t="shared" si="75"/>
        <v/>
      </c>
      <c r="AN263" s="93"/>
      <c r="AO263" s="94"/>
      <c r="AP263" s="95" t="str">
        <f t="shared" ref="AP263:AP326" si="77">IFERROR(AO263/AN263,"")</f>
        <v/>
      </c>
    </row>
    <row r="264" spans="1:42" x14ac:dyDescent="0.25">
      <c r="A264" s="91">
        <v>46285</v>
      </c>
      <c r="B264" s="92">
        <f t="shared" si="63"/>
        <v>38</v>
      </c>
      <c r="C264" s="92">
        <f t="shared" si="64"/>
        <v>9</v>
      </c>
      <c r="D264" s="93"/>
      <c r="E264" s="94"/>
      <c r="F264" s="95" t="str">
        <f t="shared" si="65"/>
        <v/>
      </c>
      <c r="G264" s="93"/>
      <c r="H264" s="94"/>
      <c r="I264" s="95" t="str">
        <f t="shared" si="76"/>
        <v/>
      </c>
      <c r="J264" s="93"/>
      <c r="K264" s="94"/>
      <c r="L264" s="95" t="str">
        <f t="shared" si="66"/>
        <v/>
      </c>
      <c r="M264" s="93"/>
      <c r="N264" s="94"/>
      <c r="O264" s="95" t="str">
        <f t="shared" si="67"/>
        <v/>
      </c>
      <c r="P264" s="93"/>
      <c r="Q264" s="94"/>
      <c r="R264" s="95" t="str">
        <f t="shared" si="68"/>
        <v/>
      </c>
      <c r="S264" s="93"/>
      <c r="T264" s="94"/>
      <c r="U264" s="95" t="str">
        <f t="shared" si="69"/>
        <v/>
      </c>
      <c r="V264" s="93"/>
      <c r="W264" s="94"/>
      <c r="X264" s="95" t="str">
        <f t="shared" si="70"/>
        <v/>
      </c>
      <c r="Y264" s="94"/>
      <c r="Z264" s="94"/>
      <c r="AA264" s="112" t="str">
        <f t="shared" si="71"/>
        <v/>
      </c>
      <c r="AB264" s="93"/>
      <c r="AC264" s="94"/>
      <c r="AD264" s="95" t="str">
        <f t="shared" si="72"/>
        <v/>
      </c>
      <c r="AE264" s="93"/>
      <c r="AF264" s="94"/>
      <c r="AG264" s="95" t="str">
        <f t="shared" si="73"/>
        <v/>
      </c>
      <c r="AH264" s="93"/>
      <c r="AI264" s="94"/>
      <c r="AJ264" s="95" t="str">
        <f t="shared" si="74"/>
        <v/>
      </c>
      <c r="AK264" s="93"/>
      <c r="AL264" s="94"/>
      <c r="AM264" s="95" t="str">
        <f t="shared" si="75"/>
        <v/>
      </c>
      <c r="AN264" s="93"/>
      <c r="AO264" s="94"/>
      <c r="AP264" s="95" t="str">
        <f t="shared" si="77"/>
        <v/>
      </c>
    </row>
    <row r="265" spans="1:42" x14ac:dyDescent="0.25">
      <c r="A265" s="91">
        <v>46286</v>
      </c>
      <c r="B265" s="92">
        <f t="shared" si="63"/>
        <v>39</v>
      </c>
      <c r="C265" s="92">
        <f t="shared" si="64"/>
        <v>9</v>
      </c>
      <c r="D265" s="93"/>
      <c r="E265" s="94"/>
      <c r="F265" s="95" t="str">
        <f t="shared" si="65"/>
        <v/>
      </c>
      <c r="G265" s="93"/>
      <c r="H265" s="94"/>
      <c r="I265" s="95" t="str">
        <f t="shared" si="76"/>
        <v/>
      </c>
      <c r="J265" s="93"/>
      <c r="K265" s="94"/>
      <c r="L265" s="95" t="str">
        <f t="shared" si="66"/>
        <v/>
      </c>
      <c r="M265" s="93"/>
      <c r="N265" s="94"/>
      <c r="O265" s="95" t="str">
        <f t="shared" si="67"/>
        <v/>
      </c>
      <c r="P265" s="93"/>
      <c r="Q265" s="94"/>
      <c r="R265" s="95" t="str">
        <f t="shared" si="68"/>
        <v/>
      </c>
      <c r="S265" s="93"/>
      <c r="T265" s="94"/>
      <c r="U265" s="95" t="str">
        <f t="shared" si="69"/>
        <v/>
      </c>
      <c r="V265" s="93"/>
      <c r="W265" s="94"/>
      <c r="X265" s="95" t="str">
        <f t="shared" si="70"/>
        <v/>
      </c>
      <c r="Y265" s="94"/>
      <c r="Z265" s="94"/>
      <c r="AA265" s="112" t="str">
        <f t="shared" si="71"/>
        <v/>
      </c>
      <c r="AB265" s="93"/>
      <c r="AC265" s="94"/>
      <c r="AD265" s="95" t="str">
        <f t="shared" si="72"/>
        <v/>
      </c>
      <c r="AE265" s="93"/>
      <c r="AF265" s="94"/>
      <c r="AG265" s="95" t="str">
        <f t="shared" si="73"/>
        <v/>
      </c>
      <c r="AH265" s="93"/>
      <c r="AI265" s="94"/>
      <c r="AJ265" s="95" t="str">
        <f t="shared" si="74"/>
        <v/>
      </c>
      <c r="AK265" s="93"/>
      <c r="AL265" s="94"/>
      <c r="AM265" s="95" t="str">
        <f t="shared" si="75"/>
        <v/>
      </c>
      <c r="AN265" s="93"/>
      <c r="AO265" s="94"/>
      <c r="AP265" s="95" t="str">
        <f t="shared" si="77"/>
        <v/>
      </c>
    </row>
    <row r="266" spans="1:42" x14ac:dyDescent="0.25">
      <c r="A266" s="91">
        <v>46287</v>
      </c>
      <c r="B266" s="92">
        <f t="shared" si="63"/>
        <v>39</v>
      </c>
      <c r="C266" s="92">
        <f t="shared" si="64"/>
        <v>9</v>
      </c>
      <c r="D266" s="93"/>
      <c r="E266" s="94"/>
      <c r="F266" s="95" t="str">
        <f t="shared" si="65"/>
        <v/>
      </c>
      <c r="G266" s="93"/>
      <c r="H266" s="94"/>
      <c r="I266" s="95" t="str">
        <f t="shared" si="76"/>
        <v/>
      </c>
      <c r="J266" s="93"/>
      <c r="K266" s="94"/>
      <c r="L266" s="95" t="str">
        <f t="shared" si="66"/>
        <v/>
      </c>
      <c r="M266" s="93"/>
      <c r="N266" s="94"/>
      <c r="O266" s="95" t="str">
        <f t="shared" si="67"/>
        <v/>
      </c>
      <c r="P266" s="93"/>
      <c r="Q266" s="94"/>
      <c r="R266" s="95" t="str">
        <f t="shared" si="68"/>
        <v/>
      </c>
      <c r="S266" s="93"/>
      <c r="T266" s="94"/>
      <c r="U266" s="95" t="str">
        <f t="shared" si="69"/>
        <v/>
      </c>
      <c r="V266" s="93"/>
      <c r="W266" s="94"/>
      <c r="X266" s="95" t="str">
        <f t="shared" si="70"/>
        <v/>
      </c>
      <c r="Y266" s="94"/>
      <c r="Z266" s="94"/>
      <c r="AA266" s="112" t="str">
        <f t="shared" si="71"/>
        <v/>
      </c>
      <c r="AB266" s="93"/>
      <c r="AC266" s="94"/>
      <c r="AD266" s="95" t="str">
        <f t="shared" si="72"/>
        <v/>
      </c>
      <c r="AE266" s="93"/>
      <c r="AF266" s="94"/>
      <c r="AG266" s="95" t="str">
        <f t="shared" si="73"/>
        <v/>
      </c>
      <c r="AH266" s="93"/>
      <c r="AI266" s="94"/>
      <c r="AJ266" s="95" t="str">
        <f t="shared" si="74"/>
        <v/>
      </c>
      <c r="AK266" s="93"/>
      <c r="AL266" s="94"/>
      <c r="AM266" s="95" t="str">
        <f t="shared" si="75"/>
        <v/>
      </c>
      <c r="AN266" s="93"/>
      <c r="AO266" s="94"/>
      <c r="AP266" s="95" t="str">
        <f t="shared" si="77"/>
        <v/>
      </c>
    </row>
    <row r="267" spans="1:42" x14ac:dyDescent="0.25">
      <c r="A267" s="91">
        <v>46288</v>
      </c>
      <c r="B267" s="92">
        <f t="shared" si="63"/>
        <v>39</v>
      </c>
      <c r="C267" s="92">
        <f t="shared" si="64"/>
        <v>9</v>
      </c>
      <c r="D267" s="93"/>
      <c r="E267" s="94"/>
      <c r="F267" s="95" t="str">
        <f t="shared" si="65"/>
        <v/>
      </c>
      <c r="G267" s="93"/>
      <c r="H267" s="94"/>
      <c r="I267" s="95" t="str">
        <f t="shared" si="76"/>
        <v/>
      </c>
      <c r="J267" s="93"/>
      <c r="K267" s="94"/>
      <c r="L267" s="95" t="str">
        <f t="shared" si="66"/>
        <v/>
      </c>
      <c r="M267" s="93"/>
      <c r="N267" s="94"/>
      <c r="O267" s="95" t="str">
        <f t="shared" si="67"/>
        <v/>
      </c>
      <c r="P267" s="93"/>
      <c r="Q267" s="94"/>
      <c r="R267" s="95" t="str">
        <f t="shared" si="68"/>
        <v/>
      </c>
      <c r="S267" s="93"/>
      <c r="T267" s="94"/>
      <c r="U267" s="95" t="str">
        <f t="shared" si="69"/>
        <v/>
      </c>
      <c r="V267" s="93"/>
      <c r="W267" s="94"/>
      <c r="X267" s="95" t="str">
        <f t="shared" si="70"/>
        <v/>
      </c>
      <c r="Y267" s="94"/>
      <c r="Z267" s="94"/>
      <c r="AA267" s="112" t="str">
        <f t="shared" si="71"/>
        <v/>
      </c>
      <c r="AB267" s="93"/>
      <c r="AC267" s="94"/>
      <c r="AD267" s="95" t="str">
        <f t="shared" si="72"/>
        <v/>
      </c>
      <c r="AE267" s="93"/>
      <c r="AF267" s="94"/>
      <c r="AG267" s="95" t="str">
        <f t="shared" si="73"/>
        <v/>
      </c>
      <c r="AH267" s="93"/>
      <c r="AI267" s="94"/>
      <c r="AJ267" s="95" t="str">
        <f t="shared" si="74"/>
        <v/>
      </c>
      <c r="AK267" s="93"/>
      <c r="AL267" s="94"/>
      <c r="AM267" s="95" t="str">
        <f t="shared" si="75"/>
        <v/>
      </c>
      <c r="AN267" s="93"/>
      <c r="AO267" s="94"/>
      <c r="AP267" s="95" t="str">
        <f t="shared" si="77"/>
        <v/>
      </c>
    </row>
    <row r="268" spans="1:42" x14ac:dyDescent="0.25">
      <c r="A268" s="91">
        <v>46289</v>
      </c>
      <c r="B268" s="92">
        <f t="shared" si="63"/>
        <v>39</v>
      </c>
      <c r="C268" s="92">
        <f t="shared" si="64"/>
        <v>9</v>
      </c>
      <c r="D268" s="93"/>
      <c r="E268" s="94"/>
      <c r="F268" s="95" t="str">
        <f t="shared" si="65"/>
        <v/>
      </c>
      <c r="G268" s="93"/>
      <c r="H268" s="94"/>
      <c r="I268" s="95" t="str">
        <f t="shared" si="76"/>
        <v/>
      </c>
      <c r="J268" s="93"/>
      <c r="K268" s="94"/>
      <c r="L268" s="95" t="str">
        <f t="shared" si="66"/>
        <v/>
      </c>
      <c r="M268" s="93"/>
      <c r="N268" s="94"/>
      <c r="O268" s="95" t="str">
        <f t="shared" si="67"/>
        <v/>
      </c>
      <c r="P268" s="93"/>
      <c r="Q268" s="94"/>
      <c r="R268" s="95" t="str">
        <f t="shared" si="68"/>
        <v/>
      </c>
      <c r="S268" s="93"/>
      <c r="T268" s="94"/>
      <c r="U268" s="95" t="str">
        <f t="shared" si="69"/>
        <v/>
      </c>
      <c r="V268" s="93"/>
      <c r="W268" s="94"/>
      <c r="X268" s="95" t="str">
        <f t="shared" si="70"/>
        <v/>
      </c>
      <c r="Y268" s="94"/>
      <c r="Z268" s="94"/>
      <c r="AA268" s="112" t="str">
        <f t="shared" si="71"/>
        <v/>
      </c>
      <c r="AB268" s="93"/>
      <c r="AC268" s="94"/>
      <c r="AD268" s="95" t="str">
        <f t="shared" si="72"/>
        <v/>
      </c>
      <c r="AE268" s="93"/>
      <c r="AF268" s="94"/>
      <c r="AG268" s="95" t="str">
        <f t="shared" si="73"/>
        <v/>
      </c>
      <c r="AH268" s="93"/>
      <c r="AI268" s="94"/>
      <c r="AJ268" s="95" t="str">
        <f t="shared" si="74"/>
        <v/>
      </c>
      <c r="AK268" s="93"/>
      <c r="AL268" s="94"/>
      <c r="AM268" s="95" t="str">
        <f t="shared" si="75"/>
        <v/>
      </c>
      <c r="AN268" s="93"/>
      <c r="AO268" s="94"/>
      <c r="AP268" s="95" t="str">
        <f t="shared" si="77"/>
        <v/>
      </c>
    </row>
    <row r="269" spans="1:42" x14ac:dyDescent="0.25">
      <c r="A269" s="91">
        <v>46290</v>
      </c>
      <c r="B269" s="92">
        <f t="shared" si="63"/>
        <v>39</v>
      </c>
      <c r="C269" s="92">
        <f t="shared" si="64"/>
        <v>9</v>
      </c>
      <c r="D269" s="93"/>
      <c r="E269" s="94"/>
      <c r="F269" s="95" t="str">
        <f t="shared" si="65"/>
        <v/>
      </c>
      <c r="G269" s="93"/>
      <c r="H269" s="94"/>
      <c r="I269" s="95" t="str">
        <f t="shared" si="76"/>
        <v/>
      </c>
      <c r="J269" s="93"/>
      <c r="K269" s="94"/>
      <c r="L269" s="95" t="str">
        <f t="shared" si="66"/>
        <v/>
      </c>
      <c r="M269" s="93"/>
      <c r="N269" s="94"/>
      <c r="O269" s="95" t="str">
        <f t="shared" si="67"/>
        <v/>
      </c>
      <c r="P269" s="93"/>
      <c r="Q269" s="94"/>
      <c r="R269" s="95" t="str">
        <f t="shared" si="68"/>
        <v/>
      </c>
      <c r="S269" s="93"/>
      <c r="T269" s="94"/>
      <c r="U269" s="95" t="str">
        <f t="shared" si="69"/>
        <v/>
      </c>
      <c r="V269" s="93"/>
      <c r="W269" s="94"/>
      <c r="X269" s="95" t="str">
        <f t="shared" si="70"/>
        <v/>
      </c>
      <c r="Y269" s="94"/>
      <c r="Z269" s="94"/>
      <c r="AA269" s="112" t="str">
        <f t="shared" si="71"/>
        <v/>
      </c>
      <c r="AB269" s="93"/>
      <c r="AC269" s="94"/>
      <c r="AD269" s="95" t="str">
        <f t="shared" si="72"/>
        <v/>
      </c>
      <c r="AE269" s="93"/>
      <c r="AF269" s="94"/>
      <c r="AG269" s="95" t="str">
        <f t="shared" si="73"/>
        <v/>
      </c>
      <c r="AH269" s="93"/>
      <c r="AI269" s="94"/>
      <c r="AJ269" s="95" t="str">
        <f t="shared" si="74"/>
        <v/>
      </c>
      <c r="AK269" s="93"/>
      <c r="AL269" s="94"/>
      <c r="AM269" s="95" t="str">
        <f t="shared" si="75"/>
        <v/>
      </c>
      <c r="AN269" s="93"/>
      <c r="AO269" s="94"/>
      <c r="AP269" s="95" t="str">
        <f t="shared" si="77"/>
        <v/>
      </c>
    </row>
    <row r="270" spans="1:42" x14ac:dyDescent="0.25">
      <c r="A270" s="91">
        <v>46291</v>
      </c>
      <c r="B270" s="92">
        <f t="shared" si="63"/>
        <v>39</v>
      </c>
      <c r="C270" s="92">
        <f t="shared" si="64"/>
        <v>9</v>
      </c>
      <c r="D270" s="93"/>
      <c r="E270" s="94"/>
      <c r="F270" s="95" t="str">
        <f t="shared" si="65"/>
        <v/>
      </c>
      <c r="G270" s="93"/>
      <c r="H270" s="94"/>
      <c r="I270" s="95" t="str">
        <f t="shared" si="76"/>
        <v/>
      </c>
      <c r="J270" s="93"/>
      <c r="K270" s="94"/>
      <c r="L270" s="95" t="str">
        <f t="shared" si="66"/>
        <v/>
      </c>
      <c r="M270" s="93"/>
      <c r="N270" s="94"/>
      <c r="O270" s="95" t="str">
        <f t="shared" si="67"/>
        <v/>
      </c>
      <c r="P270" s="93"/>
      <c r="Q270" s="94"/>
      <c r="R270" s="95" t="str">
        <f t="shared" si="68"/>
        <v/>
      </c>
      <c r="S270" s="93"/>
      <c r="T270" s="94"/>
      <c r="U270" s="95" t="str">
        <f t="shared" si="69"/>
        <v/>
      </c>
      <c r="V270" s="93"/>
      <c r="W270" s="94"/>
      <c r="X270" s="95" t="str">
        <f t="shared" si="70"/>
        <v/>
      </c>
      <c r="Y270" s="94"/>
      <c r="Z270" s="94"/>
      <c r="AA270" s="112" t="str">
        <f t="shared" si="71"/>
        <v/>
      </c>
      <c r="AB270" s="93"/>
      <c r="AC270" s="94"/>
      <c r="AD270" s="95" t="str">
        <f t="shared" si="72"/>
        <v/>
      </c>
      <c r="AE270" s="93"/>
      <c r="AF270" s="94"/>
      <c r="AG270" s="95" t="str">
        <f t="shared" si="73"/>
        <v/>
      </c>
      <c r="AH270" s="93"/>
      <c r="AI270" s="94"/>
      <c r="AJ270" s="95" t="str">
        <f t="shared" si="74"/>
        <v/>
      </c>
      <c r="AK270" s="93"/>
      <c r="AL270" s="94"/>
      <c r="AM270" s="95" t="str">
        <f t="shared" si="75"/>
        <v/>
      </c>
      <c r="AN270" s="93"/>
      <c r="AO270" s="94"/>
      <c r="AP270" s="95" t="str">
        <f t="shared" si="77"/>
        <v/>
      </c>
    </row>
    <row r="271" spans="1:42" x14ac:dyDescent="0.25">
      <c r="A271" s="91">
        <v>46292</v>
      </c>
      <c r="B271" s="92">
        <f t="shared" si="63"/>
        <v>39</v>
      </c>
      <c r="C271" s="92">
        <f t="shared" si="64"/>
        <v>9</v>
      </c>
      <c r="D271" s="93"/>
      <c r="E271" s="94"/>
      <c r="F271" s="95" t="str">
        <f t="shared" si="65"/>
        <v/>
      </c>
      <c r="G271" s="93"/>
      <c r="H271" s="94"/>
      <c r="I271" s="95" t="str">
        <f t="shared" si="76"/>
        <v/>
      </c>
      <c r="J271" s="93"/>
      <c r="K271" s="94"/>
      <c r="L271" s="95" t="str">
        <f t="shared" si="66"/>
        <v/>
      </c>
      <c r="M271" s="93"/>
      <c r="N271" s="94"/>
      <c r="O271" s="95" t="str">
        <f t="shared" si="67"/>
        <v/>
      </c>
      <c r="P271" s="93"/>
      <c r="Q271" s="94"/>
      <c r="R271" s="95" t="str">
        <f t="shared" si="68"/>
        <v/>
      </c>
      <c r="S271" s="93"/>
      <c r="T271" s="94"/>
      <c r="U271" s="95" t="str">
        <f t="shared" si="69"/>
        <v/>
      </c>
      <c r="V271" s="93"/>
      <c r="W271" s="94"/>
      <c r="X271" s="95" t="str">
        <f t="shared" si="70"/>
        <v/>
      </c>
      <c r="Y271" s="94"/>
      <c r="Z271" s="94"/>
      <c r="AA271" s="112" t="str">
        <f t="shared" si="71"/>
        <v/>
      </c>
      <c r="AB271" s="93"/>
      <c r="AC271" s="94"/>
      <c r="AD271" s="95" t="str">
        <f t="shared" si="72"/>
        <v/>
      </c>
      <c r="AE271" s="93"/>
      <c r="AF271" s="94"/>
      <c r="AG271" s="95" t="str">
        <f t="shared" si="73"/>
        <v/>
      </c>
      <c r="AH271" s="93"/>
      <c r="AI271" s="94"/>
      <c r="AJ271" s="95" t="str">
        <f t="shared" si="74"/>
        <v/>
      </c>
      <c r="AK271" s="93"/>
      <c r="AL271" s="94"/>
      <c r="AM271" s="95" t="str">
        <f t="shared" si="75"/>
        <v/>
      </c>
      <c r="AN271" s="93"/>
      <c r="AO271" s="94"/>
      <c r="AP271" s="95" t="str">
        <f t="shared" si="77"/>
        <v/>
      </c>
    </row>
    <row r="272" spans="1:42" x14ac:dyDescent="0.25">
      <c r="A272" s="91">
        <v>46293</v>
      </c>
      <c r="B272" s="92">
        <f t="shared" si="63"/>
        <v>40</v>
      </c>
      <c r="C272" s="92">
        <f t="shared" si="64"/>
        <v>9</v>
      </c>
      <c r="D272" s="93"/>
      <c r="E272" s="94"/>
      <c r="F272" s="95" t="str">
        <f t="shared" si="65"/>
        <v/>
      </c>
      <c r="G272" s="93"/>
      <c r="H272" s="94"/>
      <c r="I272" s="95" t="str">
        <f t="shared" si="76"/>
        <v/>
      </c>
      <c r="J272" s="93"/>
      <c r="K272" s="94"/>
      <c r="L272" s="95" t="str">
        <f t="shared" si="66"/>
        <v/>
      </c>
      <c r="M272" s="93"/>
      <c r="N272" s="94"/>
      <c r="O272" s="95" t="str">
        <f t="shared" si="67"/>
        <v/>
      </c>
      <c r="P272" s="93"/>
      <c r="Q272" s="94"/>
      <c r="R272" s="95" t="str">
        <f t="shared" si="68"/>
        <v/>
      </c>
      <c r="S272" s="93"/>
      <c r="T272" s="94"/>
      <c r="U272" s="95" t="str">
        <f t="shared" si="69"/>
        <v/>
      </c>
      <c r="V272" s="93"/>
      <c r="W272" s="94"/>
      <c r="X272" s="95" t="str">
        <f t="shared" si="70"/>
        <v/>
      </c>
      <c r="Y272" s="94"/>
      <c r="Z272" s="94"/>
      <c r="AA272" s="112" t="str">
        <f t="shared" si="71"/>
        <v/>
      </c>
      <c r="AB272" s="93"/>
      <c r="AC272" s="94"/>
      <c r="AD272" s="95" t="str">
        <f t="shared" si="72"/>
        <v/>
      </c>
      <c r="AE272" s="93"/>
      <c r="AF272" s="94"/>
      <c r="AG272" s="95" t="str">
        <f t="shared" si="73"/>
        <v/>
      </c>
      <c r="AH272" s="93"/>
      <c r="AI272" s="94"/>
      <c r="AJ272" s="95" t="str">
        <f t="shared" si="74"/>
        <v/>
      </c>
      <c r="AK272" s="93"/>
      <c r="AL272" s="94"/>
      <c r="AM272" s="95" t="str">
        <f t="shared" si="75"/>
        <v/>
      </c>
      <c r="AN272" s="93"/>
      <c r="AO272" s="94"/>
      <c r="AP272" s="95" t="str">
        <f t="shared" si="77"/>
        <v/>
      </c>
    </row>
    <row r="273" spans="1:42" x14ac:dyDescent="0.25">
      <c r="A273" s="91">
        <v>46294</v>
      </c>
      <c r="B273" s="92">
        <f t="shared" si="63"/>
        <v>40</v>
      </c>
      <c r="C273" s="92">
        <f t="shared" si="64"/>
        <v>9</v>
      </c>
      <c r="D273" s="93"/>
      <c r="E273" s="94"/>
      <c r="F273" s="95" t="str">
        <f t="shared" si="65"/>
        <v/>
      </c>
      <c r="G273" s="93"/>
      <c r="H273" s="94"/>
      <c r="I273" s="95" t="str">
        <f t="shared" si="76"/>
        <v/>
      </c>
      <c r="J273" s="93"/>
      <c r="K273" s="94"/>
      <c r="L273" s="95" t="str">
        <f t="shared" si="66"/>
        <v/>
      </c>
      <c r="M273" s="93"/>
      <c r="N273" s="94"/>
      <c r="O273" s="95" t="str">
        <f t="shared" si="67"/>
        <v/>
      </c>
      <c r="P273" s="93"/>
      <c r="Q273" s="94"/>
      <c r="R273" s="95" t="str">
        <f t="shared" si="68"/>
        <v/>
      </c>
      <c r="S273" s="93"/>
      <c r="T273" s="94"/>
      <c r="U273" s="95" t="str">
        <f t="shared" si="69"/>
        <v/>
      </c>
      <c r="V273" s="93"/>
      <c r="W273" s="94"/>
      <c r="X273" s="95" t="str">
        <f t="shared" si="70"/>
        <v/>
      </c>
      <c r="Y273" s="94"/>
      <c r="Z273" s="94"/>
      <c r="AA273" s="112" t="str">
        <f t="shared" si="71"/>
        <v/>
      </c>
      <c r="AB273" s="93"/>
      <c r="AC273" s="94"/>
      <c r="AD273" s="95" t="str">
        <f t="shared" si="72"/>
        <v/>
      </c>
      <c r="AE273" s="93"/>
      <c r="AF273" s="94"/>
      <c r="AG273" s="95" t="str">
        <f t="shared" si="73"/>
        <v/>
      </c>
      <c r="AH273" s="93"/>
      <c r="AI273" s="94"/>
      <c r="AJ273" s="95" t="str">
        <f t="shared" si="74"/>
        <v/>
      </c>
      <c r="AK273" s="93"/>
      <c r="AL273" s="94"/>
      <c r="AM273" s="95" t="str">
        <f t="shared" si="75"/>
        <v/>
      </c>
      <c r="AN273" s="93"/>
      <c r="AO273" s="94"/>
      <c r="AP273" s="95" t="str">
        <f t="shared" si="77"/>
        <v/>
      </c>
    </row>
    <row r="274" spans="1:42" x14ac:dyDescent="0.25">
      <c r="A274" s="91">
        <v>46295</v>
      </c>
      <c r="B274" s="92">
        <f t="shared" si="63"/>
        <v>40</v>
      </c>
      <c r="C274" s="92">
        <f t="shared" si="64"/>
        <v>9</v>
      </c>
      <c r="D274" s="93"/>
      <c r="E274" s="94"/>
      <c r="F274" s="95" t="str">
        <f t="shared" si="65"/>
        <v/>
      </c>
      <c r="G274" s="93"/>
      <c r="H274" s="94"/>
      <c r="I274" s="95" t="str">
        <f t="shared" si="76"/>
        <v/>
      </c>
      <c r="J274" s="93"/>
      <c r="K274" s="94"/>
      <c r="L274" s="95" t="str">
        <f t="shared" si="66"/>
        <v/>
      </c>
      <c r="M274" s="93"/>
      <c r="N274" s="94"/>
      <c r="O274" s="95" t="str">
        <f t="shared" si="67"/>
        <v/>
      </c>
      <c r="P274" s="93"/>
      <c r="Q274" s="94"/>
      <c r="R274" s="95" t="str">
        <f t="shared" si="68"/>
        <v/>
      </c>
      <c r="S274" s="93"/>
      <c r="T274" s="94"/>
      <c r="U274" s="95" t="str">
        <f t="shared" si="69"/>
        <v/>
      </c>
      <c r="V274" s="93"/>
      <c r="W274" s="94"/>
      <c r="X274" s="95" t="str">
        <f t="shared" si="70"/>
        <v/>
      </c>
      <c r="Y274" s="94"/>
      <c r="Z274" s="94"/>
      <c r="AA274" s="112" t="str">
        <f t="shared" si="71"/>
        <v/>
      </c>
      <c r="AB274" s="93"/>
      <c r="AC274" s="94"/>
      <c r="AD274" s="95" t="str">
        <f t="shared" si="72"/>
        <v/>
      </c>
      <c r="AE274" s="93"/>
      <c r="AF274" s="94"/>
      <c r="AG274" s="95" t="str">
        <f t="shared" si="73"/>
        <v/>
      </c>
      <c r="AH274" s="93"/>
      <c r="AI274" s="94"/>
      <c r="AJ274" s="95" t="str">
        <f t="shared" si="74"/>
        <v/>
      </c>
      <c r="AK274" s="93"/>
      <c r="AL274" s="94"/>
      <c r="AM274" s="95" t="str">
        <f t="shared" si="75"/>
        <v/>
      </c>
      <c r="AN274" s="93"/>
      <c r="AO274" s="94"/>
      <c r="AP274" s="95" t="str">
        <f t="shared" si="77"/>
        <v/>
      </c>
    </row>
    <row r="275" spans="1:42" x14ac:dyDescent="0.25">
      <c r="A275" s="91">
        <v>46296</v>
      </c>
      <c r="B275" s="92">
        <f t="shared" si="63"/>
        <v>40</v>
      </c>
      <c r="C275" s="92">
        <f t="shared" si="64"/>
        <v>10</v>
      </c>
      <c r="D275" s="93"/>
      <c r="E275" s="94"/>
      <c r="F275" s="95" t="str">
        <f t="shared" si="65"/>
        <v/>
      </c>
      <c r="G275" s="93"/>
      <c r="H275" s="94"/>
      <c r="I275" s="95" t="str">
        <f t="shared" si="76"/>
        <v/>
      </c>
      <c r="J275" s="93"/>
      <c r="K275" s="94"/>
      <c r="L275" s="95" t="str">
        <f t="shared" si="66"/>
        <v/>
      </c>
      <c r="M275" s="93"/>
      <c r="N275" s="94"/>
      <c r="O275" s="95" t="str">
        <f t="shared" si="67"/>
        <v/>
      </c>
      <c r="P275" s="93"/>
      <c r="Q275" s="94"/>
      <c r="R275" s="95" t="str">
        <f t="shared" si="68"/>
        <v/>
      </c>
      <c r="S275" s="93"/>
      <c r="T275" s="94"/>
      <c r="U275" s="95" t="str">
        <f t="shared" si="69"/>
        <v/>
      </c>
      <c r="V275" s="93"/>
      <c r="W275" s="94"/>
      <c r="X275" s="95" t="str">
        <f t="shared" si="70"/>
        <v/>
      </c>
      <c r="Y275" s="94"/>
      <c r="Z275" s="94"/>
      <c r="AA275" s="112" t="str">
        <f t="shared" si="71"/>
        <v/>
      </c>
      <c r="AB275" s="93"/>
      <c r="AC275" s="94"/>
      <c r="AD275" s="95" t="str">
        <f t="shared" si="72"/>
        <v/>
      </c>
      <c r="AE275" s="93"/>
      <c r="AF275" s="94"/>
      <c r="AG275" s="95" t="str">
        <f t="shared" si="73"/>
        <v/>
      </c>
      <c r="AH275" s="93"/>
      <c r="AI275" s="94"/>
      <c r="AJ275" s="95" t="str">
        <f t="shared" si="74"/>
        <v/>
      </c>
      <c r="AK275" s="93"/>
      <c r="AL275" s="94"/>
      <c r="AM275" s="95" t="str">
        <f t="shared" si="75"/>
        <v/>
      </c>
      <c r="AN275" s="93"/>
      <c r="AO275" s="94"/>
      <c r="AP275" s="95" t="str">
        <f t="shared" si="77"/>
        <v/>
      </c>
    </row>
    <row r="276" spans="1:42" x14ac:dyDescent="0.25">
      <c r="A276" s="91">
        <v>46297</v>
      </c>
      <c r="B276" s="92">
        <f t="shared" si="63"/>
        <v>40</v>
      </c>
      <c r="C276" s="92">
        <f t="shared" si="64"/>
        <v>10</v>
      </c>
      <c r="D276" s="93"/>
      <c r="E276" s="94"/>
      <c r="F276" s="95" t="str">
        <f t="shared" si="65"/>
        <v/>
      </c>
      <c r="G276" s="93"/>
      <c r="H276" s="94"/>
      <c r="I276" s="95" t="str">
        <f t="shared" si="76"/>
        <v/>
      </c>
      <c r="J276" s="93"/>
      <c r="K276" s="94"/>
      <c r="L276" s="95" t="str">
        <f t="shared" si="66"/>
        <v/>
      </c>
      <c r="M276" s="93"/>
      <c r="N276" s="94"/>
      <c r="O276" s="95" t="str">
        <f t="shared" si="67"/>
        <v/>
      </c>
      <c r="P276" s="93"/>
      <c r="Q276" s="94"/>
      <c r="R276" s="95" t="str">
        <f t="shared" si="68"/>
        <v/>
      </c>
      <c r="S276" s="93"/>
      <c r="T276" s="94"/>
      <c r="U276" s="95" t="str">
        <f t="shared" si="69"/>
        <v/>
      </c>
      <c r="V276" s="93"/>
      <c r="W276" s="94"/>
      <c r="X276" s="95" t="str">
        <f t="shared" si="70"/>
        <v/>
      </c>
      <c r="Y276" s="94"/>
      <c r="Z276" s="94"/>
      <c r="AA276" s="112" t="str">
        <f t="shared" si="71"/>
        <v/>
      </c>
      <c r="AB276" s="93"/>
      <c r="AC276" s="94"/>
      <c r="AD276" s="95" t="str">
        <f t="shared" si="72"/>
        <v/>
      </c>
      <c r="AE276" s="93"/>
      <c r="AF276" s="94"/>
      <c r="AG276" s="95" t="str">
        <f t="shared" si="73"/>
        <v/>
      </c>
      <c r="AH276" s="93"/>
      <c r="AI276" s="94"/>
      <c r="AJ276" s="95" t="str">
        <f t="shared" si="74"/>
        <v/>
      </c>
      <c r="AK276" s="93"/>
      <c r="AL276" s="94"/>
      <c r="AM276" s="95" t="str">
        <f t="shared" si="75"/>
        <v/>
      </c>
      <c r="AN276" s="93"/>
      <c r="AO276" s="94"/>
      <c r="AP276" s="95" t="str">
        <f t="shared" si="77"/>
        <v/>
      </c>
    </row>
    <row r="277" spans="1:42" x14ac:dyDescent="0.25">
      <c r="A277" s="91">
        <v>46298</v>
      </c>
      <c r="B277" s="92">
        <f t="shared" si="63"/>
        <v>40</v>
      </c>
      <c r="C277" s="92">
        <f t="shared" si="64"/>
        <v>10</v>
      </c>
      <c r="D277" s="93"/>
      <c r="E277" s="94"/>
      <c r="F277" s="95" t="str">
        <f t="shared" si="65"/>
        <v/>
      </c>
      <c r="G277" s="93"/>
      <c r="H277" s="94"/>
      <c r="I277" s="95" t="str">
        <f t="shared" si="76"/>
        <v/>
      </c>
      <c r="J277" s="93"/>
      <c r="K277" s="94"/>
      <c r="L277" s="95" t="str">
        <f t="shared" si="66"/>
        <v/>
      </c>
      <c r="M277" s="93"/>
      <c r="N277" s="94"/>
      <c r="O277" s="95" t="str">
        <f t="shared" si="67"/>
        <v/>
      </c>
      <c r="P277" s="93"/>
      <c r="Q277" s="94"/>
      <c r="R277" s="95" t="str">
        <f t="shared" si="68"/>
        <v/>
      </c>
      <c r="S277" s="93"/>
      <c r="T277" s="94"/>
      <c r="U277" s="95" t="str">
        <f t="shared" si="69"/>
        <v/>
      </c>
      <c r="V277" s="93"/>
      <c r="W277" s="94"/>
      <c r="X277" s="95" t="str">
        <f t="shared" si="70"/>
        <v/>
      </c>
      <c r="Y277" s="94"/>
      <c r="Z277" s="94"/>
      <c r="AA277" s="112" t="str">
        <f t="shared" si="71"/>
        <v/>
      </c>
      <c r="AB277" s="93"/>
      <c r="AC277" s="94"/>
      <c r="AD277" s="95" t="str">
        <f t="shared" si="72"/>
        <v/>
      </c>
      <c r="AE277" s="93"/>
      <c r="AF277" s="94"/>
      <c r="AG277" s="95" t="str">
        <f t="shared" si="73"/>
        <v/>
      </c>
      <c r="AH277" s="93"/>
      <c r="AI277" s="94"/>
      <c r="AJ277" s="95" t="str">
        <f t="shared" si="74"/>
        <v/>
      </c>
      <c r="AK277" s="93"/>
      <c r="AL277" s="94"/>
      <c r="AM277" s="95" t="str">
        <f t="shared" si="75"/>
        <v/>
      </c>
      <c r="AN277" s="93"/>
      <c r="AO277" s="94"/>
      <c r="AP277" s="95" t="str">
        <f t="shared" si="77"/>
        <v/>
      </c>
    </row>
    <row r="278" spans="1:42" x14ac:dyDescent="0.25">
      <c r="A278" s="91">
        <v>46299</v>
      </c>
      <c r="B278" s="92">
        <f t="shared" si="63"/>
        <v>40</v>
      </c>
      <c r="C278" s="92">
        <f t="shared" si="64"/>
        <v>10</v>
      </c>
      <c r="D278" s="93"/>
      <c r="E278" s="94"/>
      <c r="F278" s="95" t="str">
        <f t="shared" si="65"/>
        <v/>
      </c>
      <c r="G278" s="93"/>
      <c r="H278" s="94"/>
      <c r="I278" s="95" t="str">
        <f t="shared" si="76"/>
        <v/>
      </c>
      <c r="J278" s="93"/>
      <c r="K278" s="94"/>
      <c r="L278" s="95" t="str">
        <f t="shared" si="66"/>
        <v/>
      </c>
      <c r="M278" s="93"/>
      <c r="N278" s="94"/>
      <c r="O278" s="95" t="str">
        <f t="shared" si="67"/>
        <v/>
      </c>
      <c r="P278" s="93"/>
      <c r="Q278" s="94"/>
      <c r="R278" s="95" t="str">
        <f t="shared" si="68"/>
        <v/>
      </c>
      <c r="S278" s="93"/>
      <c r="T278" s="94"/>
      <c r="U278" s="95" t="str">
        <f t="shared" si="69"/>
        <v/>
      </c>
      <c r="V278" s="93"/>
      <c r="W278" s="94"/>
      <c r="X278" s="95" t="str">
        <f t="shared" si="70"/>
        <v/>
      </c>
      <c r="Y278" s="94"/>
      <c r="Z278" s="94"/>
      <c r="AA278" s="112" t="str">
        <f t="shared" si="71"/>
        <v/>
      </c>
      <c r="AB278" s="93"/>
      <c r="AC278" s="94"/>
      <c r="AD278" s="95" t="str">
        <f t="shared" si="72"/>
        <v/>
      </c>
      <c r="AE278" s="93"/>
      <c r="AF278" s="94"/>
      <c r="AG278" s="95" t="str">
        <f t="shared" si="73"/>
        <v/>
      </c>
      <c r="AH278" s="93"/>
      <c r="AI278" s="94"/>
      <c r="AJ278" s="95" t="str">
        <f t="shared" si="74"/>
        <v/>
      </c>
      <c r="AK278" s="93"/>
      <c r="AL278" s="94"/>
      <c r="AM278" s="95" t="str">
        <f t="shared" si="75"/>
        <v/>
      </c>
      <c r="AN278" s="93"/>
      <c r="AO278" s="94"/>
      <c r="AP278" s="95" t="str">
        <f t="shared" si="77"/>
        <v/>
      </c>
    </row>
    <row r="279" spans="1:42" x14ac:dyDescent="0.25">
      <c r="A279" s="91">
        <v>46300</v>
      </c>
      <c r="B279" s="92">
        <f t="shared" si="63"/>
        <v>41</v>
      </c>
      <c r="C279" s="92">
        <f t="shared" si="64"/>
        <v>10</v>
      </c>
      <c r="D279" s="93"/>
      <c r="E279" s="94"/>
      <c r="F279" s="95" t="str">
        <f t="shared" si="65"/>
        <v/>
      </c>
      <c r="G279" s="93"/>
      <c r="H279" s="94"/>
      <c r="I279" s="95" t="str">
        <f t="shared" si="76"/>
        <v/>
      </c>
      <c r="J279" s="93"/>
      <c r="K279" s="94"/>
      <c r="L279" s="95" t="str">
        <f t="shared" si="66"/>
        <v/>
      </c>
      <c r="M279" s="93"/>
      <c r="N279" s="94"/>
      <c r="O279" s="95" t="str">
        <f t="shared" si="67"/>
        <v/>
      </c>
      <c r="P279" s="93"/>
      <c r="Q279" s="94"/>
      <c r="R279" s="95" t="str">
        <f t="shared" si="68"/>
        <v/>
      </c>
      <c r="S279" s="93"/>
      <c r="T279" s="94"/>
      <c r="U279" s="95" t="str">
        <f t="shared" si="69"/>
        <v/>
      </c>
      <c r="V279" s="93"/>
      <c r="W279" s="94"/>
      <c r="X279" s="95" t="str">
        <f t="shared" si="70"/>
        <v/>
      </c>
      <c r="Y279" s="94"/>
      <c r="Z279" s="94"/>
      <c r="AA279" s="112" t="str">
        <f t="shared" si="71"/>
        <v/>
      </c>
      <c r="AB279" s="93"/>
      <c r="AC279" s="94"/>
      <c r="AD279" s="95" t="str">
        <f t="shared" si="72"/>
        <v/>
      </c>
      <c r="AE279" s="93"/>
      <c r="AF279" s="94"/>
      <c r="AG279" s="95" t="str">
        <f t="shared" si="73"/>
        <v/>
      </c>
      <c r="AH279" s="93"/>
      <c r="AI279" s="94"/>
      <c r="AJ279" s="95" t="str">
        <f t="shared" si="74"/>
        <v/>
      </c>
      <c r="AK279" s="93"/>
      <c r="AL279" s="94"/>
      <c r="AM279" s="95" t="str">
        <f t="shared" si="75"/>
        <v/>
      </c>
      <c r="AN279" s="93"/>
      <c r="AO279" s="94"/>
      <c r="AP279" s="95" t="str">
        <f t="shared" si="77"/>
        <v/>
      </c>
    </row>
    <row r="280" spans="1:42" x14ac:dyDescent="0.25">
      <c r="A280" s="91">
        <v>46301</v>
      </c>
      <c r="B280" s="92">
        <f t="shared" si="63"/>
        <v>41</v>
      </c>
      <c r="C280" s="92">
        <f t="shared" si="64"/>
        <v>10</v>
      </c>
      <c r="D280" s="93"/>
      <c r="E280" s="94"/>
      <c r="F280" s="95" t="str">
        <f t="shared" si="65"/>
        <v/>
      </c>
      <c r="G280" s="93"/>
      <c r="H280" s="94"/>
      <c r="I280" s="95" t="str">
        <f t="shared" si="76"/>
        <v/>
      </c>
      <c r="J280" s="93"/>
      <c r="K280" s="94"/>
      <c r="L280" s="95" t="str">
        <f t="shared" si="66"/>
        <v/>
      </c>
      <c r="M280" s="93"/>
      <c r="N280" s="94"/>
      <c r="O280" s="95" t="str">
        <f t="shared" si="67"/>
        <v/>
      </c>
      <c r="P280" s="93"/>
      <c r="Q280" s="94"/>
      <c r="R280" s="95" t="str">
        <f t="shared" si="68"/>
        <v/>
      </c>
      <c r="S280" s="93"/>
      <c r="T280" s="94"/>
      <c r="U280" s="95" t="str">
        <f t="shared" si="69"/>
        <v/>
      </c>
      <c r="V280" s="93"/>
      <c r="W280" s="94"/>
      <c r="X280" s="95" t="str">
        <f t="shared" si="70"/>
        <v/>
      </c>
      <c r="Y280" s="94"/>
      <c r="Z280" s="94"/>
      <c r="AA280" s="112" t="str">
        <f t="shared" si="71"/>
        <v/>
      </c>
      <c r="AB280" s="93"/>
      <c r="AC280" s="94"/>
      <c r="AD280" s="95" t="str">
        <f t="shared" si="72"/>
        <v/>
      </c>
      <c r="AE280" s="93"/>
      <c r="AF280" s="94"/>
      <c r="AG280" s="95" t="str">
        <f t="shared" si="73"/>
        <v/>
      </c>
      <c r="AH280" s="93"/>
      <c r="AI280" s="94"/>
      <c r="AJ280" s="95" t="str">
        <f t="shared" si="74"/>
        <v/>
      </c>
      <c r="AK280" s="93"/>
      <c r="AL280" s="94"/>
      <c r="AM280" s="95" t="str">
        <f t="shared" si="75"/>
        <v/>
      </c>
      <c r="AN280" s="93"/>
      <c r="AO280" s="94"/>
      <c r="AP280" s="95" t="str">
        <f t="shared" si="77"/>
        <v/>
      </c>
    </row>
    <row r="281" spans="1:42" x14ac:dyDescent="0.25">
      <c r="A281" s="91">
        <v>46302</v>
      </c>
      <c r="B281" s="92">
        <f t="shared" si="63"/>
        <v>41</v>
      </c>
      <c r="C281" s="92">
        <f t="shared" si="64"/>
        <v>10</v>
      </c>
      <c r="D281" s="93"/>
      <c r="E281" s="94"/>
      <c r="F281" s="95" t="str">
        <f t="shared" si="65"/>
        <v/>
      </c>
      <c r="G281" s="93"/>
      <c r="H281" s="94"/>
      <c r="I281" s="95" t="str">
        <f t="shared" si="76"/>
        <v/>
      </c>
      <c r="J281" s="93"/>
      <c r="K281" s="94"/>
      <c r="L281" s="95" t="str">
        <f t="shared" si="66"/>
        <v/>
      </c>
      <c r="M281" s="93"/>
      <c r="N281" s="94"/>
      <c r="O281" s="95" t="str">
        <f t="shared" si="67"/>
        <v/>
      </c>
      <c r="P281" s="93"/>
      <c r="Q281" s="94"/>
      <c r="R281" s="95" t="str">
        <f t="shared" si="68"/>
        <v/>
      </c>
      <c r="S281" s="93"/>
      <c r="T281" s="94"/>
      <c r="U281" s="95" t="str">
        <f t="shared" si="69"/>
        <v/>
      </c>
      <c r="V281" s="93"/>
      <c r="W281" s="94"/>
      <c r="X281" s="95" t="str">
        <f t="shared" si="70"/>
        <v/>
      </c>
      <c r="Y281" s="94"/>
      <c r="Z281" s="94"/>
      <c r="AA281" s="112" t="str">
        <f t="shared" si="71"/>
        <v/>
      </c>
      <c r="AB281" s="93"/>
      <c r="AC281" s="94"/>
      <c r="AD281" s="95" t="str">
        <f t="shared" si="72"/>
        <v/>
      </c>
      <c r="AE281" s="93"/>
      <c r="AF281" s="94"/>
      <c r="AG281" s="95" t="str">
        <f t="shared" si="73"/>
        <v/>
      </c>
      <c r="AH281" s="93"/>
      <c r="AI281" s="94"/>
      <c r="AJ281" s="95" t="str">
        <f t="shared" si="74"/>
        <v/>
      </c>
      <c r="AK281" s="93"/>
      <c r="AL281" s="94"/>
      <c r="AM281" s="95" t="str">
        <f t="shared" si="75"/>
        <v/>
      </c>
      <c r="AN281" s="93"/>
      <c r="AO281" s="94"/>
      <c r="AP281" s="95" t="str">
        <f t="shared" si="77"/>
        <v/>
      </c>
    </row>
    <row r="282" spans="1:42" x14ac:dyDescent="0.25">
      <c r="A282" s="91">
        <v>46303</v>
      </c>
      <c r="B282" s="92">
        <f t="shared" si="63"/>
        <v>41</v>
      </c>
      <c r="C282" s="92">
        <f t="shared" si="64"/>
        <v>10</v>
      </c>
      <c r="D282" s="93"/>
      <c r="E282" s="94"/>
      <c r="F282" s="95" t="str">
        <f t="shared" si="65"/>
        <v/>
      </c>
      <c r="G282" s="93"/>
      <c r="H282" s="94"/>
      <c r="I282" s="95" t="str">
        <f t="shared" si="76"/>
        <v/>
      </c>
      <c r="J282" s="93"/>
      <c r="K282" s="94"/>
      <c r="L282" s="95" t="str">
        <f t="shared" si="66"/>
        <v/>
      </c>
      <c r="M282" s="93"/>
      <c r="N282" s="94"/>
      <c r="O282" s="95" t="str">
        <f t="shared" si="67"/>
        <v/>
      </c>
      <c r="P282" s="93"/>
      <c r="Q282" s="94"/>
      <c r="R282" s="95" t="str">
        <f t="shared" si="68"/>
        <v/>
      </c>
      <c r="S282" s="93"/>
      <c r="T282" s="94"/>
      <c r="U282" s="95" t="str">
        <f t="shared" si="69"/>
        <v/>
      </c>
      <c r="V282" s="93"/>
      <c r="W282" s="94"/>
      <c r="X282" s="95" t="str">
        <f t="shared" si="70"/>
        <v/>
      </c>
      <c r="Y282" s="94"/>
      <c r="Z282" s="94"/>
      <c r="AA282" s="112" t="str">
        <f t="shared" si="71"/>
        <v/>
      </c>
      <c r="AB282" s="93"/>
      <c r="AC282" s="94"/>
      <c r="AD282" s="95" t="str">
        <f t="shared" si="72"/>
        <v/>
      </c>
      <c r="AE282" s="93"/>
      <c r="AF282" s="94"/>
      <c r="AG282" s="95" t="str">
        <f t="shared" si="73"/>
        <v/>
      </c>
      <c r="AH282" s="93"/>
      <c r="AI282" s="94"/>
      <c r="AJ282" s="95" t="str">
        <f t="shared" si="74"/>
        <v/>
      </c>
      <c r="AK282" s="93"/>
      <c r="AL282" s="94"/>
      <c r="AM282" s="95" t="str">
        <f t="shared" si="75"/>
        <v/>
      </c>
      <c r="AN282" s="93"/>
      <c r="AO282" s="94"/>
      <c r="AP282" s="95" t="str">
        <f t="shared" si="77"/>
        <v/>
      </c>
    </row>
    <row r="283" spans="1:42" x14ac:dyDescent="0.25">
      <c r="A283" s="91">
        <v>46304</v>
      </c>
      <c r="B283" s="92">
        <f t="shared" si="63"/>
        <v>41</v>
      </c>
      <c r="C283" s="92">
        <f t="shared" si="64"/>
        <v>10</v>
      </c>
      <c r="D283" s="93"/>
      <c r="E283" s="94"/>
      <c r="F283" s="95" t="str">
        <f t="shared" si="65"/>
        <v/>
      </c>
      <c r="G283" s="93"/>
      <c r="H283" s="94"/>
      <c r="I283" s="95" t="str">
        <f t="shared" si="76"/>
        <v/>
      </c>
      <c r="J283" s="93"/>
      <c r="K283" s="94"/>
      <c r="L283" s="95" t="str">
        <f t="shared" si="66"/>
        <v/>
      </c>
      <c r="M283" s="93"/>
      <c r="N283" s="94"/>
      <c r="O283" s="95" t="str">
        <f t="shared" si="67"/>
        <v/>
      </c>
      <c r="P283" s="93"/>
      <c r="Q283" s="94"/>
      <c r="R283" s="95" t="str">
        <f t="shared" si="68"/>
        <v/>
      </c>
      <c r="S283" s="93"/>
      <c r="T283" s="94"/>
      <c r="U283" s="95" t="str">
        <f t="shared" si="69"/>
        <v/>
      </c>
      <c r="V283" s="93"/>
      <c r="W283" s="94"/>
      <c r="X283" s="95" t="str">
        <f t="shared" si="70"/>
        <v/>
      </c>
      <c r="Y283" s="94"/>
      <c r="Z283" s="94"/>
      <c r="AA283" s="112" t="str">
        <f t="shared" si="71"/>
        <v/>
      </c>
      <c r="AB283" s="93"/>
      <c r="AC283" s="94"/>
      <c r="AD283" s="95" t="str">
        <f t="shared" si="72"/>
        <v/>
      </c>
      <c r="AE283" s="93"/>
      <c r="AF283" s="94"/>
      <c r="AG283" s="95" t="str">
        <f t="shared" si="73"/>
        <v/>
      </c>
      <c r="AH283" s="93"/>
      <c r="AI283" s="94"/>
      <c r="AJ283" s="95" t="str">
        <f t="shared" si="74"/>
        <v/>
      </c>
      <c r="AK283" s="93"/>
      <c r="AL283" s="94"/>
      <c r="AM283" s="95" t="str">
        <f t="shared" si="75"/>
        <v/>
      </c>
      <c r="AN283" s="93"/>
      <c r="AO283" s="94"/>
      <c r="AP283" s="95" t="str">
        <f t="shared" si="77"/>
        <v/>
      </c>
    </row>
    <row r="284" spans="1:42" x14ac:dyDescent="0.25">
      <c r="A284" s="91">
        <v>46305</v>
      </c>
      <c r="B284" s="92">
        <f t="shared" si="63"/>
        <v>41</v>
      </c>
      <c r="C284" s="92">
        <f t="shared" si="64"/>
        <v>10</v>
      </c>
      <c r="D284" s="93"/>
      <c r="E284" s="94"/>
      <c r="F284" s="95" t="str">
        <f t="shared" si="65"/>
        <v/>
      </c>
      <c r="G284" s="93"/>
      <c r="H284" s="94"/>
      <c r="I284" s="95" t="str">
        <f t="shared" si="76"/>
        <v/>
      </c>
      <c r="J284" s="93"/>
      <c r="K284" s="94"/>
      <c r="L284" s="95" t="str">
        <f t="shared" si="66"/>
        <v/>
      </c>
      <c r="M284" s="93"/>
      <c r="N284" s="94"/>
      <c r="O284" s="95" t="str">
        <f t="shared" si="67"/>
        <v/>
      </c>
      <c r="P284" s="93"/>
      <c r="Q284" s="94"/>
      <c r="R284" s="95" t="str">
        <f t="shared" si="68"/>
        <v/>
      </c>
      <c r="S284" s="93"/>
      <c r="T284" s="94"/>
      <c r="U284" s="95" t="str">
        <f t="shared" si="69"/>
        <v/>
      </c>
      <c r="V284" s="93"/>
      <c r="W284" s="94"/>
      <c r="X284" s="95" t="str">
        <f t="shared" si="70"/>
        <v/>
      </c>
      <c r="Y284" s="94"/>
      <c r="Z284" s="94"/>
      <c r="AA284" s="112" t="str">
        <f t="shared" si="71"/>
        <v/>
      </c>
      <c r="AB284" s="93"/>
      <c r="AC284" s="94"/>
      <c r="AD284" s="95" t="str">
        <f t="shared" si="72"/>
        <v/>
      </c>
      <c r="AE284" s="93"/>
      <c r="AF284" s="94"/>
      <c r="AG284" s="95" t="str">
        <f t="shared" si="73"/>
        <v/>
      </c>
      <c r="AH284" s="93"/>
      <c r="AI284" s="94"/>
      <c r="AJ284" s="95" t="str">
        <f t="shared" si="74"/>
        <v/>
      </c>
      <c r="AK284" s="93"/>
      <c r="AL284" s="94"/>
      <c r="AM284" s="95" t="str">
        <f t="shared" si="75"/>
        <v/>
      </c>
      <c r="AN284" s="93"/>
      <c r="AO284" s="94"/>
      <c r="AP284" s="95" t="str">
        <f t="shared" si="77"/>
        <v/>
      </c>
    </row>
    <row r="285" spans="1:42" x14ac:dyDescent="0.25">
      <c r="A285" s="91">
        <v>46306</v>
      </c>
      <c r="B285" s="92">
        <f t="shared" si="63"/>
        <v>41</v>
      </c>
      <c r="C285" s="92">
        <f t="shared" si="64"/>
        <v>10</v>
      </c>
      <c r="D285" s="93"/>
      <c r="E285" s="94"/>
      <c r="F285" s="95" t="str">
        <f t="shared" si="65"/>
        <v/>
      </c>
      <c r="G285" s="93"/>
      <c r="H285" s="94"/>
      <c r="I285" s="95" t="str">
        <f t="shared" si="76"/>
        <v/>
      </c>
      <c r="J285" s="93"/>
      <c r="K285" s="94"/>
      <c r="L285" s="95" t="str">
        <f t="shared" si="66"/>
        <v/>
      </c>
      <c r="M285" s="93"/>
      <c r="N285" s="94"/>
      <c r="O285" s="95" t="str">
        <f t="shared" si="67"/>
        <v/>
      </c>
      <c r="P285" s="93"/>
      <c r="Q285" s="94"/>
      <c r="R285" s="95" t="str">
        <f t="shared" si="68"/>
        <v/>
      </c>
      <c r="S285" s="93"/>
      <c r="T285" s="94"/>
      <c r="U285" s="95" t="str">
        <f t="shared" si="69"/>
        <v/>
      </c>
      <c r="V285" s="93"/>
      <c r="W285" s="94"/>
      <c r="X285" s="95" t="str">
        <f t="shared" si="70"/>
        <v/>
      </c>
      <c r="Y285" s="94"/>
      <c r="Z285" s="94"/>
      <c r="AA285" s="112" t="str">
        <f t="shared" si="71"/>
        <v/>
      </c>
      <c r="AB285" s="93"/>
      <c r="AC285" s="94"/>
      <c r="AD285" s="95" t="str">
        <f t="shared" si="72"/>
        <v/>
      </c>
      <c r="AE285" s="93"/>
      <c r="AF285" s="94"/>
      <c r="AG285" s="95" t="str">
        <f t="shared" si="73"/>
        <v/>
      </c>
      <c r="AH285" s="93"/>
      <c r="AI285" s="94"/>
      <c r="AJ285" s="95" t="str">
        <f t="shared" si="74"/>
        <v/>
      </c>
      <c r="AK285" s="93"/>
      <c r="AL285" s="94"/>
      <c r="AM285" s="95" t="str">
        <f t="shared" si="75"/>
        <v/>
      </c>
      <c r="AN285" s="93"/>
      <c r="AO285" s="94"/>
      <c r="AP285" s="95" t="str">
        <f t="shared" si="77"/>
        <v/>
      </c>
    </row>
    <row r="286" spans="1:42" x14ac:dyDescent="0.25">
      <c r="A286" s="91">
        <v>46307</v>
      </c>
      <c r="B286" s="92">
        <f t="shared" si="63"/>
        <v>42</v>
      </c>
      <c r="C286" s="92">
        <f t="shared" si="64"/>
        <v>10</v>
      </c>
      <c r="D286" s="93"/>
      <c r="E286" s="94"/>
      <c r="F286" s="95" t="str">
        <f t="shared" si="65"/>
        <v/>
      </c>
      <c r="G286" s="93"/>
      <c r="H286" s="94"/>
      <c r="I286" s="95" t="str">
        <f t="shared" si="76"/>
        <v/>
      </c>
      <c r="J286" s="93"/>
      <c r="K286" s="94"/>
      <c r="L286" s="95" t="str">
        <f t="shared" si="66"/>
        <v/>
      </c>
      <c r="M286" s="93"/>
      <c r="N286" s="94"/>
      <c r="O286" s="95" t="str">
        <f t="shared" si="67"/>
        <v/>
      </c>
      <c r="P286" s="93"/>
      <c r="Q286" s="94"/>
      <c r="R286" s="95" t="str">
        <f t="shared" si="68"/>
        <v/>
      </c>
      <c r="S286" s="93"/>
      <c r="T286" s="94"/>
      <c r="U286" s="95" t="str">
        <f t="shared" si="69"/>
        <v/>
      </c>
      <c r="V286" s="93"/>
      <c r="W286" s="94"/>
      <c r="X286" s="95" t="str">
        <f t="shared" si="70"/>
        <v/>
      </c>
      <c r="Y286" s="94"/>
      <c r="Z286" s="94"/>
      <c r="AA286" s="112" t="str">
        <f t="shared" si="71"/>
        <v/>
      </c>
      <c r="AB286" s="93"/>
      <c r="AC286" s="94"/>
      <c r="AD286" s="95" t="str">
        <f t="shared" si="72"/>
        <v/>
      </c>
      <c r="AE286" s="93"/>
      <c r="AF286" s="94"/>
      <c r="AG286" s="95" t="str">
        <f t="shared" si="73"/>
        <v/>
      </c>
      <c r="AH286" s="93"/>
      <c r="AI286" s="94"/>
      <c r="AJ286" s="95" t="str">
        <f t="shared" si="74"/>
        <v/>
      </c>
      <c r="AK286" s="93"/>
      <c r="AL286" s="94"/>
      <c r="AM286" s="95" t="str">
        <f t="shared" si="75"/>
        <v/>
      </c>
      <c r="AN286" s="93"/>
      <c r="AO286" s="94"/>
      <c r="AP286" s="95" t="str">
        <f t="shared" si="77"/>
        <v/>
      </c>
    </row>
    <row r="287" spans="1:42" x14ac:dyDescent="0.25">
      <c r="A287" s="91">
        <v>46308</v>
      </c>
      <c r="B287" s="92">
        <f t="shared" si="63"/>
        <v>42</v>
      </c>
      <c r="C287" s="92">
        <f t="shared" si="64"/>
        <v>10</v>
      </c>
      <c r="D287" s="93"/>
      <c r="E287" s="94"/>
      <c r="F287" s="95" t="str">
        <f t="shared" si="65"/>
        <v/>
      </c>
      <c r="G287" s="93"/>
      <c r="H287" s="94"/>
      <c r="I287" s="95" t="str">
        <f t="shared" si="76"/>
        <v/>
      </c>
      <c r="J287" s="93"/>
      <c r="K287" s="94"/>
      <c r="L287" s="95" t="str">
        <f t="shared" si="66"/>
        <v/>
      </c>
      <c r="M287" s="93"/>
      <c r="N287" s="94"/>
      <c r="O287" s="95" t="str">
        <f t="shared" si="67"/>
        <v/>
      </c>
      <c r="P287" s="93"/>
      <c r="Q287" s="94"/>
      <c r="R287" s="95" t="str">
        <f t="shared" si="68"/>
        <v/>
      </c>
      <c r="S287" s="93"/>
      <c r="T287" s="94"/>
      <c r="U287" s="95" t="str">
        <f t="shared" si="69"/>
        <v/>
      </c>
      <c r="V287" s="93"/>
      <c r="W287" s="94"/>
      <c r="X287" s="95" t="str">
        <f t="shared" si="70"/>
        <v/>
      </c>
      <c r="Y287" s="94"/>
      <c r="Z287" s="94"/>
      <c r="AA287" s="112" t="str">
        <f t="shared" si="71"/>
        <v/>
      </c>
      <c r="AB287" s="93"/>
      <c r="AC287" s="94"/>
      <c r="AD287" s="95" t="str">
        <f t="shared" si="72"/>
        <v/>
      </c>
      <c r="AE287" s="93"/>
      <c r="AF287" s="94"/>
      <c r="AG287" s="95" t="str">
        <f t="shared" si="73"/>
        <v/>
      </c>
      <c r="AH287" s="93"/>
      <c r="AI287" s="94"/>
      <c r="AJ287" s="95" t="str">
        <f t="shared" si="74"/>
        <v/>
      </c>
      <c r="AK287" s="93"/>
      <c r="AL287" s="94"/>
      <c r="AM287" s="95" t="str">
        <f t="shared" si="75"/>
        <v/>
      </c>
      <c r="AN287" s="93"/>
      <c r="AO287" s="94"/>
      <c r="AP287" s="95" t="str">
        <f t="shared" si="77"/>
        <v/>
      </c>
    </row>
    <row r="288" spans="1:42" x14ac:dyDescent="0.25">
      <c r="A288" s="91">
        <v>46309</v>
      </c>
      <c r="B288" s="92">
        <f t="shared" si="63"/>
        <v>42</v>
      </c>
      <c r="C288" s="92">
        <f t="shared" si="64"/>
        <v>10</v>
      </c>
      <c r="D288" s="93"/>
      <c r="E288" s="94"/>
      <c r="F288" s="95" t="str">
        <f t="shared" si="65"/>
        <v/>
      </c>
      <c r="G288" s="93"/>
      <c r="H288" s="94"/>
      <c r="I288" s="95" t="str">
        <f t="shared" si="76"/>
        <v/>
      </c>
      <c r="J288" s="93"/>
      <c r="K288" s="94"/>
      <c r="L288" s="95" t="str">
        <f t="shared" si="66"/>
        <v/>
      </c>
      <c r="M288" s="93"/>
      <c r="N288" s="94"/>
      <c r="O288" s="95" t="str">
        <f t="shared" si="67"/>
        <v/>
      </c>
      <c r="P288" s="93"/>
      <c r="Q288" s="94"/>
      <c r="R288" s="95" t="str">
        <f t="shared" si="68"/>
        <v/>
      </c>
      <c r="S288" s="93"/>
      <c r="T288" s="94"/>
      <c r="U288" s="95" t="str">
        <f t="shared" si="69"/>
        <v/>
      </c>
      <c r="V288" s="93"/>
      <c r="W288" s="94"/>
      <c r="X288" s="95" t="str">
        <f t="shared" si="70"/>
        <v/>
      </c>
      <c r="Y288" s="94"/>
      <c r="Z288" s="94"/>
      <c r="AA288" s="112" t="str">
        <f t="shared" si="71"/>
        <v/>
      </c>
      <c r="AB288" s="93"/>
      <c r="AC288" s="94"/>
      <c r="AD288" s="95" t="str">
        <f t="shared" si="72"/>
        <v/>
      </c>
      <c r="AE288" s="93"/>
      <c r="AF288" s="94"/>
      <c r="AG288" s="95" t="str">
        <f t="shared" si="73"/>
        <v/>
      </c>
      <c r="AH288" s="93"/>
      <c r="AI288" s="94"/>
      <c r="AJ288" s="95" t="str">
        <f t="shared" si="74"/>
        <v/>
      </c>
      <c r="AK288" s="93"/>
      <c r="AL288" s="94"/>
      <c r="AM288" s="95" t="str">
        <f t="shared" si="75"/>
        <v/>
      </c>
      <c r="AN288" s="93"/>
      <c r="AO288" s="94"/>
      <c r="AP288" s="95" t="str">
        <f t="shared" si="77"/>
        <v/>
      </c>
    </row>
    <row r="289" spans="1:42" x14ac:dyDescent="0.25">
      <c r="A289" s="91">
        <v>46310</v>
      </c>
      <c r="B289" s="92">
        <f t="shared" si="63"/>
        <v>42</v>
      </c>
      <c r="C289" s="92">
        <f t="shared" si="64"/>
        <v>10</v>
      </c>
      <c r="D289" s="93"/>
      <c r="E289" s="94"/>
      <c r="F289" s="95" t="str">
        <f t="shared" si="65"/>
        <v/>
      </c>
      <c r="G289" s="93"/>
      <c r="H289" s="94"/>
      <c r="I289" s="95" t="str">
        <f t="shared" si="76"/>
        <v/>
      </c>
      <c r="J289" s="93"/>
      <c r="K289" s="94"/>
      <c r="L289" s="95" t="str">
        <f t="shared" si="66"/>
        <v/>
      </c>
      <c r="M289" s="93"/>
      <c r="N289" s="94"/>
      <c r="O289" s="95" t="str">
        <f t="shared" si="67"/>
        <v/>
      </c>
      <c r="P289" s="93"/>
      <c r="Q289" s="94"/>
      <c r="R289" s="95" t="str">
        <f t="shared" si="68"/>
        <v/>
      </c>
      <c r="S289" s="93"/>
      <c r="T289" s="94"/>
      <c r="U289" s="95" t="str">
        <f t="shared" si="69"/>
        <v/>
      </c>
      <c r="V289" s="93"/>
      <c r="W289" s="94"/>
      <c r="X289" s="95" t="str">
        <f t="shared" si="70"/>
        <v/>
      </c>
      <c r="Y289" s="94"/>
      <c r="Z289" s="94"/>
      <c r="AA289" s="112" t="str">
        <f t="shared" si="71"/>
        <v/>
      </c>
      <c r="AB289" s="93"/>
      <c r="AC289" s="94"/>
      <c r="AD289" s="95" t="str">
        <f t="shared" si="72"/>
        <v/>
      </c>
      <c r="AE289" s="93"/>
      <c r="AF289" s="94"/>
      <c r="AG289" s="95" t="str">
        <f t="shared" si="73"/>
        <v/>
      </c>
      <c r="AH289" s="93"/>
      <c r="AI289" s="94"/>
      <c r="AJ289" s="95" t="str">
        <f t="shared" si="74"/>
        <v/>
      </c>
      <c r="AK289" s="93"/>
      <c r="AL289" s="94"/>
      <c r="AM289" s="95" t="str">
        <f t="shared" si="75"/>
        <v/>
      </c>
      <c r="AN289" s="93"/>
      <c r="AO289" s="94"/>
      <c r="AP289" s="95" t="str">
        <f t="shared" si="77"/>
        <v/>
      </c>
    </row>
    <row r="290" spans="1:42" x14ac:dyDescent="0.25">
      <c r="A290" s="91">
        <v>46311</v>
      </c>
      <c r="B290" s="92">
        <f t="shared" si="63"/>
        <v>42</v>
      </c>
      <c r="C290" s="92">
        <f t="shared" si="64"/>
        <v>10</v>
      </c>
      <c r="D290" s="93"/>
      <c r="E290" s="94"/>
      <c r="F290" s="95" t="str">
        <f t="shared" si="65"/>
        <v/>
      </c>
      <c r="G290" s="93"/>
      <c r="H290" s="94"/>
      <c r="I290" s="95" t="str">
        <f t="shared" si="76"/>
        <v/>
      </c>
      <c r="J290" s="93"/>
      <c r="K290" s="94"/>
      <c r="L290" s="95" t="str">
        <f t="shared" si="66"/>
        <v/>
      </c>
      <c r="M290" s="93"/>
      <c r="N290" s="94"/>
      <c r="O290" s="95" t="str">
        <f t="shared" si="67"/>
        <v/>
      </c>
      <c r="P290" s="93"/>
      <c r="Q290" s="94"/>
      <c r="R290" s="95" t="str">
        <f t="shared" si="68"/>
        <v/>
      </c>
      <c r="S290" s="93"/>
      <c r="T290" s="94"/>
      <c r="U290" s="95" t="str">
        <f t="shared" si="69"/>
        <v/>
      </c>
      <c r="V290" s="93"/>
      <c r="W290" s="94"/>
      <c r="X290" s="95" t="str">
        <f t="shared" si="70"/>
        <v/>
      </c>
      <c r="Y290" s="94"/>
      <c r="Z290" s="94"/>
      <c r="AA290" s="112" t="str">
        <f t="shared" si="71"/>
        <v/>
      </c>
      <c r="AB290" s="93"/>
      <c r="AC290" s="94"/>
      <c r="AD290" s="95" t="str">
        <f t="shared" si="72"/>
        <v/>
      </c>
      <c r="AE290" s="93"/>
      <c r="AF290" s="94"/>
      <c r="AG290" s="95" t="str">
        <f t="shared" si="73"/>
        <v/>
      </c>
      <c r="AH290" s="93"/>
      <c r="AI290" s="94"/>
      <c r="AJ290" s="95" t="str">
        <f t="shared" si="74"/>
        <v/>
      </c>
      <c r="AK290" s="93"/>
      <c r="AL290" s="94"/>
      <c r="AM290" s="95" t="str">
        <f t="shared" si="75"/>
        <v/>
      </c>
      <c r="AN290" s="93"/>
      <c r="AO290" s="94"/>
      <c r="AP290" s="95" t="str">
        <f t="shared" si="77"/>
        <v/>
      </c>
    </row>
    <row r="291" spans="1:42" x14ac:dyDescent="0.25">
      <c r="A291" s="91">
        <v>46312</v>
      </c>
      <c r="B291" s="92">
        <f t="shared" si="63"/>
        <v>42</v>
      </c>
      <c r="C291" s="92">
        <f t="shared" si="64"/>
        <v>10</v>
      </c>
      <c r="D291" s="93"/>
      <c r="E291" s="94"/>
      <c r="F291" s="95" t="str">
        <f t="shared" si="65"/>
        <v/>
      </c>
      <c r="G291" s="93"/>
      <c r="H291" s="94"/>
      <c r="I291" s="95" t="str">
        <f t="shared" si="76"/>
        <v/>
      </c>
      <c r="J291" s="93"/>
      <c r="K291" s="94"/>
      <c r="L291" s="95" t="str">
        <f t="shared" si="66"/>
        <v/>
      </c>
      <c r="M291" s="93"/>
      <c r="N291" s="94"/>
      <c r="O291" s="95" t="str">
        <f t="shared" si="67"/>
        <v/>
      </c>
      <c r="P291" s="93"/>
      <c r="Q291" s="94"/>
      <c r="R291" s="95" t="str">
        <f t="shared" si="68"/>
        <v/>
      </c>
      <c r="S291" s="93"/>
      <c r="T291" s="94"/>
      <c r="U291" s="95" t="str">
        <f t="shared" si="69"/>
        <v/>
      </c>
      <c r="V291" s="93"/>
      <c r="W291" s="94"/>
      <c r="X291" s="95" t="str">
        <f t="shared" si="70"/>
        <v/>
      </c>
      <c r="Y291" s="94"/>
      <c r="Z291" s="94"/>
      <c r="AA291" s="112" t="str">
        <f t="shared" si="71"/>
        <v/>
      </c>
      <c r="AB291" s="93"/>
      <c r="AC291" s="94"/>
      <c r="AD291" s="95" t="str">
        <f t="shared" si="72"/>
        <v/>
      </c>
      <c r="AE291" s="93"/>
      <c r="AF291" s="94"/>
      <c r="AG291" s="95" t="str">
        <f t="shared" si="73"/>
        <v/>
      </c>
      <c r="AH291" s="93"/>
      <c r="AI291" s="94"/>
      <c r="AJ291" s="95" t="str">
        <f t="shared" si="74"/>
        <v/>
      </c>
      <c r="AK291" s="93"/>
      <c r="AL291" s="94"/>
      <c r="AM291" s="95" t="str">
        <f t="shared" si="75"/>
        <v/>
      </c>
      <c r="AN291" s="93"/>
      <c r="AO291" s="94"/>
      <c r="AP291" s="95" t="str">
        <f t="shared" si="77"/>
        <v/>
      </c>
    </row>
    <row r="292" spans="1:42" x14ac:dyDescent="0.25">
      <c r="A292" s="91">
        <v>46313</v>
      </c>
      <c r="B292" s="92">
        <f t="shared" si="63"/>
        <v>42</v>
      </c>
      <c r="C292" s="92">
        <f t="shared" si="64"/>
        <v>10</v>
      </c>
      <c r="D292" s="93"/>
      <c r="E292" s="94"/>
      <c r="F292" s="95" t="str">
        <f t="shared" si="65"/>
        <v/>
      </c>
      <c r="G292" s="93"/>
      <c r="H292" s="94"/>
      <c r="I292" s="95" t="str">
        <f t="shared" si="76"/>
        <v/>
      </c>
      <c r="J292" s="93"/>
      <c r="K292" s="94"/>
      <c r="L292" s="95" t="str">
        <f t="shared" si="66"/>
        <v/>
      </c>
      <c r="M292" s="93"/>
      <c r="N292" s="94"/>
      <c r="O292" s="95" t="str">
        <f t="shared" si="67"/>
        <v/>
      </c>
      <c r="P292" s="93"/>
      <c r="Q292" s="94"/>
      <c r="R292" s="95" t="str">
        <f t="shared" si="68"/>
        <v/>
      </c>
      <c r="S292" s="93"/>
      <c r="T292" s="94"/>
      <c r="U292" s="95" t="str">
        <f t="shared" si="69"/>
        <v/>
      </c>
      <c r="V292" s="93"/>
      <c r="W292" s="94"/>
      <c r="X292" s="95" t="str">
        <f t="shared" si="70"/>
        <v/>
      </c>
      <c r="Y292" s="94"/>
      <c r="Z292" s="94"/>
      <c r="AA292" s="112" t="str">
        <f t="shared" si="71"/>
        <v/>
      </c>
      <c r="AB292" s="93"/>
      <c r="AC292" s="94"/>
      <c r="AD292" s="95" t="str">
        <f t="shared" si="72"/>
        <v/>
      </c>
      <c r="AE292" s="93"/>
      <c r="AF292" s="94"/>
      <c r="AG292" s="95" t="str">
        <f t="shared" si="73"/>
        <v/>
      </c>
      <c r="AH292" s="93"/>
      <c r="AI292" s="94"/>
      <c r="AJ292" s="95" t="str">
        <f t="shared" si="74"/>
        <v/>
      </c>
      <c r="AK292" s="93"/>
      <c r="AL292" s="94"/>
      <c r="AM292" s="95" t="str">
        <f t="shared" si="75"/>
        <v/>
      </c>
      <c r="AN292" s="93"/>
      <c r="AO292" s="94"/>
      <c r="AP292" s="95" t="str">
        <f t="shared" si="77"/>
        <v/>
      </c>
    </row>
    <row r="293" spans="1:42" x14ac:dyDescent="0.25">
      <c r="A293" s="91">
        <v>46314</v>
      </c>
      <c r="B293" s="92">
        <f t="shared" si="63"/>
        <v>43</v>
      </c>
      <c r="C293" s="92">
        <f t="shared" si="64"/>
        <v>10</v>
      </c>
      <c r="D293" s="93"/>
      <c r="E293" s="94"/>
      <c r="F293" s="95" t="str">
        <f t="shared" si="65"/>
        <v/>
      </c>
      <c r="G293" s="93"/>
      <c r="H293" s="94"/>
      <c r="I293" s="95" t="str">
        <f t="shared" si="76"/>
        <v/>
      </c>
      <c r="J293" s="93"/>
      <c r="K293" s="94"/>
      <c r="L293" s="95" t="str">
        <f t="shared" si="66"/>
        <v/>
      </c>
      <c r="M293" s="93"/>
      <c r="N293" s="94"/>
      <c r="O293" s="95" t="str">
        <f t="shared" si="67"/>
        <v/>
      </c>
      <c r="P293" s="93"/>
      <c r="Q293" s="94"/>
      <c r="R293" s="95" t="str">
        <f t="shared" si="68"/>
        <v/>
      </c>
      <c r="S293" s="93"/>
      <c r="T293" s="94"/>
      <c r="U293" s="95" t="str">
        <f t="shared" si="69"/>
        <v/>
      </c>
      <c r="V293" s="93"/>
      <c r="W293" s="94"/>
      <c r="X293" s="95" t="str">
        <f t="shared" si="70"/>
        <v/>
      </c>
      <c r="Y293" s="94"/>
      <c r="Z293" s="94"/>
      <c r="AA293" s="112" t="str">
        <f t="shared" si="71"/>
        <v/>
      </c>
      <c r="AB293" s="93"/>
      <c r="AC293" s="94"/>
      <c r="AD293" s="95" t="str">
        <f t="shared" si="72"/>
        <v/>
      </c>
      <c r="AE293" s="93"/>
      <c r="AF293" s="94"/>
      <c r="AG293" s="95" t="str">
        <f t="shared" si="73"/>
        <v/>
      </c>
      <c r="AH293" s="93"/>
      <c r="AI293" s="94"/>
      <c r="AJ293" s="95" t="str">
        <f t="shared" si="74"/>
        <v/>
      </c>
      <c r="AK293" s="93"/>
      <c r="AL293" s="94"/>
      <c r="AM293" s="95" t="str">
        <f t="shared" si="75"/>
        <v/>
      </c>
      <c r="AN293" s="93"/>
      <c r="AO293" s="94"/>
      <c r="AP293" s="95" t="str">
        <f t="shared" si="77"/>
        <v/>
      </c>
    </row>
    <row r="294" spans="1:42" x14ac:dyDescent="0.25">
      <c r="A294" s="91">
        <v>46315</v>
      </c>
      <c r="B294" s="92">
        <f t="shared" si="63"/>
        <v>43</v>
      </c>
      <c r="C294" s="92">
        <f t="shared" si="64"/>
        <v>10</v>
      </c>
      <c r="D294" s="93"/>
      <c r="E294" s="94"/>
      <c r="F294" s="95" t="str">
        <f t="shared" si="65"/>
        <v/>
      </c>
      <c r="G294" s="93"/>
      <c r="H294" s="94"/>
      <c r="I294" s="95" t="str">
        <f t="shared" si="76"/>
        <v/>
      </c>
      <c r="J294" s="93"/>
      <c r="K294" s="94"/>
      <c r="L294" s="95" t="str">
        <f t="shared" si="66"/>
        <v/>
      </c>
      <c r="M294" s="93"/>
      <c r="N294" s="94"/>
      <c r="O294" s="95" t="str">
        <f t="shared" si="67"/>
        <v/>
      </c>
      <c r="P294" s="93"/>
      <c r="Q294" s="94"/>
      <c r="R294" s="95" t="str">
        <f t="shared" si="68"/>
        <v/>
      </c>
      <c r="S294" s="93"/>
      <c r="T294" s="94"/>
      <c r="U294" s="95" t="str">
        <f t="shared" si="69"/>
        <v/>
      </c>
      <c r="V294" s="93"/>
      <c r="W294" s="94"/>
      <c r="X294" s="95" t="str">
        <f t="shared" si="70"/>
        <v/>
      </c>
      <c r="Y294" s="94"/>
      <c r="Z294" s="94"/>
      <c r="AA294" s="112" t="str">
        <f t="shared" si="71"/>
        <v/>
      </c>
      <c r="AB294" s="93"/>
      <c r="AC294" s="94"/>
      <c r="AD294" s="95" t="str">
        <f t="shared" si="72"/>
        <v/>
      </c>
      <c r="AE294" s="93"/>
      <c r="AF294" s="94"/>
      <c r="AG294" s="95" t="str">
        <f t="shared" si="73"/>
        <v/>
      </c>
      <c r="AH294" s="93"/>
      <c r="AI294" s="94"/>
      <c r="AJ294" s="95" t="str">
        <f t="shared" si="74"/>
        <v/>
      </c>
      <c r="AK294" s="93"/>
      <c r="AL294" s="94"/>
      <c r="AM294" s="95" t="str">
        <f t="shared" si="75"/>
        <v/>
      </c>
      <c r="AN294" s="93"/>
      <c r="AO294" s="94"/>
      <c r="AP294" s="95" t="str">
        <f t="shared" si="77"/>
        <v/>
      </c>
    </row>
    <row r="295" spans="1:42" x14ac:dyDescent="0.25">
      <c r="A295" s="91">
        <v>46316</v>
      </c>
      <c r="B295" s="92">
        <f t="shared" si="63"/>
        <v>43</v>
      </c>
      <c r="C295" s="92">
        <f t="shared" si="64"/>
        <v>10</v>
      </c>
      <c r="D295" s="93"/>
      <c r="E295" s="94"/>
      <c r="F295" s="95" t="str">
        <f t="shared" si="65"/>
        <v/>
      </c>
      <c r="G295" s="93"/>
      <c r="H295" s="94"/>
      <c r="I295" s="95" t="str">
        <f t="shared" si="76"/>
        <v/>
      </c>
      <c r="J295" s="93"/>
      <c r="K295" s="94"/>
      <c r="L295" s="95" t="str">
        <f t="shared" si="66"/>
        <v/>
      </c>
      <c r="M295" s="93"/>
      <c r="N295" s="94"/>
      <c r="O295" s="95" t="str">
        <f t="shared" si="67"/>
        <v/>
      </c>
      <c r="P295" s="93"/>
      <c r="Q295" s="94"/>
      <c r="R295" s="95" t="str">
        <f t="shared" si="68"/>
        <v/>
      </c>
      <c r="S295" s="93"/>
      <c r="T295" s="94"/>
      <c r="U295" s="95" t="str">
        <f t="shared" si="69"/>
        <v/>
      </c>
      <c r="V295" s="93"/>
      <c r="W295" s="94"/>
      <c r="X295" s="95" t="str">
        <f t="shared" si="70"/>
        <v/>
      </c>
      <c r="Y295" s="94"/>
      <c r="Z295" s="94"/>
      <c r="AA295" s="112" t="str">
        <f t="shared" si="71"/>
        <v/>
      </c>
      <c r="AB295" s="93"/>
      <c r="AC295" s="94"/>
      <c r="AD295" s="95" t="str">
        <f t="shared" si="72"/>
        <v/>
      </c>
      <c r="AE295" s="93"/>
      <c r="AF295" s="94"/>
      <c r="AG295" s="95" t="str">
        <f t="shared" si="73"/>
        <v/>
      </c>
      <c r="AH295" s="93"/>
      <c r="AI295" s="94"/>
      <c r="AJ295" s="95" t="str">
        <f t="shared" si="74"/>
        <v/>
      </c>
      <c r="AK295" s="93"/>
      <c r="AL295" s="94"/>
      <c r="AM295" s="95" t="str">
        <f t="shared" si="75"/>
        <v/>
      </c>
      <c r="AN295" s="93"/>
      <c r="AO295" s="94"/>
      <c r="AP295" s="95" t="str">
        <f t="shared" si="77"/>
        <v/>
      </c>
    </row>
    <row r="296" spans="1:42" x14ac:dyDescent="0.25">
      <c r="A296" s="91">
        <v>46317</v>
      </c>
      <c r="B296" s="92">
        <f t="shared" si="63"/>
        <v>43</v>
      </c>
      <c r="C296" s="92">
        <f t="shared" si="64"/>
        <v>10</v>
      </c>
      <c r="D296" s="93"/>
      <c r="E296" s="94"/>
      <c r="F296" s="95" t="str">
        <f t="shared" si="65"/>
        <v/>
      </c>
      <c r="G296" s="93"/>
      <c r="H296" s="94"/>
      <c r="I296" s="95" t="str">
        <f t="shared" si="76"/>
        <v/>
      </c>
      <c r="J296" s="93"/>
      <c r="K296" s="94"/>
      <c r="L296" s="95" t="str">
        <f t="shared" si="66"/>
        <v/>
      </c>
      <c r="M296" s="93"/>
      <c r="N296" s="94"/>
      <c r="O296" s="95" t="str">
        <f t="shared" si="67"/>
        <v/>
      </c>
      <c r="P296" s="93"/>
      <c r="Q296" s="94"/>
      <c r="R296" s="95" t="str">
        <f t="shared" si="68"/>
        <v/>
      </c>
      <c r="S296" s="93"/>
      <c r="T296" s="94"/>
      <c r="U296" s="95" t="str">
        <f t="shared" si="69"/>
        <v/>
      </c>
      <c r="V296" s="93"/>
      <c r="W296" s="94"/>
      <c r="X296" s="95" t="str">
        <f t="shared" si="70"/>
        <v/>
      </c>
      <c r="Y296" s="94"/>
      <c r="Z296" s="94"/>
      <c r="AA296" s="112" t="str">
        <f t="shared" si="71"/>
        <v/>
      </c>
      <c r="AB296" s="93"/>
      <c r="AC296" s="94"/>
      <c r="AD296" s="95" t="str">
        <f t="shared" si="72"/>
        <v/>
      </c>
      <c r="AE296" s="93"/>
      <c r="AF296" s="94"/>
      <c r="AG296" s="95" t="str">
        <f t="shared" si="73"/>
        <v/>
      </c>
      <c r="AH296" s="93"/>
      <c r="AI296" s="94"/>
      <c r="AJ296" s="95" t="str">
        <f t="shared" si="74"/>
        <v/>
      </c>
      <c r="AK296" s="93"/>
      <c r="AL296" s="94"/>
      <c r="AM296" s="95" t="str">
        <f t="shared" si="75"/>
        <v/>
      </c>
      <c r="AN296" s="93"/>
      <c r="AO296" s="94"/>
      <c r="AP296" s="95" t="str">
        <f t="shared" si="77"/>
        <v/>
      </c>
    </row>
    <row r="297" spans="1:42" x14ac:dyDescent="0.25">
      <c r="A297" s="91">
        <v>46318</v>
      </c>
      <c r="B297" s="92">
        <f t="shared" si="63"/>
        <v>43</v>
      </c>
      <c r="C297" s="92">
        <f t="shared" si="64"/>
        <v>10</v>
      </c>
      <c r="D297" s="93"/>
      <c r="E297" s="94"/>
      <c r="F297" s="95" t="str">
        <f t="shared" si="65"/>
        <v/>
      </c>
      <c r="G297" s="93"/>
      <c r="H297" s="94"/>
      <c r="I297" s="95" t="str">
        <f t="shared" si="76"/>
        <v/>
      </c>
      <c r="J297" s="93"/>
      <c r="K297" s="94"/>
      <c r="L297" s="95" t="str">
        <f t="shared" si="66"/>
        <v/>
      </c>
      <c r="M297" s="93"/>
      <c r="N297" s="94"/>
      <c r="O297" s="95" t="str">
        <f t="shared" si="67"/>
        <v/>
      </c>
      <c r="P297" s="93"/>
      <c r="Q297" s="94"/>
      <c r="R297" s="95" t="str">
        <f t="shared" si="68"/>
        <v/>
      </c>
      <c r="S297" s="93"/>
      <c r="T297" s="94"/>
      <c r="U297" s="95" t="str">
        <f t="shared" si="69"/>
        <v/>
      </c>
      <c r="V297" s="93"/>
      <c r="W297" s="94"/>
      <c r="X297" s="95" t="str">
        <f t="shared" si="70"/>
        <v/>
      </c>
      <c r="Y297" s="94"/>
      <c r="Z297" s="94"/>
      <c r="AA297" s="112" t="str">
        <f t="shared" si="71"/>
        <v/>
      </c>
      <c r="AB297" s="93"/>
      <c r="AC297" s="94"/>
      <c r="AD297" s="95" t="str">
        <f t="shared" si="72"/>
        <v/>
      </c>
      <c r="AE297" s="93"/>
      <c r="AF297" s="94"/>
      <c r="AG297" s="95" t="str">
        <f t="shared" si="73"/>
        <v/>
      </c>
      <c r="AH297" s="93"/>
      <c r="AI297" s="94"/>
      <c r="AJ297" s="95" t="str">
        <f t="shared" si="74"/>
        <v/>
      </c>
      <c r="AK297" s="93"/>
      <c r="AL297" s="94"/>
      <c r="AM297" s="95" t="str">
        <f t="shared" si="75"/>
        <v/>
      </c>
      <c r="AN297" s="93"/>
      <c r="AO297" s="94"/>
      <c r="AP297" s="95" t="str">
        <f t="shared" si="77"/>
        <v/>
      </c>
    </row>
    <row r="298" spans="1:42" x14ac:dyDescent="0.25">
      <c r="A298" s="91">
        <v>46319</v>
      </c>
      <c r="B298" s="92">
        <f t="shared" si="63"/>
        <v>43</v>
      </c>
      <c r="C298" s="92">
        <f t="shared" si="64"/>
        <v>10</v>
      </c>
      <c r="D298" s="93"/>
      <c r="E298" s="94"/>
      <c r="F298" s="95" t="str">
        <f t="shared" si="65"/>
        <v/>
      </c>
      <c r="G298" s="93"/>
      <c r="H298" s="94"/>
      <c r="I298" s="95" t="str">
        <f t="shared" si="76"/>
        <v/>
      </c>
      <c r="J298" s="93"/>
      <c r="K298" s="94"/>
      <c r="L298" s="95" t="str">
        <f t="shared" si="66"/>
        <v/>
      </c>
      <c r="M298" s="93"/>
      <c r="N298" s="94"/>
      <c r="O298" s="95" t="str">
        <f t="shared" si="67"/>
        <v/>
      </c>
      <c r="P298" s="93"/>
      <c r="Q298" s="94"/>
      <c r="R298" s="95" t="str">
        <f t="shared" si="68"/>
        <v/>
      </c>
      <c r="S298" s="93"/>
      <c r="T298" s="94"/>
      <c r="U298" s="95" t="str">
        <f t="shared" si="69"/>
        <v/>
      </c>
      <c r="V298" s="93"/>
      <c r="W298" s="94"/>
      <c r="X298" s="95" t="str">
        <f t="shared" si="70"/>
        <v/>
      </c>
      <c r="Y298" s="94"/>
      <c r="Z298" s="94"/>
      <c r="AA298" s="112" t="str">
        <f t="shared" si="71"/>
        <v/>
      </c>
      <c r="AB298" s="93"/>
      <c r="AC298" s="94"/>
      <c r="AD298" s="95" t="str">
        <f t="shared" si="72"/>
        <v/>
      </c>
      <c r="AE298" s="93"/>
      <c r="AF298" s="94"/>
      <c r="AG298" s="95" t="str">
        <f t="shared" si="73"/>
        <v/>
      </c>
      <c r="AH298" s="93"/>
      <c r="AI298" s="94"/>
      <c r="AJ298" s="95" t="str">
        <f t="shared" si="74"/>
        <v/>
      </c>
      <c r="AK298" s="93"/>
      <c r="AL298" s="94"/>
      <c r="AM298" s="95" t="str">
        <f t="shared" si="75"/>
        <v/>
      </c>
      <c r="AN298" s="93"/>
      <c r="AO298" s="94"/>
      <c r="AP298" s="95" t="str">
        <f t="shared" si="77"/>
        <v/>
      </c>
    </row>
    <row r="299" spans="1:42" x14ac:dyDescent="0.25">
      <c r="A299" s="91">
        <v>46320</v>
      </c>
      <c r="B299" s="92">
        <f t="shared" si="63"/>
        <v>43</v>
      </c>
      <c r="C299" s="92">
        <f t="shared" si="64"/>
        <v>10</v>
      </c>
      <c r="D299" s="93"/>
      <c r="E299" s="94"/>
      <c r="F299" s="95" t="str">
        <f t="shared" si="65"/>
        <v/>
      </c>
      <c r="G299" s="93"/>
      <c r="H299" s="94"/>
      <c r="I299" s="95" t="str">
        <f t="shared" si="76"/>
        <v/>
      </c>
      <c r="J299" s="93"/>
      <c r="K299" s="94"/>
      <c r="L299" s="95" t="str">
        <f t="shared" si="66"/>
        <v/>
      </c>
      <c r="M299" s="93"/>
      <c r="N299" s="94"/>
      <c r="O299" s="95" t="str">
        <f t="shared" si="67"/>
        <v/>
      </c>
      <c r="P299" s="93"/>
      <c r="Q299" s="94"/>
      <c r="R299" s="95" t="str">
        <f t="shared" si="68"/>
        <v/>
      </c>
      <c r="S299" s="93"/>
      <c r="T299" s="94"/>
      <c r="U299" s="95" t="str">
        <f t="shared" si="69"/>
        <v/>
      </c>
      <c r="V299" s="93"/>
      <c r="W299" s="94"/>
      <c r="X299" s="95" t="str">
        <f t="shared" si="70"/>
        <v/>
      </c>
      <c r="Y299" s="94"/>
      <c r="Z299" s="94"/>
      <c r="AA299" s="112" t="str">
        <f t="shared" si="71"/>
        <v/>
      </c>
      <c r="AB299" s="93"/>
      <c r="AC299" s="94"/>
      <c r="AD299" s="95" t="str">
        <f t="shared" si="72"/>
        <v/>
      </c>
      <c r="AE299" s="93"/>
      <c r="AF299" s="94"/>
      <c r="AG299" s="95" t="str">
        <f t="shared" si="73"/>
        <v/>
      </c>
      <c r="AH299" s="93"/>
      <c r="AI299" s="94"/>
      <c r="AJ299" s="95" t="str">
        <f t="shared" si="74"/>
        <v/>
      </c>
      <c r="AK299" s="93"/>
      <c r="AL299" s="94"/>
      <c r="AM299" s="95" t="str">
        <f t="shared" si="75"/>
        <v/>
      </c>
      <c r="AN299" s="93"/>
      <c r="AO299" s="94"/>
      <c r="AP299" s="95" t="str">
        <f t="shared" si="77"/>
        <v/>
      </c>
    </row>
    <row r="300" spans="1:42" x14ac:dyDescent="0.25">
      <c r="A300" s="91">
        <v>46321</v>
      </c>
      <c r="B300" s="92">
        <f t="shared" si="63"/>
        <v>44</v>
      </c>
      <c r="C300" s="92">
        <f t="shared" si="64"/>
        <v>10</v>
      </c>
      <c r="D300" s="93"/>
      <c r="E300" s="94"/>
      <c r="F300" s="95" t="str">
        <f t="shared" si="65"/>
        <v/>
      </c>
      <c r="G300" s="93"/>
      <c r="H300" s="94"/>
      <c r="I300" s="95" t="str">
        <f t="shared" si="76"/>
        <v/>
      </c>
      <c r="J300" s="93"/>
      <c r="K300" s="94"/>
      <c r="L300" s="95" t="str">
        <f t="shared" si="66"/>
        <v/>
      </c>
      <c r="M300" s="93"/>
      <c r="N300" s="94"/>
      <c r="O300" s="95" t="str">
        <f t="shared" si="67"/>
        <v/>
      </c>
      <c r="P300" s="93"/>
      <c r="Q300" s="94"/>
      <c r="R300" s="95" t="str">
        <f t="shared" si="68"/>
        <v/>
      </c>
      <c r="S300" s="93"/>
      <c r="T300" s="94"/>
      <c r="U300" s="95" t="str">
        <f t="shared" si="69"/>
        <v/>
      </c>
      <c r="V300" s="93"/>
      <c r="W300" s="94"/>
      <c r="X300" s="95" t="str">
        <f t="shared" si="70"/>
        <v/>
      </c>
      <c r="Y300" s="94"/>
      <c r="Z300" s="94"/>
      <c r="AA300" s="112" t="str">
        <f t="shared" si="71"/>
        <v/>
      </c>
      <c r="AB300" s="93"/>
      <c r="AC300" s="94"/>
      <c r="AD300" s="95" t="str">
        <f t="shared" si="72"/>
        <v/>
      </c>
      <c r="AE300" s="93"/>
      <c r="AF300" s="94"/>
      <c r="AG300" s="95" t="str">
        <f t="shared" si="73"/>
        <v/>
      </c>
      <c r="AH300" s="93"/>
      <c r="AI300" s="94"/>
      <c r="AJ300" s="95" t="str">
        <f t="shared" si="74"/>
        <v/>
      </c>
      <c r="AK300" s="93"/>
      <c r="AL300" s="94"/>
      <c r="AM300" s="95" t="str">
        <f t="shared" si="75"/>
        <v/>
      </c>
      <c r="AN300" s="93"/>
      <c r="AO300" s="94"/>
      <c r="AP300" s="95" t="str">
        <f t="shared" si="77"/>
        <v/>
      </c>
    </row>
    <row r="301" spans="1:42" x14ac:dyDescent="0.25">
      <c r="A301" s="91">
        <v>46322</v>
      </c>
      <c r="B301" s="92">
        <f t="shared" si="63"/>
        <v>44</v>
      </c>
      <c r="C301" s="92">
        <f t="shared" si="64"/>
        <v>10</v>
      </c>
      <c r="D301" s="93"/>
      <c r="E301" s="94"/>
      <c r="F301" s="95" t="str">
        <f t="shared" si="65"/>
        <v/>
      </c>
      <c r="G301" s="93"/>
      <c r="H301" s="94"/>
      <c r="I301" s="95" t="str">
        <f t="shared" si="76"/>
        <v/>
      </c>
      <c r="J301" s="93"/>
      <c r="K301" s="94"/>
      <c r="L301" s="95" t="str">
        <f t="shared" si="66"/>
        <v/>
      </c>
      <c r="M301" s="93"/>
      <c r="N301" s="94"/>
      <c r="O301" s="95" t="str">
        <f t="shared" si="67"/>
        <v/>
      </c>
      <c r="P301" s="93"/>
      <c r="Q301" s="94"/>
      <c r="R301" s="95" t="str">
        <f t="shared" si="68"/>
        <v/>
      </c>
      <c r="S301" s="93"/>
      <c r="T301" s="94"/>
      <c r="U301" s="95" t="str">
        <f t="shared" si="69"/>
        <v/>
      </c>
      <c r="V301" s="93"/>
      <c r="W301" s="94"/>
      <c r="X301" s="95" t="str">
        <f t="shared" si="70"/>
        <v/>
      </c>
      <c r="Y301" s="94"/>
      <c r="Z301" s="94"/>
      <c r="AA301" s="112" t="str">
        <f t="shared" si="71"/>
        <v/>
      </c>
      <c r="AB301" s="93"/>
      <c r="AC301" s="94"/>
      <c r="AD301" s="95" t="str">
        <f t="shared" si="72"/>
        <v/>
      </c>
      <c r="AE301" s="93"/>
      <c r="AF301" s="94"/>
      <c r="AG301" s="95" t="str">
        <f t="shared" si="73"/>
        <v/>
      </c>
      <c r="AH301" s="93"/>
      <c r="AI301" s="94"/>
      <c r="AJ301" s="95" t="str">
        <f t="shared" si="74"/>
        <v/>
      </c>
      <c r="AK301" s="93"/>
      <c r="AL301" s="94"/>
      <c r="AM301" s="95" t="str">
        <f t="shared" si="75"/>
        <v/>
      </c>
      <c r="AN301" s="93"/>
      <c r="AO301" s="94"/>
      <c r="AP301" s="95" t="str">
        <f t="shared" si="77"/>
        <v/>
      </c>
    </row>
    <row r="302" spans="1:42" x14ac:dyDescent="0.25">
      <c r="A302" s="91">
        <v>46323</v>
      </c>
      <c r="B302" s="92">
        <f t="shared" si="63"/>
        <v>44</v>
      </c>
      <c r="C302" s="92">
        <f t="shared" si="64"/>
        <v>10</v>
      </c>
      <c r="D302" s="93"/>
      <c r="E302" s="94"/>
      <c r="F302" s="95" t="str">
        <f t="shared" si="65"/>
        <v/>
      </c>
      <c r="G302" s="93"/>
      <c r="H302" s="94"/>
      <c r="I302" s="95" t="str">
        <f t="shared" si="76"/>
        <v/>
      </c>
      <c r="J302" s="93"/>
      <c r="K302" s="94"/>
      <c r="L302" s="95" t="str">
        <f t="shared" si="66"/>
        <v/>
      </c>
      <c r="M302" s="93"/>
      <c r="N302" s="94"/>
      <c r="O302" s="95" t="str">
        <f t="shared" si="67"/>
        <v/>
      </c>
      <c r="P302" s="93"/>
      <c r="Q302" s="94"/>
      <c r="R302" s="95" t="str">
        <f t="shared" si="68"/>
        <v/>
      </c>
      <c r="S302" s="93"/>
      <c r="T302" s="94"/>
      <c r="U302" s="95" t="str">
        <f t="shared" si="69"/>
        <v/>
      </c>
      <c r="V302" s="93"/>
      <c r="W302" s="94"/>
      <c r="X302" s="95" t="str">
        <f t="shared" si="70"/>
        <v/>
      </c>
      <c r="Y302" s="94"/>
      <c r="Z302" s="94"/>
      <c r="AA302" s="112" t="str">
        <f t="shared" si="71"/>
        <v/>
      </c>
      <c r="AB302" s="93"/>
      <c r="AC302" s="94"/>
      <c r="AD302" s="95" t="str">
        <f t="shared" si="72"/>
        <v/>
      </c>
      <c r="AE302" s="93"/>
      <c r="AF302" s="94"/>
      <c r="AG302" s="95" t="str">
        <f t="shared" si="73"/>
        <v/>
      </c>
      <c r="AH302" s="93"/>
      <c r="AI302" s="94"/>
      <c r="AJ302" s="95" t="str">
        <f t="shared" si="74"/>
        <v/>
      </c>
      <c r="AK302" s="93"/>
      <c r="AL302" s="94"/>
      <c r="AM302" s="95" t="str">
        <f t="shared" si="75"/>
        <v/>
      </c>
      <c r="AN302" s="93"/>
      <c r="AO302" s="94"/>
      <c r="AP302" s="95" t="str">
        <f t="shared" si="77"/>
        <v/>
      </c>
    </row>
    <row r="303" spans="1:42" x14ac:dyDescent="0.25">
      <c r="A303" s="91">
        <v>46324</v>
      </c>
      <c r="B303" s="92">
        <f t="shared" si="63"/>
        <v>44</v>
      </c>
      <c r="C303" s="92">
        <f t="shared" si="64"/>
        <v>10</v>
      </c>
      <c r="D303" s="93"/>
      <c r="E303" s="94"/>
      <c r="F303" s="95" t="str">
        <f t="shared" si="65"/>
        <v/>
      </c>
      <c r="G303" s="93"/>
      <c r="H303" s="94"/>
      <c r="I303" s="95" t="str">
        <f t="shared" si="76"/>
        <v/>
      </c>
      <c r="J303" s="93"/>
      <c r="K303" s="94"/>
      <c r="L303" s="95" t="str">
        <f t="shared" si="66"/>
        <v/>
      </c>
      <c r="M303" s="93"/>
      <c r="N303" s="94"/>
      <c r="O303" s="95" t="str">
        <f t="shared" si="67"/>
        <v/>
      </c>
      <c r="P303" s="93"/>
      <c r="Q303" s="94"/>
      <c r="R303" s="95" t="str">
        <f t="shared" si="68"/>
        <v/>
      </c>
      <c r="S303" s="93"/>
      <c r="T303" s="94"/>
      <c r="U303" s="95" t="str">
        <f t="shared" si="69"/>
        <v/>
      </c>
      <c r="V303" s="93"/>
      <c r="W303" s="94"/>
      <c r="X303" s="95" t="str">
        <f t="shared" si="70"/>
        <v/>
      </c>
      <c r="Y303" s="94"/>
      <c r="Z303" s="94"/>
      <c r="AA303" s="112" t="str">
        <f t="shared" si="71"/>
        <v/>
      </c>
      <c r="AB303" s="93"/>
      <c r="AC303" s="94"/>
      <c r="AD303" s="95" t="str">
        <f t="shared" si="72"/>
        <v/>
      </c>
      <c r="AE303" s="93"/>
      <c r="AF303" s="94"/>
      <c r="AG303" s="95" t="str">
        <f t="shared" si="73"/>
        <v/>
      </c>
      <c r="AH303" s="93"/>
      <c r="AI303" s="94"/>
      <c r="AJ303" s="95" t="str">
        <f t="shared" si="74"/>
        <v/>
      </c>
      <c r="AK303" s="93"/>
      <c r="AL303" s="94"/>
      <c r="AM303" s="95" t="str">
        <f t="shared" si="75"/>
        <v/>
      </c>
      <c r="AN303" s="93"/>
      <c r="AO303" s="94"/>
      <c r="AP303" s="95" t="str">
        <f t="shared" si="77"/>
        <v/>
      </c>
    </row>
    <row r="304" spans="1:42" x14ac:dyDescent="0.25">
      <c r="A304" s="91">
        <v>46325</v>
      </c>
      <c r="B304" s="92">
        <f t="shared" si="63"/>
        <v>44</v>
      </c>
      <c r="C304" s="92">
        <f t="shared" si="64"/>
        <v>10</v>
      </c>
      <c r="D304" s="93"/>
      <c r="E304" s="94"/>
      <c r="F304" s="95" t="str">
        <f t="shared" si="65"/>
        <v/>
      </c>
      <c r="G304" s="93"/>
      <c r="H304" s="94"/>
      <c r="I304" s="95" t="str">
        <f t="shared" si="76"/>
        <v/>
      </c>
      <c r="J304" s="93"/>
      <c r="K304" s="94"/>
      <c r="L304" s="95" t="str">
        <f t="shared" si="66"/>
        <v/>
      </c>
      <c r="M304" s="93"/>
      <c r="N304" s="94"/>
      <c r="O304" s="95" t="str">
        <f t="shared" si="67"/>
        <v/>
      </c>
      <c r="P304" s="93"/>
      <c r="Q304" s="94"/>
      <c r="R304" s="95" t="str">
        <f t="shared" si="68"/>
        <v/>
      </c>
      <c r="S304" s="93"/>
      <c r="T304" s="94"/>
      <c r="U304" s="95" t="str">
        <f t="shared" si="69"/>
        <v/>
      </c>
      <c r="V304" s="93"/>
      <c r="W304" s="94"/>
      <c r="X304" s="95" t="str">
        <f t="shared" si="70"/>
        <v/>
      </c>
      <c r="Y304" s="94"/>
      <c r="Z304" s="94"/>
      <c r="AA304" s="112" t="str">
        <f t="shared" si="71"/>
        <v/>
      </c>
      <c r="AB304" s="93"/>
      <c r="AC304" s="94"/>
      <c r="AD304" s="95" t="str">
        <f t="shared" si="72"/>
        <v/>
      </c>
      <c r="AE304" s="93"/>
      <c r="AF304" s="94"/>
      <c r="AG304" s="95" t="str">
        <f t="shared" si="73"/>
        <v/>
      </c>
      <c r="AH304" s="93"/>
      <c r="AI304" s="94"/>
      <c r="AJ304" s="95" t="str">
        <f t="shared" si="74"/>
        <v/>
      </c>
      <c r="AK304" s="93"/>
      <c r="AL304" s="94"/>
      <c r="AM304" s="95" t="str">
        <f t="shared" si="75"/>
        <v/>
      </c>
      <c r="AN304" s="93"/>
      <c r="AO304" s="94"/>
      <c r="AP304" s="95" t="str">
        <f t="shared" si="77"/>
        <v/>
      </c>
    </row>
    <row r="305" spans="1:42" x14ac:dyDescent="0.25">
      <c r="A305" s="91">
        <v>46326</v>
      </c>
      <c r="B305" s="92">
        <f t="shared" si="63"/>
        <v>44</v>
      </c>
      <c r="C305" s="92">
        <f t="shared" si="64"/>
        <v>10</v>
      </c>
      <c r="D305" s="93"/>
      <c r="E305" s="94"/>
      <c r="F305" s="95" t="str">
        <f t="shared" si="65"/>
        <v/>
      </c>
      <c r="G305" s="93"/>
      <c r="H305" s="94"/>
      <c r="I305" s="95" t="str">
        <f t="shared" si="76"/>
        <v/>
      </c>
      <c r="J305" s="93"/>
      <c r="K305" s="94"/>
      <c r="L305" s="95" t="str">
        <f t="shared" si="66"/>
        <v/>
      </c>
      <c r="M305" s="93"/>
      <c r="N305" s="94"/>
      <c r="O305" s="95" t="str">
        <f t="shared" si="67"/>
        <v/>
      </c>
      <c r="P305" s="93"/>
      <c r="Q305" s="94"/>
      <c r="R305" s="95" t="str">
        <f t="shared" si="68"/>
        <v/>
      </c>
      <c r="S305" s="93"/>
      <c r="T305" s="94"/>
      <c r="U305" s="95" t="str">
        <f t="shared" si="69"/>
        <v/>
      </c>
      <c r="V305" s="93"/>
      <c r="W305" s="94"/>
      <c r="X305" s="95" t="str">
        <f t="shared" si="70"/>
        <v/>
      </c>
      <c r="Y305" s="94"/>
      <c r="Z305" s="94"/>
      <c r="AA305" s="112" t="str">
        <f t="shared" si="71"/>
        <v/>
      </c>
      <c r="AB305" s="93"/>
      <c r="AC305" s="94"/>
      <c r="AD305" s="95" t="str">
        <f t="shared" si="72"/>
        <v/>
      </c>
      <c r="AE305" s="93"/>
      <c r="AF305" s="94"/>
      <c r="AG305" s="95" t="str">
        <f t="shared" si="73"/>
        <v/>
      </c>
      <c r="AH305" s="93"/>
      <c r="AI305" s="94"/>
      <c r="AJ305" s="95" t="str">
        <f t="shared" si="74"/>
        <v/>
      </c>
      <c r="AK305" s="93"/>
      <c r="AL305" s="94"/>
      <c r="AM305" s="95" t="str">
        <f t="shared" si="75"/>
        <v/>
      </c>
      <c r="AN305" s="93"/>
      <c r="AO305" s="94"/>
      <c r="AP305" s="95" t="str">
        <f t="shared" si="77"/>
        <v/>
      </c>
    </row>
    <row r="306" spans="1:42" x14ac:dyDescent="0.25">
      <c r="A306" s="91">
        <v>46327</v>
      </c>
      <c r="B306" s="92">
        <f t="shared" si="63"/>
        <v>44</v>
      </c>
      <c r="C306" s="92">
        <f t="shared" si="64"/>
        <v>11</v>
      </c>
      <c r="D306" s="93"/>
      <c r="E306" s="94"/>
      <c r="F306" s="95" t="str">
        <f t="shared" si="65"/>
        <v/>
      </c>
      <c r="G306" s="93"/>
      <c r="H306" s="94"/>
      <c r="I306" s="95" t="str">
        <f t="shared" si="76"/>
        <v/>
      </c>
      <c r="J306" s="93"/>
      <c r="K306" s="94"/>
      <c r="L306" s="95" t="str">
        <f t="shared" si="66"/>
        <v/>
      </c>
      <c r="M306" s="93"/>
      <c r="N306" s="94"/>
      <c r="O306" s="95" t="str">
        <f t="shared" si="67"/>
        <v/>
      </c>
      <c r="P306" s="93"/>
      <c r="Q306" s="94"/>
      <c r="R306" s="95" t="str">
        <f t="shared" si="68"/>
        <v/>
      </c>
      <c r="S306" s="93"/>
      <c r="T306" s="94"/>
      <c r="U306" s="95" t="str">
        <f t="shared" si="69"/>
        <v/>
      </c>
      <c r="V306" s="93"/>
      <c r="W306" s="94"/>
      <c r="X306" s="95" t="str">
        <f t="shared" si="70"/>
        <v/>
      </c>
      <c r="Y306" s="94"/>
      <c r="Z306" s="94"/>
      <c r="AA306" s="112" t="str">
        <f t="shared" si="71"/>
        <v/>
      </c>
      <c r="AB306" s="93"/>
      <c r="AC306" s="94"/>
      <c r="AD306" s="95" t="str">
        <f t="shared" si="72"/>
        <v/>
      </c>
      <c r="AE306" s="93"/>
      <c r="AF306" s="94"/>
      <c r="AG306" s="95" t="str">
        <f t="shared" si="73"/>
        <v/>
      </c>
      <c r="AH306" s="93"/>
      <c r="AI306" s="94"/>
      <c r="AJ306" s="95" t="str">
        <f t="shared" si="74"/>
        <v/>
      </c>
      <c r="AK306" s="93"/>
      <c r="AL306" s="94"/>
      <c r="AM306" s="95" t="str">
        <f t="shared" si="75"/>
        <v/>
      </c>
      <c r="AN306" s="93"/>
      <c r="AO306" s="94"/>
      <c r="AP306" s="95" t="str">
        <f t="shared" si="77"/>
        <v/>
      </c>
    </row>
    <row r="307" spans="1:42" x14ac:dyDescent="0.25">
      <c r="A307" s="91">
        <v>46328</v>
      </c>
      <c r="B307" s="92">
        <f t="shared" si="63"/>
        <v>45</v>
      </c>
      <c r="C307" s="92">
        <f t="shared" si="64"/>
        <v>11</v>
      </c>
      <c r="D307" s="93"/>
      <c r="E307" s="94"/>
      <c r="F307" s="95" t="str">
        <f t="shared" si="65"/>
        <v/>
      </c>
      <c r="G307" s="93"/>
      <c r="H307" s="94"/>
      <c r="I307" s="95" t="str">
        <f t="shared" si="76"/>
        <v/>
      </c>
      <c r="J307" s="93"/>
      <c r="K307" s="94"/>
      <c r="L307" s="95" t="str">
        <f t="shared" si="66"/>
        <v/>
      </c>
      <c r="M307" s="93"/>
      <c r="N307" s="94"/>
      <c r="O307" s="95" t="str">
        <f t="shared" si="67"/>
        <v/>
      </c>
      <c r="P307" s="93"/>
      <c r="Q307" s="94"/>
      <c r="R307" s="95" t="str">
        <f t="shared" si="68"/>
        <v/>
      </c>
      <c r="S307" s="93"/>
      <c r="T307" s="94"/>
      <c r="U307" s="95" t="str">
        <f t="shared" si="69"/>
        <v/>
      </c>
      <c r="V307" s="93"/>
      <c r="W307" s="94"/>
      <c r="X307" s="95" t="str">
        <f t="shared" si="70"/>
        <v/>
      </c>
      <c r="Y307" s="94"/>
      <c r="Z307" s="94"/>
      <c r="AA307" s="112" t="str">
        <f t="shared" si="71"/>
        <v/>
      </c>
      <c r="AB307" s="93"/>
      <c r="AC307" s="94"/>
      <c r="AD307" s="95" t="str">
        <f t="shared" si="72"/>
        <v/>
      </c>
      <c r="AE307" s="93"/>
      <c r="AF307" s="94"/>
      <c r="AG307" s="95" t="str">
        <f t="shared" si="73"/>
        <v/>
      </c>
      <c r="AH307" s="93"/>
      <c r="AI307" s="94"/>
      <c r="AJ307" s="95" t="str">
        <f t="shared" si="74"/>
        <v/>
      </c>
      <c r="AK307" s="93"/>
      <c r="AL307" s="94"/>
      <c r="AM307" s="95" t="str">
        <f t="shared" si="75"/>
        <v/>
      </c>
      <c r="AN307" s="93"/>
      <c r="AO307" s="94"/>
      <c r="AP307" s="95" t="str">
        <f t="shared" si="77"/>
        <v/>
      </c>
    </row>
    <row r="308" spans="1:42" x14ac:dyDescent="0.25">
      <c r="A308" s="91">
        <v>46329</v>
      </c>
      <c r="B308" s="92">
        <f t="shared" si="63"/>
        <v>45</v>
      </c>
      <c r="C308" s="92">
        <f t="shared" si="64"/>
        <v>11</v>
      </c>
      <c r="D308" s="93"/>
      <c r="E308" s="94"/>
      <c r="F308" s="95" t="str">
        <f t="shared" si="65"/>
        <v/>
      </c>
      <c r="G308" s="93"/>
      <c r="H308" s="94"/>
      <c r="I308" s="95" t="str">
        <f t="shared" si="76"/>
        <v/>
      </c>
      <c r="J308" s="93"/>
      <c r="K308" s="94"/>
      <c r="L308" s="95" t="str">
        <f t="shared" si="66"/>
        <v/>
      </c>
      <c r="M308" s="93"/>
      <c r="N308" s="94"/>
      <c r="O308" s="95" t="str">
        <f t="shared" si="67"/>
        <v/>
      </c>
      <c r="P308" s="93"/>
      <c r="Q308" s="94"/>
      <c r="R308" s="95" t="str">
        <f t="shared" si="68"/>
        <v/>
      </c>
      <c r="S308" s="93"/>
      <c r="T308" s="94"/>
      <c r="U308" s="95" t="str">
        <f t="shared" si="69"/>
        <v/>
      </c>
      <c r="V308" s="93"/>
      <c r="W308" s="94"/>
      <c r="X308" s="95" t="str">
        <f t="shared" si="70"/>
        <v/>
      </c>
      <c r="Y308" s="94"/>
      <c r="Z308" s="94"/>
      <c r="AA308" s="112" t="str">
        <f t="shared" si="71"/>
        <v/>
      </c>
      <c r="AB308" s="93"/>
      <c r="AC308" s="94"/>
      <c r="AD308" s="95" t="str">
        <f t="shared" si="72"/>
        <v/>
      </c>
      <c r="AE308" s="93"/>
      <c r="AF308" s="94"/>
      <c r="AG308" s="95" t="str">
        <f t="shared" si="73"/>
        <v/>
      </c>
      <c r="AH308" s="93"/>
      <c r="AI308" s="94"/>
      <c r="AJ308" s="95" t="str">
        <f t="shared" si="74"/>
        <v/>
      </c>
      <c r="AK308" s="93"/>
      <c r="AL308" s="94"/>
      <c r="AM308" s="95" t="str">
        <f t="shared" si="75"/>
        <v/>
      </c>
      <c r="AN308" s="93"/>
      <c r="AO308" s="94"/>
      <c r="AP308" s="95" t="str">
        <f t="shared" si="77"/>
        <v/>
      </c>
    </row>
    <row r="309" spans="1:42" x14ac:dyDescent="0.25">
      <c r="A309" s="91">
        <v>46330</v>
      </c>
      <c r="B309" s="92">
        <f t="shared" si="63"/>
        <v>45</v>
      </c>
      <c r="C309" s="92">
        <f t="shared" si="64"/>
        <v>11</v>
      </c>
      <c r="D309" s="93"/>
      <c r="E309" s="94"/>
      <c r="F309" s="95" t="str">
        <f t="shared" si="65"/>
        <v/>
      </c>
      <c r="G309" s="93"/>
      <c r="H309" s="94"/>
      <c r="I309" s="95" t="str">
        <f t="shared" si="76"/>
        <v/>
      </c>
      <c r="J309" s="93"/>
      <c r="K309" s="94"/>
      <c r="L309" s="95" t="str">
        <f t="shared" si="66"/>
        <v/>
      </c>
      <c r="M309" s="93"/>
      <c r="N309" s="94"/>
      <c r="O309" s="95" t="str">
        <f t="shared" si="67"/>
        <v/>
      </c>
      <c r="P309" s="93"/>
      <c r="Q309" s="94"/>
      <c r="R309" s="95" t="str">
        <f t="shared" si="68"/>
        <v/>
      </c>
      <c r="S309" s="93"/>
      <c r="T309" s="94"/>
      <c r="U309" s="95" t="str">
        <f t="shared" si="69"/>
        <v/>
      </c>
      <c r="V309" s="93"/>
      <c r="W309" s="94"/>
      <c r="X309" s="95" t="str">
        <f t="shared" si="70"/>
        <v/>
      </c>
      <c r="Y309" s="94"/>
      <c r="Z309" s="94"/>
      <c r="AA309" s="112" t="str">
        <f t="shared" si="71"/>
        <v/>
      </c>
      <c r="AB309" s="93"/>
      <c r="AC309" s="94"/>
      <c r="AD309" s="95" t="str">
        <f t="shared" si="72"/>
        <v/>
      </c>
      <c r="AE309" s="93"/>
      <c r="AF309" s="94"/>
      <c r="AG309" s="95" t="str">
        <f t="shared" si="73"/>
        <v/>
      </c>
      <c r="AH309" s="93"/>
      <c r="AI309" s="94"/>
      <c r="AJ309" s="95" t="str">
        <f t="shared" si="74"/>
        <v/>
      </c>
      <c r="AK309" s="93"/>
      <c r="AL309" s="94"/>
      <c r="AM309" s="95" t="str">
        <f t="shared" si="75"/>
        <v/>
      </c>
      <c r="AN309" s="93"/>
      <c r="AO309" s="94"/>
      <c r="AP309" s="95" t="str">
        <f t="shared" si="77"/>
        <v/>
      </c>
    </row>
    <row r="310" spans="1:42" x14ac:dyDescent="0.25">
      <c r="A310" s="91">
        <v>46331</v>
      </c>
      <c r="B310" s="92">
        <f t="shared" si="63"/>
        <v>45</v>
      </c>
      <c r="C310" s="92">
        <f t="shared" si="64"/>
        <v>11</v>
      </c>
      <c r="D310" s="93"/>
      <c r="E310" s="94"/>
      <c r="F310" s="95" t="str">
        <f t="shared" si="65"/>
        <v/>
      </c>
      <c r="G310" s="93"/>
      <c r="H310" s="94"/>
      <c r="I310" s="95" t="str">
        <f t="shared" si="76"/>
        <v/>
      </c>
      <c r="J310" s="93"/>
      <c r="K310" s="94"/>
      <c r="L310" s="95" t="str">
        <f t="shared" si="66"/>
        <v/>
      </c>
      <c r="M310" s="93"/>
      <c r="N310" s="94"/>
      <c r="O310" s="95" t="str">
        <f t="shared" si="67"/>
        <v/>
      </c>
      <c r="P310" s="93"/>
      <c r="Q310" s="94"/>
      <c r="R310" s="95" t="str">
        <f t="shared" si="68"/>
        <v/>
      </c>
      <c r="S310" s="93"/>
      <c r="T310" s="94"/>
      <c r="U310" s="95" t="str">
        <f t="shared" si="69"/>
        <v/>
      </c>
      <c r="V310" s="93"/>
      <c r="W310" s="94"/>
      <c r="X310" s="95" t="str">
        <f t="shared" si="70"/>
        <v/>
      </c>
      <c r="Y310" s="94"/>
      <c r="Z310" s="94"/>
      <c r="AA310" s="112" t="str">
        <f t="shared" si="71"/>
        <v/>
      </c>
      <c r="AB310" s="93"/>
      <c r="AC310" s="94"/>
      <c r="AD310" s="95" t="str">
        <f t="shared" si="72"/>
        <v/>
      </c>
      <c r="AE310" s="93"/>
      <c r="AF310" s="94"/>
      <c r="AG310" s="95" t="str">
        <f t="shared" si="73"/>
        <v/>
      </c>
      <c r="AH310" s="93"/>
      <c r="AI310" s="94"/>
      <c r="AJ310" s="95" t="str">
        <f t="shared" si="74"/>
        <v/>
      </c>
      <c r="AK310" s="93"/>
      <c r="AL310" s="94"/>
      <c r="AM310" s="95" t="str">
        <f t="shared" si="75"/>
        <v/>
      </c>
      <c r="AN310" s="93"/>
      <c r="AO310" s="94"/>
      <c r="AP310" s="95" t="str">
        <f t="shared" si="77"/>
        <v/>
      </c>
    </row>
    <row r="311" spans="1:42" x14ac:dyDescent="0.25">
      <c r="A311" s="91">
        <v>46332</v>
      </c>
      <c r="B311" s="92">
        <f t="shared" si="63"/>
        <v>45</v>
      </c>
      <c r="C311" s="92">
        <f t="shared" si="64"/>
        <v>11</v>
      </c>
      <c r="D311" s="93"/>
      <c r="E311" s="94"/>
      <c r="F311" s="95" t="str">
        <f t="shared" si="65"/>
        <v/>
      </c>
      <c r="G311" s="93"/>
      <c r="H311" s="94"/>
      <c r="I311" s="95" t="str">
        <f t="shared" si="76"/>
        <v/>
      </c>
      <c r="J311" s="93"/>
      <c r="K311" s="94"/>
      <c r="L311" s="95" t="str">
        <f t="shared" si="66"/>
        <v/>
      </c>
      <c r="M311" s="93"/>
      <c r="N311" s="94"/>
      <c r="O311" s="95" t="str">
        <f t="shared" si="67"/>
        <v/>
      </c>
      <c r="P311" s="93"/>
      <c r="Q311" s="94"/>
      <c r="R311" s="95" t="str">
        <f t="shared" si="68"/>
        <v/>
      </c>
      <c r="S311" s="93"/>
      <c r="T311" s="94"/>
      <c r="U311" s="95" t="str">
        <f t="shared" si="69"/>
        <v/>
      </c>
      <c r="V311" s="93"/>
      <c r="W311" s="94"/>
      <c r="X311" s="95" t="str">
        <f t="shared" si="70"/>
        <v/>
      </c>
      <c r="Y311" s="94"/>
      <c r="Z311" s="94"/>
      <c r="AA311" s="112" t="str">
        <f t="shared" si="71"/>
        <v/>
      </c>
      <c r="AB311" s="93"/>
      <c r="AC311" s="94"/>
      <c r="AD311" s="95" t="str">
        <f t="shared" si="72"/>
        <v/>
      </c>
      <c r="AE311" s="93"/>
      <c r="AF311" s="94"/>
      <c r="AG311" s="95" t="str">
        <f t="shared" si="73"/>
        <v/>
      </c>
      <c r="AH311" s="93"/>
      <c r="AI311" s="94"/>
      <c r="AJ311" s="95" t="str">
        <f t="shared" si="74"/>
        <v/>
      </c>
      <c r="AK311" s="93"/>
      <c r="AL311" s="94"/>
      <c r="AM311" s="95" t="str">
        <f t="shared" si="75"/>
        <v/>
      </c>
      <c r="AN311" s="93"/>
      <c r="AO311" s="94"/>
      <c r="AP311" s="95" t="str">
        <f t="shared" si="77"/>
        <v/>
      </c>
    </row>
    <row r="312" spans="1:42" x14ac:dyDescent="0.25">
      <c r="A312" s="91">
        <v>46333</v>
      </c>
      <c r="B312" s="92">
        <f t="shared" si="63"/>
        <v>45</v>
      </c>
      <c r="C312" s="92">
        <f t="shared" si="64"/>
        <v>11</v>
      </c>
      <c r="D312" s="93"/>
      <c r="E312" s="94"/>
      <c r="F312" s="95" t="str">
        <f t="shared" si="65"/>
        <v/>
      </c>
      <c r="G312" s="93"/>
      <c r="H312" s="94"/>
      <c r="I312" s="95" t="str">
        <f t="shared" si="76"/>
        <v/>
      </c>
      <c r="J312" s="93"/>
      <c r="K312" s="94"/>
      <c r="L312" s="95" t="str">
        <f t="shared" si="66"/>
        <v/>
      </c>
      <c r="M312" s="93"/>
      <c r="N312" s="94"/>
      <c r="O312" s="95" t="str">
        <f t="shared" si="67"/>
        <v/>
      </c>
      <c r="P312" s="93"/>
      <c r="Q312" s="94"/>
      <c r="R312" s="95" t="str">
        <f t="shared" si="68"/>
        <v/>
      </c>
      <c r="S312" s="93"/>
      <c r="T312" s="94"/>
      <c r="U312" s="95" t="str">
        <f t="shared" si="69"/>
        <v/>
      </c>
      <c r="V312" s="93"/>
      <c r="W312" s="94"/>
      <c r="X312" s="95" t="str">
        <f t="shared" si="70"/>
        <v/>
      </c>
      <c r="Y312" s="94"/>
      <c r="Z312" s="94"/>
      <c r="AA312" s="112" t="str">
        <f t="shared" si="71"/>
        <v/>
      </c>
      <c r="AB312" s="93"/>
      <c r="AC312" s="94"/>
      <c r="AD312" s="95" t="str">
        <f t="shared" si="72"/>
        <v/>
      </c>
      <c r="AE312" s="93"/>
      <c r="AF312" s="94"/>
      <c r="AG312" s="95" t="str">
        <f t="shared" si="73"/>
        <v/>
      </c>
      <c r="AH312" s="93"/>
      <c r="AI312" s="94"/>
      <c r="AJ312" s="95" t="str">
        <f t="shared" si="74"/>
        <v/>
      </c>
      <c r="AK312" s="93"/>
      <c r="AL312" s="94"/>
      <c r="AM312" s="95" t="str">
        <f t="shared" si="75"/>
        <v/>
      </c>
      <c r="AN312" s="93"/>
      <c r="AO312" s="94"/>
      <c r="AP312" s="95" t="str">
        <f t="shared" si="77"/>
        <v/>
      </c>
    </row>
    <row r="313" spans="1:42" x14ac:dyDescent="0.25">
      <c r="A313" s="91">
        <v>46334</v>
      </c>
      <c r="B313" s="92">
        <f t="shared" si="63"/>
        <v>45</v>
      </c>
      <c r="C313" s="92">
        <f t="shared" si="64"/>
        <v>11</v>
      </c>
      <c r="D313" s="93"/>
      <c r="E313" s="94"/>
      <c r="F313" s="95" t="str">
        <f t="shared" si="65"/>
        <v/>
      </c>
      <c r="G313" s="93"/>
      <c r="H313" s="94"/>
      <c r="I313" s="95" t="str">
        <f t="shared" si="76"/>
        <v/>
      </c>
      <c r="J313" s="93"/>
      <c r="K313" s="94"/>
      <c r="L313" s="95" t="str">
        <f t="shared" si="66"/>
        <v/>
      </c>
      <c r="M313" s="93"/>
      <c r="N313" s="94"/>
      <c r="O313" s="95" t="str">
        <f t="shared" si="67"/>
        <v/>
      </c>
      <c r="P313" s="93"/>
      <c r="Q313" s="94"/>
      <c r="R313" s="95" t="str">
        <f t="shared" si="68"/>
        <v/>
      </c>
      <c r="S313" s="93"/>
      <c r="T313" s="94"/>
      <c r="U313" s="95" t="str">
        <f t="shared" si="69"/>
        <v/>
      </c>
      <c r="V313" s="93"/>
      <c r="W313" s="94"/>
      <c r="X313" s="95" t="str">
        <f t="shared" si="70"/>
        <v/>
      </c>
      <c r="Y313" s="94"/>
      <c r="Z313" s="94"/>
      <c r="AA313" s="112" t="str">
        <f t="shared" si="71"/>
        <v/>
      </c>
      <c r="AB313" s="93"/>
      <c r="AC313" s="94"/>
      <c r="AD313" s="95" t="str">
        <f t="shared" si="72"/>
        <v/>
      </c>
      <c r="AE313" s="93"/>
      <c r="AF313" s="94"/>
      <c r="AG313" s="95" t="str">
        <f t="shared" si="73"/>
        <v/>
      </c>
      <c r="AH313" s="93"/>
      <c r="AI313" s="94"/>
      <c r="AJ313" s="95" t="str">
        <f t="shared" si="74"/>
        <v/>
      </c>
      <c r="AK313" s="93"/>
      <c r="AL313" s="94"/>
      <c r="AM313" s="95" t="str">
        <f t="shared" si="75"/>
        <v/>
      </c>
      <c r="AN313" s="93"/>
      <c r="AO313" s="94"/>
      <c r="AP313" s="95" t="str">
        <f t="shared" si="77"/>
        <v/>
      </c>
    </row>
    <row r="314" spans="1:42" x14ac:dyDescent="0.25">
      <c r="A314" s="91">
        <v>46335</v>
      </c>
      <c r="B314" s="92">
        <f t="shared" si="63"/>
        <v>46</v>
      </c>
      <c r="C314" s="92">
        <f t="shared" si="64"/>
        <v>11</v>
      </c>
      <c r="D314" s="93"/>
      <c r="E314" s="94"/>
      <c r="F314" s="95" t="str">
        <f t="shared" si="65"/>
        <v/>
      </c>
      <c r="G314" s="93"/>
      <c r="H314" s="94"/>
      <c r="I314" s="95" t="str">
        <f t="shared" si="76"/>
        <v/>
      </c>
      <c r="J314" s="93"/>
      <c r="K314" s="94"/>
      <c r="L314" s="95" t="str">
        <f t="shared" si="66"/>
        <v/>
      </c>
      <c r="M314" s="93"/>
      <c r="N314" s="94"/>
      <c r="O314" s="95" t="str">
        <f t="shared" si="67"/>
        <v/>
      </c>
      <c r="P314" s="93"/>
      <c r="Q314" s="94"/>
      <c r="R314" s="95" t="str">
        <f t="shared" si="68"/>
        <v/>
      </c>
      <c r="S314" s="93"/>
      <c r="T314" s="94"/>
      <c r="U314" s="95" t="str">
        <f t="shared" si="69"/>
        <v/>
      </c>
      <c r="V314" s="93"/>
      <c r="W314" s="94"/>
      <c r="X314" s="95" t="str">
        <f t="shared" si="70"/>
        <v/>
      </c>
      <c r="Y314" s="94"/>
      <c r="Z314" s="94"/>
      <c r="AA314" s="112" t="str">
        <f t="shared" si="71"/>
        <v/>
      </c>
      <c r="AB314" s="93"/>
      <c r="AC314" s="94"/>
      <c r="AD314" s="95" t="str">
        <f t="shared" si="72"/>
        <v/>
      </c>
      <c r="AE314" s="93"/>
      <c r="AF314" s="94"/>
      <c r="AG314" s="95" t="str">
        <f t="shared" si="73"/>
        <v/>
      </c>
      <c r="AH314" s="93"/>
      <c r="AI314" s="94"/>
      <c r="AJ314" s="95" t="str">
        <f t="shared" si="74"/>
        <v/>
      </c>
      <c r="AK314" s="93"/>
      <c r="AL314" s="94"/>
      <c r="AM314" s="95" t="str">
        <f t="shared" si="75"/>
        <v/>
      </c>
      <c r="AN314" s="93"/>
      <c r="AO314" s="94"/>
      <c r="AP314" s="95" t="str">
        <f t="shared" si="77"/>
        <v/>
      </c>
    </row>
    <row r="315" spans="1:42" x14ac:dyDescent="0.25">
      <c r="A315" s="91">
        <v>46336</v>
      </c>
      <c r="B315" s="92">
        <f t="shared" si="63"/>
        <v>46</v>
      </c>
      <c r="C315" s="92">
        <f t="shared" si="64"/>
        <v>11</v>
      </c>
      <c r="D315" s="93"/>
      <c r="E315" s="94"/>
      <c r="F315" s="95" t="str">
        <f t="shared" si="65"/>
        <v/>
      </c>
      <c r="G315" s="93"/>
      <c r="H315" s="94"/>
      <c r="I315" s="95" t="str">
        <f t="shared" si="76"/>
        <v/>
      </c>
      <c r="J315" s="93"/>
      <c r="K315" s="94"/>
      <c r="L315" s="95" t="str">
        <f t="shared" si="66"/>
        <v/>
      </c>
      <c r="M315" s="93"/>
      <c r="N315" s="94"/>
      <c r="O315" s="95" t="str">
        <f t="shared" si="67"/>
        <v/>
      </c>
      <c r="P315" s="93"/>
      <c r="Q315" s="94"/>
      <c r="R315" s="95" t="str">
        <f t="shared" si="68"/>
        <v/>
      </c>
      <c r="S315" s="93"/>
      <c r="T315" s="94"/>
      <c r="U315" s="95" t="str">
        <f t="shared" si="69"/>
        <v/>
      </c>
      <c r="V315" s="93"/>
      <c r="W315" s="94"/>
      <c r="X315" s="95" t="str">
        <f t="shared" si="70"/>
        <v/>
      </c>
      <c r="Y315" s="94"/>
      <c r="Z315" s="94"/>
      <c r="AA315" s="112" t="str">
        <f t="shared" si="71"/>
        <v/>
      </c>
      <c r="AB315" s="93"/>
      <c r="AC315" s="94"/>
      <c r="AD315" s="95" t="str">
        <f t="shared" si="72"/>
        <v/>
      </c>
      <c r="AE315" s="93"/>
      <c r="AF315" s="94"/>
      <c r="AG315" s="95" t="str">
        <f t="shared" si="73"/>
        <v/>
      </c>
      <c r="AH315" s="93"/>
      <c r="AI315" s="94"/>
      <c r="AJ315" s="95" t="str">
        <f t="shared" si="74"/>
        <v/>
      </c>
      <c r="AK315" s="93"/>
      <c r="AL315" s="94"/>
      <c r="AM315" s="95" t="str">
        <f t="shared" si="75"/>
        <v/>
      </c>
      <c r="AN315" s="93"/>
      <c r="AO315" s="94"/>
      <c r="AP315" s="95" t="str">
        <f t="shared" si="77"/>
        <v/>
      </c>
    </row>
    <row r="316" spans="1:42" x14ac:dyDescent="0.25">
      <c r="A316" s="91">
        <v>46337</v>
      </c>
      <c r="B316" s="92">
        <f t="shared" si="63"/>
        <v>46</v>
      </c>
      <c r="C316" s="92">
        <f t="shared" si="64"/>
        <v>11</v>
      </c>
      <c r="D316" s="93"/>
      <c r="E316" s="94"/>
      <c r="F316" s="95" t="str">
        <f t="shared" si="65"/>
        <v/>
      </c>
      <c r="G316" s="93"/>
      <c r="H316" s="94"/>
      <c r="I316" s="95" t="str">
        <f t="shared" si="76"/>
        <v/>
      </c>
      <c r="J316" s="93"/>
      <c r="K316" s="94"/>
      <c r="L316" s="95" t="str">
        <f t="shared" si="66"/>
        <v/>
      </c>
      <c r="M316" s="93"/>
      <c r="N316" s="94"/>
      <c r="O316" s="95" t="str">
        <f t="shared" si="67"/>
        <v/>
      </c>
      <c r="P316" s="93"/>
      <c r="Q316" s="94"/>
      <c r="R316" s="95" t="str">
        <f t="shared" si="68"/>
        <v/>
      </c>
      <c r="S316" s="93"/>
      <c r="T316" s="94"/>
      <c r="U316" s="95" t="str">
        <f t="shared" si="69"/>
        <v/>
      </c>
      <c r="V316" s="93"/>
      <c r="W316" s="94"/>
      <c r="X316" s="95" t="str">
        <f t="shared" si="70"/>
        <v/>
      </c>
      <c r="Y316" s="94"/>
      <c r="Z316" s="94"/>
      <c r="AA316" s="112" t="str">
        <f t="shared" si="71"/>
        <v/>
      </c>
      <c r="AB316" s="93"/>
      <c r="AC316" s="94"/>
      <c r="AD316" s="95" t="str">
        <f t="shared" si="72"/>
        <v/>
      </c>
      <c r="AE316" s="93"/>
      <c r="AF316" s="94"/>
      <c r="AG316" s="95" t="str">
        <f t="shared" si="73"/>
        <v/>
      </c>
      <c r="AH316" s="93"/>
      <c r="AI316" s="94"/>
      <c r="AJ316" s="95" t="str">
        <f t="shared" si="74"/>
        <v/>
      </c>
      <c r="AK316" s="93"/>
      <c r="AL316" s="94"/>
      <c r="AM316" s="95" t="str">
        <f t="shared" si="75"/>
        <v/>
      </c>
      <c r="AN316" s="93"/>
      <c r="AO316" s="94"/>
      <c r="AP316" s="95" t="str">
        <f t="shared" si="77"/>
        <v/>
      </c>
    </row>
    <row r="317" spans="1:42" x14ac:dyDescent="0.25">
      <c r="A317" s="91">
        <v>46338</v>
      </c>
      <c r="B317" s="92">
        <f t="shared" si="63"/>
        <v>46</v>
      </c>
      <c r="C317" s="92">
        <f t="shared" si="64"/>
        <v>11</v>
      </c>
      <c r="D317" s="93"/>
      <c r="E317" s="94"/>
      <c r="F317" s="95" t="str">
        <f t="shared" si="65"/>
        <v/>
      </c>
      <c r="G317" s="93"/>
      <c r="H317" s="94"/>
      <c r="I317" s="95" t="str">
        <f t="shared" si="76"/>
        <v/>
      </c>
      <c r="J317" s="93"/>
      <c r="K317" s="94"/>
      <c r="L317" s="95" t="str">
        <f t="shared" si="66"/>
        <v/>
      </c>
      <c r="M317" s="93"/>
      <c r="N317" s="94"/>
      <c r="O317" s="95" t="str">
        <f t="shared" si="67"/>
        <v/>
      </c>
      <c r="P317" s="93"/>
      <c r="Q317" s="94"/>
      <c r="R317" s="95" t="str">
        <f t="shared" si="68"/>
        <v/>
      </c>
      <c r="S317" s="93"/>
      <c r="T317" s="94"/>
      <c r="U317" s="95" t="str">
        <f t="shared" si="69"/>
        <v/>
      </c>
      <c r="V317" s="93"/>
      <c r="W317" s="94"/>
      <c r="X317" s="95" t="str">
        <f t="shared" si="70"/>
        <v/>
      </c>
      <c r="Y317" s="94"/>
      <c r="Z317" s="94"/>
      <c r="AA317" s="112" t="str">
        <f t="shared" si="71"/>
        <v/>
      </c>
      <c r="AB317" s="93"/>
      <c r="AC317" s="94"/>
      <c r="AD317" s="95" t="str">
        <f t="shared" si="72"/>
        <v/>
      </c>
      <c r="AE317" s="93"/>
      <c r="AF317" s="94"/>
      <c r="AG317" s="95" t="str">
        <f t="shared" si="73"/>
        <v/>
      </c>
      <c r="AH317" s="93"/>
      <c r="AI317" s="94"/>
      <c r="AJ317" s="95" t="str">
        <f t="shared" si="74"/>
        <v/>
      </c>
      <c r="AK317" s="93"/>
      <c r="AL317" s="94"/>
      <c r="AM317" s="95" t="str">
        <f t="shared" si="75"/>
        <v/>
      </c>
      <c r="AN317" s="93"/>
      <c r="AO317" s="94"/>
      <c r="AP317" s="95" t="str">
        <f t="shared" si="77"/>
        <v/>
      </c>
    </row>
    <row r="318" spans="1:42" x14ac:dyDescent="0.25">
      <c r="A318" s="91">
        <v>46339</v>
      </c>
      <c r="B318" s="92">
        <f t="shared" si="63"/>
        <v>46</v>
      </c>
      <c r="C318" s="92">
        <f t="shared" si="64"/>
        <v>11</v>
      </c>
      <c r="D318" s="93"/>
      <c r="E318" s="94"/>
      <c r="F318" s="95" t="str">
        <f t="shared" si="65"/>
        <v/>
      </c>
      <c r="G318" s="93"/>
      <c r="H318" s="94"/>
      <c r="I318" s="95" t="str">
        <f t="shared" si="76"/>
        <v/>
      </c>
      <c r="J318" s="93"/>
      <c r="K318" s="94"/>
      <c r="L318" s="95" t="str">
        <f t="shared" si="66"/>
        <v/>
      </c>
      <c r="M318" s="93"/>
      <c r="N318" s="94"/>
      <c r="O318" s="95" t="str">
        <f t="shared" si="67"/>
        <v/>
      </c>
      <c r="P318" s="93"/>
      <c r="Q318" s="94"/>
      <c r="R318" s="95" t="str">
        <f t="shared" si="68"/>
        <v/>
      </c>
      <c r="S318" s="93"/>
      <c r="T318" s="94"/>
      <c r="U318" s="95" t="str">
        <f t="shared" si="69"/>
        <v/>
      </c>
      <c r="V318" s="93"/>
      <c r="W318" s="94"/>
      <c r="X318" s="95" t="str">
        <f t="shared" si="70"/>
        <v/>
      </c>
      <c r="Y318" s="94"/>
      <c r="Z318" s="94"/>
      <c r="AA318" s="112" t="str">
        <f t="shared" si="71"/>
        <v/>
      </c>
      <c r="AB318" s="93"/>
      <c r="AC318" s="94"/>
      <c r="AD318" s="95" t="str">
        <f t="shared" si="72"/>
        <v/>
      </c>
      <c r="AE318" s="93"/>
      <c r="AF318" s="94"/>
      <c r="AG318" s="95" t="str">
        <f t="shared" si="73"/>
        <v/>
      </c>
      <c r="AH318" s="93"/>
      <c r="AI318" s="94"/>
      <c r="AJ318" s="95" t="str">
        <f t="shared" si="74"/>
        <v/>
      </c>
      <c r="AK318" s="93"/>
      <c r="AL318" s="94"/>
      <c r="AM318" s="95" t="str">
        <f t="shared" si="75"/>
        <v/>
      </c>
      <c r="AN318" s="93"/>
      <c r="AO318" s="94"/>
      <c r="AP318" s="95" t="str">
        <f t="shared" si="77"/>
        <v/>
      </c>
    </row>
    <row r="319" spans="1:42" x14ac:dyDescent="0.25">
      <c r="A319" s="91">
        <v>46340</v>
      </c>
      <c r="B319" s="92">
        <f t="shared" si="63"/>
        <v>46</v>
      </c>
      <c r="C319" s="92">
        <f t="shared" si="64"/>
        <v>11</v>
      </c>
      <c r="D319" s="93"/>
      <c r="E319" s="94"/>
      <c r="F319" s="95" t="str">
        <f t="shared" si="65"/>
        <v/>
      </c>
      <c r="G319" s="93"/>
      <c r="H319" s="94"/>
      <c r="I319" s="95" t="str">
        <f t="shared" si="76"/>
        <v/>
      </c>
      <c r="J319" s="93"/>
      <c r="K319" s="94"/>
      <c r="L319" s="95" t="str">
        <f t="shared" si="66"/>
        <v/>
      </c>
      <c r="M319" s="93"/>
      <c r="N319" s="94"/>
      <c r="O319" s="95" t="str">
        <f t="shared" si="67"/>
        <v/>
      </c>
      <c r="P319" s="93"/>
      <c r="Q319" s="94"/>
      <c r="R319" s="95" t="str">
        <f t="shared" si="68"/>
        <v/>
      </c>
      <c r="S319" s="93"/>
      <c r="T319" s="94"/>
      <c r="U319" s="95" t="str">
        <f t="shared" si="69"/>
        <v/>
      </c>
      <c r="V319" s="93"/>
      <c r="W319" s="94"/>
      <c r="X319" s="95" t="str">
        <f t="shared" si="70"/>
        <v/>
      </c>
      <c r="Y319" s="94"/>
      <c r="Z319" s="94"/>
      <c r="AA319" s="112" t="str">
        <f t="shared" si="71"/>
        <v/>
      </c>
      <c r="AB319" s="93"/>
      <c r="AC319" s="94"/>
      <c r="AD319" s="95" t="str">
        <f t="shared" si="72"/>
        <v/>
      </c>
      <c r="AE319" s="93"/>
      <c r="AF319" s="94"/>
      <c r="AG319" s="95" t="str">
        <f t="shared" si="73"/>
        <v/>
      </c>
      <c r="AH319" s="93"/>
      <c r="AI319" s="94"/>
      <c r="AJ319" s="95" t="str">
        <f t="shared" si="74"/>
        <v/>
      </c>
      <c r="AK319" s="93"/>
      <c r="AL319" s="94"/>
      <c r="AM319" s="95" t="str">
        <f t="shared" si="75"/>
        <v/>
      </c>
      <c r="AN319" s="93"/>
      <c r="AO319" s="94"/>
      <c r="AP319" s="95" t="str">
        <f t="shared" si="77"/>
        <v/>
      </c>
    </row>
    <row r="320" spans="1:42" x14ac:dyDescent="0.25">
      <c r="A320" s="91">
        <v>46341</v>
      </c>
      <c r="B320" s="92">
        <f t="shared" si="63"/>
        <v>46</v>
      </c>
      <c r="C320" s="92">
        <f t="shared" si="64"/>
        <v>11</v>
      </c>
      <c r="D320" s="93"/>
      <c r="E320" s="94"/>
      <c r="F320" s="95" t="str">
        <f t="shared" si="65"/>
        <v/>
      </c>
      <c r="G320" s="93"/>
      <c r="H320" s="94"/>
      <c r="I320" s="95" t="str">
        <f t="shared" si="76"/>
        <v/>
      </c>
      <c r="J320" s="93"/>
      <c r="K320" s="94"/>
      <c r="L320" s="95" t="str">
        <f t="shared" si="66"/>
        <v/>
      </c>
      <c r="M320" s="93"/>
      <c r="N320" s="94"/>
      <c r="O320" s="95" t="str">
        <f t="shared" si="67"/>
        <v/>
      </c>
      <c r="P320" s="93"/>
      <c r="Q320" s="94"/>
      <c r="R320" s="95" t="str">
        <f t="shared" si="68"/>
        <v/>
      </c>
      <c r="S320" s="93"/>
      <c r="T320" s="94"/>
      <c r="U320" s="95" t="str">
        <f t="shared" si="69"/>
        <v/>
      </c>
      <c r="V320" s="93"/>
      <c r="W320" s="94"/>
      <c r="X320" s="95" t="str">
        <f t="shared" si="70"/>
        <v/>
      </c>
      <c r="Y320" s="94"/>
      <c r="Z320" s="94"/>
      <c r="AA320" s="112" t="str">
        <f t="shared" si="71"/>
        <v/>
      </c>
      <c r="AB320" s="93"/>
      <c r="AC320" s="94"/>
      <c r="AD320" s="95" t="str">
        <f t="shared" si="72"/>
        <v/>
      </c>
      <c r="AE320" s="93"/>
      <c r="AF320" s="94"/>
      <c r="AG320" s="95" t="str">
        <f t="shared" si="73"/>
        <v/>
      </c>
      <c r="AH320" s="93"/>
      <c r="AI320" s="94"/>
      <c r="AJ320" s="95" t="str">
        <f t="shared" si="74"/>
        <v/>
      </c>
      <c r="AK320" s="93"/>
      <c r="AL320" s="94"/>
      <c r="AM320" s="95" t="str">
        <f t="shared" si="75"/>
        <v/>
      </c>
      <c r="AN320" s="93"/>
      <c r="AO320" s="94"/>
      <c r="AP320" s="95" t="str">
        <f t="shared" si="77"/>
        <v/>
      </c>
    </row>
    <row r="321" spans="1:42" x14ac:dyDescent="0.25">
      <c r="A321" s="91">
        <v>46342</v>
      </c>
      <c r="B321" s="92">
        <f t="shared" si="63"/>
        <v>47</v>
      </c>
      <c r="C321" s="92">
        <f t="shared" si="64"/>
        <v>11</v>
      </c>
      <c r="D321" s="93"/>
      <c r="E321" s="94"/>
      <c r="F321" s="95" t="str">
        <f t="shared" si="65"/>
        <v/>
      </c>
      <c r="G321" s="93"/>
      <c r="H321" s="94"/>
      <c r="I321" s="95" t="str">
        <f t="shared" si="76"/>
        <v/>
      </c>
      <c r="J321" s="93"/>
      <c r="K321" s="94"/>
      <c r="L321" s="95" t="str">
        <f t="shared" si="66"/>
        <v/>
      </c>
      <c r="M321" s="93"/>
      <c r="N321" s="94"/>
      <c r="O321" s="95" t="str">
        <f t="shared" si="67"/>
        <v/>
      </c>
      <c r="P321" s="93"/>
      <c r="Q321" s="94"/>
      <c r="R321" s="95" t="str">
        <f t="shared" si="68"/>
        <v/>
      </c>
      <c r="S321" s="93"/>
      <c r="T321" s="94"/>
      <c r="U321" s="95" t="str">
        <f t="shared" si="69"/>
        <v/>
      </c>
      <c r="V321" s="93"/>
      <c r="W321" s="94"/>
      <c r="X321" s="95" t="str">
        <f t="shared" si="70"/>
        <v/>
      </c>
      <c r="Y321" s="94"/>
      <c r="Z321" s="94"/>
      <c r="AA321" s="112" t="str">
        <f t="shared" si="71"/>
        <v/>
      </c>
      <c r="AB321" s="93"/>
      <c r="AC321" s="94"/>
      <c r="AD321" s="95" t="str">
        <f t="shared" si="72"/>
        <v/>
      </c>
      <c r="AE321" s="93"/>
      <c r="AF321" s="94"/>
      <c r="AG321" s="95" t="str">
        <f t="shared" si="73"/>
        <v/>
      </c>
      <c r="AH321" s="93"/>
      <c r="AI321" s="94"/>
      <c r="AJ321" s="95" t="str">
        <f t="shared" si="74"/>
        <v/>
      </c>
      <c r="AK321" s="93"/>
      <c r="AL321" s="94"/>
      <c r="AM321" s="95" t="str">
        <f t="shared" si="75"/>
        <v/>
      </c>
      <c r="AN321" s="93"/>
      <c r="AO321" s="94"/>
      <c r="AP321" s="95" t="str">
        <f t="shared" si="77"/>
        <v/>
      </c>
    </row>
    <row r="322" spans="1:42" x14ac:dyDescent="0.25">
      <c r="A322" s="91">
        <v>46343</v>
      </c>
      <c r="B322" s="92">
        <f t="shared" ref="B322:B366" si="78">ROUNDUP((A322-DATE(YEAR(A322),1,1)+WEEKDAY(DATE(YEAR(A322),1,1),2))/7,0)</f>
        <v>47</v>
      </c>
      <c r="C322" s="92">
        <f t="shared" ref="C322:C366" si="79">MONTH(A322)</f>
        <v>11</v>
      </c>
      <c r="D322" s="93"/>
      <c r="E322" s="94"/>
      <c r="F322" s="95" t="str">
        <f t="shared" ref="F322:F366" si="80">IFERROR(E322/D322,"")</f>
        <v/>
      </c>
      <c r="G322" s="93"/>
      <c r="H322" s="94"/>
      <c r="I322" s="95" t="str">
        <f t="shared" si="76"/>
        <v/>
      </c>
      <c r="J322" s="93"/>
      <c r="K322" s="94"/>
      <c r="L322" s="95" t="str">
        <f t="shared" ref="L322:L366" si="81">IFERROR(K322/J322,"")</f>
        <v/>
      </c>
      <c r="M322" s="93"/>
      <c r="N322" s="94"/>
      <c r="O322" s="95" t="str">
        <f t="shared" ref="O322:O366" si="82">IFERROR(N322/M322,"")</f>
        <v/>
      </c>
      <c r="P322" s="93"/>
      <c r="Q322" s="94"/>
      <c r="R322" s="95" t="str">
        <f t="shared" ref="R322:R366" si="83">IFERROR(Q322/P322,"")</f>
        <v/>
      </c>
      <c r="S322" s="93"/>
      <c r="T322" s="94"/>
      <c r="U322" s="95" t="str">
        <f t="shared" ref="U322:U366" si="84">IFERROR(T322/S322,"")</f>
        <v/>
      </c>
      <c r="V322" s="93"/>
      <c r="W322" s="94"/>
      <c r="X322" s="95" t="str">
        <f t="shared" ref="X322:X366" si="85">IFERROR(W322/V322,"")</f>
        <v/>
      </c>
      <c r="Y322" s="94"/>
      <c r="Z322" s="94"/>
      <c r="AA322" s="112" t="str">
        <f t="shared" ref="AA322:AA366" si="86">IFERROR(Z322/Y322,"")</f>
        <v/>
      </c>
      <c r="AB322" s="93"/>
      <c r="AC322" s="94"/>
      <c r="AD322" s="95" t="str">
        <f t="shared" ref="AD322:AD366" si="87">IFERROR(AC322/AB322,"")</f>
        <v/>
      </c>
      <c r="AE322" s="93"/>
      <c r="AF322" s="94"/>
      <c r="AG322" s="95" t="str">
        <f t="shared" ref="AG322:AG366" si="88">IFERROR(AF322/AE322,"")</f>
        <v/>
      </c>
      <c r="AH322" s="93"/>
      <c r="AI322" s="94"/>
      <c r="AJ322" s="95" t="str">
        <f t="shared" ref="AJ322:AJ366" si="89">IFERROR(AI322/AH322,"")</f>
        <v/>
      </c>
      <c r="AK322" s="93"/>
      <c r="AL322" s="94"/>
      <c r="AM322" s="95" t="str">
        <f t="shared" ref="AM322:AM366" si="90">IFERROR(AL322/AK322,"")</f>
        <v/>
      </c>
      <c r="AN322" s="93"/>
      <c r="AO322" s="94"/>
      <c r="AP322" s="95" t="str">
        <f t="shared" si="77"/>
        <v/>
      </c>
    </row>
    <row r="323" spans="1:42" x14ac:dyDescent="0.25">
      <c r="A323" s="91">
        <v>46344</v>
      </c>
      <c r="B323" s="92">
        <f t="shared" si="78"/>
        <v>47</v>
      </c>
      <c r="C323" s="92">
        <f t="shared" si="79"/>
        <v>11</v>
      </c>
      <c r="D323" s="93"/>
      <c r="E323" s="94"/>
      <c r="F323" s="95" t="str">
        <f t="shared" si="80"/>
        <v/>
      </c>
      <c r="G323" s="93"/>
      <c r="H323" s="94"/>
      <c r="I323" s="95" t="str">
        <f t="shared" ref="I323:I366" si="91">IFERROR(H323/G323,"")</f>
        <v/>
      </c>
      <c r="J323" s="93"/>
      <c r="K323" s="94"/>
      <c r="L323" s="95" t="str">
        <f t="shared" si="81"/>
        <v/>
      </c>
      <c r="M323" s="93"/>
      <c r="N323" s="94"/>
      <c r="O323" s="95" t="str">
        <f t="shared" si="82"/>
        <v/>
      </c>
      <c r="P323" s="93"/>
      <c r="Q323" s="94"/>
      <c r="R323" s="95" t="str">
        <f t="shared" si="83"/>
        <v/>
      </c>
      <c r="S323" s="93"/>
      <c r="T323" s="94"/>
      <c r="U323" s="95" t="str">
        <f t="shared" si="84"/>
        <v/>
      </c>
      <c r="V323" s="93"/>
      <c r="W323" s="94"/>
      <c r="X323" s="95" t="str">
        <f t="shared" si="85"/>
        <v/>
      </c>
      <c r="Y323" s="94"/>
      <c r="Z323" s="94"/>
      <c r="AA323" s="112" t="str">
        <f t="shared" si="86"/>
        <v/>
      </c>
      <c r="AB323" s="93"/>
      <c r="AC323" s="94"/>
      <c r="AD323" s="95" t="str">
        <f t="shared" si="87"/>
        <v/>
      </c>
      <c r="AE323" s="93"/>
      <c r="AF323" s="94"/>
      <c r="AG323" s="95" t="str">
        <f t="shared" si="88"/>
        <v/>
      </c>
      <c r="AH323" s="93"/>
      <c r="AI323" s="94"/>
      <c r="AJ323" s="95" t="str">
        <f t="shared" si="89"/>
        <v/>
      </c>
      <c r="AK323" s="93"/>
      <c r="AL323" s="94"/>
      <c r="AM323" s="95" t="str">
        <f t="shared" si="90"/>
        <v/>
      </c>
      <c r="AN323" s="93"/>
      <c r="AO323" s="94"/>
      <c r="AP323" s="95" t="str">
        <f t="shared" si="77"/>
        <v/>
      </c>
    </row>
    <row r="324" spans="1:42" x14ac:dyDescent="0.25">
      <c r="A324" s="91">
        <v>46345</v>
      </c>
      <c r="B324" s="92">
        <f t="shared" si="78"/>
        <v>47</v>
      </c>
      <c r="C324" s="92">
        <f t="shared" si="79"/>
        <v>11</v>
      </c>
      <c r="D324" s="93"/>
      <c r="E324" s="94"/>
      <c r="F324" s="95" t="str">
        <f t="shared" si="80"/>
        <v/>
      </c>
      <c r="G324" s="93"/>
      <c r="H324" s="94"/>
      <c r="I324" s="95" t="str">
        <f t="shared" si="91"/>
        <v/>
      </c>
      <c r="J324" s="93"/>
      <c r="K324" s="94"/>
      <c r="L324" s="95" t="str">
        <f t="shared" si="81"/>
        <v/>
      </c>
      <c r="M324" s="93"/>
      <c r="N324" s="94"/>
      <c r="O324" s="95" t="str">
        <f t="shared" si="82"/>
        <v/>
      </c>
      <c r="P324" s="93"/>
      <c r="Q324" s="94"/>
      <c r="R324" s="95" t="str">
        <f t="shared" si="83"/>
        <v/>
      </c>
      <c r="S324" s="93"/>
      <c r="T324" s="94"/>
      <c r="U324" s="95" t="str">
        <f t="shared" si="84"/>
        <v/>
      </c>
      <c r="V324" s="93"/>
      <c r="W324" s="94"/>
      <c r="X324" s="95" t="str">
        <f t="shared" si="85"/>
        <v/>
      </c>
      <c r="Y324" s="94"/>
      <c r="Z324" s="94"/>
      <c r="AA324" s="112" t="str">
        <f t="shared" si="86"/>
        <v/>
      </c>
      <c r="AB324" s="93"/>
      <c r="AC324" s="94"/>
      <c r="AD324" s="95" t="str">
        <f t="shared" si="87"/>
        <v/>
      </c>
      <c r="AE324" s="93"/>
      <c r="AF324" s="94"/>
      <c r="AG324" s="95" t="str">
        <f t="shared" si="88"/>
        <v/>
      </c>
      <c r="AH324" s="93"/>
      <c r="AI324" s="94"/>
      <c r="AJ324" s="95" t="str">
        <f t="shared" si="89"/>
        <v/>
      </c>
      <c r="AK324" s="93"/>
      <c r="AL324" s="94"/>
      <c r="AM324" s="95" t="str">
        <f t="shared" si="90"/>
        <v/>
      </c>
      <c r="AN324" s="93"/>
      <c r="AO324" s="94"/>
      <c r="AP324" s="95" t="str">
        <f t="shared" si="77"/>
        <v/>
      </c>
    </row>
    <row r="325" spans="1:42" x14ac:dyDescent="0.25">
      <c r="A325" s="91">
        <v>46346</v>
      </c>
      <c r="B325" s="92">
        <f t="shared" si="78"/>
        <v>47</v>
      </c>
      <c r="C325" s="92">
        <f t="shared" si="79"/>
        <v>11</v>
      </c>
      <c r="D325" s="93"/>
      <c r="E325" s="94"/>
      <c r="F325" s="95" t="str">
        <f t="shared" si="80"/>
        <v/>
      </c>
      <c r="G325" s="93"/>
      <c r="H325" s="94"/>
      <c r="I325" s="95" t="str">
        <f t="shared" si="91"/>
        <v/>
      </c>
      <c r="J325" s="93"/>
      <c r="K325" s="94"/>
      <c r="L325" s="95" t="str">
        <f t="shared" si="81"/>
        <v/>
      </c>
      <c r="M325" s="93"/>
      <c r="N325" s="94"/>
      <c r="O325" s="95" t="str">
        <f t="shared" si="82"/>
        <v/>
      </c>
      <c r="P325" s="93"/>
      <c r="Q325" s="94"/>
      <c r="R325" s="95" t="str">
        <f t="shared" si="83"/>
        <v/>
      </c>
      <c r="S325" s="93"/>
      <c r="T325" s="94"/>
      <c r="U325" s="95" t="str">
        <f t="shared" si="84"/>
        <v/>
      </c>
      <c r="V325" s="93"/>
      <c r="W325" s="94"/>
      <c r="X325" s="95" t="str">
        <f t="shared" si="85"/>
        <v/>
      </c>
      <c r="Y325" s="94"/>
      <c r="Z325" s="94"/>
      <c r="AA325" s="112" t="str">
        <f t="shared" si="86"/>
        <v/>
      </c>
      <c r="AB325" s="93"/>
      <c r="AC325" s="94"/>
      <c r="AD325" s="95" t="str">
        <f t="shared" si="87"/>
        <v/>
      </c>
      <c r="AE325" s="93"/>
      <c r="AF325" s="94"/>
      <c r="AG325" s="95" t="str">
        <f t="shared" si="88"/>
        <v/>
      </c>
      <c r="AH325" s="93"/>
      <c r="AI325" s="94"/>
      <c r="AJ325" s="95" t="str">
        <f t="shared" si="89"/>
        <v/>
      </c>
      <c r="AK325" s="93"/>
      <c r="AL325" s="94"/>
      <c r="AM325" s="95" t="str">
        <f t="shared" si="90"/>
        <v/>
      </c>
      <c r="AN325" s="93"/>
      <c r="AO325" s="94"/>
      <c r="AP325" s="95" t="str">
        <f t="shared" si="77"/>
        <v/>
      </c>
    </row>
    <row r="326" spans="1:42" x14ac:dyDescent="0.25">
      <c r="A326" s="91">
        <v>46347</v>
      </c>
      <c r="B326" s="92">
        <f t="shared" si="78"/>
        <v>47</v>
      </c>
      <c r="C326" s="92">
        <f t="shared" si="79"/>
        <v>11</v>
      </c>
      <c r="D326" s="93"/>
      <c r="E326" s="94"/>
      <c r="F326" s="95" t="str">
        <f t="shared" si="80"/>
        <v/>
      </c>
      <c r="G326" s="93"/>
      <c r="H326" s="94"/>
      <c r="I326" s="95" t="str">
        <f t="shared" si="91"/>
        <v/>
      </c>
      <c r="J326" s="93"/>
      <c r="K326" s="94"/>
      <c r="L326" s="95" t="str">
        <f t="shared" si="81"/>
        <v/>
      </c>
      <c r="M326" s="93"/>
      <c r="N326" s="94"/>
      <c r="O326" s="95" t="str">
        <f t="shared" si="82"/>
        <v/>
      </c>
      <c r="P326" s="93"/>
      <c r="Q326" s="94"/>
      <c r="R326" s="95" t="str">
        <f t="shared" si="83"/>
        <v/>
      </c>
      <c r="S326" s="93"/>
      <c r="T326" s="94"/>
      <c r="U326" s="95" t="str">
        <f t="shared" si="84"/>
        <v/>
      </c>
      <c r="V326" s="93"/>
      <c r="W326" s="94"/>
      <c r="X326" s="95" t="str">
        <f t="shared" si="85"/>
        <v/>
      </c>
      <c r="Y326" s="94"/>
      <c r="Z326" s="94"/>
      <c r="AA326" s="112" t="str">
        <f t="shared" si="86"/>
        <v/>
      </c>
      <c r="AB326" s="93"/>
      <c r="AC326" s="94"/>
      <c r="AD326" s="95" t="str">
        <f t="shared" si="87"/>
        <v/>
      </c>
      <c r="AE326" s="93"/>
      <c r="AF326" s="94"/>
      <c r="AG326" s="95" t="str">
        <f t="shared" si="88"/>
        <v/>
      </c>
      <c r="AH326" s="93"/>
      <c r="AI326" s="94"/>
      <c r="AJ326" s="95" t="str">
        <f t="shared" si="89"/>
        <v/>
      </c>
      <c r="AK326" s="93"/>
      <c r="AL326" s="94"/>
      <c r="AM326" s="95" t="str">
        <f t="shared" si="90"/>
        <v/>
      </c>
      <c r="AN326" s="93"/>
      <c r="AO326" s="94"/>
      <c r="AP326" s="95" t="str">
        <f t="shared" si="77"/>
        <v/>
      </c>
    </row>
    <row r="327" spans="1:42" x14ac:dyDescent="0.25">
      <c r="A327" s="91">
        <v>46348</v>
      </c>
      <c r="B327" s="92">
        <f t="shared" si="78"/>
        <v>47</v>
      </c>
      <c r="C327" s="92">
        <f t="shared" si="79"/>
        <v>11</v>
      </c>
      <c r="D327" s="93"/>
      <c r="E327" s="94"/>
      <c r="F327" s="95" t="str">
        <f t="shared" si="80"/>
        <v/>
      </c>
      <c r="G327" s="93"/>
      <c r="H327" s="94"/>
      <c r="I327" s="95" t="str">
        <f t="shared" si="91"/>
        <v/>
      </c>
      <c r="J327" s="93"/>
      <c r="K327" s="94"/>
      <c r="L327" s="95" t="str">
        <f t="shared" si="81"/>
        <v/>
      </c>
      <c r="M327" s="93"/>
      <c r="N327" s="94"/>
      <c r="O327" s="95" t="str">
        <f t="shared" si="82"/>
        <v/>
      </c>
      <c r="P327" s="93"/>
      <c r="Q327" s="94"/>
      <c r="R327" s="95" t="str">
        <f t="shared" si="83"/>
        <v/>
      </c>
      <c r="S327" s="93"/>
      <c r="T327" s="94"/>
      <c r="U327" s="95" t="str">
        <f t="shared" si="84"/>
        <v/>
      </c>
      <c r="V327" s="93"/>
      <c r="W327" s="94"/>
      <c r="X327" s="95" t="str">
        <f t="shared" si="85"/>
        <v/>
      </c>
      <c r="Y327" s="94"/>
      <c r="Z327" s="94"/>
      <c r="AA327" s="112" t="str">
        <f t="shared" si="86"/>
        <v/>
      </c>
      <c r="AB327" s="93"/>
      <c r="AC327" s="94"/>
      <c r="AD327" s="95" t="str">
        <f t="shared" si="87"/>
        <v/>
      </c>
      <c r="AE327" s="93"/>
      <c r="AF327" s="94"/>
      <c r="AG327" s="95" t="str">
        <f t="shared" si="88"/>
        <v/>
      </c>
      <c r="AH327" s="93"/>
      <c r="AI327" s="94"/>
      <c r="AJ327" s="95" t="str">
        <f t="shared" si="89"/>
        <v/>
      </c>
      <c r="AK327" s="93"/>
      <c r="AL327" s="94"/>
      <c r="AM327" s="95" t="str">
        <f t="shared" si="90"/>
        <v/>
      </c>
      <c r="AN327" s="93"/>
      <c r="AO327" s="94"/>
      <c r="AP327" s="95" t="str">
        <f t="shared" ref="AP327:AP366" si="92">IFERROR(AO327/AN327,"")</f>
        <v/>
      </c>
    </row>
    <row r="328" spans="1:42" x14ac:dyDescent="0.25">
      <c r="A328" s="91">
        <v>46349</v>
      </c>
      <c r="B328" s="92">
        <f t="shared" si="78"/>
        <v>48</v>
      </c>
      <c r="C328" s="92">
        <f t="shared" si="79"/>
        <v>11</v>
      </c>
      <c r="D328" s="93"/>
      <c r="E328" s="94"/>
      <c r="F328" s="95" t="str">
        <f t="shared" si="80"/>
        <v/>
      </c>
      <c r="G328" s="93"/>
      <c r="H328" s="94"/>
      <c r="I328" s="95" t="str">
        <f t="shared" si="91"/>
        <v/>
      </c>
      <c r="J328" s="93"/>
      <c r="K328" s="94"/>
      <c r="L328" s="95" t="str">
        <f t="shared" si="81"/>
        <v/>
      </c>
      <c r="M328" s="93"/>
      <c r="N328" s="94"/>
      <c r="O328" s="95" t="str">
        <f t="shared" si="82"/>
        <v/>
      </c>
      <c r="P328" s="93"/>
      <c r="Q328" s="94"/>
      <c r="R328" s="95" t="str">
        <f t="shared" si="83"/>
        <v/>
      </c>
      <c r="S328" s="93"/>
      <c r="T328" s="94"/>
      <c r="U328" s="95" t="str">
        <f t="shared" si="84"/>
        <v/>
      </c>
      <c r="V328" s="93"/>
      <c r="W328" s="94"/>
      <c r="X328" s="95" t="str">
        <f t="shared" si="85"/>
        <v/>
      </c>
      <c r="Y328" s="94"/>
      <c r="Z328" s="94"/>
      <c r="AA328" s="112" t="str">
        <f t="shared" si="86"/>
        <v/>
      </c>
      <c r="AB328" s="93"/>
      <c r="AC328" s="94"/>
      <c r="AD328" s="95" t="str">
        <f t="shared" si="87"/>
        <v/>
      </c>
      <c r="AE328" s="93"/>
      <c r="AF328" s="94"/>
      <c r="AG328" s="95" t="str">
        <f t="shared" si="88"/>
        <v/>
      </c>
      <c r="AH328" s="93"/>
      <c r="AI328" s="94"/>
      <c r="AJ328" s="95" t="str">
        <f t="shared" si="89"/>
        <v/>
      </c>
      <c r="AK328" s="93"/>
      <c r="AL328" s="94"/>
      <c r="AM328" s="95" t="str">
        <f t="shared" si="90"/>
        <v/>
      </c>
      <c r="AN328" s="93"/>
      <c r="AO328" s="94"/>
      <c r="AP328" s="95" t="str">
        <f t="shared" si="92"/>
        <v/>
      </c>
    </row>
    <row r="329" spans="1:42" x14ac:dyDescent="0.25">
      <c r="A329" s="91">
        <v>46350</v>
      </c>
      <c r="B329" s="92">
        <f t="shared" si="78"/>
        <v>48</v>
      </c>
      <c r="C329" s="92">
        <f t="shared" si="79"/>
        <v>11</v>
      </c>
      <c r="D329" s="93"/>
      <c r="E329" s="94"/>
      <c r="F329" s="95" t="str">
        <f t="shared" si="80"/>
        <v/>
      </c>
      <c r="G329" s="93"/>
      <c r="H329" s="94"/>
      <c r="I329" s="95" t="str">
        <f t="shared" si="91"/>
        <v/>
      </c>
      <c r="J329" s="93"/>
      <c r="K329" s="94"/>
      <c r="L329" s="95" t="str">
        <f t="shared" si="81"/>
        <v/>
      </c>
      <c r="M329" s="93"/>
      <c r="N329" s="94"/>
      <c r="O329" s="95" t="str">
        <f t="shared" si="82"/>
        <v/>
      </c>
      <c r="P329" s="93"/>
      <c r="Q329" s="94"/>
      <c r="R329" s="95" t="str">
        <f t="shared" si="83"/>
        <v/>
      </c>
      <c r="S329" s="93"/>
      <c r="T329" s="94"/>
      <c r="U329" s="95" t="str">
        <f t="shared" si="84"/>
        <v/>
      </c>
      <c r="V329" s="93"/>
      <c r="W329" s="94"/>
      <c r="X329" s="95" t="str">
        <f t="shared" si="85"/>
        <v/>
      </c>
      <c r="Y329" s="94"/>
      <c r="Z329" s="94"/>
      <c r="AA329" s="112" t="str">
        <f t="shared" si="86"/>
        <v/>
      </c>
      <c r="AB329" s="93"/>
      <c r="AC329" s="94"/>
      <c r="AD329" s="95" t="str">
        <f t="shared" si="87"/>
        <v/>
      </c>
      <c r="AE329" s="93"/>
      <c r="AF329" s="94"/>
      <c r="AG329" s="95" t="str">
        <f t="shared" si="88"/>
        <v/>
      </c>
      <c r="AH329" s="93"/>
      <c r="AI329" s="94"/>
      <c r="AJ329" s="95" t="str">
        <f t="shared" si="89"/>
        <v/>
      </c>
      <c r="AK329" s="93"/>
      <c r="AL329" s="94"/>
      <c r="AM329" s="95" t="str">
        <f t="shared" si="90"/>
        <v/>
      </c>
      <c r="AN329" s="93"/>
      <c r="AO329" s="94"/>
      <c r="AP329" s="95" t="str">
        <f t="shared" si="92"/>
        <v/>
      </c>
    </row>
    <row r="330" spans="1:42" x14ac:dyDescent="0.25">
      <c r="A330" s="91">
        <v>46351</v>
      </c>
      <c r="B330" s="92">
        <f t="shared" si="78"/>
        <v>48</v>
      </c>
      <c r="C330" s="92">
        <f t="shared" si="79"/>
        <v>11</v>
      </c>
      <c r="D330" s="93"/>
      <c r="E330" s="94"/>
      <c r="F330" s="95" t="str">
        <f t="shared" si="80"/>
        <v/>
      </c>
      <c r="G330" s="93"/>
      <c r="H330" s="94"/>
      <c r="I330" s="95" t="str">
        <f t="shared" si="91"/>
        <v/>
      </c>
      <c r="J330" s="93"/>
      <c r="K330" s="94"/>
      <c r="L330" s="95" t="str">
        <f t="shared" si="81"/>
        <v/>
      </c>
      <c r="M330" s="93"/>
      <c r="N330" s="94"/>
      <c r="O330" s="95" t="str">
        <f t="shared" si="82"/>
        <v/>
      </c>
      <c r="P330" s="93"/>
      <c r="Q330" s="94"/>
      <c r="R330" s="95" t="str">
        <f t="shared" si="83"/>
        <v/>
      </c>
      <c r="S330" s="93"/>
      <c r="T330" s="94"/>
      <c r="U330" s="95" t="str">
        <f t="shared" si="84"/>
        <v/>
      </c>
      <c r="V330" s="93"/>
      <c r="W330" s="94"/>
      <c r="X330" s="95" t="str">
        <f t="shared" si="85"/>
        <v/>
      </c>
      <c r="Y330" s="94"/>
      <c r="Z330" s="94"/>
      <c r="AA330" s="112" t="str">
        <f t="shared" si="86"/>
        <v/>
      </c>
      <c r="AB330" s="93"/>
      <c r="AC330" s="94"/>
      <c r="AD330" s="95" t="str">
        <f t="shared" si="87"/>
        <v/>
      </c>
      <c r="AE330" s="93"/>
      <c r="AF330" s="94"/>
      <c r="AG330" s="95" t="str">
        <f t="shared" si="88"/>
        <v/>
      </c>
      <c r="AH330" s="93"/>
      <c r="AI330" s="94"/>
      <c r="AJ330" s="95" t="str">
        <f t="shared" si="89"/>
        <v/>
      </c>
      <c r="AK330" s="93"/>
      <c r="AL330" s="94"/>
      <c r="AM330" s="95" t="str">
        <f t="shared" si="90"/>
        <v/>
      </c>
      <c r="AN330" s="93"/>
      <c r="AO330" s="94"/>
      <c r="AP330" s="95" t="str">
        <f t="shared" si="92"/>
        <v/>
      </c>
    </row>
    <row r="331" spans="1:42" x14ac:dyDescent="0.25">
      <c r="A331" s="91">
        <v>46352</v>
      </c>
      <c r="B331" s="92">
        <f t="shared" si="78"/>
        <v>48</v>
      </c>
      <c r="C331" s="92">
        <f t="shared" si="79"/>
        <v>11</v>
      </c>
      <c r="D331" s="93"/>
      <c r="E331" s="94"/>
      <c r="F331" s="95" t="str">
        <f t="shared" si="80"/>
        <v/>
      </c>
      <c r="G331" s="93"/>
      <c r="H331" s="94"/>
      <c r="I331" s="95" t="str">
        <f t="shared" si="91"/>
        <v/>
      </c>
      <c r="J331" s="93"/>
      <c r="K331" s="94"/>
      <c r="L331" s="95" t="str">
        <f t="shared" si="81"/>
        <v/>
      </c>
      <c r="M331" s="93"/>
      <c r="N331" s="94"/>
      <c r="O331" s="95" t="str">
        <f t="shared" si="82"/>
        <v/>
      </c>
      <c r="P331" s="93"/>
      <c r="Q331" s="94"/>
      <c r="R331" s="95" t="str">
        <f t="shared" si="83"/>
        <v/>
      </c>
      <c r="S331" s="93"/>
      <c r="T331" s="94"/>
      <c r="U331" s="95" t="str">
        <f t="shared" si="84"/>
        <v/>
      </c>
      <c r="V331" s="93"/>
      <c r="W331" s="94"/>
      <c r="X331" s="95" t="str">
        <f t="shared" si="85"/>
        <v/>
      </c>
      <c r="Y331" s="94"/>
      <c r="Z331" s="94"/>
      <c r="AA331" s="112" t="str">
        <f t="shared" si="86"/>
        <v/>
      </c>
      <c r="AB331" s="93"/>
      <c r="AC331" s="94"/>
      <c r="AD331" s="95" t="str">
        <f t="shared" si="87"/>
        <v/>
      </c>
      <c r="AE331" s="93"/>
      <c r="AF331" s="94"/>
      <c r="AG331" s="95" t="str">
        <f t="shared" si="88"/>
        <v/>
      </c>
      <c r="AH331" s="93"/>
      <c r="AI331" s="94"/>
      <c r="AJ331" s="95" t="str">
        <f t="shared" si="89"/>
        <v/>
      </c>
      <c r="AK331" s="93"/>
      <c r="AL331" s="94"/>
      <c r="AM331" s="95" t="str">
        <f t="shared" si="90"/>
        <v/>
      </c>
      <c r="AN331" s="93"/>
      <c r="AO331" s="94"/>
      <c r="AP331" s="95" t="str">
        <f t="shared" si="92"/>
        <v/>
      </c>
    </row>
    <row r="332" spans="1:42" x14ac:dyDescent="0.25">
      <c r="A332" s="91">
        <v>46353</v>
      </c>
      <c r="B332" s="92">
        <f t="shared" si="78"/>
        <v>48</v>
      </c>
      <c r="C332" s="92">
        <f t="shared" si="79"/>
        <v>11</v>
      </c>
      <c r="D332" s="93"/>
      <c r="E332" s="94"/>
      <c r="F332" s="95" t="str">
        <f t="shared" si="80"/>
        <v/>
      </c>
      <c r="G332" s="93"/>
      <c r="H332" s="94"/>
      <c r="I332" s="95" t="str">
        <f t="shared" si="91"/>
        <v/>
      </c>
      <c r="J332" s="93"/>
      <c r="K332" s="94"/>
      <c r="L332" s="95" t="str">
        <f t="shared" si="81"/>
        <v/>
      </c>
      <c r="M332" s="93"/>
      <c r="N332" s="94"/>
      <c r="O332" s="95" t="str">
        <f t="shared" si="82"/>
        <v/>
      </c>
      <c r="P332" s="93"/>
      <c r="Q332" s="94"/>
      <c r="R332" s="95" t="str">
        <f t="shared" si="83"/>
        <v/>
      </c>
      <c r="S332" s="93"/>
      <c r="T332" s="94"/>
      <c r="U332" s="95" t="str">
        <f t="shared" si="84"/>
        <v/>
      </c>
      <c r="V332" s="93"/>
      <c r="W332" s="94"/>
      <c r="X332" s="95" t="str">
        <f t="shared" si="85"/>
        <v/>
      </c>
      <c r="Y332" s="94"/>
      <c r="Z332" s="94"/>
      <c r="AA332" s="112" t="str">
        <f t="shared" si="86"/>
        <v/>
      </c>
      <c r="AB332" s="93"/>
      <c r="AC332" s="94"/>
      <c r="AD332" s="95" t="str">
        <f t="shared" si="87"/>
        <v/>
      </c>
      <c r="AE332" s="93"/>
      <c r="AF332" s="94"/>
      <c r="AG332" s="95" t="str">
        <f t="shared" si="88"/>
        <v/>
      </c>
      <c r="AH332" s="93"/>
      <c r="AI332" s="94"/>
      <c r="AJ332" s="95" t="str">
        <f t="shared" si="89"/>
        <v/>
      </c>
      <c r="AK332" s="93"/>
      <c r="AL332" s="94"/>
      <c r="AM332" s="95" t="str">
        <f t="shared" si="90"/>
        <v/>
      </c>
      <c r="AN332" s="93"/>
      <c r="AO332" s="94"/>
      <c r="AP332" s="95" t="str">
        <f t="shared" si="92"/>
        <v/>
      </c>
    </row>
    <row r="333" spans="1:42" x14ac:dyDescent="0.25">
      <c r="A333" s="91">
        <v>46354</v>
      </c>
      <c r="B333" s="92">
        <f t="shared" si="78"/>
        <v>48</v>
      </c>
      <c r="C333" s="92">
        <f t="shared" si="79"/>
        <v>11</v>
      </c>
      <c r="D333" s="93"/>
      <c r="E333" s="94"/>
      <c r="F333" s="95" t="str">
        <f t="shared" si="80"/>
        <v/>
      </c>
      <c r="G333" s="93"/>
      <c r="H333" s="94"/>
      <c r="I333" s="95" t="str">
        <f t="shared" si="91"/>
        <v/>
      </c>
      <c r="J333" s="93"/>
      <c r="K333" s="94"/>
      <c r="L333" s="95" t="str">
        <f t="shared" si="81"/>
        <v/>
      </c>
      <c r="M333" s="93"/>
      <c r="N333" s="94"/>
      <c r="O333" s="95" t="str">
        <f t="shared" si="82"/>
        <v/>
      </c>
      <c r="P333" s="93"/>
      <c r="Q333" s="94"/>
      <c r="R333" s="95" t="str">
        <f t="shared" si="83"/>
        <v/>
      </c>
      <c r="S333" s="93"/>
      <c r="T333" s="94"/>
      <c r="U333" s="95" t="str">
        <f t="shared" si="84"/>
        <v/>
      </c>
      <c r="V333" s="93"/>
      <c r="W333" s="94"/>
      <c r="X333" s="95" t="str">
        <f t="shared" si="85"/>
        <v/>
      </c>
      <c r="Y333" s="94"/>
      <c r="Z333" s="94"/>
      <c r="AA333" s="112" t="str">
        <f t="shared" si="86"/>
        <v/>
      </c>
      <c r="AB333" s="93"/>
      <c r="AC333" s="94"/>
      <c r="AD333" s="95" t="str">
        <f t="shared" si="87"/>
        <v/>
      </c>
      <c r="AE333" s="93"/>
      <c r="AF333" s="94"/>
      <c r="AG333" s="95" t="str">
        <f t="shared" si="88"/>
        <v/>
      </c>
      <c r="AH333" s="93"/>
      <c r="AI333" s="94"/>
      <c r="AJ333" s="95" t="str">
        <f t="shared" si="89"/>
        <v/>
      </c>
      <c r="AK333" s="93"/>
      <c r="AL333" s="94"/>
      <c r="AM333" s="95" t="str">
        <f t="shared" si="90"/>
        <v/>
      </c>
      <c r="AN333" s="93"/>
      <c r="AO333" s="94"/>
      <c r="AP333" s="95" t="str">
        <f t="shared" si="92"/>
        <v/>
      </c>
    </row>
    <row r="334" spans="1:42" x14ac:dyDescent="0.25">
      <c r="A334" s="91">
        <v>46355</v>
      </c>
      <c r="B334" s="92">
        <f t="shared" si="78"/>
        <v>48</v>
      </c>
      <c r="C334" s="92">
        <f t="shared" si="79"/>
        <v>11</v>
      </c>
      <c r="D334" s="93"/>
      <c r="E334" s="94"/>
      <c r="F334" s="95" t="str">
        <f t="shared" si="80"/>
        <v/>
      </c>
      <c r="G334" s="93"/>
      <c r="H334" s="94"/>
      <c r="I334" s="95" t="str">
        <f t="shared" si="91"/>
        <v/>
      </c>
      <c r="J334" s="93"/>
      <c r="K334" s="94"/>
      <c r="L334" s="95" t="str">
        <f t="shared" si="81"/>
        <v/>
      </c>
      <c r="M334" s="93"/>
      <c r="N334" s="94"/>
      <c r="O334" s="95" t="str">
        <f t="shared" si="82"/>
        <v/>
      </c>
      <c r="P334" s="93"/>
      <c r="Q334" s="94"/>
      <c r="R334" s="95" t="str">
        <f t="shared" si="83"/>
        <v/>
      </c>
      <c r="S334" s="93"/>
      <c r="T334" s="94"/>
      <c r="U334" s="95" t="str">
        <f t="shared" si="84"/>
        <v/>
      </c>
      <c r="V334" s="93"/>
      <c r="W334" s="94"/>
      <c r="X334" s="95" t="str">
        <f t="shared" si="85"/>
        <v/>
      </c>
      <c r="Y334" s="94"/>
      <c r="Z334" s="94"/>
      <c r="AA334" s="112" t="str">
        <f t="shared" si="86"/>
        <v/>
      </c>
      <c r="AB334" s="93"/>
      <c r="AC334" s="94"/>
      <c r="AD334" s="95" t="str">
        <f t="shared" si="87"/>
        <v/>
      </c>
      <c r="AE334" s="93"/>
      <c r="AF334" s="94"/>
      <c r="AG334" s="95" t="str">
        <f t="shared" si="88"/>
        <v/>
      </c>
      <c r="AH334" s="93"/>
      <c r="AI334" s="94"/>
      <c r="AJ334" s="95" t="str">
        <f t="shared" si="89"/>
        <v/>
      </c>
      <c r="AK334" s="93"/>
      <c r="AL334" s="94"/>
      <c r="AM334" s="95" t="str">
        <f t="shared" si="90"/>
        <v/>
      </c>
      <c r="AN334" s="93"/>
      <c r="AO334" s="94"/>
      <c r="AP334" s="95" t="str">
        <f t="shared" si="92"/>
        <v/>
      </c>
    </row>
    <row r="335" spans="1:42" x14ac:dyDescent="0.25">
      <c r="A335" s="91">
        <v>46356</v>
      </c>
      <c r="B335" s="92">
        <f t="shared" si="78"/>
        <v>49</v>
      </c>
      <c r="C335" s="92">
        <f t="shared" si="79"/>
        <v>11</v>
      </c>
      <c r="D335" s="93"/>
      <c r="E335" s="94"/>
      <c r="F335" s="95" t="str">
        <f t="shared" si="80"/>
        <v/>
      </c>
      <c r="G335" s="93"/>
      <c r="H335" s="94"/>
      <c r="I335" s="95" t="str">
        <f t="shared" si="91"/>
        <v/>
      </c>
      <c r="J335" s="93"/>
      <c r="K335" s="94"/>
      <c r="L335" s="95" t="str">
        <f t="shared" si="81"/>
        <v/>
      </c>
      <c r="M335" s="93"/>
      <c r="N335" s="94"/>
      <c r="O335" s="95" t="str">
        <f t="shared" si="82"/>
        <v/>
      </c>
      <c r="P335" s="93"/>
      <c r="Q335" s="94"/>
      <c r="R335" s="95" t="str">
        <f t="shared" si="83"/>
        <v/>
      </c>
      <c r="S335" s="93"/>
      <c r="T335" s="94"/>
      <c r="U335" s="95" t="str">
        <f t="shared" si="84"/>
        <v/>
      </c>
      <c r="V335" s="93"/>
      <c r="W335" s="94"/>
      <c r="X335" s="95" t="str">
        <f t="shared" si="85"/>
        <v/>
      </c>
      <c r="Y335" s="94"/>
      <c r="Z335" s="94"/>
      <c r="AA335" s="112" t="str">
        <f t="shared" si="86"/>
        <v/>
      </c>
      <c r="AB335" s="93"/>
      <c r="AC335" s="94"/>
      <c r="AD335" s="95" t="str">
        <f t="shared" si="87"/>
        <v/>
      </c>
      <c r="AE335" s="93"/>
      <c r="AF335" s="94"/>
      <c r="AG335" s="95" t="str">
        <f t="shared" si="88"/>
        <v/>
      </c>
      <c r="AH335" s="93"/>
      <c r="AI335" s="94"/>
      <c r="AJ335" s="95" t="str">
        <f t="shared" si="89"/>
        <v/>
      </c>
      <c r="AK335" s="93"/>
      <c r="AL335" s="94"/>
      <c r="AM335" s="95" t="str">
        <f t="shared" si="90"/>
        <v/>
      </c>
      <c r="AN335" s="93"/>
      <c r="AO335" s="94"/>
      <c r="AP335" s="95" t="str">
        <f t="shared" si="92"/>
        <v/>
      </c>
    </row>
    <row r="336" spans="1:42" x14ac:dyDescent="0.25">
      <c r="A336" s="91">
        <v>46357</v>
      </c>
      <c r="B336" s="92">
        <f t="shared" si="78"/>
        <v>49</v>
      </c>
      <c r="C336" s="92">
        <f t="shared" si="79"/>
        <v>12</v>
      </c>
      <c r="D336" s="93"/>
      <c r="E336" s="94"/>
      <c r="F336" s="95" t="str">
        <f t="shared" si="80"/>
        <v/>
      </c>
      <c r="G336" s="93"/>
      <c r="H336" s="94"/>
      <c r="I336" s="95" t="str">
        <f t="shared" si="91"/>
        <v/>
      </c>
      <c r="J336" s="93"/>
      <c r="K336" s="94"/>
      <c r="L336" s="95" t="str">
        <f t="shared" si="81"/>
        <v/>
      </c>
      <c r="M336" s="93"/>
      <c r="N336" s="94"/>
      <c r="O336" s="95" t="str">
        <f t="shared" si="82"/>
        <v/>
      </c>
      <c r="P336" s="93"/>
      <c r="Q336" s="94"/>
      <c r="R336" s="95" t="str">
        <f t="shared" si="83"/>
        <v/>
      </c>
      <c r="S336" s="93"/>
      <c r="T336" s="94"/>
      <c r="U336" s="95" t="str">
        <f t="shared" si="84"/>
        <v/>
      </c>
      <c r="V336" s="93"/>
      <c r="W336" s="94"/>
      <c r="X336" s="95" t="str">
        <f t="shared" si="85"/>
        <v/>
      </c>
      <c r="Y336" s="94"/>
      <c r="Z336" s="94"/>
      <c r="AA336" s="112" t="str">
        <f t="shared" si="86"/>
        <v/>
      </c>
      <c r="AB336" s="93"/>
      <c r="AC336" s="94"/>
      <c r="AD336" s="95" t="str">
        <f t="shared" si="87"/>
        <v/>
      </c>
      <c r="AE336" s="93"/>
      <c r="AF336" s="94"/>
      <c r="AG336" s="95" t="str">
        <f t="shared" si="88"/>
        <v/>
      </c>
      <c r="AH336" s="93"/>
      <c r="AI336" s="94"/>
      <c r="AJ336" s="95" t="str">
        <f t="shared" si="89"/>
        <v/>
      </c>
      <c r="AK336" s="93"/>
      <c r="AL336" s="94"/>
      <c r="AM336" s="95" t="str">
        <f t="shared" si="90"/>
        <v/>
      </c>
      <c r="AN336" s="93"/>
      <c r="AO336" s="94"/>
      <c r="AP336" s="95" t="str">
        <f t="shared" si="92"/>
        <v/>
      </c>
    </row>
    <row r="337" spans="1:42" x14ac:dyDescent="0.25">
      <c r="A337" s="91">
        <v>46358</v>
      </c>
      <c r="B337" s="92">
        <f t="shared" si="78"/>
        <v>49</v>
      </c>
      <c r="C337" s="92">
        <f t="shared" si="79"/>
        <v>12</v>
      </c>
      <c r="D337" s="93"/>
      <c r="E337" s="94"/>
      <c r="F337" s="95" t="str">
        <f t="shared" si="80"/>
        <v/>
      </c>
      <c r="G337" s="93"/>
      <c r="H337" s="94"/>
      <c r="I337" s="95" t="str">
        <f t="shared" si="91"/>
        <v/>
      </c>
      <c r="J337" s="93"/>
      <c r="K337" s="94"/>
      <c r="L337" s="95" t="str">
        <f t="shared" si="81"/>
        <v/>
      </c>
      <c r="M337" s="93"/>
      <c r="N337" s="94"/>
      <c r="O337" s="95" t="str">
        <f t="shared" si="82"/>
        <v/>
      </c>
      <c r="P337" s="93"/>
      <c r="Q337" s="94"/>
      <c r="R337" s="95" t="str">
        <f t="shared" si="83"/>
        <v/>
      </c>
      <c r="S337" s="93"/>
      <c r="T337" s="94"/>
      <c r="U337" s="95" t="str">
        <f t="shared" si="84"/>
        <v/>
      </c>
      <c r="V337" s="93"/>
      <c r="W337" s="94"/>
      <c r="X337" s="95" t="str">
        <f t="shared" si="85"/>
        <v/>
      </c>
      <c r="Y337" s="94"/>
      <c r="Z337" s="94"/>
      <c r="AA337" s="112" t="str">
        <f t="shared" si="86"/>
        <v/>
      </c>
      <c r="AB337" s="93"/>
      <c r="AC337" s="94"/>
      <c r="AD337" s="95" t="str">
        <f t="shared" si="87"/>
        <v/>
      </c>
      <c r="AE337" s="93"/>
      <c r="AF337" s="94"/>
      <c r="AG337" s="95" t="str">
        <f t="shared" si="88"/>
        <v/>
      </c>
      <c r="AH337" s="93"/>
      <c r="AI337" s="94"/>
      <c r="AJ337" s="95" t="str">
        <f t="shared" si="89"/>
        <v/>
      </c>
      <c r="AK337" s="93"/>
      <c r="AL337" s="94"/>
      <c r="AM337" s="95" t="str">
        <f t="shared" si="90"/>
        <v/>
      </c>
      <c r="AN337" s="93"/>
      <c r="AO337" s="94"/>
      <c r="AP337" s="95" t="str">
        <f t="shared" si="92"/>
        <v/>
      </c>
    </row>
    <row r="338" spans="1:42" x14ac:dyDescent="0.25">
      <c r="A338" s="91">
        <v>46359</v>
      </c>
      <c r="B338" s="92">
        <f t="shared" si="78"/>
        <v>49</v>
      </c>
      <c r="C338" s="92">
        <f t="shared" si="79"/>
        <v>12</v>
      </c>
      <c r="D338" s="93"/>
      <c r="E338" s="94"/>
      <c r="F338" s="95" t="str">
        <f t="shared" si="80"/>
        <v/>
      </c>
      <c r="G338" s="93"/>
      <c r="H338" s="94"/>
      <c r="I338" s="95" t="str">
        <f t="shared" si="91"/>
        <v/>
      </c>
      <c r="J338" s="93"/>
      <c r="K338" s="94"/>
      <c r="L338" s="95" t="str">
        <f t="shared" si="81"/>
        <v/>
      </c>
      <c r="M338" s="93"/>
      <c r="N338" s="94"/>
      <c r="O338" s="95" t="str">
        <f t="shared" si="82"/>
        <v/>
      </c>
      <c r="P338" s="93"/>
      <c r="Q338" s="94"/>
      <c r="R338" s="95" t="str">
        <f t="shared" si="83"/>
        <v/>
      </c>
      <c r="S338" s="93"/>
      <c r="T338" s="94"/>
      <c r="U338" s="95" t="str">
        <f t="shared" si="84"/>
        <v/>
      </c>
      <c r="V338" s="93"/>
      <c r="W338" s="94"/>
      <c r="X338" s="95" t="str">
        <f t="shared" si="85"/>
        <v/>
      </c>
      <c r="Y338" s="94"/>
      <c r="Z338" s="94"/>
      <c r="AA338" s="112" t="str">
        <f t="shared" si="86"/>
        <v/>
      </c>
      <c r="AB338" s="93"/>
      <c r="AC338" s="94"/>
      <c r="AD338" s="95" t="str">
        <f t="shared" si="87"/>
        <v/>
      </c>
      <c r="AE338" s="93"/>
      <c r="AF338" s="94"/>
      <c r="AG338" s="95" t="str">
        <f t="shared" si="88"/>
        <v/>
      </c>
      <c r="AH338" s="93"/>
      <c r="AI338" s="94"/>
      <c r="AJ338" s="95" t="str">
        <f t="shared" si="89"/>
        <v/>
      </c>
      <c r="AK338" s="93"/>
      <c r="AL338" s="94"/>
      <c r="AM338" s="95" t="str">
        <f t="shared" si="90"/>
        <v/>
      </c>
      <c r="AN338" s="93"/>
      <c r="AO338" s="94"/>
      <c r="AP338" s="95" t="str">
        <f t="shared" si="92"/>
        <v/>
      </c>
    </row>
    <row r="339" spans="1:42" x14ac:dyDescent="0.25">
      <c r="A339" s="91">
        <v>46360</v>
      </c>
      <c r="B339" s="92">
        <f t="shared" si="78"/>
        <v>49</v>
      </c>
      <c r="C339" s="92">
        <f t="shared" si="79"/>
        <v>12</v>
      </c>
      <c r="D339" s="93"/>
      <c r="E339" s="94"/>
      <c r="F339" s="95" t="str">
        <f t="shared" si="80"/>
        <v/>
      </c>
      <c r="G339" s="93"/>
      <c r="H339" s="94"/>
      <c r="I339" s="95" t="str">
        <f t="shared" si="91"/>
        <v/>
      </c>
      <c r="J339" s="93"/>
      <c r="K339" s="94"/>
      <c r="L339" s="95" t="str">
        <f t="shared" si="81"/>
        <v/>
      </c>
      <c r="M339" s="93"/>
      <c r="N339" s="94"/>
      <c r="O339" s="95" t="str">
        <f t="shared" si="82"/>
        <v/>
      </c>
      <c r="P339" s="93"/>
      <c r="Q339" s="94"/>
      <c r="R339" s="95" t="str">
        <f t="shared" si="83"/>
        <v/>
      </c>
      <c r="S339" s="93"/>
      <c r="T339" s="94"/>
      <c r="U339" s="95" t="str">
        <f t="shared" si="84"/>
        <v/>
      </c>
      <c r="V339" s="93"/>
      <c r="W339" s="94"/>
      <c r="X339" s="95" t="str">
        <f t="shared" si="85"/>
        <v/>
      </c>
      <c r="Y339" s="94"/>
      <c r="Z339" s="94"/>
      <c r="AA339" s="112" t="str">
        <f t="shared" si="86"/>
        <v/>
      </c>
      <c r="AB339" s="93"/>
      <c r="AC339" s="94"/>
      <c r="AD339" s="95" t="str">
        <f t="shared" si="87"/>
        <v/>
      </c>
      <c r="AE339" s="93"/>
      <c r="AF339" s="94"/>
      <c r="AG339" s="95" t="str">
        <f t="shared" si="88"/>
        <v/>
      </c>
      <c r="AH339" s="93"/>
      <c r="AI339" s="94"/>
      <c r="AJ339" s="95" t="str">
        <f t="shared" si="89"/>
        <v/>
      </c>
      <c r="AK339" s="93"/>
      <c r="AL339" s="94"/>
      <c r="AM339" s="95" t="str">
        <f t="shared" si="90"/>
        <v/>
      </c>
      <c r="AN339" s="93"/>
      <c r="AO339" s="94"/>
      <c r="AP339" s="95" t="str">
        <f t="shared" si="92"/>
        <v/>
      </c>
    </row>
    <row r="340" spans="1:42" x14ac:dyDescent="0.25">
      <c r="A340" s="91">
        <v>46361</v>
      </c>
      <c r="B340" s="92">
        <f t="shared" si="78"/>
        <v>49</v>
      </c>
      <c r="C340" s="92">
        <f t="shared" si="79"/>
        <v>12</v>
      </c>
      <c r="D340" s="93"/>
      <c r="E340" s="94"/>
      <c r="F340" s="95" t="str">
        <f t="shared" si="80"/>
        <v/>
      </c>
      <c r="G340" s="93"/>
      <c r="H340" s="94"/>
      <c r="I340" s="95" t="str">
        <f t="shared" si="91"/>
        <v/>
      </c>
      <c r="J340" s="93"/>
      <c r="K340" s="94"/>
      <c r="L340" s="95" t="str">
        <f t="shared" si="81"/>
        <v/>
      </c>
      <c r="M340" s="93"/>
      <c r="N340" s="94"/>
      <c r="O340" s="95" t="str">
        <f t="shared" si="82"/>
        <v/>
      </c>
      <c r="P340" s="93"/>
      <c r="Q340" s="94"/>
      <c r="R340" s="95" t="str">
        <f t="shared" si="83"/>
        <v/>
      </c>
      <c r="S340" s="93"/>
      <c r="T340" s="94"/>
      <c r="U340" s="95" t="str">
        <f t="shared" si="84"/>
        <v/>
      </c>
      <c r="V340" s="93"/>
      <c r="W340" s="94"/>
      <c r="X340" s="95" t="str">
        <f t="shared" si="85"/>
        <v/>
      </c>
      <c r="Y340" s="94"/>
      <c r="Z340" s="94"/>
      <c r="AA340" s="112" t="str">
        <f t="shared" si="86"/>
        <v/>
      </c>
      <c r="AB340" s="93"/>
      <c r="AC340" s="94"/>
      <c r="AD340" s="95" t="str">
        <f t="shared" si="87"/>
        <v/>
      </c>
      <c r="AE340" s="93"/>
      <c r="AF340" s="94"/>
      <c r="AG340" s="95" t="str">
        <f t="shared" si="88"/>
        <v/>
      </c>
      <c r="AH340" s="93"/>
      <c r="AI340" s="94"/>
      <c r="AJ340" s="95" t="str">
        <f t="shared" si="89"/>
        <v/>
      </c>
      <c r="AK340" s="93"/>
      <c r="AL340" s="94"/>
      <c r="AM340" s="95" t="str">
        <f t="shared" si="90"/>
        <v/>
      </c>
      <c r="AN340" s="93"/>
      <c r="AO340" s="94"/>
      <c r="AP340" s="95" t="str">
        <f t="shared" si="92"/>
        <v/>
      </c>
    </row>
    <row r="341" spans="1:42" x14ac:dyDescent="0.25">
      <c r="A341" s="91">
        <v>46362</v>
      </c>
      <c r="B341" s="92">
        <f t="shared" si="78"/>
        <v>49</v>
      </c>
      <c r="C341" s="92">
        <f t="shared" si="79"/>
        <v>12</v>
      </c>
      <c r="D341" s="93"/>
      <c r="E341" s="94"/>
      <c r="F341" s="95" t="str">
        <f t="shared" si="80"/>
        <v/>
      </c>
      <c r="G341" s="93"/>
      <c r="H341" s="94"/>
      <c r="I341" s="95" t="str">
        <f t="shared" si="91"/>
        <v/>
      </c>
      <c r="J341" s="93"/>
      <c r="K341" s="94"/>
      <c r="L341" s="95" t="str">
        <f t="shared" si="81"/>
        <v/>
      </c>
      <c r="M341" s="93"/>
      <c r="N341" s="94"/>
      <c r="O341" s="95" t="str">
        <f t="shared" si="82"/>
        <v/>
      </c>
      <c r="P341" s="93"/>
      <c r="Q341" s="94"/>
      <c r="R341" s="95" t="str">
        <f t="shared" si="83"/>
        <v/>
      </c>
      <c r="S341" s="93"/>
      <c r="T341" s="94"/>
      <c r="U341" s="95" t="str">
        <f t="shared" si="84"/>
        <v/>
      </c>
      <c r="V341" s="93"/>
      <c r="W341" s="94"/>
      <c r="X341" s="95" t="str">
        <f t="shared" si="85"/>
        <v/>
      </c>
      <c r="Y341" s="94"/>
      <c r="Z341" s="94"/>
      <c r="AA341" s="112" t="str">
        <f t="shared" si="86"/>
        <v/>
      </c>
      <c r="AB341" s="93"/>
      <c r="AC341" s="94"/>
      <c r="AD341" s="95" t="str">
        <f t="shared" si="87"/>
        <v/>
      </c>
      <c r="AE341" s="93"/>
      <c r="AF341" s="94"/>
      <c r="AG341" s="95" t="str">
        <f t="shared" si="88"/>
        <v/>
      </c>
      <c r="AH341" s="93"/>
      <c r="AI341" s="94"/>
      <c r="AJ341" s="95" t="str">
        <f t="shared" si="89"/>
        <v/>
      </c>
      <c r="AK341" s="93"/>
      <c r="AL341" s="94"/>
      <c r="AM341" s="95" t="str">
        <f t="shared" si="90"/>
        <v/>
      </c>
      <c r="AN341" s="93"/>
      <c r="AO341" s="94"/>
      <c r="AP341" s="95" t="str">
        <f t="shared" si="92"/>
        <v/>
      </c>
    </row>
    <row r="342" spans="1:42" x14ac:dyDescent="0.25">
      <c r="A342" s="91">
        <v>46363</v>
      </c>
      <c r="B342" s="92">
        <f t="shared" si="78"/>
        <v>50</v>
      </c>
      <c r="C342" s="92">
        <f t="shared" si="79"/>
        <v>12</v>
      </c>
      <c r="D342" s="93"/>
      <c r="E342" s="94"/>
      <c r="F342" s="95" t="str">
        <f t="shared" si="80"/>
        <v/>
      </c>
      <c r="G342" s="93"/>
      <c r="H342" s="94"/>
      <c r="I342" s="95" t="str">
        <f t="shared" si="91"/>
        <v/>
      </c>
      <c r="J342" s="93"/>
      <c r="K342" s="94"/>
      <c r="L342" s="95" t="str">
        <f t="shared" si="81"/>
        <v/>
      </c>
      <c r="M342" s="93"/>
      <c r="N342" s="94"/>
      <c r="O342" s="95" t="str">
        <f t="shared" si="82"/>
        <v/>
      </c>
      <c r="P342" s="93"/>
      <c r="Q342" s="94"/>
      <c r="R342" s="95" t="str">
        <f t="shared" si="83"/>
        <v/>
      </c>
      <c r="S342" s="93"/>
      <c r="T342" s="94"/>
      <c r="U342" s="95" t="str">
        <f t="shared" si="84"/>
        <v/>
      </c>
      <c r="V342" s="93"/>
      <c r="W342" s="94"/>
      <c r="X342" s="95" t="str">
        <f t="shared" si="85"/>
        <v/>
      </c>
      <c r="Y342" s="94"/>
      <c r="Z342" s="94"/>
      <c r="AA342" s="112" t="str">
        <f t="shared" si="86"/>
        <v/>
      </c>
      <c r="AB342" s="93"/>
      <c r="AC342" s="94"/>
      <c r="AD342" s="95" t="str">
        <f t="shared" si="87"/>
        <v/>
      </c>
      <c r="AE342" s="93"/>
      <c r="AF342" s="94"/>
      <c r="AG342" s="95" t="str">
        <f t="shared" si="88"/>
        <v/>
      </c>
      <c r="AH342" s="93"/>
      <c r="AI342" s="94"/>
      <c r="AJ342" s="95" t="str">
        <f t="shared" si="89"/>
        <v/>
      </c>
      <c r="AK342" s="93"/>
      <c r="AL342" s="94"/>
      <c r="AM342" s="95" t="str">
        <f t="shared" si="90"/>
        <v/>
      </c>
      <c r="AN342" s="93"/>
      <c r="AO342" s="94"/>
      <c r="AP342" s="95" t="str">
        <f t="shared" si="92"/>
        <v/>
      </c>
    </row>
    <row r="343" spans="1:42" x14ac:dyDescent="0.25">
      <c r="A343" s="91">
        <v>46364</v>
      </c>
      <c r="B343" s="92">
        <f t="shared" si="78"/>
        <v>50</v>
      </c>
      <c r="C343" s="92">
        <f t="shared" si="79"/>
        <v>12</v>
      </c>
      <c r="D343" s="93"/>
      <c r="E343" s="94"/>
      <c r="F343" s="95" t="str">
        <f t="shared" si="80"/>
        <v/>
      </c>
      <c r="G343" s="93"/>
      <c r="H343" s="94"/>
      <c r="I343" s="95" t="str">
        <f t="shared" si="91"/>
        <v/>
      </c>
      <c r="J343" s="93"/>
      <c r="K343" s="94"/>
      <c r="L343" s="95" t="str">
        <f t="shared" si="81"/>
        <v/>
      </c>
      <c r="M343" s="93"/>
      <c r="N343" s="94"/>
      <c r="O343" s="95" t="str">
        <f t="shared" si="82"/>
        <v/>
      </c>
      <c r="P343" s="93"/>
      <c r="Q343" s="94"/>
      <c r="R343" s="95" t="str">
        <f t="shared" si="83"/>
        <v/>
      </c>
      <c r="S343" s="93"/>
      <c r="T343" s="94"/>
      <c r="U343" s="95" t="str">
        <f t="shared" si="84"/>
        <v/>
      </c>
      <c r="V343" s="93"/>
      <c r="W343" s="94"/>
      <c r="X343" s="95" t="str">
        <f t="shared" si="85"/>
        <v/>
      </c>
      <c r="Y343" s="94"/>
      <c r="Z343" s="94"/>
      <c r="AA343" s="112" t="str">
        <f t="shared" si="86"/>
        <v/>
      </c>
      <c r="AB343" s="93"/>
      <c r="AC343" s="94"/>
      <c r="AD343" s="95" t="str">
        <f t="shared" si="87"/>
        <v/>
      </c>
      <c r="AE343" s="93"/>
      <c r="AF343" s="94"/>
      <c r="AG343" s="95" t="str">
        <f t="shared" si="88"/>
        <v/>
      </c>
      <c r="AH343" s="93"/>
      <c r="AI343" s="94"/>
      <c r="AJ343" s="95" t="str">
        <f t="shared" si="89"/>
        <v/>
      </c>
      <c r="AK343" s="93"/>
      <c r="AL343" s="94"/>
      <c r="AM343" s="95" t="str">
        <f t="shared" si="90"/>
        <v/>
      </c>
      <c r="AN343" s="93"/>
      <c r="AO343" s="94"/>
      <c r="AP343" s="95" t="str">
        <f t="shared" si="92"/>
        <v/>
      </c>
    </row>
    <row r="344" spans="1:42" x14ac:dyDescent="0.25">
      <c r="A344" s="91">
        <v>46365</v>
      </c>
      <c r="B344" s="92">
        <f t="shared" si="78"/>
        <v>50</v>
      </c>
      <c r="C344" s="92">
        <f t="shared" si="79"/>
        <v>12</v>
      </c>
      <c r="D344" s="93"/>
      <c r="E344" s="94"/>
      <c r="F344" s="95" t="str">
        <f t="shared" si="80"/>
        <v/>
      </c>
      <c r="G344" s="93"/>
      <c r="H344" s="94"/>
      <c r="I344" s="95" t="str">
        <f t="shared" si="91"/>
        <v/>
      </c>
      <c r="J344" s="93"/>
      <c r="K344" s="94"/>
      <c r="L344" s="95" t="str">
        <f t="shared" si="81"/>
        <v/>
      </c>
      <c r="M344" s="93"/>
      <c r="N344" s="94"/>
      <c r="O344" s="95" t="str">
        <f t="shared" si="82"/>
        <v/>
      </c>
      <c r="P344" s="93"/>
      <c r="Q344" s="94"/>
      <c r="R344" s="95" t="str">
        <f t="shared" si="83"/>
        <v/>
      </c>
      <c r="S344" s="93"/>
      <c r="T344" s="94"/>
      <c r="U344" s="95" t="str">
        <f t="shared" si="84"/>
        <v/>
      </c>
      <c r="V344" s="93"/>
      <c r="W344" s="94"/>
      <c r="X344" s="95" t="str">
        <f t="shared" si="85"/>
        <v/>
      </c>
      <c r="Y344" s="94"/>
      <c r="Z344" s="94"/>
      <c r="AA344" s="112" t="str">
        <f t="shared" si="86"/>
        <v/>
      </c>
      <c r="AB344" s="93"/>
      <c r="AC344" s="94"/>
      <c r="AD344" s="95" t="str">
        <f t="shared" si="87"/>
        <v/>
      </c>
      <c r="AE344" s="93"/>
      <c r="AF344" s="94"/>
      <c r="AG344" s="95" t="str">
        <f t="shared" si="88"/>
        <v/>
      </c>
      <c r="AH344" s="93"/>
      <c r="AI344" s="94"/>
      <c r="AJ344" s="95" t="str">
        <f t="shared" si="89"/>
        <v/>
      </c>
      <c r="AK344" s="93"/>
      <c r="AL344" s="94"/>
      <c r="AM344" s="95" t="str">
        <f t="shared" si="90"/>
        <v/>
      </c>
      <c r="AN344" s="93"/>
      <c r="AO344" s="94"/>
      <c r="AP344" s="95" t="str">
        <f t="shared" si="92"/>
        <v/>
      </c>
    </row>
    <row r="345" spans="1:42" x14ac:dyDescent="0.25">
      <c r="A345" s="91">
        <v>46366</v>
      </c>
      <c r="B345" s="92">
        <f t="shared" si="78"/>
        <v>50</v>
      </c>
      <c r="C345" s="92">
        <f t="shared" si="79"/>
        <v>12</v>
      </c>
      <c r="D345" s="93"/>
      <c r="E345" s="94"/>
      <c r="F345" s="95" t="str">
        <f t="shared" si="80"/>
        <v/>
      </c>
      <c r="G345" s="93"/>
      <c r="H345" s="94"/>
      <c r="I345" s="95" t="str">
        <f t="shared" si="91"/>
        <v/>
      </c>
      <c r="J345" s="93"/>
      <c r="K345" s="94"/>
      <c r="L345" s="95" t="str">
        <f t="shared" si="81"/>
        <v/>
      </c>
      <c r="M345" s="93"/>
      <c r="N345" s="94"/>
      <c r="O345" s="95" t="str">
        <f t="shared" si="82"/>
        <v/>
      </c>
      <c r="P345" s="93"/>
      <c r="Q345" s="94"/>
      <c r="R345" s="95" t="str">
        <f t="shared" si="83"/>
        <v/>
      </c>
      <c r="S345" s="93"/>
      <c r="T345" s="94"/>
      <c r="U345" s="95" t="str">
        <f t="shared" si="84"/>
        <v/>
      </c>
      <c r="V345" s="93"/>
      <c r="W345" s="94"/>
      <c r="X345" s="95" t="str">
        <f t="shared" si="85"/>
        <v/>
      </c>
      <c r="Y345" s="94"/>
      <c r="Z345" s="94"/>
      <c r="AA345" s="112" t="str">
        <f t="shared" si="86"/>
        <v/>
      </c>
      <c r="AB345" s="93"/>
      <c r="AC345" s="94"/>
      <c r="AD345" s="95" t="str">
        <f t="shared" si="87"/>
        <v/>
      </c>
      <c r="AE345" s="93"/>
      <c r="AF345" s="94"/>
      <c r="AG345" s="95" t="str">
        <f t="shared" si="88"/>
        <v/>
      </c>
      <c r="AH345" s="93"/>
      <c r="AI345" s="94"/>
      <c r="AJ345" s="95" t="str">
        <f t="shared" si="89"/>
        <v/>
      </c>
      <c r="AK345" s="93"/>
      <c r="AL345" s="94"/>
      <c r="AM345" s="95" t="str">
        <f t="shared" si="90"/>
        <v/>
      </c>
      <c r="AN345" s="93"/>
      <c r="AO345" s="94"/>
      <c r="AP345" s="95" t="str">
        <f t="shared" si="92"/>
        <v/>
      </c>
    </row>
    <row r="346" spans="1:42" x14ac:dyDescent="0.25">
      <c r="A346" s="91">
        <v>46367</v>
      </c>
      <c r="B346" s="92">
        <f t="shared" si="78"/>
        <v>50</v>
      </c>
      <c r="C346" s="92">
        <f t="shared" si="79"/>
        <v>12</v>
      </c>
      <c r="D346" s="93"/>
      <c r="E346" s="94"/>
      <c r="F346" s="95" t="str">
        <f t="shared" si="80"/>
        <v/>
      </c>
      <c r="G346" s="93"/>
      <c r="H346" s="94"/>
      <c r="I346" s="95" t="str">
        <f t="shared" si="91"/>
        <v/>
      </c>
      <c r="J346" s="93"/>
      <c r="K346" s="94"/>
      <c r="L346" s="95" t="str">
        <f t="shared" si="81"/>
        <v/>
      </c>
      <c r="M346" s="93"/>
      <c r="N346" s="94"/>
      <c r="O346" s="95" t="str">
        <f t="shared" si="82"/>
        <v/>
      </c>
      <c r="P346" s="93"/>
      <c r="Q346" s="94"/>
      <c r="R346" s="95" t="str">
        <f t="shared" si="83"/>
        <v/>
      </c>
      <c r="S346" s="93"/>
      <c r="T346" s="94"/>
      <c r="U346" s="95" t="str">
        <f t="shared" si="84"/>
        <v/>
      </c>
      <c r="V346" s="93"/>
      <c r="W346" s="94"/>
      <c r="X346" s="95" t="str">
        <f t="shared" si="85"/>
        <v/>
      </c>
      <c r="Y346" s="94"/>
      <c r="Z346" s="94"/>
      <c r="AA346" s="112" t="str">
        <f t="shared" si="86"/>
        <v/>
      </c>
      <c r="AB346" s="93"/>
      <c r="AC346" s="94"/>
      <c r="AD346" s="95" t="str">
        <f t="shared" si="87"/>
        <v/>
      </c>
      <c r="AE346" s="93"/>
      <c r="AF346" s="94"/>
      <c r="AG346" s="95" t="str">
        <f t="shared" si="88"/>
        <v/>
      </c>
      <c r="AH346" s="93"/>
      <c r="AI346" s="94"/>
      <c r="AJ346" s="95" t="str">
        <f t="shared" si="89"/>
        <v/>
      </c>
      <c r="AK346" s="93"/>
      <c r="AL346" s="94"/>
      <c r="AM346" s="95" t="str">
        <f t="shared" si="90"/>
        <v/>
      </c>
      <c r="AN346" s="93"/>
      <c r="AO346" s="94"/>
      <c r="AP346" s="95" t="str">
        <f t="shared" si="92"/>
        <v/>
      </c>
    </row>
    <row r="347" spans="1:42" x14ac:dyDescent="0.25">
      <c r="A347" s="91">
        <v>46368</v>
      </c>
      <c r="B347" s="92">
        <f t="shared" si="78"/>
        <v>50</v>
      </c>
      <c r="C347" s="92">
        <f t="shared" si="79"/>
        <v>12</v>
      </c>
      <c r="D347" s="93"/>
      <c r="E347" s="94"/>
      <c r="F347" s="95" t="str">
        <f t="shared" si="80"/>
        <v/>
      </c>
      <c r="G347" s="93"/>
      <c r="H347" s="94"/>
      <c r="I347" s="95" t="str">
        <f t="shared" si="91"/>
        <v/>
      </c>
      <c r="J347" s="93"/>
      <c r="K347" s="94"/>
      <c r="L347" s="95" t="str">
        <f t="shared" si="81"/>
        <v/>
      </c>
      <c r="M347" s="93"/>
      <c r="N347" s="94"/>
      <c r="O347" s="95" t="str">
        <f t="shared" si="82"/>
        <v/>
      </c>
      <c r="P347" s="93"/>
      <c r="Q347" s="94"/>
      <c r="R347" s="95" t="str">
        <f t="shared" si="83"/>
        <v/>
      </c>
      <c r="S347" s="93"/>
      <c r="T347" s="94"/>
      <c r="U347" s="95" t="str">
        <f t="shared" si="84"/>
        <v/>
      </c>
      <c r="V347" s="93"/>
      <c r="W347" s="94"/>
      <c r="X347" s="95" t="str">
        <f t="shared" si="85"/>
        <v/>
      </c>
      <c r="Y347" s="94"/>
      <c r="Z347" s="94"/>
      <c r="AA347" s="112" t="str">
        <f t="shared" si="86"/>
        <v/>
      </c>
      <c r="AB347" s="93"/>
      <c r="AC347" s="94"/>
      <c r="AD347" s="95" t="str">
        <f t="shared" si="87"/>
        <v/>
      </c>
      <c r="AE347" s="93"/>
      <c r="AF347" s="94"/>
      <c r="AG347" s="95" t="str">
        <f t="shared" si="88"/>
        <v/>
      </c>
      <c r="AH347" s="93"/>
      <c r="AI347" s="94"/>
      <c r="AJ347" s="95" t="str">
        <f t="shared" si="89"/>
        <v/>
      </c>
      <c r="AK347" s="93"/>
      <c r="AL347" s="94"/>
      <c r="AM347" s="95" t="str">
        <f t="shared" si="90"/>
        <v/>
      </c>
      <c r="AN347" s="93"/>
      <c r="AO347" s="94"/>
      <c r="AP347" s="95" t="str">
        <f t="shared" si="92"/>
        <v/>
      </c>
    </row>
    <row r="348" spans="1:42" x14ac:dyDescent="0.25">
      <c r="A348" s="91">
        <v>46369</v>
      </c>
      <c r="B348" s="92">
        <f t="shared" si="78"/>
        <v>50</v>
      </c>
      <c r="C348" s="92">
        <f t="shared" si="79"/>
        <v>12</v>
      </c>
      <c r="D348" s="93"/>
      <c r="E348" s="94"/>
      <c r="F348" s="95" t="str">
        <f t="shared" si="80"/>
        <v/>
      </c>
      <c r="G348" s="93"/>
      <c r="H348" s="94"/>
      <c r="I348" s="95" t="str">
        <f t="shared" si="91"/>
        <v/>
      </c>
      <c r="J348" s="93"/>
      <c r="K348" s="94"/>
      <c r="L348" s="95" t="str">
        <f t="shared" si="81"/>
        <v/>
      </c>
      <c r="M348" s="93"/>
      <c r="N348" s="94"/>
      <c r="O348" s="95" t="str">
        <f t="shared" si="82"/>
        <v/>
      </c>
      <c r="P348" s="93"/>
      <c r="Q348" s="94"/>
      <c r="R348" s="95" t="str">
        <f t="shared" si="83"/>
        <v/>
      </c>
      <c r="S348" s="93"/>
      <c r="T348" s="94"/>
      <c r="U348" s="95" t="str">
        <f t="shared" si="84"/>
        <v/>
      </c>
      <c r="V348" s="93"/>
      <c r="W348" s="94"/>
      <c r="X348" s="95" t="str">
        <f t="shared" si="85"/>
        <v/>
      </c>
      <c r="Y348" s="94"/>
      <c r="Z348" s="94"/>
      <c r="AA348" s="112" t="str">
        <f t="shared" si="86"/>
        <v/>
      </c>
      <c r="AB348" s="93"/>
      <c r="AC348" s="94"/>
      <c r="AD348" s="95" t="str">
        <f t="shared" si="87"/>
        <v/>
      </c>
      <c r="AE348" s="93"/>
      <c r="AF348" s="94"/>
      <c r="AG348" s="95" t="str">
        <f t="shared" si="88"/>
        <v/>
      </c>
      <c r="AH348" s="93"/>
      <c r="AI348" s="94"/>
      <c r="AJ348" s="95" t="str">
        <f t="shared" si="89"/>
        <v/>
      </c>
      <c r="AK348" s="93"/>
      <c r="AL348" s="94"/>
      <c r="AM348" s="95" t="str">
        <f t="shared" si="90"/>
        <v/>
      </c>
      <c r="AN348" s="93"/>
      <c r="AO348" s="94"/>
      <c r="AP348" s="95" t="str">
        <f t="shared" si="92"/>
        <v/>
      </c>
    </row>
    <row r="349" spans="1:42" x14ac:dyDescent="0.25">
      <c r="A349" s="91">
        <v>46370</v>
      </c>
      <c r="B349" s="92">
        <f t="shared" si="78"/>
        <v>51</v>
      </c>
      <c r="C349" s="92">
        <f t="shared" si="79"/>
        <v>12</v>
      </c>
      <c r="D349" s="93"/>
      <c r="E349" s="94"/>
      <c r="F349" s="95" t="str">
        <f t="shared" si="80"/>
        <v/>
      </c>
      <c r="G349" s="93"/>
      <c r="H349" s="94"/>
      <c r="I349" s="95" t="str">
        <f t="shared" si="91"/>
        <v/>
      </c>
      <c r="J349" s="93"/>
      <c r="K349" s="94"/>
      <c r="L349" s="95" t="str">
        <f t="shared" si="81"/>
        <v/>
      </c>
      <c r="M349" s="93"/>
      <c r="N349" s="94"/>
      <c r="O349" s="95" t="str">
        <f t="shared" si="82"/>
        <v/>
      </c>
      <c r="P349" s="93"/>
      <c r="Q349" s="94"/>
      <c r="R349" s="95" t="str">
        <f t="shared" si="83"/>
        <v/>
      </c>
      <c r="S349" s="93"/>
      <c r="T349" s="94"/>
      <c r="U349" s="95" t="str">
        <f t="shared" si="84"/>
        <v/>
      </c>
      <c r="V349" s="93"/>
      <c r="W349" s="94"/>
      <c r="X349" s="95" t="str">
        <f t="shared" si="85"/>
        <v/>
      </c>
      <c r="Y349" s="94"/>
      <c r="Z349" s="94"/>
      <c r="AA349" s="112" t="str">
        <f t="shared" si="86"/>
        <v/>
      </c>
      <c r="AB349" s="93"/>
      <c r="AC349" s="94"/>
      <c r="AD349" s="95" t="str">
        <f t="shared" si="87"/>
        <v/>
      </c>
      <c r="AE349" s="93"/>
      <c r="AF349" s="94"/>
      <c r="AG349" s="95" t="str">
        <f t="shared" si="88"/>
        <v/>
      </c>
      <c r="AH349" s="93"/>
      <c r="AI349" s="94"/>
      <c r="AJ349" s="95" t="str">
        <f t="shared" si="89"/>
        <v/>
      </c>
      <c r="AK349" s="93"/>
      <c r="AL349" s="94"/>
      <c r="AM349" s="95" t="str">
        <f t="shared" si="90"/>
        <v/>
      </c>
      <c r="AN349" s="93"/>
      <c r="AO349" s="94"/>
      <c r="AP349" s="95" t="str">
        <f t="shared" si="92"/>
        <v/>
      </c>
    </row>
    <row r="350" spans="1:42" x14ac:dyDescent="0.25">
      <c r="A350" s="91">
        <v>46371</v>
      </c>
      <c r="B350" s="92">
        <f t="shared" si="78"/>
        <v>51</v>
      </c>
      <c r="C350" s="92">
        <f t="shared" si="79"/>
        <v>12</v>
      </c>
      <c r="D350" s="93"/>
      <c r="E350" s="94"/>
      <c r="F350" s="95" t="str">
        <f t="shared" si="80"/>
        <v/>
      </c>
      <c r="G350" s="93"/>
      <c r="H350" s="94"/>
      <c r="I350" s="95" t="str">
        <f t="shared" si="91"/>
        <v/>
      </c>
      <c r="J350" s="93"/>
      <c r="K350" s="94"/>
      <c r="L350" s="95" t="str">
        <f t="shared" si="81"/>
        <v/>
      </c>
      <c r="M350" s="93"/>
      <c r="N350" s="94"/>
      <c r="O350" s="95" t="str">
        <f t="shared" si="82"/>
        <v/>
      </c>
      <c r="P350" s="93"/>
      <c r="Q350" s="94"/>
      <c r="R350" s="95" t="str">
        <f t="shared" si="83"/>
        <v/>
      </c>
      <c r="S350" s="93"/>
      <c r="T350" s="94"/>
      <c r="U350" s="95" t="str">
        <f t="shared" si="84"/>
        <v/>
      </c>
      <c r="V350" s="93"/>
      <c r="W350" s="94"/>
      <c r="X350" s="95" t="str">
        <f t="shared" si="85"/>
        <v/>
      </c>
      <c r="Y350" s="94"/>
      <c r="Z350" s="94"/>
      <c r="AA350" s="112" t="str">
        <f t="shared" si="86"/>
        <v/>
      </c>
      <c r="AB350" s="93"/>
      <c r="AC350" s="94"/>
      <c r="AD350" s="95" t="str">
        <f t="shared" si="87"/>
        <v/>
      </c>
      <c r="AE350" s="93"/>
      <c r="AF350" s="94"/>
      <c r="AG350" s="95" t="str">
        <f t="shared" si="88"/>
        <v/>
      </c>
      <c r="AH350" s="93"/>
      <c r="AI350" s="94"/>
      <c r="AJ350" s="95" t="str">
        <f t="shared" si="89"/>
        <v/>
      </c>
      <c r="AK350" s="93"/>
      <c r="AL350" s="94"/>
      <c r="AM350" s="95" t="str">
        <f t="shared" si="90"/>
        <v/>
      </c>
      <c r="AN350" s="93"/>
      <c r="AO350" s="94"/>
      <c r="AP350" s="95" t="str">
        <f t="shared" si="92"/>
        <v/>
      </c>
    </row>
    <row r="351" spans="1:42" x14ac:dyDescent="0.25">
      <c r="A351" s="91">
        <v>46372</v>
      </c>
      <c r="B351" s="92">
        <f t="shared" si="78"/>
        <v>51</v>
      </c>
      <c r="C351" s="92">
        <f t="shared" si="79"/>
        <v>12</v>
      </c>
      <c r="D351" s="93"/>
      <c r="E351" s="94"/>
      <c r="F351" s="95" t="str">
        <f t="shared" si="80"/>
        <v/>
      </c>
      <c r="G351" s="93"/>
      <c r="H351" s="94"/>
      <c r="I351" s="95" t="str">
        <f t="shared" si="91"/>
        <v/>
      </c>
      <c r="J351" s="93"/>
      <c r="K351" s="94"/>
      <c r="L351" s="95" t="str">
        <f t="shared" si="81"/>
        <v/>
      </c>
      <c r="M351" s="93"/>
      <c r="N351" s="94"/>
      <c r="O351" s="95" t="str">
        <f t="shared" si="82"/>
        <v/>
      </c>
      <c r="P351" s="93"/>
      <c r="Q351" s="94"/>
      <c r="R351" s="95" t="str">
        <f t="shared" si="83"/>
        <v/>
      </c>
      <c r="S351" s="93"/>
      <c r="T351" s="94"/>
      <c r="U351" s="95" t="str">
        <f t="shared" si="84"/>
        <v/>
      </c>
      <c r="V351" s="93"/>
      <c r="W351" s="94"/>
      <c r="X351" s="95" t="str">
        <f t="shared" si="85"/>
        <v/>
      </c>
      <c r="Y351" s="94"/>
      <c r="Z351" s="94"/>
      <c r="AA351" s="112" t="str">
        <f t="shared" si="86"/>
        <v/>
      </c>
      <c r="AB351" s="93"/>
      <c r="AC351" s="94"/>
      <c r="AD351" s="95" t="str">
        <f t="shared" si="87"/>
        <v/>
      </c>
      <c r="AE351" s="93"/>
      <c r="AF351" s="94"/>
      <c r="AG351" s="95" t="str">
        <f t="shared" si="88"/>
        <v/>
      </c>
      <c r="AH351" s="93"/>
      <c r="AI351" s="94"/>
      <c r="AJ351" s="95" t="str">
        <f t="shared" si="89"/>
        <v/>
      </c>
      <c r="AK351" s="93"/>
      <c r="AL351" s="94"/>
      <c r="AM351" s="95" t="str">
        <f t="shared" si="90"/>
        <v/>
      </c>
      <c r="AN351" s="93"/>
      <c r="AO351" s="94"/>
      <c r="AP351" s="95" t="str">
        <f t="shared" si="92"/>
        <v/>
      </c>
    </row>
    <row r="352" spans="1:42" x14ac:dyDescent="0.25">
      <c r="A352" s="91">
        <v>46373</v>
      </c>
      <c r="B352" s="92">
        <f t="shared" si="78"/>
        <v>51</v>
      </c>
      <c r="C352" s="92">
        <f t="shared" si="79"/>
        <v>12</v>
      </c>
      <c r="D352" s="93"/>
      <c r="E352" s="94"/>
      <c r="F352" s="95" t="str">
        <f t="shared" si="80"/>
        <v/>
      </c>
      <c r="G352" s="93"/>
      <c r="H352" s="94"/>
      <c r="I352" s="95" t="str">
        <f t="shared" si="91"/>
        <v/>
      </c>
      <c r="J352" s="93"/>
      <c r="K352" s="94"/>
      <c r="L352" s="95" t="str">
        <f t="shared" si="81"/>
        <v/>
      </c>
      <c r="M352" s="93"/>
      <c r="N352" s="94"/>
      <c r="O352" s="95" t="str">
        <f t="shared" si="82"/>
        <v/>
      </c>
      <c r="P352" s="93"/>
      <c r="Q352" s="94"/>
      <c r="R352" s="95" t="str">
        <f t="shared" si="83"/>
        <v/>
      </c>
      <c r="S352" s="93"/>
      <c r="T352" s="94"/>
      <c r="U352" s="95" t="str">
        <f t="shared" si="84"/>
        <v/>
      </c>
      <c r="V352" s="93"/>
      <c r="W352" s="94"/>
      <c r="X352" s="95" t="str">
        <f t="shared" si="85"/>
        <v/>
      </c>
      <c r="Y352" s="94"/>
      <c r="Z352" s="94"/>
      <c r="AA352" s="112" t="str">
        <f t="shared" si="86"/>
        <v/>
      </c>
      <c r="AB352" s="93"/>
      <c r="AC352" s="94"/>
      <c r="AD352" s="95" t="str">
        <f t="shared" si="87"/>
        <v/>
      </c>
      <c r="AE352" s="93"/>
      <c r="AF352" s="94"/>
      <c r="AG352" s="95" t="str">
        <f t="shared" si="88"/>
        <v/>
      </c>
      <c r="AH352" s="93"/>
      <c r="AI352" s="94"/>
      <c r="AJ352" s="95" t="str">
        <f t="shared" si="89"/>
        <v/>
      </c>
      <c r="AK352" s="93"/>
      <c r="AL352" s="94"/>
      <c r="AM352" s="95" t="str">
        <f t="shared" si="90"/>
        <v/>
      </c>
      <c r="AN352" s="93"/>
      <c r="AO352" s="94"/>
      <c r="AP352" s="95" t="str">
        <f t="shared" si="92"/>
        <v/>
      </c>
    </row>
    <row r="353" spans="1:42" x14ac:dyDescent="0.25">
      <c r="A353" s="91">
        <v>46374</v>
      </c>
      <c r="B353" s="92">
        <f t="shared" si="78"/>
        <v>51</v>
      </c>
      <c r="C353" s="92">
        <f t="shared" si="79"/>
        <v>12</v>
      </c>
      <c r="D353" s="93"/>
      <c r="E353" s="94"/>
      <c r="F353" s="95" t="str">
        <f t="shared" si="80"/>
        <v/>
      </c>
      <c r="G353" s="93"/>
      <c r="H353" s="94"/>
      <c r="I353" s="95" t="str">
        <f t="shared" si="91"/>
        <v/>
      </c>
      <c r="J353" s="93"/>
      <c r="K353" s="94"/>
      <c r="L353" s="95" t="str">
        <f t="shared" si="81"/>
        <v/>
      </c>
      <c r="M353" s="93"/>
      <c r="N353" s="94"/>
      <c r="O353" s="95" t="str">
        <f t="shared" si="82"/>
        <v/>
      </c>
      <c r="P353" s="93"/>
      <c r="Q353" s="94"/>
      <c r="R353" s="95" t="str">
        <f t="shared" si="83"/>
        <v/>
      </c>
      <c r="S353" s="93"/>
      <c r="T353" s="94"/>
      <c r="U353" s="95" t="str">
        <f t="shared" si="84"/>
        <v/>
      </c>
      <c r="V353" s="93"/>
      <c r="W353" s="94"/>
      <c r="X353" s="95" t="str">
        <f t="shared" si="85"/>
        <v/>
      </c>
      <c r="Y353" s="94"/>
      <c r="Z353" s="94"/>
      <c r="AA353" s="112" t="str">
        <f t="shared" si="86"/>
        <v/>
      </c>
      <c r="AB353" s="93"/>
      <c r="AC353" s="94"/>
      <c r="AD353" s="95" t="str">
        <f t="shared" si="87"/>
        <v/>
      </c>
      <c r="AE353" s="93"/>
      <c r="AF353" s="94"/>
      <c r="AG353" s="95" t="str">
        <f t="shared" si="88"/>
        <v/>
      </c>
      <c r="AH353" s="93"/>
      <c r="AI353" s="94"/>
      <c r="AJ353" s="95" t="str">
        <f t="shared" si="89"/>
        <v/>
      </c>
      <c r="AK353" s="93"/>
      <c r="AL353" s="94"/>
      <c r="AM353" s="95" t="str">
        <f t="shared" si="90"/>
        <v/>
      </c>
      <c r="AN353" s="93"/>
      <c r="AO353" s="94"/>
      <c r="AP353" s="95" t="str">
        <f t="shared" si="92"/>
        <v/>
      </c>
    </row>
    <row r="354" spans="1:42" x14ac:dyDescent="0.25">
      <c r="A354" s="91">
        <v>46375</v>
      </c>
      <c r="B354" s="92">
        <f t="shared" si="78"/>
        <v>51</v>
      </c>
      <c r="C354" s="92">
        <f t="shared" si="79"/>
        <v>12</v>
      </c>
      <c r="D354" s="93"/>
      <c r="E354" s="94"/>
      <c r="F354" s="95" t="str">
        <f t="shared" si="80"/>
        <v/>
      </c>
      <c r="G354" s="93"/>
      <c r="H354" s="94"/>
      <c r="I354" s="95" t="str">
        <f t="shared" si="91"/>
        <v/>
      </c>
      <c r="J354" s="93"/>
      <c r="K354" s="94"/>
      <c r="L354" s="95" t="str">
        <f t="shared" si="81"/>
        <v/>
      </c>
      <c r="M354" s="93"/>
      <c r="N354" s="94"/>
      <c r="O354" s="95" t="str">
        <f t="shared" si="82"/>
        <v/>
      </c>
      <c r="P354" s="93"/>
      <c r="Q354" s="94"/>
      <c r="R354" s="95" t="str">
        <f t="shared" si="83"/>
        <v/>
      </c>
      <c r="S354" s="93"/>
      <c r="T354" s="94"/>
      <c r="U354" s="95" t="str">
        <f t="shared" si="84"/>
        <v/>
      </c>
      <c r="V354" s="93"/>
      <c r="W354" s="94"/>
      <c r="X354" s="95" t="str">
        <f t="shared" si="85"/>
        <v/>
      </c>
      <c r="Y354" s="94"/>
      <c r="Z354" s="94"/>
      <c r="AA354" s="112" t="str">
        <f t="shared" si="86"/>
        <v/>
      </c>
      <c r="AB354" s="93"/>
      <c r="AC354" s="94"/>
      <c r="AD354" s="95" t="str">
        <f t="shared" si="87"/>
        <v/>
      </c>
      <c r="AE354" s="93"/>
      <c r="AF354" s="94"/>
      <c r="AG354" s="95" t="str">
        <f t="shared" si="88"/>
        <v/>
      </c>
      <c r="AH354" s="93"/>
      <c r="AI354" s="94"/>
      <c r="AJ354" s="95" t="str">
        <f t="shared" si="89"/>
        <v/>
      </c>
      <c r="AK354" s="93"/>
      <c r="AL354" s="94"/>
      <c r="AM354" s="95" t="str">
        <f t="shared" si="90"/>
        <v/>
      </c>
      <c r="AN354" s="93"/>
      <c r="AO354" s="94"/>
      <c r="AP354" s="95" t="str">
        <f t="shared" si="92"/>
        <v/>
      </c>
    </row>
    <row r="355" spans="1:42" x14ac:dyDescent="0.25">
      <c r="A355" s="91">
        <v>46376</v>
      </c>
      <c r="B355" s="92">
        <f t="shared" si="78"/>
        <v>51</v>
      </c>
      <c r="C355" s="92">
        <f t="shared" si="79"/>
        <v>12</v>
      </c>
      <c r="D355" s="93"/>
      <c r="E355" s="94"/>
      <c r="F355" s="95" t="str">
        <f t="shared" si="80"/>
        <v/>
      </c>
      <c r="G355" s="93"/>
      <c r="H355" s="94"/>
      <c r="I355" s="95" t="str">
        <f t="shared" si="91"/>
        <v/>
      </c>
      <c r="J355" s="93"/>
      <c r="K355" s="94"/>
      <c r="L355" s="95" t="str">
        <f t="shared" si="81"/>
        <v/>
      </c>
      <c r="M355" s="93"/>
      <c r="N355" s="94"/>
      <c r="O355" s="95" t="str">
        <f t="shared" si="82"/>
        <v/>
      </c>
      <c r="P355" s="93"/>
      <c r="Q355" s="94"/>
      <c r="R355" s="95" t="str">
        <f t="shared" si="83"/>
        <v/>
      </c>
      <c r="S355" s="93"/>
      <c r="T355" s="94"/>
      <c r="U355" s="95" t="str">
        <f t="shared" si="84"/>
        <v/>
      </c>
      <c r="V355" s="93"/>
      <c r="W355" s="94"/>
      <c r="X355" s="95" t="str">
        <f t="shared" si="85"/>
        <v/>
      </c>
      <c r="Y355" s="94"/>
      <c r="Z355" s="94"/>
      <c r="AA355" s="112" t="str">
        <f t="shared" si="86"/>
        <v/>
      </c>
      <c r="AB355" s="93"/>
      <c r="AC355" s="94"/>
      <c r="AD355" s="95" t="str">
        <f t="shared" si="87"/>
        <v/>
      </c>
      <c r="AE355" s="93"/>
      <c r="AF355" s="94"/>
      <c r="AG355" s="95" t="str">
        <f t="shared" si="88"/>
        <v/>
      </c>
      <c r="AH355" s="93"/>
      <c r="AI355" s="94"/>
      <c r="AJ355" s="95" t="str">
        <f t="shared" si="89"/>
        <v/>
      </c>
      <c r="AK355" s="93"/>
      <c r="AL355" s="94"/>
      <c r="AM355" s="95" t="str">
        <f t="shared" si="90"/>
        <v/>
      </c>
      <c r="AN355" s="93"/>
      <c r="AO355" s="94"/>
      <c r="AP355" s="95" t="str">
        <f t="shared" si="92"/>
        <v/>
      </c>
    </row>
    <row r="356" spans="1:42" x14ac:dyDescent="0.25">
      <c r="A356" s="91">
        <v>46377</v>
      </c>
      <c r="B356" s="92">
        <f t="shared" si="78"/>
        <v>52</v>
      </c>
      <c r="C356" s="92">
        <f t="shared" si="79"/>
        <v>12</v>
      </c>
      <c r="D356" s="93"/>
      <c r="E356" s="94"/>
      <c r="F356" s="95" t="str">
        <f t="shared" si="80"/>
        <v/>
      </c>
      <c r="G356" s="93"/>
      <c r="H356" s="94"/>
      <c r="I356" s="95" t="str">
        <f t="shared" si="91"/>
        <v/>
      </c>
      <c r="J356" s="93"/>
      <c r="K356" s="94"/>
      <c r="L356" s="95" t="str">
        <f t="shared" si="81"/>
        <v/>
      </c>
      <c r="M356" s="93"/>
      <c r="N356" s="94"/>
      <c r="O356" s="95" t="str">
        <f t="shared" si="82"/>
        <v/>
      </c>
      <c r="P356" s="93"/>
      <c r="Q356" s="94"/>
      <c r="R356" s="95" t="str">
        <f t="shared" si="83"/>
        <v/>
      </c>
      <c r="S356" s="93"/>
      <c r="T356" s="94"/>
      <c r="U356" s="95" t="str">
        <f t="shared" si="84"/>
        <v/>
      </c>
      <c r="V356" s="93"/>
      <c r="W356" s="94"/>
      <c r="X356" s="95" t="str">
        <f t="shared" si="85"/>
        <v/>
      </c>
      <c r="Y356" s="94"/>
      <c r="Z356" s="94"/>
      <c r="AA356" s="112" t="str">
        <f t="shared" si="86"/>
        <v/>
      </c>
      <c r="AB356" s="93"/>
      <c r="AC356" s="94"/>
      <c r="AD356" s="95" t="str">
        <f t="shared" si="87"/>
        <v/>
      </c>
      <c r="AE356" s="93"/>
      <c r="AF356" s="94"/>
      <c r="AG356" s="95" t="str">
        <f t="shared" si="88"/>
        <v/>
      </c>
      <c r="AH356" s="93"/>
      <c r="AI356" s="94"/>
      <c r="AJ356" s="95" t="str">
        <f t="shared" si="89"/>
        <v/>
      </c>
      <c r="AK356" s="93"/>
      <c r="AL356" s="94"/>
      <c r="AM356" s="95" t="str">
        <f t="shared" si="90"/>
        <v/>
      </c>
      <c r="AN356" s="93"/>
      <c r="AO356" s="94"/>
      <c r="AP356" s="95" t="str">
        <f t="shared" si="92"/>
        <v/>
      </c>
    </row>
    <row r="357" spans="1:42" x14ac:dyDescent="0.25">
      <c r="A357" s="91">
        <v>46378</v>
      </c>
      <c r="B357" s="92">
        <f t="shared" si="78"/>
        <v>52</v>
      </c>
      <c r="C357" s="92">
        <f t="shared" si="79"/>
        <v>12</v>
      </c>
      <c r="D357" s="93"/>
      <c r="E357" s="94"/>
      <c r="F357" s="95" t="str">
        <f t="shared" si="80"/>
        <v/>
      </c>
      <c r="G357" s="93"/>
      <c r="H357" s="94"/>
      <c r="I357" s="95" t="str">
        <f t="shared" si="91"/>
        <v/>
      </c>
      <c r="J357" s="93"/>
      <c r="K357" s="94"/>
      <c r="L357" s="95" t="str">
        <f t="shared" si="81"/>
        <v/>
      </c>
      <c r="M357" s="93"/>
      <c r="N357" s="94"/>
      <c r="O357" s="95" t="str">
        <f t="shared" si="82"/>
        <v/>
      </c>
      <c r="P357" s="93"/>
      <c r="Q357" s="94"/>
      <c r="R357" s="95" t="str">
        <f t="shared" si="83"/>
        <v/>
      </c>
      <c r="S357" s="93"/>
      <c r="T357" s="94"/>
      <c r="U357" s="95" t="str">
        <f t="shared" si="84"/>
        <v/>
      </c>
      <c r="V357" s="93"/>
      <c r="W357" s="94"/>
      <c r="X357" s="95" t="str">
        <f t="shared" si="85"/>
        <v/>
      </c>
      <c r="Y357" s="94"/>
      <c r="Z357" s="94"/>
      <c r="AA357" s="112" t="str">
        <f t="shared" si="86"/>
        <v/>
      </c>
      <c r="AB357" s="93"/>
      <c r="AC357" s="94"/>
      <c r="AD357" s="95" t="str">
        <f t="shared" si="87"/>
        <v/>
      </c>
      <c r="AE357" s="93"/>
      <c r="AF357" s="94"/>
      <c r="AG357" s="95" t="str">
        <f t="shared" si="88"/>
        <v/>
      </c>
      <c r="AH357" s="93"/>
      <c r="AI357" s="94"/>
      <c r="AJ357" s="95" t="str">
        <f t="shared" si="89"/>
        <v/>
      </c>
      <c r="AK357" s="93"/>
      <c r="AL357" s="94"/>
      <c r="AM357" s="95" t="str">
        <f t="shared" si="90"/>
        <v/>
      </c>
      <c r="AN357" s="93"/>
      <c r="AO357" s="94"/>
      <c r="AP357" s="95" t="str">
        <f t="shared" si="92"/>
        <v/>
      </c>
    </row>
    <row r="358" spans="1:42" x14ac:dyDescent="0.25">
      <c r="A358" s="91">
        <v>46379</v>
      </c>
      <c r="B358" s="92">
        <f t="shared" si="78"/>
        <v>52</v>
      </c>
      <c r="C358" s="92">
        <f t="shared" si="79"/>
        <v>12</v>
      </c>
      <c r="D358" s="93"/>
      <c r="E358" s="94"/>
      <c r="F358" s="95" t="str">
        <f t="shared" si="80"/>
        <v/>
      </c>
      <c r="G358" s="93"/>
      <c r="H358" s="94"/>
      <c r="I358" s="95" t="str">
        <f t="shared" si="91"/>
        <v/>
      </c>
      <c r="J358" s="93"/>
      <c r="K358" s="94"/>
      <c r="L358" s="95" t="str">
        <f t="shared" si="81"/>
        <v/>
      </c>
      <c r="M358" s="93"/>
      <c r="N358" s="94"/>
      <c r="O358" s="95" t="str">
        <f t="shared" si="82"/>
        <v/>
      </c>
      <c r="P358" s="93"/>
      <c r="Q358" s="94"/>
      <c r="R358" s="95" t="str">
        <f t="shared" si="83"/>
        <v/>
      </c>
      <c r="S358" s="93"/>
      <c r="T358" s="94"/>
      <c r="U358" s="95" t="str">
        <f t="shared" si="84"/>
        <v/>
      </c>
      <c r="V358" s="93"/>
      <c r="W358" s="94"/>
      <c r="X358" s="95" t="str">
        <f t="shared" si="85"/>
        <v/>
      </c>
      <c r="Y358" s="94"/>
      <c r="Z358" s="94"/>
      <c r="AA358" s="112" t="str">
        <f t="shared" si="86"/>
        <v/>
      </c>
      <c r="AB358" s="93"/>
      <c r="AC358" s="94"/>
      <c r="AD358" s="95" t="str">
        <f t="shared" si="87"/>
        <v/>
      </c>
      <c r="AE358" s="93"/>
      <c r="AF358" s="94"/>
      <c r="AG358" s="95" t="str">
        <f t="shared" si="88"/>
        <v/>
      </c>
      <c r="AH358" s="93"/>
      <c r="AI358" s="94"/>
      <c r="AJ358" s="95" t="str">
        <f t="shared" si="89"/>
        <v/>
      </c>
      <c r="AK358" s="93"/>
      <c r="AL358" s="94"/>
      <c r="AM358" s="95" t="str">
        <f t="shared" si="90"/>
        <v/>
      </c>
      <c r="AN358" s="93"/>
      <c r="AO358" s="94"/>
      <c r="AP358" s="95" t="str">
        <f t="shared" si="92"/>
        <v/>
      </c>
    </row>
    <row r="359" spans="1:42" x14ac:dyDescent="0.25">
      <c r="A359" s="91">
        <v>46380</v>
      </c>
      <c r="B359" s="92">
        <f t="shared" si="78"/>
        <v>52</v>
      </c>
      <c r="C359" s="92">
        <f t="shared" si="79"/>
        <v>12</v>
      </c>
      <c r="D359" s="93"/>
      <c r="E359" s="94"/>
      <c r="F359" s="95" t="str">
        <f t="shared" si="80"/>
        <v/>
      </c>
      <c r="G359" s="93"/>
      <c r="H359" s="94"/>
      <c r="I359" s="95" t="str">
        <f t="shared" si="91"/>
        <v/>
      </c>
      <c r="J359" s="93"/>
      <c r="K359" s="94"/>
      <c r="L359" s="95" t="str">
        <f t="shared" si="81"/>
        <v/>
      </c>
      <c r="M359" s="93"/>
      <c r="N359" s="94"/>
      <c r="O359" s="95" t="str">
        <f t="shared" si="82"/>
        <v/>
      </c>
      <c r="P359" s="93"/>
      <c r="Q359" s="94"/>
      <c r="R359" s="95" t="str">
        <f t="shared" si="83"/>
        <v/>
      </c>
      <c r="S359" s="93"/>
      <c r="T359" s="94"/>
      <c r="U359" s="95" t="str">
        <f t="shared" si="84"/>
        <v/>
      </c>
      <c r="V359" s="93"/>
      <c r="W359" s="94"/>
      <c r="X359" s="95" t="str">
        <f t="shared" si="85"/>
        <v/>
      </c>
      <c r="Y359" s="94"/>
      <c r="Z359" s="94"/>
      <c r="AA359" s="112" t="str">
        <f t="shared" si="86"/>
        <v/>
      </c>
      <c r="AB359" s="93"/>
      <c r="AC359" s="94"/>
      <c r="AD359" s="95" t="str">
        <f t="shared" si="87"/>
        <v/>
      </c>
      <c r="AE359" s="93"/>
      <c r="AF359" s="94"/>
      <c r="AG359" s="95" t="str">
        <f t="shared" si="88"/>
        <v/>
      </c>
      <c r="AH359" s="93"/>
      <c r="AI359" s="94"/>
      <c r="AJ359" s="95" t="str">
        <f t="shared" si="89"/>
        <v/>
      </c>
      <c r="AK359" s="93"/>
      <c r="AL359" s="94"/>
      <c r="AM359" s="95" t="str">
        <f t="shared" si="90"/>
        <v/>
      </c>
      <c r="AN359" s="93"/>
      <c r="AO359" s="94"/>
      <c r="AP359" s="95" t="str">
        <f t="shared" si="92"/>
        <v/>
      </c>
    </row>
    <row r="360" spans="1:42" x14ac:dyDescent="0.25">
      <c r="A360" s="91">
        <v>46381</v>
      </c>
      <c r="B360" s="92">
        <f t="shared" si="78"/>
        <v>52</v>
      </c>
      <c r="C360" s="92">
        <f t="shared" si="79"/>
        <v>12</v>
      </c>
      <c r="D360" s="93"/>
      <c r="E360" s="94"/>
      <c r="F360" s="95" t="str">
        <f t="shared" si="80"/>
        <v/>
      </c>
      <c r="G360" s="93"/>
      <c r="H360" s="94"/>
      <c r="I360" s="95" t="str">
        <f t="shared" si="91"/>
        <v/>
      </c>
      <c r="J360" s="93"/>
      <c r="K360" s="94"/>
      <c r="L360" s="95" t="str">
        <f t="shared" si="81"/>
        <v/>
      </c>
      <c r="M360" s="93"/>
      <c r="N360" s="94"/>
      <c r="O360" s="95" t="str">
        <f t="shared" si="82"/>
        <v/>
      </c>
      <c r="P360" s="93"/>
      <c r="Q360" s="94"/>
      <c r="R360" s="95" t="str">
        <f t="shared" si="83"/>
        <v/>
      </c>
      <c r="S360" s="93"/>
      <c r="T360" s="94"/>
      <c r="U360" s="95" t="str">
        <f t="shared" si="84"/>
        <v/>
      </c>
      <c r="V360" s="93"/>
      <c r="W360" s="94"/>
      <c r="X360" s="95" t="str">
        <f t="shared" si="85"/>
        <v/>
      </c>
      <c r="Y360" s="94"/>
      <c r="Z360" s="94"/>
      <c r="AA360" s="112" t="str">
        <f t="shared" si="86"/>
        <v/>
      </c>
      <c r="AB360" s="93"/>
      <c r="AC360" s="94"/>
      <c r="AD360" s="95" t="str">
        <f t="shared" si="87"/>
        <v/>
      </c>
      <c r="AE360" s="93"/>
      <c r="AF360" s="94"/>
      <c r="AG360" s="95" t="str">
        <f t="shared" si="88"/>
        <v/>
      </c>
      <c r="AH360" s="93"/>
      <c r="AI360" s="94"/>
      <c r="AJ360" s="95" t="str">
        <f t="shared" si="89"/>
        <v/>
      </c>
      <c r="AK360" s="93"/>
      <c r="AL360" s="94"/>
      <c r="AM360" s="95" t="str">
        <f t="shared" si="90"/>
        <v/>
      </c>
      <c r="AN360" s="93"/>
      <c r="AO360" s="94"/>
      <c r="AP360" s="95" t="str">
        <f t="shared" si="92"/>
        <v/>
      </c>
    </row>
    <row r="361" spans="1:42" x14ac:dyDescent="0.25">
      <c r="A361" s="91">
        <v>46382</v>
      </c>
      <c r="B361" s="92">
        <f t="shared" si="78"/>
        <v>52</v>
      </c>
      <c r="C361" s="92">
        <f t="shared" si="79"/>
        <v>12</v>
      </c>
      <c r="D361" s="93"/>
      <c r="E361" s="94"/>
      <c r="F361" s="95" t="str">
        <f t="shared" si="80"/>
        <v/>
      </c>
      <c r="G361" s="93"/>
      <c r="H361" s="94"/>
      <c r="I361" s="95" t="str">
        <f t="shared" si="91"/>
        <v/>
      </c>
      <c r="J361" s="93"/>
      <c r="K361" s="94"/>
      <c r="L361" s="95" t="str">
        <f t="shared" si="81"/>
        <v/>
      </c>
      <c r="M361" s="93"/>
      <c r="N361" s="94"/>
      <c r="O361" s="95" t="str">
        <f t="shared" si="82"/>
        <v/>
      </c>
      <c r="P361" s="93"/>
      <c r="Q361" s="94"/>
      <c r="R361" s="95" t="str">
        <f t="shared" si="83"/>
        <v/>
      </c>
      <c r="S361" s="93"/>
      <c r="T361" s="94"/>
      <c r="U361" s="95" t="str">
        <f t="shared" si="84"/>
        <v/>
      </c>
      <c r="V361" s="93"/>
      <c r="W361" s="94"/>
      <c r="X361" s="95" t="str">
        <f t="shared" si="85"/>
        <v/>
      </c>
      <c r="Y361" s="94"/>
      <c r="Z361" s="94"/>
      <c r="AA361" s="112" t="str">
        <f t="shared" si="86"/>
        <v/>
      </c>
      <c r="AB361" s="93"/>
      <c r="AC361" s="94"/>
      <c r="AD361" s="95" t="str">
        <f t="shared" si="87"/>
        <v/>
      </c>
      <c r="AE361" s="93"/>
      <c r="AF361" s="94"/>
      <c r="AG361" s="95" t="str">
        <f t="shared" si="88"/>
        <v/>
      </c>
      <c r="AH361" s="93"/>
      <c r="AI361" s="94"/>
      <c r="AJ361" s="95" t="str">
        <f t="shared" si="89"/>
        <v/>
      </c>
      <c r="AK361" s="93"/>
      <c r="AL361" s="94"/>
      <c r="AM361" s="95" t="str">
        <f t="shared" si="90"/>
        <v/>
      </c>
      <c r="AN361" s="93"/>
      <c r="AO361" s="94"/>
      <c r="AP361" s="95" t="str">
        <f t="shared" si="92"/>
        <v/>
      </c>
    </row>
    <row r="362" spans="1:42" x14ac:dyDescent="0.25">
      <c r="A362" s="91">
        <v>46383</v>
      </c>
      <c r="B362" s="92">
        <f t="shared" si="78"/>
        <v>52</v>
      </c>
      <c r="C362" s="92">
        <f t="shared" si="79"/>
        <v>12</v>
      </c>
      <c r="D362" s="93"/>
      <c r="E362" s="94"/>
      <c r="F362" s="95" t="str">
        <f t="shared" si="80"/>
        <v/>
      </c>
      <c r="G362" s="93"/>
      <c r="H362" s="94"/>
      <c r="I362" s="95" t="str">
        <f t="shared" si="91"/>
        <v/>
      </c>
      <c r="J362" s="93"/>
      <c r="K362" s="94"/>
      <c r="L362" s="95" t="str">
        <f t="shared" si="81"/>
        <v/>
      </c>
      <c r="M362" s="93"/>
      <c r="N362" s="94"/>
      <c r="O362" s="95" t="str">
        <f t="shared" si="82"/>
        <v/>
      </c>
      <c r="P362" s="93"/>
      <c r="Q362" s="94"/>
      <c r="R362" s="95" t="str">
        <f t="shared" si="83"/>
        <v/>
      </c>
      <c r="S362" s="93"/>
      <c r="T362" s="94"/>
      <c r="U362" s="95" t="str">
        <f t="shared" si="84"/>
        <v/>
      </c>
      <c r="V362" s="93"/>
      <c r="W362" s="94"/>
      <c r="X362" s="95" t="str">
        <f t="shared" si="85"/>
        <v/>
      </c>
      <c r="Y362" s="94"/>
      <c r="Z362" s="94"/>
      <c r="AA362" s="112" t="str">
        <f t="shared" si="86"/>
        <v/>
      </c>
      <c r="AB362" s="93"/>
      <c r="AC362" s="94"/>
      <c r="AD362" s="95" t="str">
        <f t="shared" si="87"/>
        <v/>
      </c>
      <c r="AE362" s="93"/>
      <c r="AF362" s="94"/>
      <c r="AG362" s="95" t="str">
        <f t="shared" si="88"/>
        <v/>
      </c>
      <c r="AH362" s="93"/>
      <c r="AI362" s="94"/>
      <c r="AJ362" s="95" t="str">
        <f t="shared" si="89"/>
        <v/>
      </c>
      <c r="AK362" s="93"/>
      <c r="AL362" s="94"/>
      <c r="AM362" s="95" t="str">
        <f t="shared" si="90"/>
        <v/>
      </c>
      <c r="AN362" s="93"/>
      <c r="AO362" s="94"/>
      <c r="AP362" s="95" t="str">
        <f t="shared" si="92"/>
        <v/>
      </c>
    </row>
    <row r="363" spans="1:42" x14ac:dyDescent="0.25">
      <c r="A363" s="91">
        <v>46384</v>
      </c>
      <c r="B363" s="92">
        <f t="shared" si="78"/>
        <v>53</v>
      </c>
      <c r="C363" s="92">
        <f t="shared" si="79"/>
        <v>12</v>
      </c>
      <c r="D363" s="93"/>
      <c r="E363" s="94"/>
      <c r="F363" s="95" t="str">
        <f t="shared" si="80"/>
        <v/>
      </c>
      <c r="G363" s="93"/>
      <c r="H363" s="94"/>
      <c r="I363" s="95" t="str">
        <f t="shared" si="91"/>
        <v/>
      </c>
      <c r="J363" s="93"/>
      <c r="K363" s="94"/>
      <c r="L363" s="95" t="str">
        <f t="shared" si="81"/>
        <v/>
      </c>
      <c r="M363" s="93"/>
      <c r="N363" s="94"/>
      <c r="O363" s="95" t="str">
        <f t="shared" si="82"/>
        <v/>
      </c>
      <c r="P363" s="93"/>
      <c r="Q363" s="94"/>
      <c r="R363" s="95" t="str">
        <f t="shared" si="83"/>
        <v/>
      </c>
      <c r="S363" s="93"/>
      <c r="T363" s="94"/>
      <c r="U363" s="95" t="str">
        <f t="shared" si="84"/>
        <v/>
      </c>
      <c r="V363" s="93"/>
      <c r="W363" s="94"/>
      <c r="X363" s="95" t="str">
        <f t="shared" si="85"/>
        <v/>
      </c>
      <c r="Y363" s="94"/>
      <c r="Z363" s="94"/>
      <c r="AA363" s="112" t="str">
        <f t="shared" si="86"/>
        <v/>
      </c>
      <c r="AB363" s="93"/>
      <c r="AC363" s="94"/>
      <c r="AD363" s="95" t="str">
        <f t="shared" si="87"/>
        <v/>
      </c>
      <c r="AE363" s="93"/>
      <c r="AF363" s="94"/>
      <c r="AG363" s="95" t="str">
        <f t="shared" si="88"/>
        <v/>
      </c>
      <c r="AH363" s="93"/>
      <c r="AI363" s="94"/>
      <c r="AJ363" s="95" t="str">
        <f t="shared" si="89"/>
        <v/>
      </c>
      <c r="AK363" s="93"/>
      <c r="AL363" s="94"/>
      <c r="AM363" s="95" t="str">
        <f t="shared" si="90"/>
        <v/>
      </c>
      <c r="AN363" s="93"/>
      <c r="AO363" s="94"/>
      <c r="AP363" s="95" t="str">
        <f t="shared" si="92"/>
        <v/>
      </c>
    </row>
    <row r="364" spans="1:42" x14ac:dyDescent="0.25">
      <c r="A364" s="91">
        <v>46385</v>
      </c>
      <c r="B364" s="92">
        <f t="shared" si="78"/>
        <v>53</v>
      </c>
      <c r="C364" s="92">
        <f t="shared" si="79"/>
        <v>12</v>
      </c>
      <c r="D364" s="93"/>
      <c r="E364" s="94"/>
      <c r="F364" s="95" t="str">
        <f t="shared" si="80"/>
        <v/>
      </c>
      <c r="G364" s="93"/>
      <c r="H364" s="94"/>
      <c r="I364" s="95" t="str">
        <f t="shared" si="91"/>
        <v/>
      </c>
      <c r="J364" s="93"/>
      <c r="K364" s="94"/>
      <c r="L364" s="95" t="str">
        <f t="shared" si="81"/>
        <v/>
      </c>
      <c r="M364" s="93"/>
      <c r="N364" s="94"/>
      <c r="O364" s="95" t="str">
        <f t="shared" si="82"/>
        <v/>
      </c>
      <c r="P364" s="93"/>
      <c r="Q364" s="94"/>
      <c r="R364" s="95" t="str">
        <f t="shared" si="83"/>
        <v/>
      </c>
      <c r="S364" s="93"/>
      <c r="T364" s="94"/>
      <c r="U364" s="95" t="str">
        <f t="shared" si="84"/>
        <v/>
      </c>
      <c r="V364" s="93"/>
      <c r="W364" s="94"/>
      <c r="X364" s="95" t="str">
        <f t="shared" si="85"/>
        <v/>
      </c>
      <c r="Y364" s="94"/>
      <c r="Z364" s="94"/>
      <c r="AA364" s="112" t="str">
        <f t="shared" si="86"/>
        <v/>
      </c>
      <c r="AB364" s="93"/>
      <c r="AC364" s="94"/>
      <c r="AD364" s="95" t="str">
        <f t="shared" si="87"/>
        <v/>
      </c>
      <c r="AE364" s="93"/>
      <c r="AF364" s="94"/>
      <c r="AG364" s="95" t="str">
        <f t="shared" si="88"/>
        <v/>
      </c>
      <c r="AH364" s="93"/>
      <c r="AI364" s="94"/>
      <c r="AJ364" s="95" t="str">
        <f t="shared" si="89"/>
        <v/>
      </c>
      <c r="AK364" s="93"/>
      <c r="AL364" s="94"/>
      <c r="AM364" s="95" t="str">
        <f t="shared" si="90"/>
        <v/>
      </c>
      <c r="AN364" s="93"/>
      <c r="AO364" s="94"/>
      <c r="AP364" s="95" t="str">
        <f t="shared" si="92"/>
        <v/>
      </c>
    </row>
    <row r="365" spans="1:42" x14ac:dyDescent="0.25">
      <c r="A365" s="91">
        <v>46386</v>
      </c>
      <c r="B365" s="92">
        <f t="shared" si="78"/>
        <v>53</v>
      </c>
      <c r="C365" s="92">
        <f t="shared" si="79"/>
        <v>12</v>
      </c>
      <c r="D365" s="93"/>
      <c r="E365" s="94"/>
      <c r="F365" s="95" t="str">
        <f t="shared" si="80"/>
        <v/>
      </c>
      <c r="G365" s="93"/>
      <c r="H365" s="94"/>
      <c r="I365" s="95" t="str">
        <f t="shared" si="91"/>
        <v/>
      </c>
      <c r="J365" s="93"/>
      <c r="K365" s="94"/>
      <c r="L365" s="95" t="str">
        <f t="shared" si="81"/>
        <v/>
      </c>
      <c r="M365" s="93"/>
      <c r="N365" s="94"/>
      <c r="O365" s="95" t="str">
        <f t="shared" si="82"/>
        <v/>
      </c>
      <c r="P365" s="93"/>
      <c r="Q365" s="94"/>
      <c r="R365" s="95" t="str">
        <f t="shared" si="83"/>
        <v/>
      </c>
      <c r="S365" s="93"/>
      <c r="T365" s="94"/>
      <c r="U365" s="95" t="str">
        <f t="shared" si="84"/>
        <v/>
      </c>
      <c r="V365" s="93"/>
      <c r="W365" s="94"/>
      <c r="X365" s="95" t="str">
        <f t="shared" si="85"/>
        <v/>
      </c>
      <c r="Y365" s="94"/>
      <c r="Z365" s="94"/>
      <c r="AA365" s="112" t="str">
        <f t="shared" si="86"/>
        <v/>
      </c>
      <c r="AB365" s="93"/>
      <c r="AC365" s="94"/>
      <c r="AD365" s="95" t="str">
        <f t="shared" si="87"/>
        <v/>
      </c>
      <c r="AE365" s="93"/>
      <c r="AF365" s="94"/>
      <c r="AG365" s="95" t="str">
        <f t="shared" si="88"/>
        <v/>
      </c>
      <c r="AH365" s="93"/>
      <c r="AI365" s="94"/>
      <c r="AJ365" s="95" t="str">
        <f t="shared" si="89"/>
        <v/>
      </c>
      <c r="AK365" s="93"/>
      <c r="AL365" s="94"/>
      <c r="AM365" s="95" t="str">
        <f t="shared" si="90"/>
        <v/>
      </c>
      <c r="AN365" s="93"/>
      <c r="AO365" s="94"/>
      <c r="AP365" s="95" t="str">
        <f t="shared" si="92"/>
        <v/>
      </c>
    </row>
    <row r="366" spans="1:42" x14ac:dyDescent="0.25">
      <c r="A366" s="115">
        <v>46387</v>
      </c>
      <c r="B366" s="116">
        <f t="shared" si="78"/>
        <v>53</v>
      </c>
      <c r="C366" s="116">
        <f t="shared" si="79"/>
        <v>12</v>
      </c>
      <c r="D366" s="117"/>
      <c r="E366" s="118"/>
      <c r="F366" s="119" t="str">
        <f t="shared" si="80"/>
        <v/>
      </c>
      <c r="G366" s="117"/>
      <c r="H366" s="118"/>
      <c r="I366" s="119" t="str">
        <f t="shared" si="91"/>
        <v/>
      </c>
      <c r="J366" s="117"/>
      <c r="K366" s="118"/>
      <c r="L366" s="119" t="str">
        <f t="shared" si="81"/>
        <v/>
      </c>
      <c r="M366" s="117"/>
      <c r="N366" s="118"/>
      <c r="O366" s="119" t="str">
        <f t="shared" si="82"/>
        <v/>
      </c>
      <c r="P366" s="117"/>
      <c r="Q366" s="118"/>
      <c r="R366" s="119" t="str">
        <f t="shared" si="83"/>
        <v/>
      </c>
      <c r="S366" s="117"/>
      <c r="T366" s="118"/>
      <c r="U366" s="119" t="str">
        <f t="shared" si="84"/>
        <v/>
      </c>
      <c r="V366" s="117"/>
      <c r="W366" s="118"/>
      <c r="X366" s="119" t="str">
        <f t="shared" si="85"/>
        <v/>
      </c>
      <c r="Y366" s="118"/>
      <c r="Z366" s="118"/>
      <c r="AA366" s="127" t="str">
        <f t="shared" si="86"/>
        <v/>
      </c>
      <c r="AB366" s="117"/>
      <c r="AC366" s="118"/>
      <c r="AD366" s="119" t="str">
        <f t="shared" si="87"/>
        <v/>
      </c>
      <c r="AE366" s="117"/>
      <c r="AF366" s="118"/>
      <c r="AG366" s="119" t="str">
        <f t="shared" si="88"/>
        <v/>
      </c>
      <c r="AH366" s="117"/>
      <c r="AI366" s="118"/>
      <c r="AJ366" s="119" t="str">
        <f t="shared" si="89"/>
        <v/>
      </c>
      <c r="AK366" s="117"/>
      <c r="AL366" s="118"/>
      <c r="AM366" s="119" t="str">
        <f t="shared" si="90"/>
        <v/>
      </c>
      <c r="AN366" s="117"/>
      <c r="AO366" s="118"/>
      <c r="AP366" s="119" t="str">
        <f t="shared" si="92"/>
        <v/>
      </c>
    </row>
    <row r="372" spans="1:44" outlineLevel="1" x14ac:dyDescent="0.25">
      <c r="A372" s="120" t="s">
        <v>67</v>
      </c>
      <c r="B372" s="121" t="s">
        <v>69</v>
      </c>
      <c r="C372" s="121" t="s">
        <v>70</v>
      </c>
      <c r="D372" s="122" t="s">
        <v>71</v>
      </c>
      <c r="E372" s="123" t="s">
        <v>72</v>
      </c>
      <c r="F372" s="122" t="s">
        <v>73</v>
      </c>
      <c r="G372" s="124" t="s">
        <v>74</v>
      </c>
      <c r="H372" s="123" t="s">
        <v>75</v>
      </c>
      <c r="I372" s="122" t="s">
        <v>76</v>
      </c>
      <c r="J372" s="124" t="s">
        <v>97</v>
      </c>
      <c r="K372" s="123" t="s">
        <v>77</v>
      </c>
      <c r="L372" s="122" t="s">
        <v>78</v>
      </c>
      <c r="M372" s="124" t="s">
        <v>98</v>
      </c>
      <c r="N372" s="123" t="s">
        <v>79</v>
      </c>
      <c r="O372" s="122" t="s">
        <v>80</v>
      </c>
      <c r="P372" s="124" t="s">
        <v>71</v>
      </c>
      <c r="Q372" s="123" t="s">
        <v>81</v>
      </c>
      <c r="R372" s="122" t="s">
        <v>82</v>
      </c>
      <c r="S372" s="124" t="s">
        <v>71</v>
      </c>
      <c r="T372" s="123" t="s">
        <v>83</v>
      </c>
      <c r="U372" s="122" t="s">
        <v>84</v>
      </c>
      <c r="V372" s="124" t="s">
        <v>71</v>
      </c>
      <c r="W372" s="123" t="s">
        <v>85</v>
      </c>
      <c r="X372" s="122" t="s">
        <v>86</v>
      </c>
      <c r="Y372" s="124" t="s">
        <v>71</v>
      </c>
      <c r="Z372" s="123" t="s">
        <v>87</v>
      </c>
      <c r="AA372" s="122" t="s">
        <v>88</v>
      </c>
      <c r="AB372" s="124" t="s">
        <v>71</v>
      </c>
      <c r="AC372" s="123" t="s">
        <v>89</v>
      </c>
      <c r="AD372" s="122" t="s">
        <v>89</v>
      </c>
      <c r="AE372" s="124" t="s">
        <v>71</v>
      </c>
      <c r="AF372" s="123" t="s">
        <v>90</v>
      </c>
      <c r="AG372" s="122" t="s">
        <v>91</v>
      </c>
      <c r="AH372" s="124" t="s">
        <v>71</v>
      </c>
      <c r="AI372" s="123" t="s">
        <v>92</v>
      </c>
      <c r="AJ372" s="122" t="s">
        <v>93</v>
      </c>
      <c r="AK372" s="124" t="s">
        <v>71</v>
      </c>
      <c r="AL372" s="123" t="s">
        <v>94</v>
      </c>
      <c r="AM372" s="122" t="s">
        <v>95</v>
      </c>
      <c r="AN372" s="124" t="s">
        <v>71</v>
      </c>
      <c r="AO372" s="124" t="s">
        <v>99</v>
      </c>
      <c r="AQ372" s="84"/>
      <c r="AR372" s="84"/>
    </row>
    <row r="373" spans="1:44" outlineLevel="1" x14ac:dyDescent="0.25">
      <c r="A373" s="125">
        <f t="shared" ref="A373:A404" si="93">ROW()-372</f>
        <v>1</v>
      </c>
      <c r="B373" s="92">
        <f t="shared" ref="B373:B404" si="94">SUMIF(B$2:B$366,A373,D$2:D$366)</f>
        <v>0</v>
      </c>
      <c r="C373" s="92">
        <f t="shared" ref="C373:C404" si="95">SUMIF(B$2:B$366,A373,E$2:E$366)</f>
        <v>0</v>
      </c>
      <c r="D373" s="112" t="str">
        <f t="shared" ref="D373:D404" si="96">IFERROR(C373/B373,"")</f>
        <v/>
      </c>
      <c r="E373" s="126">
        <f t="shared" ref="E373:E404" si="97">SUMIF(B$2:B$366,A373,G$2:G$366)</f>
        <v>0</v>
      </c>
      <c r="F373" s="92">
        <f t="shared" ref="F373:F404" si="98">SUMIF(B$2:B$366,A373,H$2:H$366)</f>
        <v>0</v>
      </c>
      <c r="G373" s="95" t="str">
        <f t="shared" ref="G373:G404" si="99">IFERROR(F373/E373,"")</f>
        <v/>
      </c>
      <c r="H373" s="126">
        <f t="shared" ref="H373:H404" si="100">SUMIF(B$2:B$366,A373,J$2:J$366)</f>
        <v>0</v>
      </c>
      <c r="I373" s="92">
        <f t="shared" ref="I373:I404" si="101">SUMIF(B$2:B$366,A373,K$2:K$366)</f>
        <v>0</v>
      </c>
      <c r="J373" s="95" t="str">
        <f t="shared" ref="J373:J404" si="102">IFERROR(I373/H373,"")</f>
        <v/>
      </c>
      <c r="K373" s="126">
        <f t="shared" ref="K373:K404" si="103">SUMIF(B$2:B$366,A373,M$2:M$366)</f>
        <v>0</v>
      </c>
      <c r="L373" s="92">
        <f t="shared" ref="L373:L404" si="104">SUMIF(B$2:B$366,A373,N$2:N$366)</f>
        <v>0</v>
      </c>
      <c r="M373" s="95" t="str">
        <f t="shared" ref="M373:M404" si="105">IFERROR(L373/K373,"")</f>
        <v/>
      </c>
      <c r="N373" s="126">
        <f t="shared" ref="N373:N404" si="106">SUMIF(B$2:B$366,A373,P$2:P$366)</f>
        <v>0</v>
      </c>
      <c r="O373" s="92">
        <f t="shared" ref="O373:O404" si="107">SUMIF(B$2:B$366,A373,Q$2:Q$366)</f>
        <v>0</v>
      </c>
      <c r="P373" s="95" t="str">
        <f t="shared" ref="P373:P404" si="108">IFERROR(O373/N373,"")</f>
        <v/>
      </c>
      <c r="Q373" s="126">
        <f t="shared" ref="Q373:Q404" si="109">SUMIF(B$2:B$366,A373,S$2:S$366)</f>
        <v>0</v>
      </c>
      <c r="R373" s="92">
        <f t="shared" ref="R373:R404" si="110">SUMIF(B$2:B$366,A373,T$2:T$366)</f>
        <v>0</v>
      </c>
      <c r="S373" s="95" t="str">
        <f t="shared" ref="S373:S404" si="111">IFERROR(R373/Q373,"")</f>
        <v/>
      </c>
      <c r="T373" s="126">
        <f t="shared" ref="T373:T404" si="112">SUMIF(B$2:B$366,A373,V$2:V$366)</f>
        <v>0</v>
      </c>
      <c r="U373" s="92">
        <f t="shared" ref="U373:U404" si="113">SUMIF(B$2:B$366,A373,W$2:W$366)</f>
        <v>0</v>
      </c>
      <c r="V373" s="95" t="str">
        <f t="shared" ref="V373:V404" si="114">IFERROR(U373/T373,"")</f>
        <v/>
      </c>
      <c r="W373" s="126">
        <f t="shared" ref="W373:W404" si="115">SUMIF(B$2:B$366,A373,Y$2:Y$366)</f>
        <v>0</v>
      </c>
      <c r="X373" s="92">
        <f t="shared" ref="X373:X404" si="116">SUMIF(B$2:B$366,A373,Z$2:Z$366)</f>
        <v>0</v>
      </c>
      <c r="Y373" s="95" t="str">
        <f t="shared" ref="Y373:Y404" si="117">IFERROR(X373/W373,"")</f>
        <v/>
      </c>
      <c r="Z373" s="126">
        <f t="shared" ref="Z373:Z404" si="118">SUMIF(B$2:B$366,A373,AB$2:AB$366)</f>
        <v>0</v>
      </c>
      <c r="AA373" s="92">
        <f t="shared" ref="AA373:AA404" si="119">SUMIF(B$2:B$366,A373,AC$2:AC$366)</f>
        <v>0</v>
      </c>
      <c r="AB373" s="95" t="str">
        <f t="shared" ref="AB373:AB404" si="120">IFERROR(AA373/Z373,"")</f>
        <v/>
      </c>
      <c r="AC373" s="126">
        <f t="shared" ref="AC373:AC404" si="121">SUMIF(B$2:B$366,A373,AE$2:AE$366)</f>
        <v>0</v>
      </c>
      <c r="AD373" s="92">
        <f t="shared" ref="AD373:AD404" si="122">SUMIF(B$2:B$366,A373,AF$2:AF$366)</f>
        <v>0</v>
      </c>
      <c r="AE373" s="95" t="str">
        <f t="shared" ref="AE373:AE404" si="123">IFERROR(AD373/AC373,"")</f>
        <v/>
      </c>
      <c r="AF373" s="126">
        <f t="shared" ref="AF373:AF404" si="124">SUMIF(B$2:B$366,A373,AH$2:AH$366)</f>
        <v>0</v>
      </c>
      <c r="AG373" s="92">
        <f t="shared" ref="AG373:AG404" si="125">SUMIF(B$2:B$366,A373,AI$2:AI$366)</f>
        <v>0</v>
      </c>
      <c r="AH373" s="95" t="str">
        <f t="shared" ref="AH373:AH404" si="126">IFERROR(AG373/AF373,"")</f>
        <v/>
      </c>
      <c r="AI373" s="126">
        <f t="shared" ref="AI373:AI404" si="127">SUMIF(B$2:B$366,A373,AK$2:AK$366)</f>
        <v>0</v>
      </c>
      <c r="AJ373" s="92">
        <f t="shared" ref="AJ373:AJ404" si="128">SUMIF(B$2:B$366,A373,AL$2:AL$366)</f>
        <v>0</v>
      </c>
      <c r="AK373" s="95" t="str">
        <f t="shared" ref="AK373:AK404" si="129">IFERROR(AJ373/AI373,"")</f>
        <v/>
      </c>
      <c r="AL373" s="126">
        <f t="shared" ref="AL373:AL404" si="130">SUMIF(B$2:B$366,A373,AN$2:AN$366)</f>
        <v>0</v>
      </c>
      <c r="AM373" s="92">
        <f t="shared" ref="AM373:AM404" si="131">SUMIF(B$2:B$366,A373,AO$2:AO$366)</f>
        <v>0</v>
      </c>
      <c r="AN373" s="95" t="str">
        <f t="shared" ref="AN373:AN404" si="132">IFERROR(AM373/AL373,"")</f>
        <v/>
      </c>
      <c r="AO373" s="95" t="str">
        <f t="shared" ref="AO373:AO404" si="133">IF((COUNTIF(D373,"&gt;0")+COUNTIF(G373,"&gt;0")+COUNTIF(J373,"&gt;0")+COUNTIF(M373,"&gt;0")+COUNTIF(P373,"&gt;0")+COUNTIF(S373,"&gt;0")+COUNTIF(V373,"&gt;0")+COUNTIF(Y373,"&gt;0")+COUNTIF(AB373,"&gt;0")+COUNTIF(AE373,"&gt;0")+COUNTIF(AH373,"&gt;0")+COUNTIF(AK373,"&gt;0")+COUNTIF(AN373,"&gt;0"))=0,"",(SUMIF(D373,"&gt;0")+SUMIF(G373,"&gt;0")+SUMIF(J373,"&gt;0")+SUMIF(M373,"&gt;0")+SUMIF(P373,"&gt;0")+SUMIF(S373,"&gt;0")+SUMIF(V373,"&gt;0")+SUMIF(Y373,"&gt;0")+SUMIF(AB373,"&gt;0")+SUMIF(AE373,"&gt;0")+SUMIF(AH373,"&gt;0")+SUMIF(AK373,"&gt;0")+SUMIF(AN373,"&gt;0"))/(COUNTIF(D373,"&gt;0")+COUNTIF(G373,"&gt;0")+COUNTIF(J373,"&gt;0")+COUNTIF(M373,"&gt;0")+COUNTIF(P373,"&gt;0")+COUNTIF(S373,"&gt;0")+COUNTIF(V373,"&gt;0")+COUNTIF(Y373,"&gt;0")+COUNTIF(AB373,"&gt;0")+COUNTIF(AE373,"&gt;0")+COUNTIF(AH373,"&gt;0")+COUNTIF(AK373,"&gt;0")+COUNTIF(AN373,"&gt;0")))</f>
        <v/>
      </c>
      <c r="AP373" s="83"/>
      <c r="AR373" s="84"/>
    </row>
    <row r="374" spans="1:44" outlineLevel="1" x14ac:dyDescent="0.25">
      <c r="A374" s="125">
        <f t="shared" si="93"/>
        <v>2</v>
      </c>
      <c r="B374" s="92">
        <f t="shared" si="94"/>
        <v>0</v>
      </c>
      <c r="C374" s="92">
        <f t="shared" si="95"/>
        <v>0</v>
      </c>
      <c r="D374" s="112" t="str">
        <f t="shared" si="96"/>
        <v/>
      </c>
      <c r="E374" s="126">
        <f t="shared" si="97"/>
        <v>0</v>
      </c>
      <c r="F374" s="92">
        <f t="shared" si="98"/>
        <v>0</v>
      </c>
      <c r="G374" s="95" t="str">
        <f t="shared" si="99"/>
        <v/>
      </c>
      <c r="H374" s="126">
        <f t="shared" si="100"/>
        <v>0</v>
      </c>
      <c r="I374" s="92">
        <f t="shared" si="101"/>
        <v>0</v>
      </c>
      <c r="J374" s="95" t="str">
        <f t="shared" si="102"/>
        <v/>
      </c>
      <c r="K374" s="126">
        <f t="shared" si="103"/>
        <v>0</v>
      </c>
      <c r="L374" s="92">
        <f t="shared" si="104"/>
        <v>0</v>
      </c>
      <c r="M374" s="95" t="str">
        <f t="shared" si="105"/>
        <v/>
      </c>
      <c r="N374" s="126">
        <f t="shared" si="106"/>
        <v>0</v>
      </c>
      <c r="O374" s="92">
        <f t="shared" si="107"/>
        <v>0</v>
      </c>
      <c r="P374" s="95" t="str">
        <f t="shared" si="108"/>
        <v/>
      </c>
      <c r="Q374" s="126">
        <f t="shared" si="109"/>
        <v>0</v>
      </c>
      <c r="R374" s="92">
        <f t="shared" si="110"/>
        <v>0</v>
      </c>
      <c r="S374" s="95" t="str">
        <f t="shared" si="111"/>
        <v/>
      </c>
      <c r="T374" s="126">
        <f t="shared" si="112"/>
        <v>0</v>
      </c>
      <c r="U374" s="92">
        <f t="shared" si="113"/>
        <v>0</v>
      </c>
      <c r="V374" s="95" t="str">
        <f t="shared" si="114"/>
        <v/>
      </c>
      <c r="W374" s="126">
        <f t="shared" si="115"/>
        <v>0</v>
      </c>
      <c r="X374" s="92">
        <f t="shared" si="116"/>
        <v>0</v>
      </c>
      <c r="Y374" s="95" t="str">
        <f t="shared" si="117"/>
        <v/>
      </c>
      <c r="Z374" s="126">
        <f t="shared" si="118"/>
        <v>0</v>
      </c>
      <c r="AA374" s="92">
        <f t="shared" si="119"/>
        <v>0</v>
      </c>
      <c r="AB374" s="95" t="str">
        <f t="shared" si="120"/>
        <v/>
      </c>
      <c r="AC374" s="126">
        <f t="shared" si="121"/>
        <v>0</v>
      </c>
      <c r="AD374" s="92">
        <f t="shared" si="122"/>
        <v>0</v>
      </c>
      <c r="AE374" s="95" t="str">
        <f t="shared" si="123"/>
        <v/>
      </c>
      <c r="AF374" s="126">
        <f t="shared" si="124"/>
        <v>0</v>
      </c>
      <c r="AG374" s="92">
        <f t="shared" si="125"/>
        <v>0</v>
      </c>
      <c r="AH374" s="95" t="str">
        <f t="shared" si="126"/>
        <v/>
      </c>
      <c r="AI374" s="126">
        <f t="shared" si="127"/>
        <v>0</v>
      </c>
      <c r="AJ374" s="92">
        <f t="shared" si="128"/>
        <v>0</v>
      </c>
      <c r="AK374" s="95" t="str">
        <f t="shared" si="129"/>
        <v/>
      </c>
      <c r="AL374" s="126">
        <f t="shared" si="130"/>
        <v>0</v>
      </c>
      <c r="AM374" s="92">
        <f t="shared" si="131"/>
        <v>0</v>
      </c>
      <c r="AN374" s="95" t="str">
        <f t="shared" si="132"/>
        <v/>
      </c>
      <c r="AO374" s="95" t="str">
        <f t="shared" si="133"/>
        <v/>
      </c>
      <c r="AP374" s="83"/>
    </row>
    <row r="375" spans="1:44" outlineLevel="1" x14ac:dyDescent="0.25">
      <c r="A375" s="125">
        <f t="shared" si="93"/>
        <v>3</v>
      </c>
      <c r="B375" s="92">
        <f t="shared" si="94"/>
        <v>0</v>
      </c>
      <c r="C375" s="92">
        <f t="shared" si="95"/>
        <v>0</v>
      </c>
      <c r="D375" s="112" t="str">
        <f t="shared" si="96"/>
        <v/>
      </c>
      <c r="E375" s="126">
        <f t="shared" si="97"/>
        <v>0</v>
      </c>
      <c r="F375" s="92">
        <f t="shared" si="98"/>
        <v>0</v>
      </c>
      <c r="G375" s="95" t="str">
        <f t="shared" si="99"/>
        <v/>
      </c>
      <c r="H375" s="126">
        <f t="shared" si="100"/>
        <v>0</v>
      </c>
      <c r="I375" s="92">
        <f t="shared" si="101"/>
        <v>0</v>
      </c>
      <c r="J375" s="95" t="str">
        <f t="shared" si="102"/>
        <v/>
      </c>
      <c r="K375" s="126">
        <f t="shared" si="103"/>
        <v>0</v>
      </c>
      <c r="L375" s="92">
        <f t="shared" si="104"/>
        <v>0</v>
      </c>
      <c r="M375" s="95" t="str">
        <f t="shared" si="105"/>
        <v/>
      </c>
      <c r="N375" s="126">
        <f t="shared" si="106"/>
        <v>0</v>
      </c>
      <c r="O375" s="92">
        <f t="shared" si="107"/>
        <v>0</v>
      </c>
      <c r="P375" s="95" t="str">
        <f t="shared" si="108"/>
        <v/>
      </c>
      <c r="Q375" s="126">
        <f t="shared" si="109"/>
        <v>0</v>
      </c>
      <c r="R375" s="92">
        <f t="shared" si="110"/>
        <v>0</v>
      </c>
      <c r="S375" s="95" t="str">
        <f t="shared" si="111"/>
        <v/>
      </c>
      <c r="T375" s="126">
        <f t="shared" si="112"/>
        <v>0</v>
      </c>
      <c r="U375" s="92">
        <f t="shared" si="113"/>
        <v>0</v>
      </c>
      <c r="V375" s="95" t="str">
        <f t="shared" si="114"/>
        <v/>
      </c>
      <c r="W375" s="126">
        <f t="shared" si="115"/>
        <v>0</v>
      </c>
      <c r="X375" s="92">
        <f t="shared" si="116"/>
        <v>0</v>
      </c>
      <c r="Y375" s="95" t="str">
        <f t="shared" si="117"/>
        <v/>
      </c>
      <c r="Z375" s="126">
        <f t="shared" si="118"/>
        <v>0</v>
      </c>
      <c r="AA375" s="92">
        <f t="shared" si="119"/>
        <v>0</v>
      </c>
      <c r="AB375" s="95" t="str">
        <f t="shared" si="120"/>
        <v/>
      </c>
      <c r="AC375" s="126">
        <f t="shared" si="121"/>
        <v>0</v>
      </c>
      <c r="AD375" s="92">
        <f t="shared" si="122"/>
        <v>0</v>
      </c>
      <c r="AE375" s="95" t="str">
        <f t="shared" si="123"/>
        <v/>
      </c>
      <c r="AF375" s="126">
        <f t="shared" si="124"/>
        <v>0</v>
      </c>
      <c r="AG375" s="92">
        <f t="shared" si="125"/>
        <v>0</v>
      </c>
      <c r="AH375" s="95" t="str">
        <f t="shared" si="126"/>
        <v/>
      </c>
      <c r="AI375" s="126">
        <f t="shared" si="127"/>
        <v>0</v>
      </c>
      <c r="AJ375" s="92">
        <f t="shared" si="128"/>
        <v>0</v>
      </c>
      <c r="AK375" s="95" t="str">
        <f t="shared" si="129"/>
        <v/>
      </c>
      <c r="AL375" s="126">
        <f t="shared" si="130"/>
        <v>0</v>
      </c>
      <c r="AM375" s="92">
        <f t="shared" si="131"/>
        <v>0</v>
      </c>
      <c r="AN375" s="95" t="str">
        <f t="shared" si="132"/>
        <v/>
      </c>
      <c r="AO375" s="95" t="str">
        <f t="shared" si="133"/>
        <v/>
      </c>
      <c r="AP375" s="83"/>
    </row>
    <row r="376" spans="1:44" outlineLevel="1" x14ac:dyDescent="0.25">
      <c r="A376" s="125">
        <f t="shared" si="93"/>
        <v>4</v>
      </c>
      <c r="B376" s="92">
        <f t="shared" si="94"/>
        <v>0</v>
      </c>
      <c r="C376" s="92">
        <f t="shared" si="95"/>
        <v>0</v>
      </c>
      <c r="D376" s="112" t="str">
        <f t="shared" si="96"/>
        <v/>
      </c>
      <c r="E376" s="126">
        <f t="shared" si="97"/>
        <v>0</v>
      </c>
      <c r="F376" s="92">
        <f t="shared" si="98"/>
        <v>0</v>
      </c>
      <c r="G376" s="95" t="str">
        <f t="shared" si="99"/>
        <v/>
      </c>
      <c r="H376" s="126">
        <f t="shared" si="100"/>
        <v>0</v>
      </c>
      <c r="I376" s="92">
        <f t="shared" si="101"/>
        <v>0</v>
      </c>
      <c r="J376" s="95" t="str">
        <f t="shared" si="102"/>
        <v/>
      </c>
      <c r="K376" s="126">
        <f t="shared" si="103"/>
        <v>0</v>
      </c>
      <c r="L376" s="92">
        <f t="shared" si="104"/>
        <v>0</v>
      </c>
      <c r="M376" s="95" t="str">
        <f t="shared" si="105"/>
        <v/>
      </c>
      <c r="N376" s="126">
        <f t="shared" si="106"/>
        <v>0</v>
      </c>
      <c r="O376" s="92">
        <f t="shared" si="107"/>
        <v>0</v>
      </c>
      <c r="P376" s="95" t="str">
        <f t="shared" si="108"/>
        <v/>
      </c>
      <c r="Q376" s="126">
        <f t="shared" si="109"/>
        <v>0</v>
      </c>
      <c r="R376" s="92">
        <f t="shared" si="110"/>
        <v>0</v>
      </c>
      <c r="S376" s="95" t="str">
        <f t="shared" si="111"/>
        <v/>
      </c>
      <c r="T376" s="126">
        <f t="shared" si="112"/>
        <v>0</v>
      </c>
      <c r="U376" s="92">
        <f t="shared" si="113"/>
        <v>0</v>
      </c>
      <c r="V376" s="95" t="str">
        <f t="shared" si="114"/>
        <v/>
      </c>
      <c r="W376" s="126">
        <f t="shared" si="115"/>
        <v>0</v>
      </c>
      <c r="X376" s="92">
        <f t="shared" si="116"/>
        <v>0</v>
      </c>
      <c r="Y376" s="95" t="str">
        <f t="shared" si="117"/>
        <v/>
      </c>
      <c r="Z376" s="126">
        <f t="shared" si="118"/>
        <v>0</v>
      </c>
      <c r="AA376" s="92">
        <f t="shared" si="119"/>
        <v>0</v>
      </c>
      <c r="AB376" s="95" t="str">
        <f t="shared" si="120"/>
        <v/>
      </c>
      <c r="AC376" s="126">
        <f t="shared" si="121"/>
        <v>0</v>
      </c>
      <c r="AD376" s="92">
        <f t="shared" si="122"/>
        <v>0</v>
      </c>
      <c r="AE376" s="95" t="str">
        <f t="shared" si="123"/>
        <v/>
      </c>
      <c r="AF376" s="126">
        <f t="shared" si="124"/>
        <v>0</v>
      </c>
      <c r="AG376" s="92">
        <f t="shared" si="125"/>
        <v>0</v>
      </c>
      <c r="AH376" s="95" t="str">
        <f t="shared" si="126"/>
        <v/>
      </c>
      <c r="AI376" s="126">
        <f t="shared" si="127"/>
        <v>0</v>
      </c>
      <c r="AJ376" s="92">
        <f t="shared" si="128"/>
        <v>0</v>
      </c>
      <c r="AK376" s="95" t="str">
        <f t="shared" si="129"/>
        <v/>
      </c>
      <c r="AL376" s="126">
        <f t="shared" si="130"/>
        <v>0</v>
      </c>
      <c r="AM376" s="92">
        <f t="shared" si="131"/>
        <v>0</v>
      </c>
      <c r="AN376" s="95" t="str">
        <f t="shared" si="132"/>
        <v/>
      </c>
      <c r="AO376" s="95" t="str">
        <f t="shared" si="133"/>
        <v/>
      </c>
      <c r="AP376" s="83"/>
    </row>
    <row r="377" spans="1:44" outlineLevel="1" x14ac:dyDescent="0.25">
      <c r="A377" s="125">
        <f t="shared" si="93"/>
        <v>5</v>
      </c>
      <c r="B377" s="92">
        <f t="shared" si="94"/>
        <v>0</v>
      </c>
      <c r="C377" s="92">
        <f t="shared" si="95"/>
        <v>0</v>
      </c>
      <c r="D377" s="112" t="str">
        <f t="shared" si="96"/>
        <v/>
      </c>
      <c r="E377" s="126">
        <f t="shared" si="97"/>
        <v>0</v>
      </c>
      <c r="F377" s="92">
        <f t="shared" si="98"/>
        <v>0</v>
      </c>
      <c r="G377" s="95" t="str">
        <f t="shared" si="99"/>
        <v/>
      </c>
      <c r="H377" s="126">
        <f t="shared" si="100"/>
        <v>0</v>
      </c>
      <c r="I377" s="92">
        <f t="shared" si="101"/>
        <v>0</v>
      </c>
      <c r="J377" s="95" t="str">
        <f t="shared" si="102"/>
        <v/>
      </c>
      <c r="K377" s="126">
        <f t="shared" si="103"/>
        <v>0</v>
      </c>
      <c r="L377" s="92">
        <f t="shared" si="104"/>
        <v>0</v>
      </c>
      <c r="M377" s="95" t="str">
        <f t="shared" si="105"/>
        <v/>
      </c>
      <c r="N377" s="126">
        <f t="shared" si="106"/>
        <v>0</v>
      </c>
      <c r="O377" s="92">
        <f t="shared" si="107"/>
        <v>0</v>
      </c>
      <c r="P377" s="95" t="str">
        <f t="shared" si="108"/>
        <v/>
      </c>
      <c r="Q377" s="126">
        <f t="shared" si="109"/>
        <v>0</v>
      </c>
      <c r="R377" s="92">
        <f t="shared" si="110"/>
        <v>0</v>
      </c>
      <c r="S377" s="95" t="str">
        <f t="shared" si="111"/>
        <v/>
      </c>
      <c r="T377" s="126">
        <f t="shared" si="112"/>
        <v>0</v>
      </c>
      <c r="U377" s="92">
        <f t="shared" si="113"/>
        <v>0</v>
      </c>
      <c r="V377" s="95" t="str">
        <f t="shared" si="114"/>
        <v/>
      </c>
      <c r="W377" s="126">
        <f t="shared" si="115"/>
        <v>0</v>
      </c>
      <c r="X377" s="92">
        <f t="shared" si="116"/>
        <v>0</v>
      </c>
      <c r="Y377" s="95" t="str">
        <f t="shared" si="117"/>
        <v/>
      </c>
      <c r="Z377" s="126">
        <f t="shared" si="118"/>
        <v>0</v>
      </c>
      <c r="AA377" s="92">
        <f t="shared" si="119"/>
        <v>0</v>
      </c>
      <c r="AB377" s="95" t="str">
        <f t="shared" si="120"/>
        <v/>
      </c>
      <c r="AC377" s="126">
        <f t="shared" si="121"/>
        <v>0</v>
      </c>
      <c r="AD377" s="92">
        <f t="shared" si="122"/>
        <v>0</v>
      </c>
      <c r="AE377" s="95" t="str">
        <f t="shared" si="123"/>
        <v/>
      </c>
      <c r="AF377" s="126">
        <f t="shared" si="124"/>
        <v>0</v>
      </c>
      <c r="AG377" s="92">
        <f t="shared" si="125"/>
        <v>0</v>
      </c>
      <c r="AH377" s="95" t="str">
        <f t="shared" si="126"/>
        <v/>
      </c>
      <c r="AI377" s="126">
        <f t="shared" si="127"/>
        <v>0</v>
      </c>
      <c r="AJ377" s="92">
        <f t="shared" si="128"/>
        <v>0</v>
      </c>
      <c r="AK377" s="95" t="str">
        <f t="shared" si="129"/>
        <v/>
      </c>
      <c r="AL377" s="126">
        <f t="shared" si="130"/>
        <v>0</v>
      </c>
      <c r="AM377" s="92">
        <f t="shared" si="131"/>
        <v>0</v>
      </c>
      <c r="AN377" s="95" t="str">
        <f t="shared" si="132"/>
        <v/>
      </c>
      <c r="AO377" s="95" t="str">
        <f t="shared" si="133"/>
        <v/>
      </c>
      <c r="AP377" s="83"/>
      <c r="AQ377" s="84"/>
    </row>
    <row r="378" spans="1:44" outlineLevel="1" x14ac:dyDescent="0.25">
      <c r="A378" s="125">
        <f t="shared" si="93"/>
        <v>6</v>
      </c>
      <c r="B378" s="92">
        <f t="shared" si="94"/>
        <v>0</v>
      </c>
      <c r="C378" s="92">
        <f t="shared" si="95"/>
        <v>0</v>
      </c>
      <c r="D378" s="112" t="str">
        <f t="shared" si="96"/>
        <v/>
      </c>
      <c r="E378" s="126">
        <f t="shared" si="97"/>
        <v>0</v>
      </c>
      <c r="F378" s="92">
        <f t="shared" si="98"/>
        <v>0</v>
      </c>
      <c r="G378" s="95" t="str">
        <f t="shared" si="99"/>
        <v/>
      </c>
      <c r="H378" s="126">
        <f t="shared" si="100"/>
        <v>0</v>
      </c>
      <c r="I378" s="92">
        <f t="shared" si="101"/>
        <v>0</v>
      </c>
      <c r="J378" s="95" t="str">
        <f t="shared" si="102"/>
        <v/>
      </c>
      <c r="K378" s="126">
        <f t="shared" si="103"/>
        <v>0</v>
      </c>
      <c r="L378" s="92">
        <f t="shared" si="104"/>
        <v>0</v>
      </c>
      <c r="M378" s="95" t="str">
        <f t="shared" si="105"/>
        <v/>
      </c>
      <c r="N378" s="126">
        <f t="shared" si="106"/>
        <v>0</v>
      </c>
      <c r="O378" s="92">
        <f t="shared" si="107"/>
        <v>0</v>
      </c>
      <c r="P378" s="95" t="str">
        <f t="shared" si="108"/>
        <v/>
      </c>
      <c r="Q378" s="126">
        <f t="shared" si="109"/>
        <v>0</v>
      </c>
      <c r="R378" s="92">
        <f t="shared" si="110"/>
        <v>0</v>
      </c>
      <c r="S378" s="95" t="str">
        <f t="shared" si="111"/>
        <v/>
      </c>
      <c r="T378" s="126">
        <f t="shared" si="112"/>
        <v>0</v>
      </c>
      <c r="U378" s="92">
        <f t="shared" si="113"/>
        <v>0</v>
      </c>
      <c r="V378" s="95" t="str">
        <f t="shared" si="114"/>
        <v/>
      </c>
      <c r="W378" s="126">
        <f t="shared" si="115"/>
        <v>0</v>
      </c>
      <c r="X378" s="92">
        <f t="shared" si="116"/>
        <v>0</v>
      </c>
      <c r="Y378" s="95" t="str">
        <f t="shared" si="117"/>
        <v/>
      </c>
      <c r="Z378" s="126">
        <f t="shared" si="118"/>
        <v>0</v>
      </c>
      <c r="AA378" s="92">
        <f t="shared" si="119"/>
        <v>0</v>
      </c>
      <c r="AB378" s="95" t="str">
        <f t="shared" si="120"/>
        <v/>
      </c>
      <c r="AC378" s="126">
        <f t="shared" si="121"/>
        <v>0</v>
      </c>
      <c r="AD378" s="92">
        <f t="shared" si="122"/>
        <v>0</v>
      </c>
      <c r="AE378" s="95" t="str">
        <f t="shared" si="123"/>
        <v/>
      </c>
      <c r="AF378" s="126">
        <f t="shared" si="124"/>
        <v>0</v>
      </c>
      <c r="AG378" s="92">
        <f t="shared" si="125"/>
        <v>0</v>
      </c>
      <c r="AH378" s="95" t="str">
        <f t="shared" si="126"/>
        <v/>
      </c>
      <c r="AI378" s="126">
        <f t="shared" si="127"/>
        <v>0</v>
      </c>
      <c r="AJ378" s="92">
        <f t="shared" si="128"/>
        <v>0</v>
      </c>
      <c r="AK378" s="95" t="str">
        <f t="shared" si="129"/>
        <v/>
      </c>
      <c r="AL378" s="126">
        <f t="shared" si="130"/>
        <v>0</v>
      </c>
      <c r="AM378" s="92">
        <f t="shared" si="131"/>
        <v>0</v>
      </c>
      <c r="AN378" s="95" t="str">
        <f t="shared" si="132"/>
        <v/>
      </c>
      <c r="AO378" s="95" t="str">
        <f t="shared" si="133"/>
        <v/>
      </c>
      <c r="AP378" s="83"/>
    </row>
    <row r="379" spans="1:44" outlineLevel="1" x14ac:dyDescent="0.25">
      <c r="A379" s="125">
        <f t="shared" si="93"/>
        <v>7</v>
      </c>
      <c r="B379" s="92">
        <f t="shared" si="94"/>
        <v>0</v>
      </c>
      <c r="C379" s="92">
        <f t="shared" si="95"/>
        <v>0</v>
      </c>
      <c r="D379" s="112" t="str">
        <f t="shared" si="96"/>
        <v/>
      </c>
      <c r="E379" s="126">
        <f t="shared" si="97"/>
        <v>0</v>
      </c>
      <c r="F379" s="92">
        <f t="shared" si="98"/>
        <v>0</v>
      </c>
      <c r="G379" s="95" t="str">
        <f t="shared" si="99"/>
        <v/>
      </c>
      <c r="H379" s="126">
        <f t="shared" si="100"/>
        <v>0</v>
      </c>
      <c r="I379" s="92">
        <f t="shared" si="101"/>
        <v>0</v>
      </c>
      <c r="J379" s="95" t="str">
        <f t="shared" si="102"/>
        <v/>
      </c>
      <c r="K379" s="126">
        <f t="shared" si="103"/>
        <v>0</v>
      </c>
      <c r="L379" s="92">
        <f t="shared" si="104"/>
        <v>0</v>
      </c>
      <c r="M379" s="95" t="str">
        <f t="shared" si="105"/>
        <v/>
      </c>
      <c r="N379" s="126">
        <f t="shared" si="106"/>
        <v>0</v>
      </c>
      <c r="O379" s="92">
        <f t="shared" si="107"/>
        <v>0</v>
      </c>
      <c r="P379" s="95" t="str">
        <f t="shared" si="108"/>
        <v/>
      </c>
      <c r="Q379" s="126">
        <f t="shared" si="109"/>
        <v>0</v>
      </c>
      <c r="R379" s="92">
        <f t="shared" si="110"/>
        <v>0</v>
      </c>
      <c r="S379" s="95" t="str">
        <f t="shared" si="111"/>
        <v/>
      </c>
      <c r="T379" s="126">
        <f t="shared" si="112"/>
        <v>0</v>
      </c>
      <c r="U379" s="92">
        <f t="shared" si="113"/>
        <v>0</v>
      </c>
      <c r="V379" s="95" t="str">
        <f t="shared" si="114"/>
        <v/>
      </c>
      <c r="W379" s="126">
        <f t="shared" si="115"/>
        <v>0</v>
      </c>
      <c r="X379" s="92">
        <f t="shared" si="116"/>
        <v>0</v>
      </c>
      <c r="Y379" s="95" t="str">
        <f t="shared" si="117"/>
        <v/>
      </c>
      <c r="Z379" s="126">
        <f t="shared" si="118"/>
        <v>0</v>
      </c>
      <c r="AA379" s="92">
        <f t="shared" si="119"/>
        <v>0</v>
      </c>
      <c r="AB379" s="95" t="str">
        <f t="shared" si="120"/>
        <v/>
      </c>
      <c r="AC379" s="126">
        <f t="shared" si="121"/>
        <v>0</v>
      </c>
      <c r="AD379" s="92">
        <f t="shared" si="122"/>
        <v>0</v>
      </c>
      <c r="AE379" s="95" t="str">
        <f t="shared" si="123"/>
        <v/>
      </c>
      <c r="AF379" s="126">
        <f t="shared" si="124"/>
        <v>0</v>
      </c>
      <c r="AG379" s="92">
        <f t="shared" si="125"/>
        <v>0</v>
      </c>
      <c r="AH379" s="95" t="str">
        <f t="shared" si="126"/>
        <v/>
      </c>
      <c r="AI379" s="126">
        <f t="shared" si="127"/>
        <v>0</v>
      </c>
      <c r="AJ379" s="92">
        <f t="shared" si="128"/>
        <v>0</v>
      </c>
      <c r="AK379" s="95" t="str">
        <f t="shared" si="129"/>
        <v/>
      </c>
      <c r="AL379" s="126">
        <f t="shared" si="130"/>
        <v>0</v>
      </c>
      <c r="AM379" s="92">
        <f t="shared" si="131"/>
        <v>0</v>
      </c>
      <c r="AN379" s="95" t="str">
        <f t="shared" si="132"/>
        <v/>
      </c>
      <c r="AO379" s="95" t="str">
        <f t="shared" si="133"/>
        <v/>
      </c>
      <c r="AP379" s="83"/>
    </row>
    <row r="380" spans="1:44" outlineLevel="1" x14ac:dyDescent="0.25">
      <c r="A380" s="125">
        <f t="shared" si="93"/>
        <v>8</v>
      </c>
      <c r="B380" s="92">
        <f t="shared" si="94"/>
        <v>0</v>
      </c>
      <c r="C380" s="92">
        <f t="shared" si="95"/>
        <v>0</v>
      </c>
      <c r="D380" s="112" t="str">
        <f t="shared" si="96"/>
        <v/>
      </c>
      <c r="E380" s="126">
        <f t="shared" si="97"/>
        <v>0</v>
      </c>
      <c r="F380" s="92">
        <f t="shared" si="98"/>
        <v>0</v>
      </c>
      <c r="G380" s="95" t="str">
        <f t="shared" si="99"/>
        <v/>
      </c>
      <c r="H380" s="126">
        <f t="shared" si="100"/>
        <v>0</v>
      </c>
      <c r="I380" s="92">
        <f t="shared" si="101"/>
        <v>0</v>
      </c>
      <c r="J380" s="95" t="str">
        <f t="shared" si="102"/>
        <v/>
      </c>
      <c r="K380" s="126">
        <f t="shared" si="103"/>
        <v>0</v>
      </c>
      <c r="L380" s="92">
        <f t="shared" si="104"/>
        <v>0</v>
      </c>
      <c r="M380" s="95" t="str">
        <f t="shared" si="105"/>
        <v/>
      </c>
      <c r="N380" s="126">
        <f t="shared" si="106"/>
        <v>0</v>
      </c>
      <c r="O380" s="92">
        <f t="shared" si="107"/>
        <v>0</v>
      </c>
      <c r="P380" s="95" t="str">
        <f t="shared" si="108"/>
        <v/>
      </c>
      <c r="Q380" s="126">
        <f t="shared" si="109"/>
        <v>0</v>
      </c>
      <c r="R380" s="92">
        <f t="shared" si="110"/>
        <v>0</v>
      </c>
      <c r="S380" s="95" t="str">
        <f t="shared" si="111"/>
        <v/>
      </c>
      <c r="T380" s="126">
        <f t="shared" si="112"/>
        <v>0</v>
      </c>
      <c r="U380" s="92">
        <f t="shared" si="113"/>
        <v>0</v>
      </c>
      <c r="V380" s="95" t="str">
        <f t="shared" si="114"/>
        <v/>
      </c>
      <c r="W380" s="126">
        <f t="shared" si="115"/>
        <v>0</v>
      </c>
      <c r="X380" s="92">
        <f t="shared" si="116"/>
        <v>0</v>
      </c>
      <c r="Y380" s="95" t="str">
        <f t="shared" si="117"/>
        <v/>
      </c>
      <c r="Z380" s="126">
        <f t="shared" si="118"/>
        <v>0</v>
      </c>
      <c r="AA380" s="92">
        <f t="shared" si="119"/>
        <v>0</v>
      </c>
      <c r="AB380" s="95" t="str">
        <f t="shared" si="120"/>
        <v/>
      </c>
      <c r="AC380" s="126">
        <f t="shared" si="121"/>
        <v>0</v>
      </c>
      <c r="AD380" s="92">
        <f t="shared" si="122"/>
        <v>0</v>
      </c>
      <c r="AE380" s="95" t="str">
        <f t="shared" si="123"/>
        <v/>
      </c>
      <c r="AF380" s="126">
        <f t="shared" si="124"/>
        <v>0</v>
      </c>
      <c r="AG380" s="92">
        <f t="shared" si="125"/>
        <v>0</v>
      </c>
      <c r="AH380" s="95" t="str">
        <f t="shared" si="126"/>
        <v/>
      </c>
      <c r="AI380" s="126">
        <f t="shared" si="127"/>
        <v>0</v>
      </c>
      <c r="AJ380" s="92">
        <f t="shared" si="128"/>
        <v>0</v>
      </c>
      <c r="AK380" s="95" t="str">
        <f t="shared" si="129"/>
        <v/>
      </c>
      <c r="AL380" s="126">
        <f t="shared" si="130"/>
        <v>0</v>
      </c>
      <c r="AM380" s="92">
        <f t="shared" si="131"/>
        <v>0</v>
      </c>
      <c r="AN380" s="95" t="str">
        <f t="shared" si="132"/>
        <v/>
      </c>
      <c r="AO380" s="95" t="str">
        <f t="shared" si="133"/>
        <v/>
      </c>
      <c r="AP380" s="83"/>
    </row>
    <row r="381" spans="1:44" outlineLevel="1" x14ac:dyDescent="0.25">
      <c r="A381" s="125">
        <f t="shared" si="93"/>
        <v>9</v>
      </c>
      <c r="B381" s="92">
        <f t="shared" si="94"/>
        <v>0</v>
      </c>
      <c r="C381" s="92">
        <f t="shared" si="95"/>
        <v>0</v>
      </c>
      <c r="D381" s="112" t="str">
        <f t="shared" si="96"/>
        <v/>
      </c>
      <c r="E381" s="126">
        <f t="shared" si="97"/>
        <v>0</v>
      </c>
      <c r="F381" s="92">
        <f t="shared" si="98"/>
        <v>0</v>
      </c>
      <c r="G381" s="95" t="str">
        <f t="shared" si="99"/>
        <v/>
      </c>
      <c r="H381" s="126">
        <f t="shared" si="100"/>
        <v>0</v>
      </c>
      <c r="I381" s="92">
        <f t="shared" si="101"/>
        <v>0</v>
      </c>
      <c r="J381" s="95" t="str">
        <f t="shared" si="102"/>
        <v/>
      </c>
      <c r="K381" s="126">
        <f t="shared" si="103"/>
        <v>0</v>
      </c>
      <c r="L381" s="92">
        <f t="shared" si="104"/>
        <v>0</v>
      </c>
      <c r="M381" s="95" t="str">
        <f t="shared" si="105"/>
        <v/>
      </c>
      <c r="N381" s="126">
        <f t="shared" si="106"/>
        <v>0</v>
      </c>
      <c r="O381" s="92">
        <f t="shared" si="107"/>
        <v>0</v>
      </c>
      <c r="P381" s="95" t="str">
        <f t="shared" si="108"/>
        <v/>
      </c>
      <c r="Q381" s="126">
        <f t="shared" si="109"/>
        <v>0</v>
      </c>
      <c r="R381" s="92">
        <f t="shared" si="110"/>
        <v>0</v>
      </c>
      <c r="S381" s="95" t="str">
        <f t="shared" si="111"/>
        <v/>
      </c>
      <c r="T381" s="126">
        <f t="shared" si="112"/>
        <v>0</v>
      </c>
      <c r="U381" s="92">
        <f t="shared" si="113"/>
        <v>0</v>
      </c>
      <c r="V381" s="95" t="str">
        <f t="shared" si="114"/>
        <v/>
      </c>
      <c r="W381" s="126">
        <f t="shared" si="115"/>
        <v>0</v>
      </c>
      <c r="X381" s="92">
        <f t="shared" si="116"/>
        <v>0</v>
      </c>
      <c r="Y381" s="95" t="str">
        <f t="shared" si="117"/>
        <v/>
      </c>
      <c r="Z381" s="126">
        <f t="shared" si="118"/>
        <v>0</v>
      </c>
      <c r="AA381" s="92">
        <f t="shared" si="119"/>
        <v>0</v>
      </c>
      <c r="AB381" s="95" t="str">
        <f t="shared" si="120"/>
        <v/>
      </c>
      <c r="AC381" s="126">
        <f t="shared" si="121"/>
        <v>0</v>
      </c>
      <c r="AD381" s="92">
        <f t="shared" si="122"/>
        <v>0</v>
      </c>
      <c r="AE381" s="95" t="str">
        <f t="shared" si="123"/>
        <v/>
      </c>
      <c r="AF381" s="126">
        <f t="shared" si="124"/>
        <v>0</v>
      </c>
      <c r="AG381" s="92">
        <f t="shared" si="125"/>
        <v>0</v>
      </c>
      <c r="AH381" s="95" t="str">
        <f t="shared" si="126"/>
        <v/>
      </c>
      <c r="AI381" s="126">
        <f t="shared" si="127"/>
        <v>0</v>
      </c>
      <c r="AJ381" s="92">
        <f t="shared" si="128"/>
        <v>0</v>
      </c>
      <c r="AK381" s="95" t="str">
        <f t="shared" si="129"/>
        <v/>
      </c>
      <c r="AL381" s="126">
        <f t="shared" si="130"/>
        <v>0</v>
      </c>
      <c r="AM381" s="92">
        <f t="shared" si="131"/>
        <v>0</v>
      </c>
      <c r="AN381" s="95" t="str">
        <f t="shared" si="132"/>
        <v/>
      </c>
      <c r="AO381" s="95" t="str">
        <f t="shared" si="133"/>
        <v/>
      </c>
      <c r="AP381" s="83"/>
    </row>
    <row r="382" spans="1:44" outlineLevel="1" x14ac:dyDescent="0.25">
      <c r="A382" s="125">
        <f t="shared" si="93"/>
        <v>10</v>
      </c>
      <c r="B382" s="92">
        <f t="shared" si="94"/>
        <v>60913</v>
      </c>
      <c r="C382" s="92">
        <f t="shared" si="95"/>
        <v>67990</v>
      </c>
      <c r="D382" s="112">
        <f t="shared" si="96"/>
        <v>1.1161820957759427</v>
      </c>
      <c r="E382" s="126">
        <f t="shared" si="97"/>
        <v>0</v>
      </c>
      <c r="F382" s="92">
        <f t="shared" si="98"/>
        <v>0</v>
      </c>
      <c r="G382" s="95" t="str">
        <f t="shared" si="99"/>
        <v/>
      </c>
      <c r="H382" s="126">
        <f t="shared" si="100"/>
        <v>0</v>
      </c>
      <c r="I382" s="92">
        <f t="shared" si="101"/>
        <v>0</v>
      </c>
      <c r="J382" s="95" t="str">
        <f t="shared" si="102"/>
        <v/>
      </c>
      <c r="K382" s="126">
        <f t="shared" si="103"/>
        <v>14</v>
      </c>
      <c r="L382" s="92">
        <f t="shared" si="104"/>
        <v>13</v>
      </c>
      <c r="M382" s="95">
        <f t="shared" si="105"/>
        <v>0.9285714285714286</v>
      </c>
      <c r="N382" s="126">
        <f t="shared" si="106"/>
        <v>10</v>
      </c>
      <c r="O382" s="92">
        <f t="shared" si="107"/>
        <v>10</v>
      </c>
      <c r="P382" s="95">
        <f t="shared" si="108"/>
        <v>1</v>
      </c>
      <c r="Q382" s="126">
        <f t="shared" si="109"/>
        <v>41958</v>
      </c>
      <c r="R382" s="92">
        <f t="shared" si="110"/>
        <v>32686</v>
      </c>
      <c r="S382" s="95">
        <f t="shared" si="111"/>
        <v>0.77901711235044568</v>
      </c>
      <c r="T382" s="126">
        <f t="shared" si="112"/>
        <v>2200</v>
      </c>
      <c r="U382" s="92">
        <f t="shared" si="113"/>
        <v>1696</v>
      </c>
      <c r="V382" s="95">
        <f t="shared" si="114"/>
        <v>0.77090909090909088</v>
      </c>
      <c r="W382" s="126">
        <f t="shared" si="115"/>
        <v>0</v>
      </c>
      <c r="X382" s="92">
        <f t="shared" si="116"/>
        <v>0</v>
      </c>
      <c r="Y382" s="95" t="str">
        <f t="shared" si="117"/>
        <v/>
      </c>
      <c r="Z382" s="126">
        <f t="shared" si="118"/>
        <v>200000</v>
      </c>
      <c r="AA382" s="92">
        <f t="shared" si="119"/>
        <v>210680</v>
      </c>
      <c r="AB382" s="95">
        <f t="shared" si="120"/>
        <v>1.0533999999999999</v>
      </c>
      <c r="AC382" s="126">
        <f t="shared" si="121"/>
        <v>220000</v>
      </c>
      <c r="AD382" s="92">
        <f t="shared" si="122"/>
        <v>231480</v>
      </c>
      <c r="AE382" s="95">
        <f t="shared" si="123"/>
        <v>1.0521818181818181</v>
      </c>
      <c r="AF382" s="126">
        <f t="shared" si="124"/>
        <v>2070</v>
      </c>
      <c r="AG382" s="92">
        <f t="shared" si="125"/>
        <v>2140.9700000000003</v>
      </c>
      <c r="AH382" s="95">
        <f t="shared" si="126"/>
        <v>1.0342850241545896</v>
      </c>
      <c r="AI382" s="126">
        <f t="shared" si="127"/>
        <v>1200</v>
      </c>
      <c r="AJ382" s="92">
        <f t="shared" si="128"/>
        <v>1183</v>
      </c>
      <c r="AK382" s="95">
        <f t="shared" si="129"/>
        <v>0.98583333333333334</v>
      </c>
      <c r="AL382" s="126">
        <f t="shared" si="130"/>
        <v>788</v>
      </c>
      <c r="AM382" s="92">
        <f t="shared" si="131"/>
        <v>839</v>
      </c>
      <c r="AN382" s="95">
        <f t="shared" si="132"/>
        <v>1.0647208121827412</v>
      </c>
      <c r="AO382" s="95">
        <f t="shared" si="133"/>
        <v>0.97851007154593916</v>
      </c>
      <c r="AP382" s="83"/>
    </row>
    <row r="383" spans="1:44" outlineLevel="1" x14ac:dyDescent="0.25">
      <c r="A383" s="125">
        <f t="shared" si="93"/>
        <v>11</v>
      </c>
      <c r="B383" s="92">
        <f t="shared" si="94"/>
        <v>63532</v>
      </c>
      <c r="C383" s="92">
        <f t="shared" si="95"/>
        <v>53826</v>
      </c>
      <c r="D383" s="112">
        <f t="shared" si="96"/>
        <v>0.84722659447207704</v>
      </c>
      <c r="E383" s="126">
        <f t="shared" si="97"/>
        <v>0</v>
      </c>
      <c r="F383" s="92">
        <f t="shared" si="98"/>
        <v>0</v>
      </c>
      <c r="G383" s="95" t="str">
        <f t="shared" si="99"/>
        <v/>
      </c>
      <c r="H383" s="126">
        <f t="shared" si="100"/>
        <v>0</v>
      </c>
      <c r="I383" s="92">
        <f t="shared" si="101"/>
        <v>0</v>
      </c>
      <c r="J383" s="95" t="str">
        <f t="shared" si="102"/>
        <v/>
      </c>
      <c r="K383" s="126">
        <f t="shared" si="103"/>
        <v>7</v>
      </c>
      <c r="L383" s="92">
        <f t="shared" si="104"/>
        <v>7</v>
      </c>
      <c r="M383" s="95">
        <f t="shared" si="105"/>
        <v>1</v>
      </c>
      <c r="N383" s="126">
        <f t="shared" si="106"/>
        <v>6</v>
      </c>
      <c r="O383" s="92">
        <f t="shared" si="107"/>
        <v>6</v>
      </c>
      <c r="P383" s="95">
        <f t="shared" si="108"/>
        <v>1</v>
      </c>
      <c r="Q383" s="126">
        <f t="shared" si="109"/>
        <v>32000</v>
      </c>
      <c r="R383" s="92">
        <f t="shared" si="110"/>
        <v>39299</v>
      </c>
      <c r="S383" s="95">
        <f t="shared" si="111"/>
        <v>1.22809375</v>
      </c>
      <c r="T383" s="126">
        <f t="shared" si="112"/>
        <v>1970</v>
      </c>
      <c r="U383" s="92">
        <f t="shared" si="113"/>
        <v>1692.95</v>
      </c>
      <c r="V383" s="95">
        <f t="shared" si="114"/>
        <v>0.85936548223350251</v>
      </c>
      <c r="W383" s="126">
        <f t="shared" si="115"/>
        <v>15000</v>
      </c>
      <c r="X383" s="92">
        <f t="shared" si="116"/>
        <v>15385</v>
      </c>
      <c r="Y383" s="95">
        <f t="shared" si="117"/>
        <v>1.0256666666666667</v>
      </c>
      <c r="Z383" s="126">
        <f t="shared" si="118"/>
        <v>0</v>
      </c>
      <c r="AA383" s="92">
        <f t="shared" si="119"/>
        <v>0</v>
      </c>
      <c r="AB383" s="95" t="str">
        <f t="shared" si="120"/>
        <v/>
      </c>
      <c r="AC383" s="126">
        <f t="shared" si="121"/>
        <v>0</v>
      </c>
      <c r="AD383" s="92">
        <f t="shared" si="122"/>
        <v>0</v>
      </c>
      <c r="AE383" s="95" t="str">
        <f t="shared" si="123"/>
        <v/>
      </c>
      <c r="AF383" s="126">
        <f t="shared" si="124"/>
        <v>1600</v>
      </c>
      <c r="AG383" s="92">
        <f t="shared" si="125"/>
        <v>1645.65</v>
      </c>
      <c r="AH383" s="95">
        <f t="shared" si="126"/>
        <v>1.0285312500000001</v>
      </c>
      <c r="AI383" s="126">
        <f t="shared" si="127"/>
        <v>0</v>
      </c>
      <c r="AJ383" s="92">
        <f t="shared" si="128"/>
        <v>0</v>
      </c>
      <c r="AK383" s="95" t="str">
        <f t="shared" si="129"/>
        <v/>
      </c>
      <c r="AL383" s="126">
        <f t="shared" si="130"/>
        <v>200</v>
      </c>
      <c r="AM383" s="92">
        <f t="shared" si="131"/>
        <v>219</v>
      </c>
      <c r="AN383" s="95">
        <f t="shared" si="132"/>
        <v>1.095</v>
      </c>
      <c r="AO383" s="95">
        <f t="shared" si="133"/>
        <v>1.0104854679215309</v>
      </c>
      <c r="AP383" s="83"/>
    </row>
    <row r="384" spans="1:44" outlineLevel="1" x14ac:dyDescent="0.25">
      <c r="A384" s="125">
        <f t="shared" si="93"/>
        <v>12</v>
      </c>
      <c r="B384" s="92">
        <f t="shared" si="94"/>
        <v>10000</v>
      </c>
      <c r="C384" s="92">
        <f t="shared" si="95"/>
        <v>10803</v>
      </c>
      <c r="D384" s="112">
        <f t="shared" si="96"/>
        <v>1.0803</v>
      </c>
      <c r="E384" s="126">
        <f t="shared" si="97"/>
        <v>0</v>
      </c>
      <c r="F384" s="92">
        <f t="shared" si="98"/>
        <v>0</v>
      </c>
      <c r="G384" s="95" t="str">
        <f t="shared" si="99"/>
        <v/>
      </c>
      <c r="H384" s="126">
        <f t="shared" si="100"/>
        <v>0</v>
      </c>
      <c r="I384" s="92">
        <f t="shared" si="101"/>
        <v>0</v>
      </c>
      <c r="J384" s="95" t="str">
        <f t="shared" si="102"/>
        <v/>
      </c>
      <c r="K384" s="126">
        <f t="shared" si="103"/>
        <v>1</v>
      </c>
      <c r="L384" s="92">
        <f t="shared" si="104"/>
        <v>1</v>
      </c>
      <c r="M384" s="95">
        <f t="shared" si="105"/>
        <v>1</v>
      </c>
      <c r="N384" s="126">
        <f t="shared" si="106"/>
        <v>2</v>
      </c>
      <c r="O384" s="92">
        <f t="shared" si="107"/>
        <v>2</v>
      </c>
      <c r="P384" s="95">
        <f t="shared" si="108"/>
        <v>1</v>
      </c>
      <c r="Q384" s="126">
        <f t="shared" si="109"/>
        <v>4500</v>
      </c>
      <c r="R384" s="92">
        <f t="shared" si="110"/>
        <v>3594</v>
      </c>
      <c r="S384" s="95">
        <f t="shared" si="111"/>
        <v>0.79866666666666664</v>
      </c>
      <c r="T384" s="126">
        <f t="shared" si="112"/>
        <v>800</v>
      </c>
      <c r="U384" s="92">
        <f t="shared" si="113"/>
        <v>1222.6499999999999</v>
      </c>
      <c r="V384" s="95">
        <f t="shared" si="114"/>
        <v>1.5283124999999997</v>
      </c>
      <c r="W384" s="126">
        <f t="shared" si="115"/>
        <v>0</v>
      </c>
      <c r="X384" s="92">
        <f t="shared" si="116"/>
        <v>0</v>
      </c>
      <c r="Y384" s="95" t="str">
        <f t="shared" si="117"/>
        <v/>
      </c>
      <c r="Z384" s="126">
        <f t="shared" si="118"/>
        <v>0</v>
      </c>
      <c r="AA384" s="92">
        <f t="shared" si="119"/>
        <v>0</v>
      </c>
      <c r="AB384" s="95" t="str">
        <f t="shared" si="120"/>
        <v/>
      </c>
      <c r="AC384" s="126">
        <f t="shared" si="121"/>
        <v>0</v>
      </c>
      <c r="AD384" s="92">
        <f t="shared" si="122"/>
        <v>0</v>
      </c>
      <c r="AE384" s="95" t="str">
        <f t="shared" si="123"/>
        <v/>
      </c>
      <c r="AF384" s="126">
        <f t="shared" si="124"/>
        <v>600</v>
      </c>
      <c r="AG384" s="92">
        <f t="shared" si="125"/>
        <v>572</v>
      </c>
      <c r="AH384" s="95">
        <f t="shared" si="126"/>
        <v>0.95333333333333337</v>
      </c>
      <c r="AI384" s="126">
        <f t="shared" si="127"/>
        <v>0</v>
      </c>
      <c r="AJ384" s="92">
        <f t="shared" si="128"/>
        <v>0</v>
      </c>
      <c r="AK384" s="95" t="str">
        <f t="shared" si="129"/>
        <v/>
      </c>
      <c r="AL384" s="126">
        <f t="shared" si="130"/>
        <v>0</v>
      </c>
      <c r="AM384" s="92">
        <f t="shared" si="131"/>
        <v>0</v>
      </c>
      <c r="AN384" s="95" t="str">
        <f t="shared" si="132"/>
        <v/>
      </c>
      <c r="AO384" s="95">
        <f t="shared" si="133"/>
        <v>1.0601020833333334</v>
      </c>
      <c r="AP384" s="83"/>
    </row>
    <row r="385" spans="1:42" outlineLevel="1" x14ac:dyDescent="0.25">
      <c r="A385" s="125">
        <f t="shared" si="93"/>
        <v>13</v>
      </c>
      <c r="B385" s="92">
        <f t="shared" si="94"/>
        <v>0</v>
      </c>
      <c r="C385" s="92">
        <f t="shared" si="95"/>
        <v>0</v>
      </c>
      <c r="D385" s="112" t="str">
        <f t="shared" si="96"/>
        <v/>
      </c>
      <c r="E385" s="126">
        <f t="shared" si="97"/>
        <v>0</v>
      </c>
      <c r="F385" s="92">
        <f t="shared" si="98"/>
        <v>0</v>
      </c>
      <c r="G385" s="95" t="str">
        <f t="shared" si="99"/>
        <v/>
      </c>
      <c r="H385" s="126">
        <f t="shared" si="100"/>
        <v>0</v>
      </c>
      <c r="I385" s="92">
        <f t="shared" si="101"/>
        <v>0</v>
      </c>
      <c r="J385" s="95" t="str">
        <f t="shared" si="102"/>
        <v/>
      </c>
      <c r="K385" s="126">
        <f t="shared" si="103"/>
        <v>0</v>
      </c>
      <c r="L385" s="92">
        <f t="shared" si="104"/>
        <v>0</v>
      </c>
      <c r="M385" s="95" t="str">
        <f t="shared" si="105"/>
        <v/>
      </c>
      <c r="N385" s="126">
        <f t="shared" si="106"/>
        <v>0</v>
      </c>
      <c r="O385" s="92">
        <f t="shared" si="107"/>
        <v>0</v>
      </c>
      <c r="P385" s="95" t="str">
        <f t="shared" si="108"/>
        <v/>
      </c>
      <c r="Q385" s="126">
        <f t="shared" si="109"/>
        <v>0</v>
      </c>
      <c r="R385" s="92">
        <f t="shared" si="110"/>
        <v>0</v>
      </c>
      <c r="S385" s="95" t="str">
        <f t="shared" si="111"/>
        <v/>
      </c>
      <c r="T385" s="126">
        <f t="shared" si="112"/>
        <v>0</v>
      </c>
      <c r="U385" s="92">
        <f t="shared" si="113"/>
        <v>0</v>
      </c>
      <c r="V385" s="95" t="str">
        <f t="shared" si="114"/>
        <v/>
      </c>
      <c r="W385" s="126">
        <f t="shared" si="115"/>
        <v>0</v>
      </c>
      <c r="X385" s="92">
        <f t="shared" si="116"/>
        <v>0</v>
      </c>
      <c r="Y385" s="95" t="str">
        <f t="shared" si="117"/>
        <v/>
      </c>
      <c r="Z385" s="126">
        <f t="shared" si="118"/>
        <v>0</v>
      </c>
      <c r="AA385" s="92">
        <f t="shared" si="119"/>
        <v>0</v>
      </c>
      <c r="AB385" s="95" t="str">
        <f t="shared" si="120"/>
        <v/>
      </c>
      <c r="AC385" s="126">
        <f t="shared" si="121"/>
        <v>0</v>
      </c>
      <c r="AD385" s="92">
        <f t="shared" si="122"/>
        <v>0</v>
      </c>
      <c r="AE385" s="95" t="str">
        <f t="shared" si="123"/>
        <v/>
      </c>
      <c r="AF385" s="126">
        <f t="shared" si="124"/>
        <v>0</v>
      </c>
      <c r="AG385" s="92">
        <f t="shared" si="125"/>
        <v>0</v>
      </c>
      <c r="AH385" s="95" t="str">
        <f t="shared" si="126"/>
        <v/>
      </c>
      <c r="AI385" s="126">
        <f t="shared" si="127"/>
        <v>0</v>
      </c>
      <c r="AJ385" s="92">
        <f t="shared" si="128"/>
        <v>0</v>
      </c>
      <c r="AK385" s="95" t="str">
        <f t="shared" si="129"/>
        <v/>
      </c>
      <c r="AL385" s="126">
        <f t="shared" si="130"/>
        <v>0</v>
      </c>
      <c r="AM385" s="92">
        <f t="shared" si="131"/>
        <v>0</v>
      </c>
      <c r="AN385" s="95" t="str">
        <f t="shared" si="132"/>
        <v/>
      </c>
      <c r="AO385" s="95" t="str">
        <f t="shared" si="133"/>
        <v/>
      </c>
      <c r="AP385" s="83"/>
    </row>
    <row r="386" spans="1:42" outlineLevel="1" x14ac:dyDescent="0.25">
      <c r="A386" s="125">
        <f t="shared" si="93"/>
        <v>14</v>
      </c>
      <c r="B386" s="92">
        <f t="shared" si="94"/>
        <v>0</v>
      </c>
      <c r="C386" s="92">
        <f t="shared" si="95"/>
        <v>0</v>
      </c>
      <c r="D386" s="112" t="str">
        <f t="shared" si="96"/>
        <v/>
      </c>
      <c r="E386" s="126">
        <f t="shared" si="97"/>
        <v>0</v>
      </c>
      <c r="F386" s="92">
        <f t="shared" si="98"/>
        <v>0</v>
      </c>
      <c r="G386" s="95" t="str">
        <f t="shared" si="99"/>
        <v/>
      </c>
      <c r="H386" s="126">
        <f t="shared" si="100"/>
        <v>0</v>
      </c>
      <c r="I386" s="92">
        <f t="shared" si="101"/>
        <v>0</v>
      </c>
      <c r="J386" s="95" t="str">
        <f t="shared" si="102"/>
        <v/>
      </c>
      <c r="K386" s="126">
        <f t="shared" si="103"/>
        <v>0</v>
      </c>
      <c r="L386" s="92">
        <f t="shared" si="104"/>
        <v>0</v>
      </c>
      <c r="M386" s="95" t="str">
        <f t="shared" si="105"/>
        <v/>
      </c>
      <c r="N386" s="126">
        <f t="shared" si="106"/>
        <v>0</v>
      </c>
      <c r="O386" s="92">
        <f t="shared" si="107"/>
        <v>0</v>
      </c>
      <c r="P386" s="95" t="str">
        <f t="shared" si="108"/>
        <v/>
      </c>
      <c r="Q386" s="126">
        <f t="shared" si="109"/>
        <v>0</v>
      </c>
      <c r="R386" s="92">
        <f t="shared" si="110"/>
        <v>0</v>
      </c>
      <c r="S386" s="95" t="str">
        <f t="shared" si="111"/>
        <v/>
      </c>
      <c r="T386" s="126">
        <f t="shared" si="112"/>
        <v>0</v>
      </c>
      <c r="U386" s="92">
        <f t="shared" si="113"/>
        <v>0</v>
      </c>
      <c r="V386" s="95" t="str">
        <f t="shared" si="114"/>
        <v/>
      </c>
      <c r="W386" s="126">
        <f t="shared" si="115"/>
        <v>0</v>
      </c>
      <c r="X386" s="92">
        <f t="shared" si="116"/>
        <v>0</v>
      </c>
      <c r="Y386" s="95" t="str">
        <f t="shared" si="117"/>
        <v/>
      </c>
      <c r="Z386" s="126">
        <f t="shared" si="118"/>
        <v>0</v>
      </c>
      <c r="AA386" s="92">
        <f t="shared" si="119"/>
        <v>0</v>
      </c>
      <c r="AB386" s="95" t="str">
        <f t="shared" si="120"/>
        <v/>
      </c>
      <c r="AC386" s="126">
        <f t="shared" si="121"/>
        <v>0</v>
      </c>
      <c r="AD386" s="92">
        <f t="shared" si="122"/>
        <v>0</v>
      </c>
      <c r="AE386" s="95" t="str">
        <f t="shared" si="123"/>
        <v/>
      </c>
      <c r="AF386" s="126">
        <f t="shared" si="124"/>
        <v>0</v>
      </c>
      <c r="AG386" s="92">
        <f t="shared" si="125"/>
        <v>0</v>
      </c>
      <c r="AH386" s="95" t="str">
        <f t="shared" si="126"/>
        <v/>
      </c>
      <c r="AI386" s="126">
        <f t="shared" si="127"/>
        <v>0</v>
      </c>
      <c r="AJ386" s="92">
        <f t="shared" si="128"/>
        <v>0</v>
      </c>
      <c r="AK386" s="95" t="str">
        <f t="shared" si="129"/>
        <v/>
      </c>
      <c r="AL386" s="126">
        <f t="shared" si="130"/>
        <v>0</v>
      </c>
      <c r="AM386" s="92">
        <f t="shared" si="131"/>
        <v>0</v>
      </c>
      <c r="AN386" s="95" t="str">
        <f t="shared" si="132"/>
        <v/>
      </c>
      <c r="AO386" s="95" t="str">
        <f t="shared" si="133"/>
        <v/>
      </c>
      <c r="AP386" s="83"/>
    </row>
    <row r="387" spans="1:42" outlineLevel="1" x14ac:dyDescent="0.25">
      <c r="A387" s="125">
        <f t="shared" si="93"/>
        <v>15</v>
      </c>
      <c r="B387" s="92">
        <f t="shared" si="94"/>
        <v>0</v>
      </c>
      <c r="C387" s="92">
        <f t="shared" si="95"/>
        <v>0</v>
      </c>
      <c r="D387" s="112" t="str">
        <f t="shared" si="96"/>
        <v/>
      </c>
      <c r="E387" s="126">
        <f t="shared" si="97"/>
        <v>0</v>
      </c>
      <c r="F387" s="92">
        <f t="shared" si="98"/>
        <v>0</v>
      </c>
      <c r="G387" s="95" t="str">
        <f t="shared" si="99"/>
        <v/>
      </c>
      <c r="H387" s="126">
        <f t="shared" si="100"/>
        <v>0</v>
      </c>
      <c r="I387" s="92">
        <f t="shared" si="101"/>
        <v>0</v>
      </c>
      <c r="J387" s="95" t="str">
        <f t="shared" si="102"/>
        <v/>
      </c>
      <c r="K387" s="126">
        <f t="shared" si="103"/>
        <v>0</v>
      </c>
      <c r="L387" s="92">
        <f t="shared" si="104"/>
        <v>0</v>
      </c>
      <c r="M387" s="95" t="str">
        <f t="shared" si="105"/>
        <v/>
      </c>
      <c r="N387" s="126">
        <f t="shared" si="106"/>
        <v>0</v>
      </c>
      <c r="O387" s="92">
        <f t="shared" si="107"/>
        <v>0</v>
      </c>
      <c r="P387" s="95" t="str">
        <f t="shared" si="108"/>
        <v/>
      </c>
      <c r="Q387" s="126">
        <f t="shared" si="109"/>
        <v>0</v>
      </c>
      <c r="R387" s="92">
        <f t="shared" si="110"/>
        <v>0</v>
      </c>
      <c r="S387" s="95" t="str">
        <f t="shared" si="111"/>
        <v/>
      </c>
      <c r="T387" s="126">
        <f t="shared" si="112"/>
        <v>0</v>
      </c>
      <c r="U387" s="92">
        <f t="shared" si="113"/>
        <v>0</v>
      </c>
      <c r="V387" s="95" t="str">
        <f t="shared" si="114"/>
        <v/>
      </c>
      <c r="W387" s="126">
        <f t="shared" si="115"/>
        <v>0</v>
      </c>
      <c r="X387" s="92">
        <f t="shared" si="116"/>
        <v>0</v>
      </c>
      <c r="Y387" s="95" t="str">
        <f t="shared" si="117"/>
        <v/>
      </c>
      <c r="Z387" s="126">
        <f t="shared" si="118"/>
        <v>0</v>
      </c>
      <c r="AA387" s="92">
        <f t="shared" si="119"/>
        <v>0</v>
      </c>
      <c r="AB387" s="95" t="str">
        <f t="shared" si="120"/>
        <v/>
      </c>
      <c r="AC387" s="126">
        <f t="shared" si="121"/>
        <v>0</v>
      </c>
      <c r="AD387" s="92">
        <f t="shared" si="122"/>
        <v>0</v>
      </c>
      <c r="AE387" s="95" t="str">
        <f t="shared" si="123"/>
        <v/>
      </c>
      <c r="AF387" s="126">
        <f t="shared" si="124"/>
        <v>0</v>
      </c>
      <c r="AG387" s="92">
        <f t="shared" si="125"/>
        <v>0</v>
      </c>
      <c r="AH387" s="95" t="str">
        <f t="shared" si="126"/>
        <v/>
      </c>
      <c r="AI387" s="126">
        <f t="shared" si="127"/>
        <v>0</v>
      </c>
      <c r="AJ387" s="92">
        <f t="shared" si="128"/>
        <v>0</v>
      </c>
      <c r="AK387" s="95" t="str">
        <f t="shared" si="129"/>
        <v/>
      </c>
      <c r="AL387" s="126">
        <f t="shared" si="130"/>
        <v>0</v>
      </c>
      <c r="AM387" s="92">
        <f t="shared" si="131"/>
        <v>0</v>
      </c>
      <c r="AN387" s="95" t="str">
        <f t="shared" si="132"/>
        <v/>
      </c>
      <c r="AO387" s="95" t="str">
        <f t="shared" si="133"/>
        <v/>
      </c>
      <c r="AP387" s="83"/>
    </row>
    <row r="388" spans="1:42" outlineLevel="1" x14ac:dyDescent="0.25">
      <c r="A388" s="125">
        <f t="shared" si="93"/>
        <v>16</v>
      </c>
      <c r="B388" s="92">
        <f t="shared" si="94"/>
        <v>0</v>
      </c>
      <c r="C388" s="92">
        <f t="shared" si="95"/>
        <v>0</v>
      </c>
      <c r="D388" s="112" t="str">
        <f t="shared" si="96"/>
        <v/>
      </c>
      <c r="E388" s="126">
        <f t="shared" si="97"/>
        <v>0</v>
      </c>
      <c r="F388" s="92">
        <f t="shared" si="98"/>
        <v>0</v>
      </c>
      <c r="G388" s="95" t="str">
        <f t="shared" si="99"/>
        <v/>
      </c>
      <c r="H388" s="126">
        <f t="shared" si="100"/>
        <v>0</v>
      </c>
      <c r="I388" s="92">
        <f t="shared" si="101"/>
        <v>0</v>
      </c>
      <c r="J388" s="95" t="str">
        <f t="shared" si="102"/>
        <v/>
      </c>
      <c r="K388" s="126">
        <f t="shared" si="103"/>
        <v>0</v>
      </c>
      <c r="L388" s="92">
        <f t="shared" si="104"/>
        <v>0</v>
      </c>
      <c r="M388" s="95" t="str">
        <f t="shared" si="105"/>
        <v/>
      </c>
      <c r="N388" s="126">
        <f t="shared" si="106"/>
        <v>0</v>
      </c>
      <c r="O388" s="92">
        <f t="shared" si="107"/>
        <v>0</v>
      </c>
      <c r="P388" s="95" t="str">
        <f t="shared" si="108"/>
        <v/>
      </c>
      <c r="Q388" s="126">
        <f t="shared" si="109"/>
        <v>0</v>
      </c>
      <c r="R388" s="92">
        <f t="shared" si="110"/>
        <v>0</v>
      </c>
      <c r="S388" s="95" t="str">
        <f t="shared" si="111"/>
        <v/>
      </c>
      <c r="T388" s="126">
        <f t="shared" si="112"/>
        <v>0</v>
      </c>
      <c r="U388" s="92">
        <f t="shared" si="113"/>
        <v>0</v>
      </c>
      <c r="V388" s="95" t="str">
        <f t="shared" si="114"/>
        <v/>
      </c>
      <c r="W388" s="126">
        <f t="shared" si="115"/>
        <v>0</v>
      </c>
      <c r="X388" s="92">
        <f t="shared" si="116"/>
        <v>0</v>
      </c>
      <c r="Y388" s="95" t="str">
        <f t="shared" si="117"/>
        <v/>
      </c>
      <c r="Z388" s="126">
        <f t="shared" si="118"/>
        <v>0</v>
      </c>
      <c r="AA388" s="92">
        <f t="shared" si="119"/>
        <v>0</v>
      </c>
      <c r="AB388" s="95" t="str">
        <f t="shared" si="120"/>
        <v/>
      </c>
      <c r="AC388" s="126">
        <f t="shared" si="121"/>
        <v>0</v>
      </c>
      <c r="AD388" s="92">
        <f t="shared" si="122"/>
        <v>0</v>
      </c>
      <c r="AE388" s="95" t="str">
        <f t="shared" si="123"/>
        <v/>
      </c>
      <c r="AF388" s="126">
        <f t="shared" si="124"/>
        <v>0</v>
      </c>
      <c r="AG388" s="92">
        <f t="shared" si="125"/>
        <v>0</v>
      </c>
      <c r="AH388" s="95" t="str">
        <f t="shared" si="126"/>
        <v/>
      </c>
      <c r="AI388" s="126">
        <f t="shared" si="127"/>
        <v>0</v>
      </c>
      <c r="AJ388" s="92">
        <f t="shared" si="128"/>
        <v>0</v>
      </c>
      <c r="AK388" s="95" t="str">
        <f t="shared" si="129"/>
        <v/>
      </c>
      <c r="AL388" s="126">
        <f t="shared" si="130"/>
        <v>0</v>
      </c>
      <c r="AM388" s="92">
        <f t="shared" si="131"/>
        <v>0</v>
      </c>
      <c r="AN388" s="95" t="str">
        <f t="shared" si="132"/>
        <v/>
      </c>
      <c r="AO388" s="95" t="str">
        <f t="shared" si="133"/>
        <v/>
      </c>
      <c r="AP388" s="83"/>
    </row>
    <row r="389" spans="1:42" outlineLevel="1" x14ac:dyDescent="0.25">
      <c r="A389" s="125">
        <f t="shared" si="93"/>
        <v>17</v>
      </c>
      <c r="B389" s="92">
        <f t="shared" si="94"/>
        <v>0</v>
      </c>
      <c r="C389" s="92">
        <f t="shared" si="95"/>
        <v>0</v>
      </c>
      <c r="D389" s="112" t="str">
        <f t="shared" si="96"/>
        <v/>
      </c>
      <c r="E389" s="126">
        <f t="shared" si="97"/>
        <v>0</v>
      </c>
      <c r="F389" s="92">
        <f t="shared" si="98"/>
        <v>0</v>
      </c>
      <c r="G389" s="95" t="str">
        <f t="shared" si="99"/>
        <v/>
      </c>
      <c r="H389" s="126">
        <f t="shared" si="100"/>
        <v>0</v>
      </c>
      <c r="I389" s="92">
        <f t="shared" si="101"/>
        <v>0</v>
      </c>
      <c r="J389" s="95" t="str">
        <f t="shared" si="102"/>
        <v/>
      </c>
      <c r="K389" s="126">
        <f t="shared" si="103"/>
        <v>0</v>
      </c>
      <c r="L389" s="92">
        <f t="shared" si="104"/>
        <v>0</v>
      </c>
      <c r="M389" s="95" t="str">
        <f t="shared" si="105"/>
        <v/>
      </c>
      <c r="N389" s="126">
        <f t="shared" si="106"/>
        <v>0</v>
      </c>
      <c r="O389" s="92">
        <f t="shared" si="107"/>
        <v>0</v>
      </c>
      <c r="P389" s="95" t="str">
        <f t="shared" si="108"/>
        <v/>
      </c>
      <c r="Q389" s="126">
        <f t="shared" si="109"/>
        <v>0</v>
      </c>
      <c r="R389" s="92">
        <f t="shared" si="110"/>
        <v>0</v>
      </c>
      <c r="S389" s="95" t="str">
        <f t="shared" si="111"/>
        <v/>
      </c>
      <c r="T389" s="126">
        <f t="shared" si="112"/>
        <v>0</v>
      </c>
      <c r="U389" s="92">
        <f t="shared" si="113"/>
        <v>0</v>
      </c>
      <c r="V389" s="95" t="str">
        <f t="shared" si="114"/>
        <v/>
      </c>
      <c r="W389" s="126">
        <f t="shared" si="115"/>
        <v>0</v>
      </c>
      <c r="X389" s="92">
        <f t="shared" si="116"/>
        <v>0</v>
      </c>
      <c r="Y389" s="95" t="str">
        <f t="shared" si="117"/>
        <v/>
      </c>
      <c r="Z389" s="126">
        <f t="shared" si="118"/>
        <v>0</v>
      </c>
      <c r="AA389" s="92">
        <f t="shared" si="119"/>
        <v>0</v>
      </c>
      <c r="AB389" s="95" t="str">
        <f t="shared" si="120"/>
        <v/>
      </c>
      <c r="AC389" s="126">
        <f t="shared" si="121"/>
        <v>0</v>
      </c>
      <c r="AD389" s="92">
        <f t="shared" si="122"/>
        <v>0</v>
      </c>
      <c r="AE389" s="95" t="str">
        <f t="shared" si="123"/>
        <v/>
      </c>
      <c r="AF389" s="126">
        <f t="shared" si="124"/>
        <v>0</v>
      </c>
      <c r="AG389" s="92">
        <f t="shared" si="125"/>
        <v>0</v>
      </c>
      <c r="AH389" s="95" t="str">
        <f t="shared" si="126"/>
        <v/>
      </c>
      <c r="AI389" s="126">
        <f t="shared" si="127"/>
        <v>0</v>
      </c>
      <c r="AJ389" s="92">
        <f t="shared" si="128"/>
        <v>0</v>
      </c>
      <c r="AK389" s="95" t="str">
        <f t="shared" si="129"/>
        <v/>
      </c>
      <c r="AL389" s="126">
        <f t="shared" si="130"/>
        <v>0</v>
      </c>
      <c r="AM389" s="92">
        <f t="shared" si="131"/>
        <v>0</v>
      </c>
      <c r="AN389" s="95" t="str">
        <f t="shared" si="132"/>
        <v/>
      </c>
      <c r="AO389" s="95" t="str">
        <f t="shared" si="133"/>
        <v/>
      </c>
      <c r="AP389" s="83"/>
    </row>
    <row r="390" spans="1:42" outlineLevel="1" x14ac:dyDescent="0.25">
      <c r="A390" s="125">
        <f t="shared" si="93"/>
        <v>18</v>
      </c>
      <c r="B390" s="92">
        <f t="shared" si="94"/>
        <v>0</v>
      </c>
      <c r="C390" s="92">
        <f t="shared" si="95"/>
        <v>0</v>
      </c>
      <c r="D390" s="112" t="str">
        <f t="shared" si="96"/>
        <v/>
      </c>
      <c r="E390" s="126">
        <f t="shared" si="97"/>
        <v>0</v>
      </c>
      <c r="F390" s="92">
        <f t="shared" si="98"/>
        <v>0</v>
      </c>
      <c r="G390" s="95" t="str">
        <f t="shared" si="99"/>
        <v/>
      </c>
      <c r="H390" s="126">
        <f t="shared" si="100"/>
        <v>0</v>
      </c>
      <c r="I390" s="92">
        <f t="shared" si="101"/>
        <v>0</v>
      </c>
      <c r="J390" s="95" t="str">
        <f t="shared" si="102"/>
        <v/>
      </c>
      <c r="K390" s="126">
        <f t="shared" si="103"/>
        <v>0</v>
      </c>
      <c r="L390" s="92">
        <f t="shared" si="104"/>
        <v>0</v>
      </c>
      <c r="M390" s="95" t="str">
        <f t="shared" si="105"/>
        <v/>
      </c>
      <c r="N390" s="126">
        <f t="shared" si="106"/>
        <v>0</v>
      </c>
      <c r="O390" s="92">
        <f t="shared" si="107"/>
        <v>0</v>
      </c>
      <c r="P390" s="95" t="str">
        <f t="shared" si="108"/>
        <v/>
      </c>
      <c r="Q390" s="126">
        <f t="shared" si="109"/>
        <v>0</v>
      </c>
      <c r="R390" s="92">
        <f t="shared" si="110"/>
        <v>0</v>
      </c>
      <c r="S390" s="95" t="str">
        <f t="shared" si="111"/>
        <v/>
      </c>
      <c r="T390" s="126">
        <f t="shared" si="112"/>
        <v>0</v>
      </c>
      <c r="U390" s="92">
        <f t="shared" si="113"/>
        <v>0</v>
      </c>
      <c r="V390" s="95" t="str">
        <f t="shared" si="114"/>
        <v/>
      </c>
      <c r="W390" s="126">
        <f t="shared" si="115"/>
        <v>0</v>
      </c>
      <c r="X390" s="92">
        <f t="shared" si="116"/>
        <v>0</v>
      </c>
      <c r="Y390" s="95" t="str">
        <f t="shared" si="117"/>
        <v/>
      </c>
      <c r="Z390" s="126">
        <f t="shared" si="118"/>
        <v>0</v>
      </c>
      <c r="AA390" s="92">
        <f t="shared" si="119"/>
        <v>0</v>
      </c>
      <c r="AB390" s="95" t="str">
        <f t="shared" si="120"/>
        <v/>
      </c>
      <c r="AC390" s="126">
        <f t="shared" si="121"/>
        <v>0</v>
      </c>
      <c r="AD390" s="92">
        <f t="shared" si="122"/>
        <v>0</v>
      </c>
      <c r="AE390" s="95" t="str">
        <f t="shared" si="123"/>
        <v/>
      </c>
      <c r="AF390" s="126">
        <f t="shared" si="124"/>
        <v>0</v>
      </c>
      <c r="AG390" s="92">
        <f t="shared" si="125"/>
        <v>0</v>
      </c>
      <c r="AH390" s="95" t="str">
        <f t="shared" si="126"/>
        <v/>
      </c>
      <c r="AI390" s="126">
        <f t="shared" si="127"/>
        <v>0</v>
      </c>
      <c r="AJ390" s="92">
        <f t="shared" si="128"/>
        <v>0</v>
      </c>
      <c r="AK390" s="95" t="str">
        <f t="shared" si="129"/>
        <v/>
      </c>
      <c r="AL390" s="126">
        <f t="shared" si="130"/>
        <v>0</v>
      </c>
      <c r="AM390" s="92">
        <f t="shared" si="131"/>
        <v>0</v>
      </c>
      <c r="AN390" s="95" t="str">
        <f t="shared" si="132"/>
        <v/>
      </c>
      <c r="AO390" s="95" t="str">
        <f t="shared" si="133"/>
        <v/>
      </c>
      <c r="AP390" s="83"/>
    </row>
    <row r="391" spans="1:42" outlineLevel="1" x14ac:dyDescent="0.25">
      <c r="A391" s="125">
        <f t="shared" si="93"/>
        <v>19</v>
      </c>
      <c r="B391" s="92">
        <f t="shared" si="94"/>
        <v>0</v>
      </c>
      <c r="C391" s="92">
        <f t="shared" si="95"/>
        <v>0</v>
      </c>
      <c r="D391" s="112" t="str">
        <f t="shared" si="96"/>
        <v/>
      </c>
      <c r="E391" s="126">
        <f t="shared" si="97"/>
        <v>0</v>
      </c>
      <c r="F391" s="92">
        <f t="shared" si="98"/>
        <v>0</v>
      </c>
      <c r="G391" s="95" t="str">
        <f t="shared" si="99"/>
        <v/>
      </c>
      <c r="H391" s="126">
        <f t="shared" si="100"/>
        <v>0</v>
      </c>
      <c r="I391" s="92">
        <f t="shared" si="101"/>
        <v>0</v>
      </c>
      <c r="J391" s="95" t="str">
        <f t="shared" si="102"/>
        <v/>
      </c>
      <c r="K391" s="126">
        <f t="shared" si="103"/>
        <v>0</v>
      </c>
      <c r="L391" s="92">
        <f t="shared" si="104"/>
        <v>0</v>
      </c>
      <c r="M391" s="95" t="str">
        <f t="shared" si="105"/>
        <v/>
      </c>
      <c r="N391" s="126">
        <f t="shared" si="106"/>
        <v>0</v>
      </c>
      <c r="O391" s="92">
        <f t="shared" si="107"/>
        <v>0</v>
      </c>
      <c r="P391" s="95" t="str">
        <f t="shared" si="108"/>
        <v/>
      </c>
      <c r="Q391" s="126">
        <f t="shared" si="109"/>
        <v>0</v>
      </c>
      <c r="R391" s="92">
        <f t="shared" si="110"/>
        <v>0</v>
      </c>
      <c r="S391" s="95" t="str">
        <f t="shared" si="111"/>
        <v/>
      </c>
      <c r="T391" s="126">
        <f t="shared" si="112"/>
        <v>0</v>
      </c>
      <c r="U391" s="92">
        <f t="shared" si="113"/>
        <v>0</v>
      </c>
      <c r="V391" s="95" t="str">
        <f t="shared" si="114"/>
        <v/>
      </c>
      <c r="W391" s="126">
        <f t="shared" si="115"/>
        <v>0</v>
      </c>
      <c r="X391" s="92">
        <f t="shared" si="116"/>
        <v>0</v>
      </c>
      <c r="Y391" s="95" t="str">
        <f t="shared" si="117"/>
        <v/>
      </c>
      <c r="Z391" s="126">
        <f t="shared" si="118"/>
        <v>0</v>
      </c>
      <c r="AA391" s="92">
        <f t="shared" si="119"/>
        <v>0</v>
      </c>
      <c r="AB391" s="95" t="str">
        <f t="shared" si="120"/>
        <v/>
      </c>
      <c r="AC391" s="126">
        <f t="shared" si="121"/>
        <v>0</v>
      </c>
      <c r="AD391" s="92">
        <f t="shared" si="122"/>
        <v>0</v>
      </c>
      <c r="AE391" s="95" t="str">
        <f t="shared" si="123"/>
        <v/>
      </c>
      <c r="AF391" s="126">
        <f t="shared" si="124"/>
        <v>0</v>
      </c>
      <c r="AG391" s="92">
        <f t="shared" si="125"/>
        <v>0</v>
      </c>
      <c r="AH391" s="95" t="str">
        <f t="shared" si="126"/>
        <v/>
      </c>
      <c r="AI391" s="126">
        <f t="shared" si="127"/>
        <v>0</v>
      </c>
      <c r="AJ391" s="92">
        <f t="shared" si="128"/>
        <v>0</v>
      </c>
      <c r="AK391" s="95" t="str">
        <f t="shared" si="129"/>
        <v/>
      </c>
      <c r="AL391" s="126">
        <f t="shared" si="130"/>
        <v>0</v>
      </c>
      <c r="AM391" s="92">
        <f t="shared" si="131"/>
        <v>0</v>
      </c>
      <c r="AN391" s="95" t="str">
        <f t="shared" si="132"/>
        <v/>
      </c>
      <c r="AO391" s="95" t="str">
        <f t="shared" si="133"/>
        <v/>
      </c>
      <c r="AP391" s="83"/>
    </row>
    <row r="392" spans="1:42" outlineLevel="1" x14ac:dyDescent="0.25">
      <c r="A392" s="125">
        <f t="shared" si="93"/>
        <v>20</v>
      </c>
      <c r="B392" s="92">
        <f t="shared" si="94"/>
        <v>0</v>
      </c>
      <c r="C392" s="92">
        <f t="shared" si="95"/>
        <v>0</v>
      </c>
      <c r="D392" s="112" t="str">
        <f t="shared" si="96"/>
        <v/>
      </c>
      <c r="E392" s="126">
        <f t="shared" si="97"/>
        <v>0</v>
      </c>
      <c r="F392" s="92">
        <f t="shared" si="98"/>
        <v>0</v>
      </c>
      <c r="G392" s="95" t="str">
        <f t="shared" si="99"/>
        <v/>
      </c>
      <c r="H392" s="126">
        <f t="shared" si="100"/>
        <v>0</v>
      </c>
      <c r="I392" s="92">
        <f t="shared" si="101"/>
        <v>0</v>
      </c>
      <c r="J392" s="95" t="str">
        <f t="shared" si="102"/>
        <v/>
      </c>
      <c r="K392" s="126">
        <f t="shared" si="103"/>
        <v>0</v>
      </c>
      <c r="L392" s="92">
        <f t="shared" si="104"/>
        <v>0</v>
      </c>
      <c r="M392" s="95" t="str">
        <f t="shared" si="105"/>
        <v/>
      </c>
      <c r="N392" s="126">
        <f t="shared" si="106"/>
        <v>0</v>
      </c>
      <c r="O392" s="92">
        <f t="shared" si="107"/>
        <v>0</v>
      </c>
      <c r="P392" s="95" t="str">
        <f t="shared" si="108"/>
        <v/>
      </c>
      <c r="Q392" s="126">
        <f t="shared" si="109"/>
        <v>0</v>
      </c>
      <c r="R392" s="92">
        <f t="shared" si="110"/>
        <v>0</v>
      </c>
      <c r="S392" s="95" t="str">
        <f t="shared" si="111"/>
        <v/>
      </c>
      <c r="T392" s="126">
        <f t="shared" si="112"/>
        <v>0</v>
      </c>
      <c r="U392" s="92">
        <f t="shared" si="113"/>
        <v>0</v>
      </c>
      <c r="V392" s="95" t="str">
        <f t="shared" si="114"/>
        <v/>
      </c>
      <c r="W392" s="126">
        <f t="shared" si="115"/>
        <v>0</v>
      </c>
      <c r="X392" s="92">
        <f t="shared" si="116"/>
        <v>0</v>
      </c>
      <c r="Y392" s="95" t="str">
        <f t="shared" si="117"/>
        <v/>
      </c>
      <c r="Z392" s="126">
        <f t="shared" si="118"/>
        <v>0</v>
      </c>
      <c r="AA392" s="92">
        <f t="shared" si="119"/>
        <v>0</v>
      </c>
      <c r="AB392" s="95" t="str">
        <f t="shared" si="120"/>
        <v/>
      </c>
      <c r="AC392" s="126">
        <f t="shared" si="121"/>
        <v>0</v>
      </c>
      <c r="AD392" s="92">
        <f t="shared" si="122"/>
        <v>0</v>
      </c>
      <c r="AE392" s="95" t="str">
        <f t="shared" si="123"/>
        <v/>
      </c>
      <c r="AF392" s="126">
        <f t="shared" si="124"/>
        <v>0</v>
      </c>
      <c r="AG392" s="92">
        <f t="shared" si="125"/>
        <v>0</v>
      </c>
      <c r="AH392" s="95" t="str">
        <f t="shared" si="126"/>
        <v/>
      </c>
      <c r="AI392" s="126">
        <f t="shared" si="127"/>
        <v>0</v>
      </c>
      <c r="AJ392" s="92">
        <f t="shared" si="128"/>
        <v>0</v>
      </c>
      <c r="AK392" s="95" t="str">
        <f t="shared" si="129"/>
        <v/>
      </c>
      <c r="AL392" s="126">
        <f t="shared" si="130"/>
        <v>0</v>
      </c>
      <c r="AM392" s="92">
        <f t="shared" si="131"/>
        <v>0</v>
      </c>
      <c r="AN392" s="95" t="str">
        <f t="shared" si="132"/>
        <v/>
      </c>
      <c r="AO392" s="95" t="str">
        <f t="shared" si="133"/>
        <v/>
      </c>
      <c r="AP392" s="83"/>
    </row>
    <row r="393" spans="1:42" outlineLevel="1" x14ac:dyDescent="0.25">
      <c r="A393" s="125">
        <f t="shared" si="93"/>
        <v>21</v>
      </c>
      <c r="B393" s="92">
        <f t="shared" si="94"/>
        <v>0</v>
      </c>
      <c r="C393" s="92">
        <f t="shared" si="95"/>
        <v>0</v>
      </c>
      <c r="D393" s="112" t="str">
        <f t="shared" si="96"/>
        <v/>
      </c>
      <c r="E393" s="126">
        <f t="shared" si="97"/>
        <v>0</v>
      </c>
      <c r="F393" s="92">
        <f t="shared" si="98"/>
        <v>0</v>
      </c>
      <c r="G393" s="95" t="str">
        <f t="shared" si="99"/>
        <v/>
      </c>
      <c r="H393" s="126">
        <f t="shared" si="100"/>
        <v>0</v>
      </c>
      <c r="I393" s="92">
        <f t="shared" si="101"/>
        <v>0</v>
      </c>
      <c r="J393" s="95" t="str">
        <f t="shared" si="102"/>
        <v/>
      </c>
      <c r="K393" s="126">
        <f t="shared" si="103"/>
        <v>0</v>
      </c>
      <c r="L393" s="92">
        <f t="shared" si="104"/>
        <v>0</v>
      </c>
      <c r="M393" s="95" t="str">
        <f t="shared" si="105"/>
        <v/>
      </c>
      <c r="N393" s="126">
        <f t="shared" si="106"/>
        <v>0</v>
      </c>
      <c r="O393" s="92">
        <f t="shared" si="107"/>
        <v>0</v>
      </c>
      <c r="P393" s="95" t="str">
        <f t="shared" si="108"/>
        <v/>
      </c>
      <c r="Q393" s="126">
        <f t="shared" si="109"/>
        <v>0</v>
      </c>
      <c r="R393" s="92">
        <f t="shared" si="110"/>
        <v>0</v>
      </c>
      <c r="S393" s="95" t="str">
        <f t="shared" si="111"/>
        <v/>
      </c>
      <c r="T393" s="126">
        <f t="shared" si="112"/>
        <v>0</v>
      </c>
      <c r="U393" s="92">
        <f t="shared" si="113"/>
        <v>0</v>
      </c>
      <c r="V393" s="95" t="str">
        <f t="shared" si="114"/>
        <v/>
      </c>
      <c r="W393" s="126">
        <f t="shared" si="115"/>
        <v>0</v>
      </c>
      <c r="X393" s="92">
        <f t="shared" si="116"/>
        <v>0</v>
      </c>
      <c r="Y393" s="95" t="str">
        <f t="shared" si="117"/>
        <v/>
      </c>
      <c r="Z393" s="126">
        <f t="shared" si="118"/>
        <v>0</v>
      </c>
      <c r="AA393" s="92">
        <f t="shared" si="119"/>
        <v>0</v>
      </c>
      <c r="AB393" s="95" t="str">
        <f t="shared" si="120"/>
        <v/>
      </c>
      <c r="AC393" s="126">
        <f t="shared" si="121"/>
        <v>0</v>
      </c>
      <c r="AD393" s="92">
        <f t="shared" si="122"/>
        <v>0</v>
      </c>
      <c r="AE393" s="95" t="str">
        <f t="shared" si="123"/>
        <v/>
      </c>
      <c r="AF393" s="126">
        <f t="shared" si="124"/>
        <v>0</v>
      </c>
      <c r="AG393" s="92">
        <f t="shared" si="125"/>
        <v>0</v>
      </c>
      <c r="AH393" s="95" t="str">
        <f t="shared" si="126"/>
        <v/>
      </c>
      <c r="AI393" s="126">
        <f t="shared" si="127"/>
        <v>0</v>
      </c>
      <c r="AJ393" s="92">
        <f t="shared" si="128"/>
        <v>0</v>
      </c>
      <c r="AK393" s="95" t="str">
        <f t="shared" si="129"/>
        <v/>
      </c>
      <c r="AL393" s="126">
        <f t="shared" si="130"/>
        <v>0</v>
      </c>
      <c r="AM393" s="92">
        <f t="shared" si="131"/>
        <v>0</v>
      </c>
      <c r="AN393" s="95" t="str">
        <f t="shared" si="132"/>
        <v/>
      </c>
      <c r="AO393" s="95" t="str">
        <f t="shared" si="133"/>
        <v/>
      </c>
      <c r="AP393" s="83"/>
    </row>
    <row r="394" spans="1:42" outlineLevel="1" x14ac:dyDescent="0.25">
      <c r="A394" s="125">
        <f t="shared" si="93"/>
        <v>22</v>
      </c>
      <c r="B394" s="92">
        <f t="shared" si="94"/>
        <v>0</v>
      </c>
      <c r="C394" s="92">
        <f t="shared" si="95"/>
        <v>0</v>
      </c>
      <c r="D394" s="112" t="str">
        <f t="shared" si="96"/>
        <v/>
      </c>
      <c r="E394" s="126">
        <f t="shared" si="97"/>
        <v>0</v>
      </c>
      <c r="F394" s="92">
        <f t="shared" si="98"/>
        <v>0</v>
      </c>
      <c r="G394" s="95" t="str">
        <f t="shared" si="99"/>
        <v/>
      </c>
      <c r="H394" s="126">
        <f t="shared" si="100"/>
        <v>0</v>
      </c>
      <c r="I394" s="92">
        <f t="shared" si="101"/>
        <v>0</v>
      </c>
      <c r="J394" s="95" t="str">
        <f t="shared" si="102"/>
        <v/>
      </c>
      <c r="K394" s="126">
        <f t="shared" si="103"/>
        <v>0</v>
      </c>
      <c r="L394" s="92">
        <f t="shared" si="104"/>
        <v>0</v>
      </c>
      <c r="M394" s="95" t="str">
        <f t="shared" si="105"/>
        <v/>
      </c>
      <c r="N394" s="126">
        <f t="shared" si="106"/>
        <v>0</v>
      </c>
      <c r="O394" s="92">
        <f t="shared" si="107"/>
        <v>0</v>
      </c>
      <c r="P394" s="95" t="str">
        <f t="shared" si="108"/>
        <v/>
      </c>
      <c r="Q394" s="126">
        <f t="shared" si="109"/>
        <v>0</v>
      </c>
      <c r="R394" s="92">
        <f t="shared" si="110"/>
        <v>0</v>
      </c>
      <c r="S394" s="95" t="str">
        <f t="shared" si="111"/>
        <v/>
      </c>
      <c r="T394" s="126">
        <f t="shared" si="112"/>
        <v>0</v>
      </c>
      <c r="U394" s="92">
        <f t="shared" si="113"/>
        <v>0</v>
      </c>
      <c r="V394" s="95" t="str">
        <f t="shared" si="114"/>
        <v/>
      </c>
      <c r="W394" s="126">
        <f t="shared" si="115"/>
        <v>0</v>
      </c>
      <c r="X394" s="92">
        <f t="shared" si="116"/>
        <v>0</v>
      </c>
      <c r="Y394" s="95" t="str">
        <f t="shared" si="117"/>
        <v/>
      </c>
      <c r="Z394" s="126">
        <f t="shared" si="118"/>
        <v>0</v>
      </c>
      <c r="AA394" s="92">
        <f t="shared" si="119"/>
        <v>0</v>
      </c>
      <c r="AB394" s="95" t="str">
        <f t="shared" si="120"/>
        <v/>
      </c>
      <c r="AC394" s="126">
        <f t="shared" si="121"/>
        <v>0</v>
      </c>
      <c r="AD394" s="92">
        <f t="shared" si="122"/>
        <v>0</v>
      </c>
      <c r="AE394" s="95" t="str">
        <f t="shared" si="123"/>
        <v/>
      </c>
      <c r="AF394" s="126">
        <f t="shared" si="124"/>
        <v>0</v>
      </c>
      <c r="AG394" s="92">
        <f t="shared" si="125"/>
        <v>0</v>
      </c>
      <c r="AH394" s="95" t="str">
        <f t="shared" si="126"/>
        <v/>
      </c>
      <c r="AI394" s="126">
        <f t="shared" si="127"/>
        <v>0</v>
      </c>
      <c r="AJ394" s="92">
        <f t="shared" si="128"/>
        <v>0</v>
      </c>
      <c r="AK394" s="95" t="str">
        <f t="shared" si="129"/>
        <v/>
      </c>
      <c r="AL394" s="126">
        <f t="shared" si="130"/>
        <v>0</v>
      </c>
      <c r="AM394" s="92">
        <f t="shared" si="131"/>
        <v>0</v>
      </c>
      <c r="AN394" s="95" t="str">
        <f t="shared" si="132"/>
        <v/>
      </c>
      <c r="AO394" s="95" t="str">
        <f t="shared" si="133"/>
        <v/>
      </c>
      <c r="AP394" s="83"/>
    </row>
    <row r="395" spans="1:42" outlineLevel="1" x14ac:dyDescent="0.25">
      <c r="A395" s="125">
        <f t="shared" si="93"/>
        <v>23</v>
      </c>
      <c r="B395" s="92">
        <f t="shared" si="94"/>
        <v>0</v>
      </c>
      <c r="C395" s="92">
        <f t="shared" si="95"/>
        <v>0</v>
      </c>
      <c r="D395" s="112" t="str">
        <f t="shared" si="96"/>
        <v/>
      </c>
      <c r="E395" s="126">
        <f t="shared" si="97"/>
        <v>0</v>
      </c>
      <c r="F395" s="92">
        <f t="shared" si="98"/>
        <v>0</v>
      </c>
      <c r="G395" s="95" t="str">
        <f t="shared" si="99"/>
        <v/>
      </c>
      <c r="H395" s="126">
        <f t="shared" si="100"/>
        <v>0</v>
      </c>
      <c r="I395" s="92">
        <f t="shared" si="101"/>
        <v>0</v>
      </c>
      <c r="J395" s="95" t="str">
        <f t="shared" si="102"/>
        <v/>
      </c>
      <c r="K395" s="126">
        <f t="shared" si="103"/>
        <v>0</v>
      </c>
      <c r="L395" s="92">
        <f t="shared" si="104"/>
        <v>0</v>
      </c>
      <c r="M395" s="95" t="str">
        <f t="shared" si="105"/>
        <v/>
      </c>
      <c r="N395" s="126">
        <f t="shared" si="106"/>
        <v>0</v>
      </c>
      <c r="O395" s="92">
        <f t="shared" si="107"/>
        <v>0</v>
      </c>
      <c r="P395" s="95" t="str">
        <f t="shared" si="108"/>
        <v/>
      </c>
      <c r="Q395" s="126">
        <f t="shared" si="109"/>
        <v>0</v>
      </c>
      <c r="R395" s="92">
        <f t="shared" si="110"/>
        <v>0</v>
      </c>
      <c r="S395" s="95" t="str">
        <f t="shared" si="111"/>
        <v/>
      </c>
      <c r="T395" s="126">
        <f t="shared" si="112"/>
        <v>0</v>
      </c>
      <c r="U395" s="92">
        <f t="shared" si="113"/>
        <v>0</v>
      </c>
      <c r="V395" s="95" t="str">
        <f t="shared" si="114"/>
        <v/>
      </c>
      <c r="W395" s="126">
        <f t="shared" si="115"/>
        <v>0</v>
      </c>
      <c r="X395" s="92">
        <f t="shared" si="116"/>
        <v>0</v>
      </c>
      <c r="Y395" s="95" t="str">
        <f t="shared" si="117"/>
        <v/>
      </c>
      <c r="Z395" s="126">
        <f t="shared" si="118"/>
        <v>0</v>
      </c>
      <c r="AA395" s="92">
        <f t="shared" si="119"/>
        <v>0</v>
      </c>
      <c r="AB395" s="95" t="str">
        <f t="shared" si="120"/>
        <v/>
      </c>
      <c r="AC395" s="126">
        <f t="shared" si="121"/>
        <v>0</v>
      </c>
      <c r="AD395" s="92">
        <f t="shared" si="122"/>
        <v>0</v>
      </c>
      <c r="AE395" s="95" t="str">
        <f t="shared" si="123"/>
        <v/>
      </c>
      <c r="AF395" s="126">
        <f t="shared" si="124"/>
        <v>0</v>
      </c>
      <c r="AG395" s="92">
        <f t="shared" si="125"/>
        <v>0</v>
      </c>
      <c r="AH395" s="95" t="str">
        <f t="shared" si="126"/>
        <v/>
      </c>
      <c r="AI395" s="126">
        <f t="shared" si="127"/>
        <v>0</v>
      </c>
      <c r="AJ395" s="92">
        <f t="shared" si="128"/>
        <v>0</v>
      </c>
      <c r="AK395" s="95" t="str">
        <f t="shared" si="129"/>
        <v/>
      </c>
      <c r="AL395" s="126">
        <f t="shared" si="130"/>
        <v>0</v>
      </c>
      <c r="AM395" s="92">
        <f t="shared" si="131"/>
        <v>0</v>
      </c>
      <c r="AN395" s="95" t="str">
        <f t="shared" si="132"/>
        <v/>
      </c>
      <c r="AO395" s="95" t="str">
        <f t="shared" si="133"/>
        <v/>
      </c>
      <c r="AP395" s="83"/>
    </row>
    <row r="396" spans="1:42" outlineLevel="1" x14ac:dyDescent="0.25">
      <c r="A396" s="125">
        <f t="shared" si="93"/>
        <v>24</v>
      </c>
      <c r="B396" s="92">
        <f t="shared" si="94"/>
        <v>0</v>
      </c>
      <c r="C396" s="92">
        <f t="shared" si="95"/>
        <v>0</v>
      </c>
      <c r="D396" s="112" t="str">
        <f t="shared" si="96"/>
        <v/>
      </c>
      <c r="E396" s="126">
        <f t="shared" si="97"/>
        <v>0</v>
      </c>
      <c r="F396" s="92">
        <f t="shared" si="98"/>
        <v>0</v>
      </c>
      <c r="G396" s="95" t="str">
        <f t="shared" si="99"/>
        <v/>
      </c>
      <c r="H396" s="126">
        <f t="shared" si="100"/>
        <v>0</v>
      </c>
      <c r="I396" s="92">
        <f t="shared" si="101"/>
        <v>0</v>
      </c>
      <c r="J396" s="95" t="str">
        <f t="shared" si="102"/>
        <v/>
      </c>
      <c r="K396" s="126">
        <f t="shared" si="103"/>
        <v>0</v>
      </c>
      <c r="L396" s="92">
        <f t="shared" si="104"/>
        <v>0</v>
      </c>
      <c r="M396" s="95" t="str">
        <f t="shared" si="105"/>
        <v/>
      </c>
      <c r="N396" s="126">
        <f t="shared" si="106"/>
        <v>0</v>
      </c>
      <c r="O396" s="92">
        <f t="shared" si="107"/>
        <v>0</v>
      </c>
      <c r="P396" s="95" t="str">
        <f t="shared" si="108"/>
        <v/>
      </c>
      <c r="Q396" s="126">
        <f t="shared" si="109"/>
        <v>0</v>
      </c>
      <c r="R396" s="92">
        <f t="shared" si="110"/>
        <v>0</v>
      </c>
      <c r="S396" s="95" t="str">
        <f t="shared" si="111"/>
        <v/>
      </c>
      <c r="T396" s="126">
        <f t="shared" si="112"/>
        <v>0</v>
      </c>
      <c r="U396" s="92">
        <f t="shared" si="113"/>
        <v>0</v>
      </c>
      <c r="V396" s="95" t="str">
        <f t="shared" si="114"/>
        <v/>
      </c>
      <c r="W396" s="126">
        <f t="shared" si="115"/>
        <v>0</v>
      </c>
      <c r="X396" s="92">
        <f t="shared" si="116"/>
        <v>0</v>
      </c>
      <c r="Y396" s="95" t="str">
        <f t="shared" si="117"/>
        <v/>
      </c>
      <c r="Z396" s="126">
        <f t="shared" si="118"/>
        <v>0</v>
      </c>
      <c r="AA396" s="92">
        <f t="shared" si="119"/>
        <v>0</v>
      </c>
      <c r="AB396" s="95" t="str">
        <f t="shared" si="120"/>
        <v/>
      </c>
      <c r="AC396" s="126">
        <f t="shared" si="121"/>
        <v>0</v>
      </c>
      <c r="AD396" s="92">
        <f t="shared" si="122"/>
        <v>0</v>
      </c>
      <c r="AE396" s="95" t="str">
        <f t="shared" si="123"/>
        <v/>
      </c>
      <c r="AF396" s="126">
        <f t="shared" si="124"/>
        <v>0</v>
      </c>
      <c r="AG396" s="92">
        <f t="shared" si="125"/>
        <v>0</v>
      </c>
      <c r="AH396" s="95" t="str">
        <f t="shared" si="126"/>
        <v/>
      </c>
      <c r="AI396" s="126">
        <f t="shared" si="127"/>
        <v>0</v>
      </c>
      <c r="AJ396" s="92">
        <f t="shared" si="128"/>
        <v>0</v>
      </c>
      <c r="AK396" s="95" t="str">
        <f t="shared" si="129"/>
        <v/>
      </c>
      <c r="AL396" s="126">
        <f t="shared" si="130"/>
        <v>0</v>
      </c>
      <c r="AM396" s="92">
        <f t="shared" si="131"/>
        <v>0</v>
      </c>
      <c r="AN396" s="95" t="str">
        <f t="shared" si="132"/>
        <v/>
      </c>
      <c r="AO396" s="95" t="str">
        <f t="shared" si="133"/>
        <v/>
      </c>
      <c r="AP396" s="83"/>
    </row>
    <row r="397" spans="1:42" outlineLevel="1" x14ac:dyDescent="0.25">
      <c r="A397" s="125">
        <f t="shared" si="93"/>
        <v>25</v>
      </c>
      <c r="B397" s="92">
        <f t="shared" si="94"/>
        <v>0</v>
      </c>
      <c r="C397" s="92">
        <f t="shared" si="95"/>
        <v>0</v>
      </c>
      <c r="D397" s="112" t="str">
        <f t="shared" si="96"/>
        <v/>
      </c>
      <c r="E397" s="126">
        <f t="shared" si="97"/>
        <v>0</v>
      </c>
      <c r="F397" s="92">
        <f t="shared" si="98"/>
        <v>0</v>
      </c>
      <c r="G397" s="95" t="str">
        <f t="shared" si="99"/>
        <v/>
      </c>
      <c r="H397" s="126">
        <f t="shared" si="100"/>
        <v>0</v>
      </c>
      <c r="I397" s="92">
        <f t="shared" si="101"/>
        <v>0</v>
      </c>
      <c r="J397" s="95" t="str">
        <f t="shared" si="102"/>
        <v/>
      </c>
      <c r="K397" s="126">
        <f t="shared" si="103"/>
        <v>0</v>
      </c>
      <c r="L397" s="92">
        <f t="shared" si="104"/>
        <v>0</v>
      </c>
      <c r="M397" s="95" t="str">
        <f t="shared" si="105"/>
        <v/>
      </c>
      <c r="N397" s="126">
        <f t="shared" si="106"/>
        <v>0</v>
      </c>
      <c r="O397" s="92">
        <f t="shared" si="107"/>
        <v>0</v>
      </c>
      <c r="P397" s="95" t="str">
        <f t="shared" si="108"/>
        <v/>
      </c>
      <c r="Q397" s="126">
        <f t="shared" si="109"/>
        <v>0</v>
      </c>
      <c r="R397" s="92">
        <f t="shared" si="110"/>
        <v>0</v>
      </c>
      <c r="S397" s="95" t="str">
        <f t="shared" si="111"/>
        <v/>
      </c>
      <c r="T397" s="126">
        <f t="shared" si="112"/>
        <v>0</v>
      </c>
      <c r="U397" s="92">
        <f t="shared" si="113"/>
        <v>0</v>
      </c>
      <c r="V397" s="95" t="str">
        <f t="shared" si="114"/>
        <v/>
      </c>
      <c r="W397" s="126">
        <f t="shared" si="115"/>
        <v>0</v>
      </c>
      <c r="X397" s="92">
        <f t="shared" si="116"/>
        <v>0</v>
      </c>
      <c r="Y397" s="95" t="str">
        <f t="shared" si="117"/>
        <v/>
      </c>
      <c r="Z397" s="126">
        <f t="shared" si="118"/>
        <v>0</v>
      </c>
      <c r="AA397" s="92">
        <f t="shared" si="119"/>
        <v>0</v>
      </c>
      <c r="AB397" s="95" t="str">
        <f t="shared" si="120"/>
        <v/>
      </c>
      <c r="AC397" s="126">
        <f t="shared" si="121"/>
        <v>0</v>
      </c>
      <c r="AD397" s="92">
        <f t="shared" si="122"/>
        <v>0</v>
      </c>
      <c r="AE397" s="95" t="str">
        <f t="shared" si="123"/>
        <v/>
      </c>
      <c r="AF397" s="126">
        <f t="shared" si="124"/>
        <v>0</v>
      </c>
      <c r="AG397" s="92">
        <f t="shared" si="125"/>
        <v>0</v>
      </c>
      <c r="AH397" s="95" t="str">
        <f t="shared" si="126"/>
        <v/>
      </c>
      <c r="AI397" s="126">
        <f t="shared" si="127"/>
        <v>0</v>
      </c>
      <c r="AJ397" s="92">
        <f t="shared" si="128"/>
        <v>0</v>
      </c>
      <c r="AK397" s="95" t="str">
        <f t="shared" si="129"/>
        <v/>
      </c>
      <c r="AL397" s="126">
        <f t="shared" si="130"/>
        <v>0</v>
      </c>
      <c r="AM397" s="92">
        <f t="shared" si="131"/>
        <v>0</v>
      </c>
      <c r="AN397" s="95" t="str">
        <f t="shared" si="132"/>
        <v/>
      </c>
      <c r="AO397" s="95" t="str">
        <f t="shared" si="133"/>
        <v/>
      </c>
      <c r="AP397" s="83"/>
    </row>
    <row r="398" spans="1:42" outlineLevel="1" x14ac:dyDescent="0.25">
      <c r="A398" s="125">
        <f t="shared" si="93"/>
        <v>26</v>
      </c>
      <c r="B398" s="92">
        <f t="shared" si="94"/>
        <v>0</v>
      </c>
      <c r="C398" s="92">
        <f t="shared" si="95"/>
        <v>0</v>
      </c>
      <c r="D398" s="112" t="str">
        <f t="shared" si="96"/>
        <v/>
      </c>
      <c r="E398" s="126">
        <f t="shared" si="97"/>
        <v>0</v>
      </c>
      <c r="F398" s="92">
        <f t="shared" si="98"/>
        <v>0</v>
      </c>
      <c r="G398" s="95" t="str">
        <f t="shared" si="99"/>
        <v/>
      </c>
      <c r="H398" s="126">
        <f t="shared" si="100"/>
        <v>0</v>
      </c>
      <c r="I398" s="92">
        <f t="shared" si="101"/>
        <v>0</v>
      </c>
      <c r="J398" s="95" t="str">
        <f t="shared" si="102"/>
        <v/>
      </c>
      <c r="K398" s="126">
        <f t="shared" si="103"/>
        <v>0</v>
      </c>
      <c r="L398" s="92">
        <f t="shared" si="104"/>
        <v>0</v>
      </c>
      <c r="M398" s="95" t="str">
        <f t="shared" si="105"/>
        <v/>
      </c>
      <c r="N398" s="126">
        <f t="shared" si="106"/>
        <v>0</v>
      </c>
      <c r="O398" s="92">
        <f t="shared" si="107"/>
        <v>0</v>
      </c>
      <c r="P398" s="95" t="str">
        <f t="shared" si="108"/>
        <v/>
      </c>
      <c r="Q398" s="126">
        <f t="shared" si="109"/>
        <v>0</v>
      </c>
      <c r="R398" s="92">
        <f t="shared" si="110"/>
        <v>0</v>
      </c>
      <c r="S398" s="95" t="str">
        <f t="shared" si="111"/>
        <v/>
      </c>
      <c r="T398" s="126">
        <f t="shared" si="112"/>
        <v>0</v>
      </c>
      <c r="U398" s="92">
        <f t="shared" si="113"/>
        <v>0</v>
      </c>
      <c r="V398" s="95" t="str">
        <f t="shared" si="114"/>
        <v/>
      </c>
      <c r="W398" s="126">
        <f t="shared" si="115"/>
        <v>0</v>
      </c>
      <c r="X398" s="92">
        <f t="shared" si="116"/>
        <v>0</v>
      </c>
      <c r="Y398" s="95" t="str">
        <f t="shared" si="117"/>
        <v/>
      </c>
      <c r="Z398" s="126">
        <f t="shared" si="118"/>
        <v>0</v>
      </c>
      <c r="AA398" s="92">
        <f t="shared" si="119"/>
        <v>0</v>
      </c>
      <c r="AB398" s="95" t="str">
        <f t="shared" si="120"/>
        <v/>
      </c>
      <c r="AC398" s="126">
        <f t="shared" si="121"/>
        <v>0</v>
      </c>
      <c r="AD398" s="92">
        <f t="shared" si="122"/>
        <v>0</v>
      </c>
      <c r="AE398" s="95" t="str">
        <f t="shared" si="123"/>
        <v/>
      </c>
      <c r="AF398" s="126">
        <f t="shared" si="124"/>
        <v>0</v>
      </c>
      <c r="AG398" s="92">
        <f t="shared" si="125"/>
        <v>0</v>
      </c>
      <c r="AH398" s="95" t="str">
        <f t="shared" si="126"/>
        <v/>
      </c>
      <c r="AI398" s="126">
        <f t="shared" si="127"/>
        <v>0</v>
      </c>
      <c r="AJ398" s="92">
        <f t="shared" si="128"/>
        <v>0</v>
      </c>
      <c r="AK398" s="95" t="str">
        <f t="shared" si="129"/>
        <v/>
      </c>
      <c r="AL398" s="126">
        <f t="shared" si="130"/>
        <v>0</v>
      </c>
      <c r="AM398" s="92">
        <f t="shared" si="131"/>
        <v>0</v>
      </c>
      <c r="AN398" s="95" t="str">
        <f t="shared" si="132"/>
        <v/>
      </c>
      <c r="AO398" s="95" t="str">
        <f t="shared" si="133"/>
        <v/>
      </c>
      <c r="AP398" s="83"/>
    </row>
    <row r="399" spans="1:42" outlineLevel="1" x14ac:dyDescent="0.25">
      <c r="A399" s="125">
        <f t="shared" si="93"/>
        <v>27</v>
      </c>
      <c r="B399" s="92">
        <f t="shared" si="94"/>
        <v>0</v>
      </c>
      <c r="C399" s="92">
        <f t="shared" si="95"/>
        <v>0</v>
      </c>
      <c r="D399" s="112" t="str">
        <f t="shared" si="96"/>
        <v/>
      </c>
      <c r="E399" s="126">
        <f t="shared" si="97"/>
        <v>0</v>
      </c>
      <c r="F399" s="92">
        <f t="shared" si="98"/>
        <v>0</v>
      </c>
      <c r="G399" s="95" t="str">
        <f t="shared" si="99"/>
        <v/>
      </c>
      <c r="H399" s="126">
        <f t="shared" si="100"/>
        <v>0</v>
      </c>
      <c r="I399" s="92">
        <f t="shared" si="101"/>
        <v>0</v>
      </c>
      <c r="J399" s="95" t="str">
        <f t="shared" si="102"/>
        <v/>
      </c>
      <c r="K399" s="126">
        <f t="shared" si="103"/>
        <v>0</v>
      </c>
      <c r="L399" s="92">
        <f t="shared" si="104"/>
        <v>0</v>
      </c>
      <c r="M399" s="95" t="str">
        <f t="shared" si="105"/>
        <v/>
      </c>
      <c r="N399" s="126">
        <f t="shared" si="106"/>
        <v>0</v>
      </c>
      <c r="O399" s="92">
        <f t="shared" si="107"/>
        <v>0</v>
      </c>
      <c r="P399" s="95" t="str">
        <f t="shared" si="108"/>
        <v/>
      </c>
      <c r="Q399" s="126">
        <f t="shared" si="109"/>
        <v>0</v>
      </c>
      <c r="R399" s="92">
        <f t="shared" si="110"/>
        <v>0</v>
      </c>
      <c r="S399" s="95" t="str">
        <f t="shared" si="111"/>
        <v/>
      </c>
      <c r="T399" s="126">
        <f t="shared" si="112"/>
        <v>0</v>
      </c>
      <c r="U399" s="92">
        <f t="shared" si="113"/>
        <v>0</v>
      </c>
      <c r="V399" s="95" t="str">
        <f t="shared" si="114"/>
        <v/>
      </c>
      <c r="W399" s="126">
        <f t="shared" si="115"/>
        <v>0</v>
      </c>
      <c r="X399" s="92">
        <f t="shared" si="116"/>
        <v>0</v>
      </c>
      <c r="Y399" s="95" t="str">
        <f t="shared" si="117"/>
        <v/>
      </c>
      <c r="Z399" s="126">
        <f t="shared" si="118"/>
        <v>0</v>
      </c>
      <c r="AA399" s="92">
        <f t="shared" si="119"/>
        <v>0</v>
      </c>
      <c r="AB399" s="95" t="str">
        <f t="shared" si="120"/>
        <v/>
      </c>
      <c r="AC399" s="126">
        <f t="shared" si="121"/>
        <v>0</v>
      </c>
      <c r="AD399" s="92">
        <f t="shared" si="122"/>
        <v>0</v>
      </c>
      <c r="AE399" s="95" t="str">
        <f t="shared" si="123"/>
        <v/>
      </c>
      <c r="AF399" s="126">
        <f t="shared" si="124"/>
        <v>0</v>
      </c>
      <c r="AG399" s="92">
        <f t="shared" si="125"/>
        <v>0</v>
      </c>
      <c r="AH399" s="95" t="str">
        <f t="shared" si="126"/>
        <v/>
      </c>
      <c r="AI399" s="126">
        <f t="shared" si="127"/>
        <v>0</v>
      </c>
      <c r="AJ399" s="92">
        <f t="shared" si="128"/>
        <v>0</v>
      </c>
      <c r="AK399" s="95" t="str">
        <f t="shared" si="129"/>
        <v/>
      </c>
      <c r="AL399" s="126">
        <f t="shared" si="130"/>
        <v>0</v>
      </c>
      <c r="AM399" s="92">
        <f t="shared" si="131"/>
        <v>0</v>
      </c>
      <c r="AN399" s="95" t="str">
        <f t="shared" si="132"/>
        <v/>
      </c>
      <c r="AO399" s="95" t="str">
        <f t="shared" si="133"/>
        <v/>
      </c>
      <c r="AP399" s="83"/>
    </row>
    <row r="400" spans="1:42" outlineLevel="1" x14ac:dyDescent="0.25">
      <c r="A400" s="125">
        <f t="shared" si="93"/>
        <v>28</v>
      </c>
      <c r="B400" s="92">
        <f t="shared" si="94"/>
        <v>0</v>
      </c>
      <c r="C400" s="92">
        <f t="shared" si="95"/>
        <v>0</v>
      </c>
      <c r="D400" s="112" t="str">
        <f t="shared" si="96"/>
        <v/>
      </c>
      <c r="E400" s="126">
        <f t="shared" si="97"/>
        <v>0</v>
      </c>
      <c r="F400" s="92">
        <f t="shared" si="98"/>
        <v>0</v>
      </c>
      <c r="G400" s="95" t="str">
        <f t="shared" si="99"/>
        <v/>
      </c>
      <c r="H400" s="126">
        <f t="shared" si="100"/>
        <v>0</v>
      </c>
      <c r="I400" s="92">
        <f t="shared" si="101"/>
        <v>0</v>
      </c>
      <c r="J400" s="95" t="str">
        <f t="shared" si="102"/>
        <v/>
      </c>
      <c r="K400" s="126">
        <f t="shared" si="103"/>
        <v>0</v>
      </c>
      <c r="L400" s="92">
        <f t="shared" si="104"/>
        <v>0</v>
      </c>
      <c r="M400" s="95" t="str">
        <f t="shared" si="105"/>
        <v/>
      </c>
      <c r="N400" s="126">
        <f t="shared" si="106"/>
        <v>0</v>
      </c>
      <c r="O400" s="92">
        <f t="shared" si="107"/>
        <v>0</v>
      </c>
      <c r="P400" s="95" t="str">
        <f t="shared" si="108"/>
        <v/>
      </c>
      <c r="Q400" s="126">
        <f t="shared" si="109"/>
        <v>0</v>
      </c>
      <c r="R400" s="92">
        <f t="shared" si="110"/>
        <v>0</v>
      </c>
      <c r="S400" s="95" t="str">
        <f t="shared" si="111"/>
        <v/>
      </c>
      <c r="T400" s="126">
        <f t="shared" si="112"/>
        <v>0</v>
      </c>
      <c r="U400" s="92">
        <f t="shared" si="113"/>
        <v>0</v>
      </c>
      <c r="V400" s="95" t="str">
        <f t="shared" si="114"/>
        <v/>
      </c>
      <c r="W400" s="126">
        <f t="shared" si="115"/>
        <v>0</v>
      </c>
      <c r="X400" s="92">
        <f t="shared" si="116"/>
        <v>0</v>
      </c>
      <c r="Y400" s="95" t="str">
        <f t="shared" si="117"/>
        <v/>
      </c>
      <c r="Z400" s="126">
        <f t="shared" si="118"/>
        <v>0</v>
      </c>
      <c r="AA400" s="92">
        <f t="shared" si="119"/>
        <v>0</v>
      </c>
      <c r="AB400" s="95" t="str">
        <f t="shared" si="120"/>
        <v/>
      </c>
      <c r="AC400" s="126">
        <f t="shared" si="121"/>
        <v>0</v>
      </c>
      <c r="AD400" s="92">
        <f t="shared" si="122"/>
        <v>0</v>
      </c>
      <c r="AE400" s="95" t="str">
        <f t="shared" si="123"/>
        <v/>
      </c>
      <c r="AF400" s="126">
        <f t="shared" si="124"/>
        <v>0</v>
      </c>
      <c r="AG400" s="92">
        <f t="shared" si="125"/>
        <v>0</v>
      </c>
      <c r="AH400" s="95" t="str">
        <f t="shared" si="126"/>
        <v/>
      </c>
      <c r="AI400" s="126">
        <f t="shared" si="127"/>
        <v>0</v>
      </c>
      <c r="AJ400" s="92">
        <f t="shared" si="128"/>
        <v>0</v>
      </c>
      <c r="AK400" s="95" t="str">
        <f t="shared" si="129"/>
        <v/>
      </c>
      <c r="AL400" s="126">
        <f t="shared" si="130"/>
        <v>0</v>
      </c>
      <c r="AM400" s="92">
        <f t="shared" si="131"/>
        <v>0</v>
      </c>
      <c r="AN400" s="95" t="str">
        <f t="shared" si="132"/>
        <v/>
      </c>
      <c r="AO400" s="95" t="str">
        <f t="shared" si="133"/>
        <v/>
      </c>
      <c r="AP400" s="83"/>
    </row>
    <row r="401" spans="1:42" outlineLevel="1" x14ac:dyDescent="0.25">
      <c r="A401" s="125">
        <f t="shared" si="93"/>
        <v>29</v>
      </c>
      <c r="B401" s="92">
        <f t="shared" si="94"/>
        <v>0</v>
      </c>
      <c r="C401" s="92">
        <f t="shared" si="95"/>
        <v>0</v>
      </c>
      <c r="D401" s="112" t="str">
        <f t="shared" si="96"/>
        <v/>
      </c>
      <c r="E401" s="126">
        <f t="shared" si="97"/>
        <v>0</v>
      </c>
      <c r="F401" s="92">
        <f t="shared" si="98"/>
        <v>0</v>
      </c>
      <c r="G401" s="95" t="str">
        <f t="shared" si="99"/>
        <v/>
      </c>
      <c r="H401" s="126">
        <f t="shared" si="100"/>
        <v>0</v>
      </c>
      <c r="I401" s="92">
        <f t="shared" si="101"/>
        <v>0</v>
      </c>
      <c r="J401" s="95" t="str">
        <f t="shared" si="102"/>
        <v/>
      </c>
      <c r="K401" s="126">
        <f t="shared" si="103"/>
        <v>0</v>
      </c>
      <c r="L401" s="92">
        <f t="shared" si="104"/>
        <v>0</v>
      </c>
      <c r="M401" s="95" t="str">
        <f t="shared" si="105"/>
        <v/>
      </c>
      <c r="N401" s="126">
        <f t="shared" si="106"/>
        <v>0</v>
      </c>
      <c r="O401" s="92">
        <f t="shared" si="107"/>
        <v>0</v>
      </c>
      <c r="P401" s="95" t="str">
        <f t="shared" si="108"/>
        <v/>
      </c>
      <c r="Q401" s="126">
        <f t="shared" si="109"/>
        <v>0</v>
      </c>
      <c r="R401" s="92">
        <f t="shared" si="110"/>
        <v>0</v>
      </c>
      <c r="S401" s="95" t="str">
        <f t="shared" si="111"/>
        <v/>
      </c>
      <c r="T401" s="126">
        <f t="shared" si="112"/>
        <v>0</v>
      </c>
      <c r="U401" s="92">
        <f t="shared" si="113"/>
        <v>0</v>
      </c>
      <c r="V401" s="95" t="str">
        <f t="shared" si="114"/>
        <v/>
      </c>
      <c r="W401" s="126">
        <f t="shared" si="115"/>
        <v>0</v>
      </c>
      <c r="X401" s="92">
        <f t="shared" si="116"/>
        <v>0</v>
      </c>
      <c r="Y401" s="95" t="str">
        <f t="shared" si="117"/>
        <v/>
      </c>
      <c r="Z401" s="126">
        <f t="shared" si="118"/>
        <v>0</v>
      </c>
      <c r="AA401" s="92">
        <f t="shared" si="119"/>
        <v>0</v>
      </c>
      <c r="AB401" s="95" t="str">
        <f t="shared" si="120"/>
        <v/>
      </c>
      <c r="AC401" s="126">
        <f t="shared" si="121"/>
        <v>0</v>
      </c>
      <c r="AD401" s="92">
        <f t="shared" si="122"/>
        <v>0</v>
      </c>
      <c r="AE401" s="95" t="str">
        <f t="shared" si="123"/>
        <v/>
      </c>
      <c r="AF401" s="126">
        <f t="shared" si="124"/>
        <v>0</v>
      </c>
      <c r="AG401" s="92">
        <f t="shared" si="125"/>
        <v>0</v>
      </c>
      <c r="AH401" s="95" t="str">
        <f t="shared" si="126"/>
        <v/>
      </c>
      <c r="AI401" s="126">
        <f t="shared" si="127"/>
        <v>0</v>
      </c>
      <c r="AJ401" s="92">
        <f t="shared" si="128"/>
        <v>0</v>
      </c>
      <c r="AK401" s="95" t="str">
        <f t="shared" si="129"/>
        <v/>
      </c>
      <c r="AL401" s="126">
        <f t="shared" si="130"/>
        <v>0</v>
      </c>
      <c r="AM401" s="92">
        <f t="shared" si="131"/>
        <v>0</v>
      </c>
      <c r="AN401" s="95" t="str">
        <f t="shared" si="132"/>
        <v/>
      </c>
      <c r="AO401" s="95" t="str">
        <f t="shared" si="133"/>
        <v/>
      </c>
      <c r="AP401" s="83"/>
    </row>
    <row r="402" spans="1:42" outlineLevel="1" x14ac:dyDescent="0.25">
      <c r="A402" s="125">
        <f t="shared" si="93"/>
        <v>30</v>
      </c>
      <c r="B402" s="92">
        <f t="shared" si="94"/>
        <v>0</v>
      </c>
      <c r="C402" s="92">
        <f t="shared" si="95"/>
        <v>0</v>
      </c>
      <c r="D402" s="112" t="str">
        <f t="shared" si="96"/>
        <v/>
      </c>
      <c r="E402" s="126">
        <f t="shared" si="97"/>
        <v>0</v>
      </c>
      <c r="F402" s="92">
        <f t="shared" si="98"/>
        <v>0</v>
      </c>
      <c r="G402" s="95" t="str">
        <f t="shared" si="99"/>
        <v/>
      </c>
      <c r="H402" s="126">
        <f t="shared" si="100"/>
        <v>0</v>
      </c>
      <c r="I402" s="92">
        <f t="shared" si="101"/>
        <v>0</v>
      </c>
      <c r="J402" s="95" t="str">
        <f t="shared" si="102"/>
        <v/>
      </c>
      <c r="K402" s="126">
        <f t="shared" si="103"/>
        <v>0</v>
      </c>
      <c r="L402" s="92">
        <f t="shared" si="104"/>
        <v>0</v>
      </c>
      <c r="M402" s="95" t="str">
        <f t="shared" si="105"/>
        <v/>
      </c>
      <c r="N402" s="126">
        <f t="shared" si="106"/>
        <v>0</v>
      </c>
      <c r="O402" s="92">
        <f t="shared" si="107"/>
        <v>0</v>
      </c>
      <c r="P402" s="95" t="str">
        <f t="shared" si="108"/>
        <v/>
      </c>
      <c r="Q402" s="126">
        <f t="shared" si="109"/>
        <v>0</v>
      </c>
      <c r="R402" s="92">
        <f t="shared" si="110"/>
        <v>0</v>
      </c>
      <c r="S402" s="95" t="str">
        <f t="shared" si="111"/>
        <v/>
      </c>
      <c r="T402" s="126">
        <f t="shared" si="112"/>
        <v>0</v>
      </c>
      <c r="U402" s="92">
        <f t="shared" si="113"/>
        <v>0</v>
      </c>
      <c r="V402" s="95" t="str">
        <f t="shared" si="114"/>
        <v/>
      </c>
      <c r="W402" s="126">
        <f t="shared" si="115"/>
        <v>0</v>
      </c>
      <c r="X402" s="92">
        <f t="shared" si="116"/>
        <v>0</v>
      </c>
      <c r="Y402" s="95" t="str">
        <f t="shared" si="117"/>
        <v/>
      </c>
      <c r="Z402" s="126">
        <f t="shared" si="118"/>
        <v>0</v>
      </c>
      <c r="AA402" s="92">
        <f t="shared" si="119"/>
        <v>0</v>
      </c>
      <c r="AB402" s="95" t="str">
        <f t="shared" si="120"/>
        <v/>
      </c>
      <c r="AC402" s="126">
        <f t="shared" si="121"/>
        <v>0</v>
      </c>
      <c r="AD402" s="92">
        <f t="shared" si="122"/>
        <v>0</v>
      </c>
      <c r="AE402" s="95" t="str">
        <f t="shared" si="123"/>
        <v/>
      </c>
      <c r="AF402" s="126">
        <f t="shared" si="124"/>
        <v>0</v>
      </c>
      <c r="AG402" s="92">
        <f t="shared" si="125"/>
        <v>0</v>
      </c>
      <c r="AH402" s="95" t="str">
        <f t="shared" si="126"/>
        <v/>
      </c>
      <c r="AI402" s="126">
        <f t="shared" si="127"/>
        <v>0</v>
      </c>
      <c r="AJ402" s="92">
        <f t="shared" si="128"/>
        <v>0</v>
      </c>
      <c r="AK402" s="95" t="str">
        <f t="shared" si="129"/>
        <v/>
      </c>
      <c r="AL402" s="126">
        <f t="shared" si="130"/>
        <v>0</v>
      </c>
      <c r="AM402" s="92">
        <f t="shared" si="131"/>
        <v>0</v>
      </c>
      <c r="AN402" s="95" t="str">
        <f t="shared" si="132"/>
        <v/>
      </c>
      <c r="AO402" s="95" t="str">
        <f t="shared" si="133"/>
        <v/>
      </c>
      <c r="AP402" s="83"/>
    </row>
    <row r="403" spans="1:42" outlineLevel="1" x14ac:dyDescent="0.25">
      <c r="A403" s="125">
        <f t="shared" si="93"/>
        <v>31</v>
      </c>
      <c r="B403" s="92">
        <f t="shared" si="94"/>
        <v>0</v>
      </c>
      <c r="C403" s="92">
        <f t="shared" si="95"/>
        <v>0</v>
      </c>
      <c r="D403" s="112" t="str">
        <f t="shared" si="96"/>
        <v/>
      </c>
      <c r="E403" s="126">
        <f t="shared" si="97"/>
        <v>0</v>
      </c>
      <c r="F403" s="92">
        <f t="shared" si="98"/>
        <v>0</v>
      </c>
      <c r="G403" s="95" t="str">
        <f t="shared" si="99"/>
        <v/>
      </c>
      <c r="H403" s="126">
        <f t="shared" si="100"/>
        <v>0</v>
      </c>
      <c r="I403" s="92">
        <f t="shared" si="101"/>
        <v>0</v>
      </c>
      <c r="J403" s="95" t="str">
        <f t="shared" si="102"/>
        <v/>
      </c>
      <c r="K403" s="126">
        <f t="shared" si="103"/>
        <v>0</v>
      </c>
      <c r="L403" s="92">
        <f t="shared" si="104"/>
        <v>0</v>
      </c>
      <c r="M403" s="95" t="str">
        <f t="shared" si="105"/>
        <v/>
      </c>
      <c r="N403" s="126">
        <f t="shared" si="106"/>
        <v>0</v>
      </c>
      <c r="O403" s="92">
        <f t="shared" si="107"/>
        <v>0</v>
      </c>
      <c r="P403" s="95" t="str">
        <f t="shared" si="108"/>
        <v/>
      </c>
      <c r="Q403" s="126">
        <f t="shared" si="109"/>
        <v>0</v>
      </c>
      <c r="R403" s="92">
        <f t="shared" si="110"/>
        <v>0</v>
      </c>
      <c r="S403" s="95" t="str">
        <f t="shared" si="111"/>
        <v/>
      </c>
      <c r="T403" s="126">
        <f t="shared" si="112"/>
        <v>0</v>
      </c>
      <c r="U403" s="92">
        <f t="shared" si="113"/>
        <v>0</v>
      </c>
      <c r="V403" s="95" t="str">
        <f t="shared" si="114"/>
        <v/>
      </c>
      <c r="W403" s="126">
        <f t="shared" si="115"/>
        <v>0</v>
      </c>
      <c r="X403" s="92">
        <f t="shared" si="116"/>
        <v>0</v>
      </c>
      <c r="Y403" s="95" t="str">
        <f t="shared" si="117"/>
        <v/>
      </c>
      <c r="Z403" s="126">
        <f t="shared" si="118"/>
        <v>0</v>
      </c>
      <c r="AA403" s="92">
        <f t="shared" si="119"/>
        <v>0</v>
      </c>
      <c r="AB403" s="95" t="str">
        <f t="shared" si="120"/>
        <v/>
      </c>
      <c r="AC403" s="126">
        <f t="shared" si="121"/>
        <v>0</v>
      </c>
      <c r="AD403" s="92">
        <f t="shared" si="122"/>
        <v>0</v>
      </c>
      <c r="AE403" s="95" t="str">
        <f t="shared" si="123"/>
        <v/>
      </c>
      <c r="AF403" s="126">
        <f t="shared" si="124"/>
        <v>0</v>
      </c>
      <c r="AG403" s="92">
        <f t="shared" si="125"/>
        <v>0</v>
      </c>
      <c r="AH403" s="95" t="str">
        <f t="shared" si="126"/>
        <v/>
      </c>
      <c r="AI403" s="126">
        <f t="shared" si="127"/>
        <v>0</v>
      </c>
      <c r="AJ403" s="92">
        <f t="shared" si="128"/>
        <v>0</v>
      </c>
      <c r="AK403" s="95" t="str">
        <f t="shared" si="129"/>
        <v/>
      </c>
      <c r="AL403" s="126">
        <f t="shared" si="130"/>
        <v>0</v>
      </c>
      <c r="AM403" s="92">
        <f t="shared" si="131"/>
        <v>0</v>
      </c>
      <c r="AN403" s="95" t="str">
        <f t="shared" si="132"/>
        <v/>
      </c>
      <c r="AO403" s="95" t="str">
        <f t="shared" si="133"/>
        <v/>
      </c>
      <c r="AP403" s="83"/>
    </row>
    <row r="404" spans="1:42" outlineLevel="1" x14ac:dyDescent="0.25">
      <c r="A404" s="125">
        <f t="shared" si="93"/>
        <v>32</v>
      </c>
      <c r="B404" s="92">
        <f t="shared" si="94"/>
        <v>0</v>
      </c>
      <c r="C404" s="92">
        <f t="shared" si="95"/>
        <v>0</v>
      </c>
      <c r="D404" s="112" t="str">
        <f t="shared" si="96"/>
        <v/>
      </c>
      <c r="E404" s="126">
        <f t="shared" si="97"/>
        <v>0</v>
      </c>
      <c r="F404" s="92">
        <f t="shared" si="98"/>
        <v>0</v>
      </c>
      <c r="G404" s="95" t="str">
        <f t="shared" si="99"/>
        <v/>
      </c>
      <c r="H404" s="126">
        <f t="shared" si="100"/>
        <v>0</v>
      </c>
      <c r="I404" s="92">
        <f t="shared" si="101"/>
        <v>0</v>
      </c>
      <c r="J404" s="95" t="str">
        <f t="shared" si="102"/>
        <v/>
      </c>
      <c r="K404" s="126">
        <f t="shared" si="103"/>
        <v>0</v>
      </c>
      <c r="L404" s="92">
        <f t="shared" si="104"/>
        <v>0</v>
      </c>
      <c r="M404" s="95" t="str">
        <f t="shared" si="105"/>
        <v/>
      </c>
      <c r="N404" s="126">
        <f t="shared" si="106"/>
        <v>0</v>
      </c>
      <c r="O404" s="92">
        <f t="shared" si="107"/>
        <v>0</v>
      </c>
      <c r="P404" s="95" t="str">
        <f t="shared" si="108"/>
        <v/>
      </c>
      <c r="Q404" s="126">
        <f t="shared" si="109"/>
        <v>0</v>
      </c>
      <c r="R404" s="92">
        <f t="shared" si="110"/>
        <v>0</v>
      </c>
      <c r="S404" s="95" t="str">
        <f t="shared" si="111"/>
        <v/>
      </c>
      <c r="T404" s="126">
        <f t="shared" si="112"/>
        <v>0</v>
      </c>
      <c r="U404" s="92">
        <f t="shared" si="113"/>
        <v>0</v>
      </c>
      <c r="V404" s="95" t="str">
        <f t="shared" si="114"/>
        <v/>
      </c>
      <c r="W404" s="126">
        <f t="shared" si="115"/>
        <v>0</v>
      </c>
      <c r="X404" s="92">
        <f t="shared" si="116"/>
        <v>0</v>
      </c>
      <c r="Y404" s="95" t="str">
        <f t="shared" si="117"/>
        <v/>
      </c>
      <c r="Z404" s="126">
        <f t="shared" si="118"/>
        <v>0</v>
      </c>
      <c r="AA404" s="92">
        <f t="shared" si="119"/>
        <v>0</v>
      </c>
      <c r="AB404" s="95" t="str">
        <f t="shared" si="120"/>
        <v/>
      </c>
      <c r="AC404" s="126">
        <f t="shared" si="121"/>
        <v>0</v>
      </c>
      <c r="AD404" s="92">
        <f t="shared" si="122"/>
        <v>0</v>
      </c>
      <c r="AE404" s="95" t="str">
        <f t="shared" si="123"/>
        <v/>
      </c>
      <c r="AF404" s="126">
        <f t="shared" si="124"/>
        <v>0</v>
      </c>
      <c r="AG404" s="92">
        <f t="shared" si="125"/>
        <v>0</v>
      </c>
      <c r="AH404" s="95" t="str">
        <f t="shared" si="126"/>
        <v/>
      </c>
      <c r="AI404" s="126">
        <f t="shared" si="127"/>
        <v>0</v>
      </c>
      <c r="AJ404" s="92">
        <f t="shared" si="128"/>
        <v>0</v>
      </c>
      <c r="AK404" s="95" t="str">
        <f t="shared" si="129"/>
        <v/>
      </c>
      <c r="AL404" s="126">
        <f t="shared" si="130"/>
        <v>0</v>
      </c>
      <c r="AM404" s="92">
        <f t="shared" si="131"/>
        <v>0</v>
      </c>
      <c r="AN404" s="95" t="str">
        <f t="shared" si="132"/>
        <v/>
      </c>
      <c r="AO404" s="95" t="str">
        <f t="shared" si="133"/>
        <v/>
      </c>
      <c r="AP404" s="83"/>
    </row>
    <row r="405" spans="1:42" outlineLevel="1" x14ac:dyDescent="0.25">
      <c r="A405" s="125">
        <f t="shared" ref="A405:A425" si="134">ROW()-372</f>
        <v>33</v>
      </c>
      <c r="B405" s="92">
        <f t="shared" ref="B405:B425" si="135">SUMIF(B$2:B$366,A405,D$2:D$366)</f>
        <v>0</v>
      </c>
      <c r="C405" s="92">
        <f t="shared" ref="C405:C425" si="136">SUMIF(B$2:B$366,A405,E$2:E$366)</f>
        <v>0</v>
      </c>
      <c r="D405" s="112" t="str">
        <f t="shared" ref="D405:D425" si="137">IFERROR(C405/B405,"")</f>
        <v/>
      </c>
      <c r="E405" s="126">
        <f t="shared" ref="E405:E425" si="138">SUMIF(B$2:B$366,A405,G$2:G$366)</f>
        <v>0</v>
      </c>
      <c r="F405" s="92">
        <f t="shared" ref="F405:F425" si="139">SUMIF(B$2:B$366,A405,H$2:H$366)</f>
        <v>0</v>
      </c>
      <c r="G405" s="95" t="str">
        <f t="shared" ref="G405:G425" si="140">IFERROR(F405/E405,"")</f>
        <v/>
      </c>
      <c r="H405" s="126">
        <f t="shared" ref="H405:H425" si="141">SUMIF(B$2:B$366,A405,J$2:J$366)</f>
        <v>0</v>
      </c>
      <c r="I405" s="92">
        <f t="shared" ref="I405:I425" si="142">SUMIF(B$2:B$366,A405,K$2:K$366)</f>
        <v>0</v>
      </c>
      <c r="J405" s="95" t="str">
        <f t="shared" ref="J405:J425" si="143">IFERROR(I405/H405,"")</f>
        <v/>
      </c>
      <c r="K405" s="126">
        <f t="shared" ref="K405:K425" si="144">SUMIF(B$2:B$366,A405,M$2:M$366)</f>
        <v>0</v>
      </c>
      <c r="L405" s="92">
        <f t="shared" ref="L405:L425" si="145">SUMIF(B$2:B$366,A405,N$2:N$366)</f>
        <v>0</v>
      </c>
      <c r="M405" s="95" t="str">
        <f t="shared" ref="M405:M425" si="146">IFERROR(L405/K405,"")</f>
        <v/>
      </c>
      <c r="N405" s="126">
        <f t="shared" ref="N405:N425" si="147">SUMIF(B$2:B$366,A405,P$2:P$366)</f>
        <v>0</v>
      </c>
      <c r="O405" s="92">
        <f t="shared" ref="O405:O425" si="148">SUMIF(B$2:B$366,A405,Q$2:Q$366)</f>
        <v>0</v>
      </c>
      <c r="P405" s="95" t="str">
        <f t="shared" ref="P405:P425" si="149">IFERROR(O405/N405,"")</f>
        <v/>
      </c>
      <c r="Q405" s="126">
        <f t="shared" ref="Q405:Q425" si="150">SUMIF(B$2:B$366,A405,S$2:S$366)</f>
        <v>0</v>
      </c>
      <c r="R405" s="92">
        <f t="shared" ref="R405:R425" si="151">SUMIF(B$2:B$366,A405,T$2:T$366)</f>
        <v>0</v>
      </c>
      <c r="S405" s="95" t="str">
        <f t="shared" ref="S405:S425" si="152">IFERROR(R405/Q405,"")</f>
        <v/>
      </c>
      <c r="T405" s="126">
        <f t="shared" ref="T405:T425" si="153">SUMIF(B$2:B$366,A405,V$2:V$366)</f>
        <v>0</v>
      </c>
      <c r="U405" s="92">
        <f t="shared" ref="U405:U425" si="154">SUMIF(B$2:B$366,A405,W$2:W$366)</f>
        <v>0</v>
      </c>
      <c r="V405" s="95" t="str">
        <f t="shared" ref="V405:V425" si="155">IFERROR(U405/T405,"")</f>
        <v/>
      </c>
      <c r="W405" s="126">
        <f t="shared" ref="W405:W425" si="156">SUMIF(B$2:B$366,A405,Y$2:Y$366)</f>
        <v>0</v>
      </c>
      <c r="X405" s="92">
        <f t="shared" ref="X405:X425" si="157">SUMIF(B$2:B$366,A405,Z$2:Z$366)</f>
        <v>0</v>
      </c>
      <c r="Y405" s="95" t="str">
        <f t="shared" ref="Y405:Y425" si="158">IFERROR(X405/W405,"")</f>
        <v/>
      </c>
      <c r="Z405" s="126">
        <f t="shared" ref="Z405:Z425" si="159">SUMIF(B$2:B$366,A405,AB$2:AB$366)</f>
        <v>0</v>
      </c>
      <c r="AA405" s="92">
        <f t="shared" ref="AA405:AA425" si="160">SUMIF(B$2:B$366,A405,AC$2:AC$366)</f>
        <v>0</v>
      </c>
      <c r="AB405" s="95" t="str">
        <f t="shared" ref="AB405:AB425" si="161">IFERROR(AA405/Z405,"")</f>
        <v/>
      </c>
      <c r="AC405" s="126">
        <f t="shared" ref="AC405:AC425" si="162">SUMIF(B$2:B$366,A405,AE$2:AE$366)</f>
        <v>0</v>
      </c>
      <c r="AD405" s="92">
        <f t="shared" ref="AD405:AD425" si="163">SUMIF(B$2:B$366,A405,AF$2:AF$366)</f>
        <v>0</v>
      </c>
      <c r="AE405" s="95" t="str">
        <f t="shared" ref="AE405:AE425" si="164">IFERROR(AD405/AC405,"")</f>
        <v/>
      </c>
      <c r="AF405" s="126">
        <f t="shared" ref="AF405:AF425" si="165">SUMIF(B$2:B$366,A405,AH$2:AH$366)</f>
        <v>0</v>
      </c>
      <c r="AG405" s="92">
        <f t="shared" ref="AG405:AG425" si="166">SUMIF(B$2:B$366,A405,AI$2:AI$366)</f>
        <v>0</v>
      </c>
      <c r="AH405" s="95" t="str">
        <f t="shared" ref="AH405:AH425" si="167">IFERROR(AG405/AF405,"")</f>
        <v/>
      </c>
      <c r="AI405" s="126">
        <f t="shared" ref="AI405:AI425" si="168">SUMIF(B$2:B$366,A405,AK$2:AK$366)</f>
        <v>0</v>
      </c>
      <c r="AJ405" s="92">
        <f t="shared" ref="AJ405:AJ425" si="169">SUMIF(B$2:B$366,A405,AL$2:AL$366)</f>
        <v>0</v>
      </c>
      <c r="AK405" s="95" t="str">
        <f t="shared" ref="AK405:AK425" si="170">IFERROR(AJ405/AI405,"")</f>
        <v/>
      </c>
      <c r="AL405" s="126">
        <f t="shared" ref="AL405:AL425" si="171">SUMIF(B$2:B$366,A405,AN$2:AN$366)</f>
        <v>0</v>
      </c>
      <c r="AM405" s="92">
        <f t="shared" ref="AM405:AM425" si="172">SUMIF(B$2:B$366,A405,AO$2:AO$366)</f>
        <v>0</v>
      </c>
      <c r="AN405" s="95" t="str">
        <f t="shared" ref="AN405:AN425" si="173">IFERROR(AM405/AL405,"")</f>
        <v/>
      </c>
      <c r="AO405" s="95" t="str">
        <f t="shared" ref="AO405:AO425" si="174">IF((COUNTIF(D405,"&gt;0")+COUNTIF(G405,"&gt;0")+COUNTIF(J405,"&gt;0")+COUNTIF(M405,"&gt;0")+COUNTIF(P405,"&gt;0")+COUNTIF(S405,"&gt;0")+COUNTIF(V405,"&gt;0")+COUNTIF(Y405,"&gt;0")+COUNTIF(AB405,"&gt;0")+COUNTIF(AE405,"&gt;0")+COUNTIF(AH405,"&gt;0")+COUNTIF(AK405,"&gt;0")+COUNTIF(AN405,"&gt;0"))=0,"",(SUMIF(D405,"&gt;0")+SUMIF(G405,"&gt;0")+SUMIF(J405,"&gt;0")+SUMIF(M405,"&gt;0")+SUMIF(P405,"&gt;0")+SUMIF(S405,"&gt;0")+SUMIF(V405,"&gt;0")+SUMIF(Y405,"&gt;0")+SUMIF(AB405,"&gt;0")+SUMIF(AE405,"&gt;0")+SUMIF(AH405,"&gt;0")+SUMIF(AK405,"&gt;0")+SUMIF(AN405,"&gt;0"))/(COUNTIF(D405,"&gt;0")+COUNTIF(G405,"&gt;0")+COUNTIF(J405,"&gt;0")+COUNTIF(M405,"&gt;0")+COUNTIF(P405,"&gt;0")+COUNTIF(S405,"&gt;0")+COUNTIF(V405,"&gt;0")+COUNTIF(Y405,"&gt;0")+COUNTIF(AB405,"&gt;0")+COUNTIF(AE405,"&gt;0")+COUNTIF(AH405,"&gt;0")+COUNTIF(AK405,"&gt;0")+COUNTIF(AN405,"&gt;0")))</f>
        <v/>
      </c>
      <c r="AP405" s="83"/>
    </row>
    <row r="406" spans="1:42" outlineLevel="1" x14ac:dyDescent="0.25">
      <c r="A406" s="125">
        <f t="shared" si="134"/>
        <v>34</v>
      </c>
      <c r="B406" s="92">
        <f t="shared" si="135"/>
        <v>0</v>
      </c>
      <c r="C406" s="92">
        <f t="shared" si="136"/>
        <v>0</v>
      </c>
      <c r="D406" s="112" t="str">
        <f t="shared" si="137"/>
        <v/>
      </c>
      <c r="E406" s="126">
        <f t="shared" si="138"/>
        <v>0</v>
      </c>
      <c r="F406" s="92">
        <f t="shared" si="139"/>
        <v>0</v>
      </c>
      <c r="G406" s="95" t="str">
        <f t="shared" si="140"/>
        <v/>
      </c>
      <c r="H406" s="126">
        <f t="shared" si="141"/>
        <v>0</v>
      </c>
      <c r="I406" s="92">
        <f t="shared" si="142"/>
        <v>0</v>
      </c>
      <c r="J406" s="95" t="str">
        <f t="shared" si="143"/>
        <v/>
      </c>
      <c r="K406" s="126">
        <f t="shared" si="144"/>
        <v>0</v>
      </c>
      <c r="L406" s="92">
        <f t="shared" si="145"/>
        <v>0</v>
      </c>
      <c r="M406" s="95" t="str">
        <f t="shared" si="146"/>
        <v/>
      </c>
      <c r="N406" s="126">
        <f t="shared" si="147"/>
        <v>0</v>
      </c>
      <c r="O406" s="92">
        <f t="shared" si="148"/>
        <v>0</v>
      </c>
      <c r="P406" s="95" t="str">
        <f t="shared" si="149"/>
        <v/>
      </c>
      <c r="Q406" s="126">
        <f t="shared" si="150"/>
        <v>0</v>
      </c>
      <c r="R406" s="92">
        <f t="shared" si="151"/>
        <v>0</v>
      </c>
      <c r="S406" s="95" t="str">
        <f t="shared" si="152"/>
        <v/>
      </c>
      <c r="T406" s="126">
        <f t="shared" si="153"/>
        <v>0</v>
      </c>
      <c r="U406" s="92">
        <f t="shared" si="154"/>
        <v>0</v>
      </c>
      <c r="V406" s="95" t="str">
        <f t="shared" si="155"/>
        <v/>
      </c>
      <c r="W406" s="126">
        <f t="shared" si="156"/>
        <v>0</v>
      </c>
      <c r="X406" s="92">
        <f t="shared" si="157"/>
        <v>0</v>
      </c>
      <c r="Y406" s="95" t="str">
        <f t="shared" si="158"/>
        <v/>
      </c>
      <c r="Z406" s="126">
        <f t="shared" si="159"/>
        <v>0</v>
      </c>
      <c r="AA406" s="92">
        <f t="shared" si="160"/>
        <v>0</v>
      </c>
      <c r="AB406" s="95" t="str">
        <f t="shared" si="161"/>
        <v/>
      </c>
      <c r="AC406" s="126">
        <f t="shared" si="162"/>
        <v>0</v>
      </c>
      <c r="AD406" s="92">
        <f t="shared" si="163"/>
        <v>0</v>
      </c>
      <c r="AE406" s="95" t="str">
        <f t="shared" si="164"/>
        <v/>
      </c>
      <c r="AF406" s="126">
        <f t="shared" si="165"/>
        <v>0</v>
      </c>
      <c r="AG406" s="92">
        <f t="shared" si="166"/>
        <v>0</v>
      </c>
      <c r="AH406" s="95" t="str">
        <f t="shared" si="167"/>
        <v/>
      </c>
      <c r="AI406" s="126">
        <f t="shared" si="168"/>
        <v>0</v>
      </c>
      <c r="AJ406" s="92">
        <f t="shared" si="169"/>
        <v>0</v>
      </c>
      <c r="AK406" s="95" t="str">
        <f t="shared" si="170"/>
        <v/>
      </c>
      <c r="AL406" s="126">
        <f t="shared" si="171"/>
        <v>0</v>
      </c>
      <c r="AM406" s="92">
        <f t="shared" si="172"/>
        <v>0</v>
      </c>
      <c r="AN406" s="95" t="str">
        <f t="shared" si="173"/>
        <v/>
      </c>
      <c r="AO406" s="95" t="str">
        <f t="shared" si="174"/>
        <v/>
      </c>
      <c r="AP406" s="83"/>
    </row>
    <row r="407" spans="1:42" outlineLevel="1" x14ac:dyDescent="0.25">
      <c r="A407" s="125">
        <f t="shared" si="134"/>
        <v>35</v>
      </c>
      <c r="B407" s="92">
        <f t="shared" si="135"/>
        <v>0</v>
      </c>
      <c r="C407" s="92">
        <f t="shared" si="136"/>
        <v>0</v>
      </c>
      <c r="D407" s="112" t="str">
        <f t="shared" si="137"/>
        <v/>
      </c>
      <c r="E407" s="126">
        <f t="shared" si="138"/>
        <v>0</v>
      </c>
      <c r="F407" s="92">
        <f t="shared" si="139"/>
        <v>0</v>
      </c>
      <c r="G407" s="95" t="str">
        <f t="shared" si="140"/>
        <v/>
      </c>
      <c r="H407" s="126">
        <f t="shared" si="141"/>
        <v>0</v>
      </c>
      <c r="I407" s="92">
        <f t="shared" si="142"/>
        <v>0</v>
      </c>
      <c r="J407" s="95" t="str">
        <f t="shared" si="143"/>
        <v/>
      </c>
      <c r="K407" s="126">
        <f t="shared" si="144"/>
        <v>0</v>
      </c>
      <c r="L407" s="92">
        <f t="shared" si="145"/>
        <v>0</v>
      </c>
      <c r="M407" s="95" t="str">
        <f t="shared" si="146"/>
        <v/>
      </c>
      <c r="N407" s="126">
        <f t="shared" si="147"/>
        <v>0</v>
      </c>
      <c r="O407" s="92">
        <f t="shared" si="148"/>
        <v>0</v>
      </c>
      <c r="P407" s="95" t="str">
        <f t="shared" si="149"/>
        <v/>
      </c>
      <c r="Q407" s="126">
        <f t="shared" si="150"/>
        <v>0</v>
      </c>
      <c r="R407" s="92">
        <f t="shared" si="151"/>
        <v>0</v>
      </c>
      <c r="S407" s="95" t="str">
        <f t="shared" si="152"/>
        <v/>
      </c>
      <c r="T407" s="126">
        <f t="shared" si="153"/>
        <v>0</v>
      </c>
      <c r="U407" s="92">
        <f t="shared" si="154"/>
        <v>0</v>
      </c>
      <c r="V407" s="95" t="str">
        <f t="shared" si="155"/>
        <v/>
      </c>
      <c r="W407" s="126">
        <f t="shared" si="156"/>
        <v>0</v>
      </c>
      <c r="X407" s="92">
        <f t="shared" si="157"/>
        <v>0</v>
      </c>
      <c r="Y407" s="95" t="str">
        <f t="shared" si="158"/>
        <v/>
      </c>
      <c r="Z407" s="126">
        <f t="shared" si="159"/>
        <v>0</v>
      </c>
      <c r="AA407" s="92">
        <f t="shared" si="160"/>
        <v>0</v>
      </c>
      <c r="AB407" s="95" t="str">
        <f t="shared" si="161"/>
        <v/>
      </c>
      <c r="AC407" s="126">
        <f t="shared" si="162"/>
        <v>0</v>
      </c>
      <c r="AD407" s="92">
        <f t="shared" si="163"/>
        <v>0</v>
      </c>
      <c r="AE407" s="95" t="str">
        <f t="shared" si="164"/>
        <v/>
      </c>
      <c r="AF407" s="126">
        <f t="shared" si="165"/>
        <v>0</v>
      </c>
      <c r="AG407" s="92">
        <f t="shared" si="166"/>
        <v>0</v>
      </c>
      <c r="AH407" s="95" t="str">
        <f t="shared" si="167"/>
        <v/>
      </c>
      <c r="AI407" s="126">
        <f t="shared" si="168"/>
        <v>0</v>
      </c>
      <c r="AJ407" s="92">
        <f t="shared" si="169"/>
        <v>0</v>
      </c>
      <c r="AK407" s="95" t="str">
        <f t="shared" si="170"/>
        <v/>
      </c>
      <c r="AL407" s="126">
        <f t="shared" si="171"/>
        <v>0</v>
      </c>
      <c r="AM407" s="92">
        <f t="shared" si="172"/>
        <v>0</v>
      </c>
      <c r="AN407" s="95" t="str">
        <f t="shared" si="173"/>
        <v/>
      </c>
      <c r="AO407" s="95" t="str">
        <f t="shared" si="174"/>
        <v/>
      </c>
      <c r="AP407" s="83"/>
    </row>
    <row r="408" spans="1:42" outlineLevel="1" x14ac:dyDescent="0.25">
      <c r="A408" s="125">
        <f t="shared" si="134"/>
        <v>36</v>
      </c>
      <c r="B408" s="92">
        <f t="shared" si="135"/>
        <v>0</v>
      </c>
      <c r="C408" s="92">
        <f t="shared" si="136"/>
        <v>0</v>
      </c>
      <c r="D408" s="112" t="str">
        <f t="shared" si="137"/>
        <v/>
      </c>
      <c r="E408" s="126">
        <f t="shared" si="138"/>
        <v>0</v>
      </c>
      <c r="F408" s="92">
        <f t="shared" si="139"/>
        <v>0</v>
      </c>
      <c r="G408" s="95" t="str">
        <f t="shared" si="140"/>
        <v/>
      </c>
      <c r="H408" s="126">
        <f t="shared" si="141"/>
        <v>0</v>
      </c>
      <c r="I408" s="92">
        <f t="shared" si="142"/>
        <v>0</v>
      </c>
      <c r="J408" s="95" t="str">
        <f t="shared" si="143"/>
        <v/>
      </c>
      <c r="K408" s="126">
        <f t="shared" si="144"/>
        <v>0</v>
      </c>
      <c r="L408" s="92">
        <f t="shared" si="145"/>
        <v>0</v>
      </c>
      <c r="M408" s="95" t="str">
        <f t="shared" si="146"/>
        <v/>
      </c>
      <c r="N408" s="126">
        <f t="shared" si="147"/>
        <v>0</v>
      </c>
      <c r="O408" s="92">
        <f t="shared" si="148"/>
        <v>0</v>
      </c>
      <c r="P408" s="95" t="str">
        <f t="shared" si="149"/>
        <v/>
      </c>
      <c r="Q408" s="126">
        <f t="shared" si="150"/>
        <v>0</v>
      </c>
      <c r="R408" s="92">
        <f t="shared" si="151"/>
        <v>0</v>
      </c>
      <c r="S408" s="95" t="str">
        <f t="shared" si="152"/>
        <v/>
      </c>
      <c r="T408" s="126">
        <f t="shared" si="153"/>
        <v>0</v>
      </c>
      <c r="U408" s="92">
        <f t="shared" si="154"/>
        <v>0</v>
      </c>
      <c r="V408" s="95" t="str">
        <f t="shared" si="155"/>
        <v/>
      </c>
      <c r="W408" s="126">
        <f t="shared" si="156"/>
        <v>0</v>
      </c>
      <c r="X408" s="92">
        <f t="shared" si="157"/>
        <v>0</v>
      </c>
      <c r="Y408" s="95" t="str">
        <f t="shared" si="158"/>
        <v/>
      </c>
      <c r="Z408" s="126">
        <f t="shared" si="159"/>
        <v>0</v>
      </c>
      <c r="AA408" s="92">
        <f t="shared" si="160"/>
        <v>0</v>
      </c>
      <c r="AB408" s="95" t="str">
        <f t="shared" si="161"/>
        <v/>
      </c>
      <c r="AC408" s="126">
        <f t="shared" si="162"/>
        <v>0</v>
      </c>
      <c r="AD408" s="92">
        <f t="shared" si="163"/>
        <v>0</v>
      </c>
      <c r="AE408" s="95" t="str">
        <f t="shared" si="164"/>
        <v/>
      </c>
      <c r="AF408" s="126">
        <f t="shared" si="165"/>
        <v>0</v>
      </c>
      <c r="AG408" s="92">
        <f t="shared" si="166"/>
        <v>0</v>
      </c>
      <c r="AH408" s="95" t="str">
        <f t="shared" si="167"/>
        <v/>
      </c>
      <c r="AI408" s="126">
        <f t="shared" si="168"/>
        <v>0</v>
      </c>
      <c r="AJ408" s="92">
        <f t="shared" si="169"/>
        <v>0</v>
      </c>
      <c r="AK408" s="95" t="str">
        <f t="shared" si="170"/>
        <v/>
      </c>
      <c r="AL408" s="126">
        <f t="shared" si="171"/>
        <v>0</v>
      </c>
      <c r="AM408" s="92">
        <f t="shared" si="172"/>
        <v>0</v>
      </c>
      <c r="AN408" s="95" t="str">
        <f t="shared" si="173"/>
        <v/>
      </c>
      <c r="AO408" s="95" t="str">
        <f t="shared" si="174"/>
        <v/>
      </c>
      <c r="AP408" s="83"/>
    </row>
    <row r="409" spans="1:42" outlineLevel="1" x14ac:dyDescent="0.25">
      <c r="A409" s="125">
        <f t="shared" si="134"/>
        <v>37</v>
      </c>
      <c r="B409" s="92">
        <f t="shared" si="135"/>
        <v>0</v>
      </c>
      <c r="C409" s="92">
        <f t="shared" si="136"/>
        <v>0</v>
      </c>
      <c r="D409" s="112" t="str">
        <f t="shared" si="137"/>
        <v/>
      </c>
      <c r="E409" s="126">
        <f t="shared" si="138"/>
        <v>0</v>
      </c>
      <c r="F409" s="92">
        <f t="shared" si="139"/>
        <v>0</v>
      </c>
      <c r="G409" s="95" t="str">
        <f t="shared" si="140"/>
        <v/>
      </c>
      <c r="H409" s="126">
        <f t="shared" si="141"/>
        <v>0</v>
      </c>
      <c r="I409" s="92">
        <f t="shared" si="142"/>
        <v>0</v>
      </c>
      <c r="J409" s="95" t="str">
        <f t="shared" si="143"/>
        <v/>
      </c>
      <c r="K409" s="126">
        <f t="shared" si="144"/>
        <v>0</v>
      </c>
      <c r="L409" s="92">
        <f t="shared" si="145"/>
        <v>0</v>
      </c>
      <c r="M409" s="95" t="str">
        <f t="shared" si="146"/>
        <v/>
      </c>
      <c r="N409" s="126">
        <f t="shared" si="147"/>
        <v>0</v>
      </c>
      <c r="O409" s="92">
        <f t="shared" si="148"/>
        <v>0</v>
      </c>
      <c r="P409" s="95" t="str">
        <f t="shared" si="149"/>
        <v/>
      </c>
      <c r="Q409" s="126">
        <f t="shared" si="150"/>
        <v>0</v>
      </c>
      <c r="R409" s="92">
        <f t="shared" si="151"/>
        <v>0</v>
      </c>
      <c r="S409" s="95" t="str">
        <f t="shared" si="152"/>
        <v/>
      </c>
      <c r="T409" s="126">
        <f t="shared" si="153"/>
        <v>0</v>
      </c>
      <c r="U409" s="92">
        <f t="shared" si="154"/>
        <v>0</v>
      </c>
      <c r="V409" s="95" t="str">
        <f t="shared" si="155"/>
        <v/>
      </c>
      <c r="W409" s="126">
        <f t="shared" si="156"/>
        <v>0</v>
      </c>
      <c r="X409" s="92">
        <f t="shared" si="157"/>
        <v>0</v>
      </c>
      <c r="Y409" s="95" t="str">
        <f t="shared" si="158"/>
        <v/>
      </c>
      <c r="Z409" s="126">
        <f t="shared" si="159"/>
        <v>0</v>
      </c>
      <c r="AA409" s="92">
        <f t="shared" si="160"/>
        <v>0</v>
      </c>
      <c r="AB409" s="95" t="str">
        <f t="shared" si="161"/>
        <v/>
      </c>
      <c r="AC409" s="126">
        <f t="shared" si="162"/>
        <v>0</v>
      </c>
      <c r="AD409" s="92">
        <f t="shared" si="163"/>
        <v>0</v>
      </c>
      <c r="AE409" s="95" t="str">
        <f t="shared" si="164"/>
        <v/>
      </c>
      <c r="AF409" s="126">
        <f t="shared" si="165"/>
        <v>0</v>
      </c>
      <c r="AG409" s="92">
        <f t="shared" si="166"/>
        <v>0</v>
      </c>
      <c r="AH409" s="95" t="str">
        <f t="shared" si="167"/>
        <v/>
      </c>
      <c r="AI409" s="126">
        <f t="shared" si="168"/>
        <v>0</v>
      </c>
      <c r="AJ409" s="92">
        <f t="shared" si="169"/>
        <v>0</v>
      </c>
      <c r="AK409" s="95" t="str">
        <f t="shared" si="170"/>
        <v/>
      </c>
      <c r="AL409" s="126">
        <f t="shared" si="171"/>
        <v>0</v>
      </c>
      <c r="AM409" s="92">
        <f t="shared" si="172"/>
        <v>0</v>
      </c>
      <c r="AN409" s="95" t="str">
        <f t="shared" si="173"/>
        <v/>
      </c>
      <c r="AO409" s="95" t="str">
        <f t="shared" si="174"/>
        <v/>
      </c>
      <c r="AP409" s="83"/>
    </row>
    <row r="410" spans="1:42" outlineLevel="1" x14ac:dyDescent="0.25">
      <c r="A410" s="125">
        <f t="shared" si="134"/>
        <v>38</v>
      </c>
      <c r="B410" s="92">
        <f t="shared" si="135"/>
        <v>0</v>
      </c>
      <c r="C410" s="92">
        <f t="shared" si="136"/>
        <v>0</v>
      </c>
      <c r="D410" s="112" t="str">
        <f t="shared" si="137"/>
        <v/>
      </c>
      <c r="E410" s="126">
        <f t="shared" si="138"/>
        <v>0</v>
      </c>
      <c r="F410" s="92">
        <f t="shared" si="139"/>
        <v>0</v>
      </c>
      <c r="G410" s="95" t="str">
        <f t="shared" si="140"/>
        <v/>
      </c>
      <c r="H410" s="126">
        <f t="shared" si="141"/>
        <v>0</v>
      </c>
      <c r="I410" s="92">
        <f t="shared" si="142"/>
        <v>0</v>
      </c>
      <c r="J410" s="95" t="str">
        <f t="shared" si="143"/>
        <v/>
      </c>
      <c r="K410" s="126">
        <f t="shared" si="144"/>
        <v>0</v>
      </c>
      <c r="L410" s="92">
        <f t="shared" si="145"/>
        <v>0</v>
      </c>
      <c r="M410" s="95" t="str">
        <f t="shared" si="146"/>
        <v/>
      </c>
      <c r="N410" s="126">
        <f t="shared" si="147"/>
        <v>0</v>
      </c>
      <c r="O410" s="92">
        <f t="shared" si="148"/>
        <v>0</v>
      </c>
      <c r="P410" s="95" t="str">
        <f t="shared" si="149"/>
        <v/>
      </c>
      <c r="Q410" s="126">
        <f t="shared" si="150"/>
        <v>0</v>
      </c>
      <c r="R410" s="92">
        <f t="shared" si="151"/>
        <v>0</v>
      </c>
      <c r="S410" s="95" t="str">
        <f t="shared" si="152"/>
        <v/>
      </c>
      <c r="T410" s="126">
        <f t="shared" si="153"/>
        <v>0</v>
      </c>
      <c r="U410" s="92">
        <f t="shared" si="154"/>
        <v>0</v>
      </c>
      <c r="V410" s="95" t="str">
        <f t="shared" si="155"/>
        <v/>
      </c>
      <c r="W410" s="126">
        <f t="shared" si="156"/>
        <v>0</v>
      </c>
      <c r="X410" s="92">
        <f t="shared" si="157"/>
        <v>0</v>
      </c>
      <c r="Y410" s="95" t="str">
        <f t="shared" si="158"/>
        <v/>
      </c>
      <c r="Z410" s="126">
        <f t="shared" si="159"/>
        <v>0</v>
      </c>
      <c r="AA410" s="92">
        <f t="shared" si="160"/>
        <v>0</v>
      </c>
      <c r="AB410" s="95" t="str">
        <f t="shared" si="161"/>
        <v/>
      </c>
      <c r="AC410" s="126">
        <f t="shared" si="162"/>
        <v>0</v>
      </c>
      <c r="AD410" s="92">
        <f t="shared" si="163"/>
        <v>0</v>
      </c>
      <c r="AE410" s="95" t="str">
        <f t="shared" si="164"/>
        <v/>
      </c>
      <c r="AF410" s="126">
        <f t="shared" si="165"/>
        <v>0</v>
      </c>
      <c r="AG410" s="92">
        <f t="shared" si="166"/>
        <v>0</v>
      </c>
      <c r="AH410" s="95" t="str">
        <f t="shared" si="167"/>
        <v/>
      </c>
      <c r="AI410" s="126">
        <f t="shared" si="168"/>
        <v>0</v>
      </c>
      <c r="AJ410" s="92">
        <f t="shared" si="169"/>
        <v>0</v>
      </c>
      <c r="AK410" s="95" t="str">
        <f t="shared" si="170"/>
        <v/>
      </c>
      <c r="AL410" s="126">
        <f t="shared" si="171"/>
        <v>0</v>
      </c>
      <c r="AM410" s="92">
        <f t="shared" si="172"/>
        <v>0</v>
      </c>
      <c r="AN410" s="95" t="str">
        <f t="shared" si="173"/>
        <v/>
      </c>
      <c r="AO410" s="95" t="str">
        <f t="shared" si="174"/>
        <v/>
      </c>
      <c r="AP410" s="83"/>
    </row>
    <row r="411" spans="1:42" outlineLevel="1" x14ac:dyDescent="0.25">
      <c r="A411" s="125">
        <f t="shared" si="134"/>
        <v>39</v>
      </c>
      <c r="B411" s="92">
        <f t="shared" si="135"/>
        <v>0</v>
      </c>
      <c r="C411" s="92">
        <f t="shared" si="136"/>
        <v>0</v>
      </c>
      <c r="D411" s="112" t="str">
        <f t="shared" si="137"/>
        <v/>
      </c>
      <c r="E411" s="126">
        <f t="shared" si="138"/>
        <v>0</v>
      </c>
      <c r="F411" s="92">
        <f t="shared" si="139"/>
        <v>0</v>
      </c>
      <c r="G411" s="95" t="str">
        <f t="shared" si="140"/>
        <v/>
      </c>
      <c r="H411" s="126">
        <f t="shared" si="141"/>
        <v>0</v>
      </c>
      <c r="I411" s="92">
        <f t="shared" si="142"/>
        <v>0</v>
      </c>
      <c r="J411" s="95" t="str">
        <f t="shared" si="143"/>
        <v/>
      </c>
      <c r="K411" s="126">
        <f t="shared" si="144"/>
        <v>0</v>
      </c>
      <c r="L411" s="92">
        <f t="shared" si="145"/>
        <v>0</v>
      </c>
      <c r="M411" s="95" t="str">
        <f t="shared" si="146"/>
        <v/>
      </c>
      <c r="N411" s="126">
        <f t="shared" si="147"/>
        <v>0</v>
      </c>
      <c r="O411" s="92">
        <f t="shared" si="148"/>
        <v>0</v>
      </c>
      <c r="P411" s="95" t="str">
        <f t="shared" si="149"/>
        <v/>
      </c>
      <c r="Q411" s="126">
        <f t="shared" si="150"/>
        <v>0</v>
      </c>
      <c r="R411" s="92">
        <f t="shared" si="151"/>
        <v>0</v>
      </c>
      <c r="S411" s="95" t="str">
        <f t="shared" si="152"/>
        <v/>
      </c>
      <c r="T411" s="126">
        <f t="shared" si="153"/>
        <v>0</v>
      </c>
      <c r="U411" s="92">
        <f t="shared" si="154"/>
        <v>0</v>
      </c>
      <c r="V411" s="95" t="str">
        <f t="shared" si="155"/>
        <v/>
      </c>
      <c r="W411" s="126">
        <f t="shared" si="156"/>
        <v>0</v>
      </c>
      <c r="X411" s="92">
        <f t="shared" si="157"/>
        <v>0</v>
      </c>
      <c r="Y411" s="95" t="str">
        <f t="shared" si="158"/>
        <v/>
      </c>
      <c r="Z411" s="126">
        <f t="shared" si="159"/>
        <v>0</v>
      </c>
      <c r="AA411" s="92">
        <f t="shared" si="160"/>
        <v>0</v>
      </c>
      <c r="AB411" s="95" t="str">
        <f t="shared" si="161"/>
        <v/>
      </c>
      <c r="AC411" s="126">
        <f t="shared" si="162"/>
        <v>0</v>
      </c>
      <c r="AD411" s="92">
        <f t="shared" si="163"/>
        <v>0</v>
      </c>
      <c r="AE411" s="95" t="str">
        <f t="shared" si="164"/>
        <v/>
      </c>
      <c r="AF411" s="126">
        <f t="shared" si="165"/>
        <v>0</v>
      </c>
      <c r="AG411" s="92">
        <f t="shared" si="166"/>
        <v>0</v>
      </c>
      <c r="AH411" s="95" t="str">
        <f t="shared" si="167"/>
        <v/>
      </c>
      <c r="AI411" s="126">
        <f t="shared" si="168"/>
        <v>0</v>
      </c>
      <c r="AJ411" s="92">
        <f t="shared" si="169"/>
        <v>0</v>
      </c>
      <c r="AK411" s="95" t="str">
        <f t="shared" si="170"/>
        <v/>
      </c>
      <c r="AL411" s="126">
        <f t="shared" si="171"/>
        <v>0</v>
      </c>
      <c r="AM411" s="92">
        <f t="shared" si="172"/>
        <v>0</v>
      </c>
      <c r="AN411" s="95" t="str">
        <f t="shared" si="173"/>
        <v/>
      </c>
      <c r="AO411" s="95" t="str">
        <f t="shared" si="174"/>
        <v/>
      </c>
      <c r="AP411" s="83"/>
    </row>
    <row r="412" spans="1:42" outlineLevel="1" x14ac:dyDescent="0.25">
      <c r="A412" s="125">
        <f t="shared" si="134"/>
        <v>40</v>
      </c>
      <c r="B412" s="92">
        <f t="shared" si="135"/>
        <v>0</v>
      </c>
      <c r="C412" s="92">
        <f t="shared" si="136"/>
        <v>0</v>
      </c>
      <c r="D412" s="112" t="str">
        <f t="shared" si="137"/>
        <v/>
      </c>
      <c r="E412" s="126">
        <f t="shared" si="138"/>
        <v>0</v>
      </c>
      <c r="F412" s="92">
        <f t="shared" si="139"/>
        <v>0</v>
      </c>
      <c r="G412" s="95" t="str">
        <f t="shared" si="140"/>
        <v/>
      </c>
      <c r="H412" s="126">
        <f t="shared" si="141"/>
        <v>0</v>
      </c>
      <c r="I412" s="92">
        <f t="shared" si="142"/>
        <v>0</v>
      </c>
      <c r="J412" s="95" t="str">
        <f t="shared" si="143"/>
        <v/>
      </c>
      <c r="K412" s="126">
        <f t="shared" si="144"/>
        <v>0</v>
      </c>
      <c r="L412" s="92">
        <f t="shared" si="145"/>
        <v>0</v>
      </c>
      <c r="M412" s="95" t="str">
        <f t="shared" si="146"/>
        <v/>
      </c>
      <c r="N412" s="126">
        <f t="shared" si="147"/>
        <v>0</v>
      </c>
      <c r="O412" s="92">
        <f t="shared" si="148"/>
        <v>0</v>
      </c>
      <c r="P412" s="95" t="str">
        <f t="shared" si="149"/>
        <v/>
      </c>
      <c r="Q412" s="126">
        <f t="shared" si="150"/>
        <v>0</v>
      </c>
      <c r="R412" s="92">
        <f t="shared" si="151"/>
        <v>0</v>
      </c>
      <c r="S412" s="95" t="str">
        <f t="shared" si="152"/>
        <v/>
      </c>
      <c r="T412" s="126">
        <f t="shared" si="153"/>
        <v>0</v>
      </c>
      <c r="U412" s="92">
        <f t="shared" si="154"/>
        <v>0</v>
      </c>
      <c r="V412" s="95" t="str">
        <f t="shared" si="155"/>
        <v/>
      </c>
      <c r="W412" s="126">
        <f t="shared" si="156"/>
        <v>0</v>
      </c>
      <c r="X412" s="92">
        <f t="shared" si="157"/>
        <v>0</v>
      </c>
      <c r="Y412" s="95" t="str">
        <f t="shared" si="158"/>
        <v/>
      </c>
      <c r="Z412" s="126">
        <f t="shared" si="159"/>
        <v>0</v>
      </c>
      <c r="AA412" s="92">
        <f t="shared" si="160"/>
        <v>0</v>
      </c>
      <c r="AB412" s="95" t="str">
        <f t="shared" si="161"/>
        <v/>
      </c>
      <c r="AC412" s="126">
        <f t="shared" si="162"/>
        <v>0</v>
      </c>
      <c r="AD412" s="92">
        <f t="shared" si="163"/>
        <v>0</v>
      </c>
      <c r="AE412" s="95" t="str">
        <f t="shared" si="164"/>
        <v/>
      </c>
      <c r="AF412" s="126">
        <f t="shared" si="165"/>
        <v>0</v>
      </c>
      <c r="AG412" s="92">
        <f t="shared" si="166"/>
        <v>0</v>
      </c>
      <c r="AH412" s="95" t="str">
        <f t="shared" si="167"/>
        <v/>
      </c>
      <c r="AI412" s="126">
        <f t="shared" si="168"/>
        <v>0</v>
      </c>
      <c r="AJ412" s="92">
        <f t="shared" si="169"/>
        <v>0</v>
      </c>
      <c r="AK412" s="95" t="str">
        <f t="shared" si="170"/>
        <v/>
      </c>
      <c r="AL412" s="126">
        <f t="shared" si="171"/>
        <v>0</v>
      </c>
      <c r="AM412" s="92">
        <f t="shared" si="172"/>
        <v>0</v>
      </c>
      <c r="AN412" s="95" t="str">
        <f t="shared" si="173"/>
        <v/>
      </c>
      <c r="AO412" s="95" t="str">
        <f t="shared" si="174"/>
        <v/>
      </c>
      <c r="AP412" s="83"/>
    </row>
    <row r="413" spans="1:42" outlineLevel="1" x14ac:dyDescent="0.25">
      <c r="A413" s="125">
        <f t="shared" si="134"/>
        <v>41</v>
      </c>
      <c r="B413" s="92">
        <f t="shared" si="135"/>
        <v>0</v>
      </c>
      <c r="C413" s="92">
        <f t="shared" si="136"/>
        <v>0</v>
      </c>
      <c r="D413" s="112" t="str">
        <f t="shared" si="137"/>
        <v/>
      </c>
      <c r="E413" s="126">
        <f t="shared" si="138"/>
        <v>0</v>
      </c>
      <c r="F413" s="92">
        <f t="shared" si="139"/>
        <v>0</v>
      </c>
      <c r="G413" s="95" t="str">
        <f t="shared" si="140"/>
        <v/>
      </c>
      <c r="H413" s="126">
        <f t="shared" si="141"/>
        <v>0</v>
      </c>
      <c r="I413" s="92">
        <f t="shared" si="142"/>
        <v>0</v>
      </c>
      <c r="J413" s="95" t="str">
        <f t="shared" si="143"/>
        <v/>
      </c>
      <c r="K413" s="126">
        <f t="shared" si="144"/>
        <v>0</v>
      </c>
      <c r="L413" s="92">
        <f t="shared" si="145"/>
        <v>0</v>
      </c>
      <c r="M413" s="95" t="str">
        <f t="shared" si="146"/>
        <v/>
      </c>
      <c r="N413" s="126">
        <f t="shared" si="147"/>
        <v>0</v>
      </c>
      <c r="O413" s="92">
        <f t="shared" si="148"/>
        <v>0</v>
      </c>
      <c r="P413" s="95" t="str">
        <f t="shared" si="149"/>
        <v/>
      </c>
      <c r="Q413" s="126">
        <f t="shared" si="150"/>
        <v>0</v>
      </c>
      <c r="R413" s="92">
        <f t="shared" si="151"/>
        <v>0</v>
      </c>
      <c r="S413" s="95" t="str">
        <f t="shared" si="152"/>
        <v/>
      </c>
      <c r="T413" s="126">
        <f t="shared" si="153"/>
        <v>0</v>
      </c>
      <c r="U413" s="92">
        <f t="shared" si="154"/>
        <v>0</v>
      </c>
      <c r="V413" s="95" t="str">
        <f t="shared" si="155"/>
        <v/>
      </c>
      <c r="W413" s="126">
        <f t="shared" si="156"/>
        <v>0</v>
      </c>
      <c r="X413" s="92">
        <f t="shared" si="157"/>
        <v>0</v>
      </c>
      <c r="Y413" s="95" t="str">
        <f t="shared" si="158"/>
        <v/>
      </c>
      <c r="Z413" s="126">
        <f t="shared" si="159"/>
        <v>0</v>
      </c>
      <c r="AA413" s="92">
        <f t="shared" si="160"/>
        <v>0</v>
      </c>
      <c r="AB413" s="95" t="str">
        <f t="shared" si="161"/>
        <v/>
      </c>
      <c r="AC413" s="126">
        <f t="shared" si="162"/>
        <v>0</v>
      </c>
      <c r="AD413" s="92">
        <f t="shared" si="163"/>
        <v>0</v>
      </c>
      <c r="AE413" s="95" t="str">
        <f t="shared" si="164"/>
        <v/>
      </c>
      <c r="AF413" s="126">
        <f t="shared" si="165"/>
        <v>0</v>
      </c>
      <c r="AG413" s="92">
        <f t="shared" si="166"/>
        <v>0</v>
      </c>
      <c r="AH413" s="95" t="str">
        <f t="shared" si="167"/>
        <v/>
      </c>
      <c r="AI413" s="126">
        <f t="shared" si="168"/>
        <v>0</v>
      </c>
      <c r="AJ413" s="92">
        <f t="shared" si="169"/>
        <v>0</v>
      </c>
      <c r="AK413" s="95" t="str">
        <f t="shared" si="170"/>
        <v/>
      </c>
      <c r="AL413" s="126">
        <f t="shared" si="171"/>
        <v>0</v>
      </c>
      <c r="AM413" s="92">
        <f t="shared" si="172"/>
        <v>0</v>
      </c>
      <c r="AN413" s="95" t="str">
        <f t="shared" si="173"/>
        <v/>
      </c>
      <c r="AO413" s="95" t="str">
        <f t="shared" si="174"/>
        <v/>
      </c>
      <c r="AP413" s="83"/>
    </row>
    <row r="414" spans="1:42" outlineLevel="1" x14ac:dyDescent="0.25">
      <c r="A414" s="125">
        <f t="shared" si="134"/>
        <v>42</v>
      </c>
      <c r="B414" s="92">
        <f t="shared" si="135"/>
        <v>0</v>
      </c>
      <c r="C414" s="92">
        <f t="shared" si="136"/>
        <v>0</v>
      </c>
      <c r="D414" s="112" t="str">
        <f t="shared" si="137"/>
        <v/>
      </c>
      <c r="E414" s="126">
        <f t="shared" si="138"/>
        <v>0</v>
      </c>
      <c r="F414" s="92">
        <f t="shared" si="139"/>
        <v>0</v>
      </c>
      <c r="G414" s="95" t="str">
        <f t="shared" si="140"/>
        <v/>
      </c>
      <c r="H414" s="126">
        <f t="shared" si="141"/>
        <v>0</v>
      </c>
      <c r="I414" s="92">
        <f t="shared" si="142"/>
        <v>0</v>
      </c>
      <c r="J414" s="95" t="str">
        <f t="shared" si="143"/>
        <v/>
      </c>
      <c r="K414" s="126">
        <f t="shared" si="144"/>
        <v>0</v>
      </c>
      <c r="L414" s="92">
        <f t="shared" si="145"/>
        <v>0</v>
      </c>
      <c r="M414" s="95" t="str">
        <f t="shared" si="146"/>
        <v/>
      </c>
      <c r="N414" s="126">
        <f t="shared" si="147"/>
        <v>0</v>
      </c>
      <c r="O414" s="92">
        <f t="shared" si="148"/>
        <v>0</v>
      </c>
      <c r="P414" s="95" t="str">
        <f t="shared" si="149"/>
        <v/>
      </c>
      <c r="Q414" s="126">
        <f t="shared" si="150"/>
        <v>0</v>
      </c>
      <c r="R414" s="92">
        <f t="shared" si="151"/>
        <v>0</v>
      </c>
      <c r="S414" s="95" t="str">
        <f t="shared" si="152"/>
        <v/>
      </c>
      <c r="T414" s="126">
        <f t="shared" si="153"/>
        <v>0</v>
      </c>
      <c r="U414" s="92">
        <f t="shared" si="154"/>
        <v>0</v>
      </c>
      <c r="V414" s="95" t="str">
        <f t="shared" si="155"/>
        <v/>
      </c>
      <c r="W414" s="126">
        <f t="shared" si="156"/>
        <v>0</v>
      </c>
      <c r="X414" s="92">
        <f t="shared" si="157"/>
        <v>0</v>
      </c>
      <c r="Y414" s="95" t="str">
        <f t="shared" si="158"/>
        <v/>
      </c>
      <c r="Z414" s="126">
        <f t="shared" si="159"/>
        <v>0</v>
      </c>
      <c r="AA414" s="92">
        <f t="shared" si="160"/>
        <v>0</v>
      </c>
      <c r="AB414" s="95" t="str">
        <f t="shared" si="161"/>
        <v/>
      </c>
      <c r="AC414" s="126">
        <f t="shared" si="162"/>
        <v>0</v>
      </c>
      <c r="AD414" s="92">
        <f t="shared" si="163"/>
        <v>0</v>
      </c>
      <c r="AE414" s="95" t="str">
        <f t="shared" si="164"/>
        <v/>
      </c>
      <c r="AF414" s="126">
        <f t="shared" si="165"/>
        <v>0</v>
      </c>
      <c r="AG414" s="92">
        <f t="shared" si="166"/>
        <v>0</v>
      </c>
      <c r="AH414" s="95" t="str">
        <f t="shared" si="167"/>
        <v/>
      </c>
      <c r="AI414" s="126">
        <f t="shared" si="168"/>
        <v>0</v>
      </c>
      <c r="AJ414" s="92">
        <f t="shared" si="169"/>
        <v>0</v>
      </c>
      <c r="AK414" s="95" t="str">
        <f t="shared" si="170"/>
        <v/>
      </c>
      <c r="AL414" s="126">
        <f t="shared" si="171"/>
        <v>0</v>
      </c>
      <c r="AM414" s="92">
        <f t="shared" si="172"/>
        <v>0</v>
      </c>
      <c r="AN414" s="95" t="str">
        <f t="shared" si="173"/>
        <v/>
      </c>
      <c r="AO414" s="95" t="str">
        <f t="shared" si="174"/>
        <v/>
      </c>
      <c r="AP414" s="83"/>
    </row>
    <row r="415" spans="1:42" outlineLevel="1" x14ac:dyDescent="0.25">
      <c r="A415" s="125">
        <f t="shared" si="134"/>
        <v>43</v>
      </c>
      <c r="B415" s="92">
        <f t="shared" si="135"/>
        <v>0</v>
      </c>
      <c r="C415" s="92">
        <f t="shared" si="136"/>
        <v>0</v>
      </c>
      <c r="D415" s="112" t="str">
        <f t="shared" si="137"/>
        <v/>
      </c>
      <c r="E415" s="126">
        <f t="shared" si="138"/>
        <v>0</v>
      </c>
      <c r="F415" s="92">
        <f t="shared" si="139"/>
        <v>0</v>
      </c>
      <c r="G415" s="95" t="str">
        <f t="shared" si="140"/>
        <v/>
      </c>
      <c r="H415" s="126">
        <f t="shared" si="141"/>
        <v>0</v>
      </c>
      <c r="I415" s="92">
        <f t="shared" si="142"/>
        <v>0</v>
      </c>
      <c r="J415" s="95" t="str">
        <f t="shared" si="143"/>
        <v/>
      </c>
      <c r="K415" s="126">
        <f t="shared" si="144"/>
        <v>0</v>
      </c>
      <c r="L415" s="92">
        <f t="shared" si="145"/>
        <v>0</v>
      </c>
      <c r="M415" s="95" t="str">
        <f t="shared" si="146"/>
        <v/>
      </c>
      <c r="N415" s="126">
        <f t="shared" si="147"/>
        <v>0</v>
      </c>
      <c r="O415" s="92">
        <f t="shared" si="148"/>
        <v>0</v>
      </c>
      <c r="P415" s="95" t="str">
        <f t="shared" si="149"/>
        <v/>
      </c>
      <c r="Q415" s="126">
        <f t="shared" si="150"/>
        <v>0</v>
      </c>
      <c r="R415" s="92">
        <f t="shared" si="151"/>
        <v>0</v>
      </c>
      <c r="S415" s="95" t="str">
        <f t="shared" si="152"/>
        <v/>
      </c>
      <c r="T415" s="126">
        <f t="shared" si="153"/>
        <v>0</v>
      </c>
      <c r="U415" s="92">
        <f t="shared" si="154"/>
        <v>0</v>
      </c>
      <c r="V415" s="95" t="str">
        <f t="shared" si="155"/>
        <v/>
      </c>
      <c r="W415" s="126">
        <f t="shared" si="156"/>
        <v>0</v>
      </c>
      <c r="X415" s="92">
        <f t="shared" si="157"/>
        <v>0</v>
      </c>
      <c r="Y415" s="95" t="str">
        <f t="shared" si="158"/>
        <v/>
      </c>
      <c r="Z415" s="126">
        <f t="shared" si="159"/>
        <v>0</v>
      </c>
      <c r="AA415" s="92">
        <f t="shared" si="160"/>
        <v>0</v>
      </c>
      <c r="AB415" s="95" t="str">
        <f t="shared" si="161"/>
        <v/>
      </c>
      <c r="AC415" s="126">
        <f t="shared" si="162"/>
        <v>0</v>
      </c>
      <c r="AD415" s="92">
        <f t="shared" si="163"/>
        <v>0</v>
      </c>
      <c r="AE415" s="95" t="str">
        <f t="shared" si="164"/>
        <v/>
      </c>
      <c r="AF415" s="126">
        <f t="shared" si="165"/>
        <v>0</v>
      </c>
      <c r="AG415" s="92">
        <f t="shared" si="166"/>
        <v>0</v>
      </c>
      <c r="AH415" s="95" t="str">
        <f t="shared" si="167"/>
        <v/>
      </c>
      <c r="AI415" s="126">
        <f t="shared" si="168"/>
        <v>0</v>
      </c>
      <c r="AJ415" s="92">
        <f t="shared" si="169"/>
        <v>0</v>
      </c>
      <c r="AK415" s="95" t="str">
        <f t="shared" si="170"/>
        <v/>
      </c>
      <c r="AL415" s="126">
        <f t="shared" si="171"/>
        <v>0</v>
      </c>
      <c r="AM415" s="92">
        <f t="shared" si="172"/>
        <v>0</v>
      </c>
      <c r="AN415" s="95" t="str">
        <f t="shared" si="173"/>
        <v/>
      </c>
      <c r="AO415" s="95" t="str">
        <f t="shared" si="174"/>
        <v/>
      </c>
      <c r="AP415" s="83"/>
    </row>
    <row r="416" spans="1:42" outlineLevel="1" x14ac:dyDescent="0.25">
      <c r="A416" s="125">
        <f t="shared" si="134"/>
        <v>44</v>
      </c>
      <c r="B416" s="92">
        <f t="shared" si="135"/>
        <v>0</v>
      </c>
      <c r="C416" s="92">
        <f t="shared" si="136"/>
        <v>0</v>
      </c>
      <c r="D416" s="112" t="str">
        <f t="shared" si="137"/>
        <v/>
      </c>
      <c r="E416" s="126">
        <f t="shared" si="138"/>
        <v>0</v>
      </c>
      <c r="F416" s="92">
        <f t="shared" si="139"/>
        <v>0</v>
      </c>
      <c r="G416" s="95" t="str">
        <f t="shared" si="140"/>
        <v/>
      </c>
      <c r="H416" s="126">
        <f t="shared" si="141"/>
        <v>0</v>
      </c>
      <c r="I416" s="92">
        <f t="shared" si="142"/>
        <v>0</v>
      </c>
      <c r="J416" s="95" t="str">
        <f t="shared" si="143"/>
        <v/>
      </c>
      <c r="K416" s="126">
        <f t="shared" si="144"/>
        <v>0</v>
      </c>
      <c r="L416" s="92">
        <f t="shared" si="145"/>
        <v>0</v>
      </c>
      <c r="M416" s="95" t="str">
        <f t="shared" si="146"/>
        <v/>
      </c>
      <c r="N416" s="126">
        <f t="shared" si="147"/>
        <v>0</v>
      </c>
      <c r="O416" s="92">
        <f t="shared" si="148"/>
        <v>0</v>
      </c>
      <c r="P416" s="95" t="str">
        <f t="shared" si="149"/>
        <v/>
      </c>
      <c r="Q416" s="126">
        <f t="shared" si="150"/>
        <v>0</v>
      </c>
      <c r="R416" s="92">
        <f t="shared" si="151"/>
        <v>0</v>
      </c>
      <c r="S416" s="95" t="str">
        <f t="shared" si="152"/>
        <v/>
      </c>
      <c r="T416" s="126">
        <f t="shared" si="153"/>
        <v>0</v>
      </c>
      <c r="U416" s="92">
        <f t="shared" si="154"/>
        <v>0</v>
      </c>
      <c r="V416" s="95" t="str">
        <f t="shared" si="155"/>
        <v/>
      </c>
      <c r="W416" s="126">
        <f t="shared" si="156"/>
        <v>0</v>
      </c>
      <c r="X416" s="92">
        <f t="shared" si="157"/>
        <v>0</v>
      </c>
      <c r="Y416" s="95" t="str">
        <f t="shared" si="158"/>
        <v/>
      </c>
      <c r="Z416" s="126">
        <f t="shared" si="159"/>
        <v>0</v>
      </c>
      <c r="AA416" s="92">
        <f t="shared" si="160"/>
        <v>0</v>
      </c>
      <c r="AB416" s="95" t="str">
        <f t="shared" si="161"/>
        <v/>
      </c>
      <c r="AC416" s="126">
        <f t="shared" si="162"/>
        <v>0</v>
      </c>
      <c r="AD416" s="92">
        <f t="shared" si="163"/>
        <v>0</v>
      </c>
      <c r="AE416" s="95" t="str">
        <f t="shared" si="164"/>
        <v/>
      </c>
      <c r="AF416" s="126">
        <f t="shared" si="165"/>
        <v>0</v>
      </c>
      <c r="AG416" s="92">
        <f t="shared" si="166"/>
        <v>0</v>
      </c>
      <c r="AH416" s="95" t="str">
        <f t="shared" si="167"/>
        <v/>
      </c>
      <c r="AI416" s="126">
        <f t="shared" si="168"/>
        <v>0</v>
      </c>
      <c r="AJ416" s="92">
        <f t="shared" si="169"/>
        <v>0</v>
      </c>
      <c r="AK416" s="95" t="str">
        <f t="shared" si="170"/>
        <v/>
      </c>
      <c r="AL416" s="126">
        <f t="shared" si="171"/>
        <v>0</v>
      </c>
      <c r="AM416" s="92">
        <f t="shared" si="172"/>
        <v>0</v>
      </c>
      <c r="AN416" s="95" t="str">
        <f t="shared" si="173"/>
        <v/>
      </c>
      <c r="AO416" s="95" t="str">
        <f t="shared" si="174"/>
        <v/>
      </c>
      <c r="AP416" s="83"/>
    </row>
    <row r="417" spans="1:42" outlineLevel="1" x14ac:dyDescent="0.25">
      <c r="A417" s="125">
        <f t="shared" si="134"/>
        <v>45</v>
      </c>
      <c r="B417" s="92">
        <f t="shared" si="135"/>
        <v>0</v>
      </c>
      <c r="C417" s="92">
        <f t="shared" si="136"/>
        <v>0</v>
      </c>
      <c r="D417" s="112" t="str">
        <f t="shared" si="137"/>
        <v/>
      </c>
      <c r="E417" s="126">
        <f t="shared" si="138"/>
        <v>0</v>
      </c>
      <c r="F417" s="92">
        <f t="shared" si="139"/>
        <v>0</v>
      </c>
      <c r="G417" s="95" t="str">
        <f t="shared" si="140"/>
        <v/>
      </c>
      <c r="H417" s="126">
        <f t="shared" si="141"/>
        <v>0</v>
      </c>
      <c r="I417" s="92">
        <f t="shared" si="142"/>
        <v>0</v>
      </c>
      <c r="J417" s="95" t="str">
        <f t="shared" si="143"/>
        <v/>
      </c>
      <c r="K417" s="126">
        <f t="shared" si="144"/>
        <v>0</v>
      </c>
      <c r="L417" s="92">
        <f t="shared" si="145"/>
        <v>0</v>
      </c>
      <c r="M417" s="95" t="str">
        <f t="shared" si="146"/>
        <v/>
      </c>
      <c r="N417" s="126">
        <f t="shared" si="147"/>
        <v>0</v>
      </c>
      <c r="O417" s="92">
        <f t="shared" si="148"/>
        <v>0</v>
      </c>
      <c r="P417" s="95" t="str">
        <f t="shared" si="149"/>
        <v/>
      </c>
      <c r="Q417" s="126">
        <f t="shared" si="150"/>
        <v>0</v>
      </c>
      <c r="R417" s="92">
        <f t="shared" si="151"/>
        <v>0</v>
      </c>
      <c r="S417" s="95" t="str">
        <f t="shared" si="152"/>
        <v/>
      </c>
      <c r="T417" s="126">
        <f t="shared" si="153"/>
        <v>0</v>
      </c>
      <c r="U417" s="92">
        <f t="shared" si="154"/>
        <v>0</v>
      </c>
      <c r="V417" s="95" t="str">
        <f t="shared" si="155"/>
        <v/>
      </c>
      <c r="W417" s="126">
        <f t="shared" si="156"/>
        <v>0</v>
      </c>
      <c r="X417" s="92">
        <f t="shared" si="157"/>
        <v>0</v>
      </c>
      <c r="Y417" s="95" t="str">
        <f t="shared" si="158"/>
        <v/>
      </c>
      <c r="Z417" s="126">
        <f t="shared" si="159"/>
        <v>0</v>
      </c>
      <c r="AA417" s="92">
        <f t="shared" si="160"/>
        <v>0</v>
      </c>
      <c r="AB417" s="95" t="str">
        <f t="shared" si="161"/>
        <v/>
      </c>
      <c r="AC417" s="126">
        <f t="shared" si="162"/>
        <v>0</v>
      </c>
      <c r="AD417" s="92">
        <f t="shared" si="163"/>
        <v>0</v>
      </c>
      <c r="AE417" s="95" t="str">
        <f t="shared" si="164"/>
        <v/>
      </c>
      <c r="AF417" s="126">
        <f t="shared" si="165"/>
        <v>0</v>
      </c>
      <c r="AG417" s="92">
        <f t="shared" si="166"/>
        <v>0</v>
      </c>
      <c r="AH417" s="95" t="str">
        <f t="shared" si="167"/>
        <v/>
      </c>
      <c r="AI417" s="126">
        <f t="shared" si="168"/>
        <v>0</v>
      </c>
      <c r="AJ417" s="92">
        <f t="shared" si="169"/>
        <v>0</v>
      </c>
      <c r="AK417" s="95" t="str">
        <f t="shared" si="170"/>
        <v/>
      </c>
      <c r="AL417" s="126">
        <f t="shared" si="171"/>
        <v>0</v>
      </c>
      <c r="AM417" s="92">
        <f t="shared" si="172"/>
        <v>0</v>
      </c>
      <c r="AN417" s="95" t="str">
        <f t="shared" si="173"/>
        <v/>
      </c>
      <c r="AO417" s="95" t="str">
        <f t="shared" si="174"/>
        <v/>
      </c>
      <c r="AP417" s="83"/>
    </row>
    <row r="418" spans="1:42" outlineLevel="1" x14ac:dyDescent="0.25">
      <c r="A418" s="125">
        <f t="shared" si="134"/>
        <v>46</v>
      </c>
      <c r="B418" s="92">
        <f t="shared" si="135"/>
        <v>0</v>
      </c>
      <c r="C418" s="92">
        <f t="shared" si="136"/>
        <v>0</v>
      </c>
      <c r="D418" s="112" t="str">
        <f t="shared" si="137"/>
        <v/>
      </c>
      <c r="E418" s="126">
        <f t="shared" si="138"/>
        <v>0</v>
      </c>
      <c r="F418" s="92">
        <f t="shared" si="139"/>
        <v>0</v>
      </c>
      <c r="G418" s="95" t="str">
        <f t="shared" si="140"/>
        <v/>
      </c>
      <c r="H418" s="126">
        <f t="shared" si="141"/>
        <v>0</v>
      </c>
      <c r="I418" s="92">
        <f t="shared" si="142"/>
        <v>0</v>
      </c>
      <c r="J418" s="95" t="str">
        <f t="shared" si="143"/>
        <v/>
      </c>
      <c r="K418" s="126">
        <f t="shared" si="144"/>
        <v>0</v>
      </c>
      <c r="L418" s="92">
        <f t="shared" si="145"/>
        <v>0</v>
      </c>
      <c r="M418" s="95" t="str">
        <f t="shared" si="146"/>
        <v/>
      </c>
      <c r="N418" s="126">
        <f t="shared" si="147"/>
        <v>0</v>
      </c>
      <c r="O418" s="92">
        <f t="shared" si="148"/>
        <v>0</v>
      </c>
      <c r="P418" s="95" t="str">
        <f t="shared" si="149"/>
        <v/>
      </c>
      <c r="Q418" s="126">
        <f t="shared" si="150"/>
        <v>0</v>
      </c>
      <c r="R418" s="92">
        <f t="shared" si="151"/>
        <v>0</v>
      </c>
      <c r="S418" s="95" t="str">
        <f t="shared" si="152"/>
        <v/>
      </c>
      <c r="T418" s="126">
        <f t="shared" si="153"/>
        <v>0</v>
      </c>
      <c r="U418" s="92">
        <f t="shared" si="154"/>
        <v>0</v>
      </c>
      <c r="V418" s="95" t="str">
        <f t="shared" si="155"/>
        <v/>
      </c>
      <c r="W418" s="126">
        <f t="shared" si="156"/>
        <v>0</v>
      </c>
      <c r="X418" s="92">
        <f t="shared" si="157"/>
        <v>0</v>
      </c>
      <c r="Y418" s="95" t="str">
        <f t="shared" si="158"/>
        <v/>
      </c>
      <c r="Z418" s="126">
        <f t="shared" si="159"/>
        <v>0</v>
      </c>
      <c r="AA418" s="92">
        <f t="shared" si="160"/>
        <v>0</v>
      </c>
      <c r="AB418" s="95" t="str">
        <f t="shared" si="161"/>
        <v/>
      </c>
      <c r="AC418" s="126">
        <f t="shared" si="162"/>
        <v>0</v>
      </c>
      <c r="AD418" s="92">
        <f t="shared" si="163"/>
        <v>0</v>
      </c>
      <c r="AE418" s="95" t="str">
        <f t="shared" si="164"/>
        <v/>
      </c>
      <c r="AF418" s="126">
        <f t="shared" si="165"/>
        <v>0</v>
      </c>
      <c r="AG418" s="92">
        <f t="shared" si="166"/>
        <v>0</v>
      </c>
      <c r="AH418" s="95" t="str">
        <f t="shared" si="167"/>
        <v/>
      </c>
      <c r="AI418" s="126">
        <f t="shared" si="168"/>
        <v>0</v>
      </c>
      <c r="AJ418" s="92">
        <f t="shared" si="169"/>
        <v>0</v>
      </c>
      <c r="AK418" s="95" t="str">
        <f t="shared" si="170"/>
        <v/>
      </c>
      <c r="AL418" s="126">
        <f t="shared" si="171"/>
        <v>0</v>
      </c>
      <c r="AM418" s="92">
        <f t="shared" si="172"/>
        <v>0</v>
      </c>
      <c r="AN418" s="95" t="str">
        <f t="shared" si="173"/>
        <v/>
      </c>
      <c r="AO418" s="95" t="str">
        <f t="shared" si="174"/>
        <v/>
      </c>
      <c r="AP418" s="83"/>
    </row>
    <row r="419" spans="1:42" outlineLevel="1" x14ac:dyDescent="0.25">
      <c r="A419" s="125">
        <f t="shared" si="134"/>
        <v>47</v>
      </c>
      <c r="B419" s="92">
        <f t="shared" si="135"/>
        <v>0</v>
      </c>
      <c r="C419" s="92">
        <f t="shared" si="136"/>
        <v>0</v>
      </c>
      <c r="D419" s="112" t="str">
        <f t="shared" si="137"/>
        <v/>
      </c>
      <c r="E419" s="126">
        <f t="shared" si="138"/>
        <v>0</v>
      </c>
      <c r="F419" s="92">
        <f t="shared" si="139"/>
        <v>0</v>
      </c>
      <c r="G419" s="95" t="str">
        <f t="shared" si="140"/>
        <v/>
      </c>
      <c r="H419" s="126">
        <f t="shared" si="141"/>
        <v>0</v>
      </c>
      <c r="I419" s="92">
        <f t="shared" si="142"/>
        <v>0</v>
      </c>
      <c r="J419" s="95" t="str">
        <f t="shared" si="143"/>
        <v/>
      </c>
      <c r="K419" s="126">
        <f t="shared" si="144"/>
        <v>0</v>
      </c>
      <c r="L419" s="92">
        <f t="shared" si="145"/>
        <v>0</v>
      </c>
      <c r="M419" s="95" t="str">
        <f t="shared" si="146"/>
        <v/>
      </c>
      <c r="N419" s="126">
        <f t="shared" si="147"/>
        <v>0</v>
      </c>
      <c r="O419" s="92">
        <f t="shared" si="148"/>
        <v>0</v>
      </c>
      <c r="P419" s="95" t="str">
        <f t="shared" si="149"/>
        <v/>
      </c>
      <c r="Q419" s="126">
        <f t="shared" si="150"/>
        <v>0</v>
      </c>
      <c r="R419" s="92">
        <f t="shared" si="151"/>
        <v>0</v>
      </c>
      <c r="S419" s="95" t="str">
        <f t="shared" si="152"/>
        <v/>
      </c>
      <c r="T419" s="126">
        <f t="shared" si="153"/>
        <v>0</v>
      </c>
      <c r="U419" s="92">
        <f t="shared" si="154"/>
        <v>0</v>
      </c>
      <c r="V419" s="95" t="str">
        <f t="shared" si="155"/>
        <v/>
      </c>
      <c r="W419" s="126">
        <f t="shared" si="156"/>
        <v>0</v>
      </c>
      <c r="X419" s="92">
        <f t="shared" si="157"/>
        <v>0</v>
      </c>
      <c r="Y419" s="95" t="str">
        <f t="shared" si="158"/>
        <v/>
      </c>
      <c r="Z419" s="126">
        <f t="shared" si="159"/>
        <v>0</v>
      </c>
      <c r="AA419" s="92">
        <f t="shared" si="160"/>
        <v>0</v>
      </c>
      <c r="AB419" s="95" t="str">
        <f t="shared" si="161"/>
        <v/>
      </c>
      <c r="AC419" s="126">
        <f t="shared" si="162"/>
        <v>0</v>
      </c>
      <c r="AD419" s="92">
        <f t="shared" si="163"/>
        <v>0</v>
      </c>
      <c r="AE419" s="95" t="str">
        <f t="shared" si="164"/>
        <v/>
      </c>
      <c r="AF419" s="126">
        <f t="shared" si="165"/>
        <v>0</v>
      </c>
      <c r="AG419" s="92">
        <f t="shared" si="166"/>
        <v>0</v>
      </c>
      <c r="AH419" s="95" t="str">
        <f t="shared" si="167"/>
        <v/>
      </c>
      <c r="AI419" s="126">
        <f t="shared" si="168"/>
        <v>0</v>
      </c>
      <c r="AJ419" s="92">
        <f t="shared" si="169"/>
        <v>0</v>
      </c>
      <c r="AK419" s="95" t="str">
        <f t="shared" si="170"/>
        <v/>
      </c>
      <c r="AL419" s="126">
        <f t="shared" si="171"/>
        <v>0</v>
      </c>
      <c r="AM419" s="92">
        <f t="shared" si="172"/>
        <v>0</v>
      </c>
      <c r="AN419" s="95" t="str">
        <f t="shared" si="173"/>
        <v/>
      </c>
      <c r="AO419" s="95" t="str">
        <f t="shared" si="174"/>
        <v/>
      </c>
      <c r="AP419" s="83"/>
    </row>
    <row r="420" spans="1:42" outlineLevel="1" x14ac:dyDescent="0.25">
      <c r="A420" s="125">
        <f t="shared" si="134"/>
        <v>48</v>
      </c>
      <c r="B420" s="92">
        <f t="shared" si="135"/>
        <v>0</v>
      </c>
      <c r="C420" s="92">
        <f t="shared" si="136"/>
        <v>0</v>
      </c>
      <c r="D420" s="112" t="str">
        <f t="shared" si="137"/>
        <v/>
      </c>
      <c r="E420" s="126">
        <f t="shared" si="138"/>
        <v>0</v>
      </c>
      <c r="F420" s="92">
        <f t="shared" si="139"/>
        <v>0</v>
      </c>
      <c r="G420" s="95" t="str">
        <f t="shared" si="140"/>
        <v/>
      </c>
      <c r="H420" s="126">
        <f t="shared" si="141"/>
        <v>0</v>
      </c>
      <c r="I420" s="92">
        <f t="shared" si="142"/>
        <v>0</v>
      </c>
      <c r="J420" s="95" t="str">
        <f t="shared" si="143"/>
        <v/>
      </c>
      <c r="K420" s="126">
        <f t="shared" si="144"/>
        <v>0</v>
      </c>
      <c r="L420" s="92">
        <f t="shared" si="145"/>
        <v>0</v>
      </c>
      <c r="M420" s="95" t="str">
        <f t="shared" si="146"/>
        <v/>
      </c>
      <c r="N420" s="126">
        <f t="shared" si="147"/>
        <v>0</v>
      </c>
      <c r="O420" s="92">
        <f t="shared" si="148"/>
        <v>0</v>
      </c>
      <c r="P420" s="95" t="str">
        <f t="shared" si="149"/>
        <v/>
      </c>
      <c r="Q420" s="126">
        <f t="shared" si="150"/>
        <v>0</v>
      </c>
      <c r="R420" s="92">
        <f t="shared" si="151"/>
        <v>0</v>
      </c>
      <c r="S420" s="95" t="str">
        <f t="shared" si="152"/>
        <v/>
      </c>
      <c r="T420" s="126">
        <f t="shared" si="153"/>
        <v>0</v>
      </c>
      <c r="U420" s="92">
        <f t="shared" si="154"/>
        <v>0</v>
      </c>
      <c r="V420" s="95" t="str">
        <f t="shared" si="155"/>
        <v/>
      </c>
      <c r="W420" s="126">
        <f t="shared" si="156"/>
        <v>0</v>
      </c>
      <c r="X420" s="92">
        <f t="shared" si="157"/>
        <v>0</v>
      </c>
      <c r="Y420" s="95" t="str">
        <f t="shared" si="158"/>
        <v/>
      </c>
      <c r="Z420" s="126">
        <f t="shared" si="159"/>
        <v>0</v>
      </c>
      <c r="AA420" s="92">
        <f t="shared" si="160"/>
        <v>0</v>
      </c>
      <c r="AB420" s="95" t="str">
        <f t="shared" si="161"/>
        <v/>
      </c>
      <c r="AC420" s="126">
        <f t="shared" si="162"/>
        <v>0</v>
      </c>
      <c r="AD420" s="92">
        <f t="shared" si="163"/>
        <v>0</v>
      </c>
      <c r="AE420" s="95" t="str">
        <f t="shared" si="164"/>
        <v/>
      </c>
      <c r="AF420" s="126">
        <f t="shared" si="165"/>
        <v>0</v>
      </c>
      <c r="AG420" s="92">
        <f t="shared" si="166"/>
        <v>0</v>
      </c>
      <c r="AH420" s="95" t="str">
        <f t="shared" si="167"/>
        <v/>
      </c>
      <c r="AI420" s="126">
        <f t="shared" si="168"/>
        <v>0</v>
      </c>
      <c r="AJ420" s="92">
        <f t="shared" si="169"/>
        <v>0</v>
      </c>
      <c r="AK420" s="95" t="str">
        <f t="shared" si="170"/>
        <v/>
      </c>
      <c r="AL420" s="126">
        <f t="shared" si="171"/>
        <v>0</v>
      </c>
      <c r="AM420" s="92">
        <f t="shared" si="172"/>
        <v>0</v>
      </c>
      <c r="AN420" s="95" t="str">
        <f t="shared" si="173"/>
        <v/>
      </c>
      <c r="AO420" s="95" t="str">
        <f t="shared" si="174"/>
        <v/>
      </c>
      <c r="AP420" s="83"/>
    </row>
    <row r="421" spans="1:42" outlineLevel="1" x14ac:dyDescent="0.25">
      <c r="A421" s="125">
        <f t="shared" si="134"/>
        <v>49</v>
      </c>
      <c r="B421" s="92">
        <f t="shared" si="135"/>
        <v>0</v>
      </c>
      <c r="C421" s="92">
        <f t="shared" si="136"/>
        <v>0</v>
      </c>
      <c r="D421" s="112" t="str">
        <f t="shared" si="137"/>
        <v/>
      </c>
      <c r="E421" s="126">
        <f t="shared" si="138"/>
        <v>0</v>
      </c>
      <c r="F421" s="92">
        <f t="shared" si="139"/>
        <v>0</v>
      </c>
      <c r="G421" s="95" t="str">
        <f t="shared" si="140"/>
        <v/>
      </c>
      <c r="H421" s="126">
        <f t="shared" si="141"/>
        <v>0</v>
      </c>
      <c r="I421" s="92">
        <f t="shared" si="142"/>
        <v>0</v>
      </c>
      <c r="J421" s="95" t="str">
        <f t="shared" si="143"/>
        <v/>
      </c>
      <c r="K421" s="126">
        <f t="shared" si="144"/>
        <v>0</v>
      </c>
      <c r="L421" s="92">
        <f t="shared" si="145"/>
        <v>0</v>
      </c>
      <c r="M421" s="95" t="str">
        <f t="shared" si="146"/>
        <v/>
      </c>
      <c r="N421" s="126">
        <f t="shared" si="147"/>
        <v>0</v>
      </c>
      <c r="O421" s="92">
        <f t="shared" si="148"/>
        <v>0</v>
      </c>
      <c r="P421" s="95" t="str">
        <f t="shared" si="149"/>
        <v/>
      </c>
      <c r="Q421" s="126">
        <f t="shared" si="150"/>
        <v>0</v>
      </c>
      <c r="R421" s="92">
        <f t="shared" si="151"/>
        <v>0</v>
      </c>
      <c r="S421" s="95" t="str">
        <f t="shared" si="152"/>
        <v/>
      </c>
      <c r="T421" s="126">
        <f t="shared" si="153"/>
        <v>0</v>
      </c>
      <c r="U421" s="92">
        <f t="shared" si="154"/>
        <v>0</v>
      </c>
      <c r="V421" s="95" t="str">
        <f t="shared" si="155"/>
        <v/>
      </c>
      <c r="W421" s="126">
        <f t="shared" si="156"/>
        <v>0</v>
      </c>
      <c r="X421" s="92">
        <f t="shared" si="157"/>
        <v>0</v>
      </c>
      <c r="Y421" s="95" t="str">
        <f t="shared" si="158"/>
        <v/>
      </c>
      <c r="Z421" s="126">
        <f t="shared" si="159"/>
        <v>0</v>
      </c>
      <c r="AA421" s="92">
        <f t="shared" si="160"/>
        <v>0</v>
      </c>
      <c r="AB421" s="95" t="str">
        <f t="shared" si="161"/>
        <v/>
      </c>
      <c r="AC421" s="126">
        <f t="shared" si="162"/>
        <v>0</v>
      </c>
      <c r="AD421" s="92">
        <f t="shared" si="163"/>
        <v>0</v>
      </c>
      <c r="AE421" s="95" t="str">
        <f t="shared" si="164"/>
        <v/>
      </c>
      <c r="AF421" s="126">
        <f t="shared" si="165"/>
        <v>0</v>
      </c>
      <c r="AG421" s="92">
        <f t="shared" si="166"/>
        <v>0</v>
      </c>
      <c r="AH421" s="95" t="str">
        <f t="shared" si="167"/>
        <v/>
      </c>
      <c r="AI421" s="126">
        <f t="shared" si="168"/>
        <v>0</v>
      </c>
      <c r="AJ421" s="92">
        <f t="shared" si="169"/>
        <v>0</v>
      </c>
      <c r="AK421" s="95" t="str">
        <f t="shared" si="170"/>
        <v/>
      </c>
      <c r="AL421" s="126">
        <f t="shared" si="171"/>
        <v>0</v>
      </c>
      <c r="AM421" s="92">
        <f t="shared" si="172"/>
        <v>0</v>
      </c>
      <c r="AN421" s="95" t="str">
        <f t="shared" si="173"/>
        <v/>
      </c>
      <c r="AO421" s="95" t="str">
        <f t="shared" si="174"/>
        <v/>
      </c>
      <c r="AP421" s="83"/>
    </row>
    <row r="422" spans="1:42" outlineLevel="1" x14ac:dyDescent="0.25">
      <c r="A422" s="125">
        <f t="shared" si="134"/>
        <v>50</v>
      </c>
      <c r="B422" s="92">
        <f t="shared" si="135"/>
        <v>0</v>
      </c>
      <c r="C422" s="92">
        <f t="shared" si="136"/>
        <v>0</v>
      </c>
      <c r="D422" s="112" t="str">
        <f t="shared" si="137"/>
        <v/>
      </c>
      <c r="E422" s="126">
        <f t="shared" si="138"/>
        <v>0</v>
      </c>
      <c r="F422" s="92">
        <f t="shared" si="139"/>
        <v>0</v>
      </c>
      <c r="G422" s="95" t="str">
        <f t="shared" si="140"/>
        <v/>
      </c>
      <c r="H422" s="126">
        <f t="shared" si="141"/>
        <v>0</v>
      </c>
      <c r="I422" s="92">
        <f t="shared" si="142"/>
        <v>0</v>
      </c>
      <c r="J422" s="95" t="str">
        <f t="shared" si="143"/>
        <v/>
      </c>
      <c r="K422" s="126">
        <f t="shared" si="144"/>
        <v>0</v>
      </c>
      <c r="L422" s="92">
        <f t="shared" si="145"/>
        <v>0</v>
      </c>
      <c r="M422" s="95" t="str">
        <f t="shared" si="146"/>
        <v/>
      </c>
      <c r="N422" s="126">
        <f t="shared" si="147"/>
        <v>0</v>
      </c>
      <c r="O422" s="92">
        <f t="shared" si="148"/>
        <v>0</v>
      </c>
      <c r="P422" s="95" t="str">
        <f t="shared" si="149"/>
        <v/>
      </c>
      <c r="Q422" s="126">
        <f t="shared" si="150"/>
        <v>0</v>
      </c>
      <c r="R422" s="92">
        <f t="shared" si="151"/>
        <v>0</v>
      </c>
      <c r="S422" s="95" t="str">
        <f t="shared" si="152"/>
        <v/>
      </c>
      <c r="T422" s="126">
        <f t="shared" si="153"/>
        <v>0</v>
      </c>
      <c r="U422" s="92">
        <f t="shared" si="154"/>
        <v>0</v>
      </c>
      <c r="V422" s="95" t="str">
        <f t="shared" si="155"/>
        <v/>
      </c>
      <c r="W422" s="126">
        <f t="shared" si="156"/>
        <v>0</v>
      </c>
      <c r="X422" s="92">
        <f t="shared" si="157"/>
        <v>0</v>
      </c>
      <c r="Y422" s="95" t="str">
        <f t="shared" si="158"/>
        <v/>
      </c>
      <c r="Z422" s="126">
        <f t="shared" si="159"/>
        <v>0</v>
      </c>
      <c r="AA422" s="92">
        <f t="shared" si="160"/>
        <v>0</v>
      </c>
      <c r="AB422" s="95" t="str">
        <f t="shared" si="161"/>
        <v/>
      </c>
      <c r="AC422" s="126">
        <f t="shared" si="162"/>
        <v>0</v>
      </c>
      <c r="AD422" s="92">
        <f t="shared" si="163"/>
        <v>0</v>
      </c>
      <c r="AE422" s="95" t="str">
        <f t="shared" si="164"/>
        <v/>
      </c>
      <c r="AF422" s="126">
        <f t="shared" si="165"/>
        <v>0</v>
      </c>
      <c r="AG422" s="92">
        <f t="shared" si="166"/>
        <v>0</v>
      </c>
      <c r="AH422" s="95" t="str">
        <f t="shared" si="167"/>
        <v/>
      </c>
      <c r="AI422" s="126">
        <f t="shared" si="168"/>
        <v>0</v>
      </c>
      <c r="AJ422" s="92">
        <f t="shared" si="169"/>
        <v>0</v>
      </c>
      <c r="AK422" s="95" t="str">
        <f t="shared" si="170"/>
        <v/>
      </c>
      <c r="AL422" s="126">
        <f t="shared" si="171"/>
        <v>0</v>
      </c>
      <c r="AM422" s="92">
        <f t="shared" si="172"/>
        <v>0</v>
      </c>
      <c r="AN422" s="95" t="str">
        <f t="shared" si="173"/>
        <v/>
      </c>
      <c r="AO422" s="95" t="str">
        <f t="shared" si="174"/>
        <v/>
      </c>
      <c r="AP422" s="83"/>
    </row>
    <row r="423" spans="1:42" outlineLevel="1" x14ac:dyDescent="0.25">
      <c r="A423" s="125">
        <f t="shared" si="134"/>
        <v>51</v>
      </c>
      <c r="B423" s="92">
        <f t="shared" si="135"/>
        <v>0</v>
      </c>
      <c r="C423" s="92">
        <f t="shared" si="136"/>
        <v>0</v>
      </c>
      <c r="D423" s="112" t="str">
        <f t="shared" si="137"/>
        <v/>
      </c>
      <c r="E423" s="126">
        <f t="shared" si="138"/>
        <v>0</v>
      </c>
      <c r="F423" s="92">
        <f t="shared" si="139"/>
        <v>0</v>
      </c>
      <c r="G423" s="95" t="str">
        <f t="shared" si="140"/>
        <v/>
      </c>
      <c r="H423" s="126">
        <f t="shared" si="141"/>
        <v>0</v>
      </c>
      <c r="I423" s="92">
        <f t="shared" si="142"/>
        <v>0</v>
      </c>
      <c r="J423" s="95" t="str">
        <f t="shared" si="143"/>
        <v/>
      </c>
      <c r="K423" s="126">
        <f t="shared" si="144"/>
        <v>0</v>
      </c>
      <c r="L423" s="92">
        <f t="shared" si="145"/>
        <v>0</v>
      </c>
      <c r="M423" s="95" t="str">
        <f t="shared" si="146"/>
        <v/>
      </c>
      <c r="N423" s="126">
        <f t="shared" si="147"/>
        <v>0</v>
      </c>
      <c r="O423" s="92">
        <f t="shared" si="148"/>
        <v>0</v>
      </c>
      <c r="P423" s="95" t="str">
        <f t="shared" si="149"/>
        <v/>
      </c>
      <c r="Q423" s="126">
        <f t="shared" si="150"/>
        <v>0</v>
      </c>
      <c r="R423" s="92">
        <f t="shared" si="151"/>
        <v>0</v>
      </c>
      <c r="S423" s="95" t="str">
        <f t="shared" si="152"/>
        <v/>
      </c>
      <c r="T423" s="126">
        <f t="shared" si="153"/>
        <v>0</v>
      </c>
      <c r="U423" s="92">
        <f t="shared" si="154"/>
        <v>0</v>
      </c>
      <c r="V423" s="95" t="str">
        <f t="shared" si="155"/>
        <v/>
      </c>
      <c r="W423" s="126">
        <f t="shared" si="156"/>
        <v>0</v>
      </c>
      <c r="X423" s="92">
        <f t="shared" si="157"/>
        <v>0</v>
      </c>
      <c r="Y423" s="95" t="str">
        <f t="shared" si="158"/>
        <v/>
      </c>
      <c r="Z423" s="126">
        <f t="shared" si="159"/>
        <v>0</v>
      </c>
      <c r="AA423" s="92">
        <f t="shared" si="160"/>
        <v>0</v>
      </c>
      <c r="AB423" s="95" t="str">
        <f t="shared" si="161"/>
        <v/>
      </c>
      <c r="AC423" s="126">
        <f t="shared" si="162"/>
        <v>0</v>
      </c>
      <c r="AD423" s="92">
        <f t="shared" si="163"/>
        <v>0</v>
      </c>
      <c r="AE423" s="95" t="str">
        <f t="shared" si="164"/>
        <v/>
      </c>
      <c r="AF423" s="126">
        <f t="shared" si="165"/>
        <v>0</v>
      </c>
      <c r="AG423" s="92">
        <f t="shared" si="166"/>
        <v>0</v>
      </c>
      <c r="AH423" s="95" t="str">
        <f t="shared" si="167"/>
        <v/>
      </c>
      <c r="AI423" s="126">
        <f t="shared" si="168"/>
        <v>0</v>
      </c>
      <c r="AJ423" s="92">
        <f t="shared" si="169"/>
        <v>0</v>
      </c>
      <c r="AK423" s="95" t="str">
        <f t="shared" si="170"/>
        <v/>
      </c>
      <c r="AL423" s="126">
        <f t="shared" si="171"/>
        <v>0</v>
      </c>
      <c r="AM423" s="92">
        <f t="shared" si="172"/>
        <v>0</v>
      </c>
      <c r="AN423" s="95" t="str">
        <f t="shared" si="173"/>
        <v/>
      </c>
      <c r="AO423" s="95" t="str">
        <f t="shared" si="174"/>
        <v/>
      </c>
      <c r="AP423" s="83"/>
    </row>
    <row r="424" spans="1:42" outlineLevel="1" x14ac:dyDescent="0.25">
      <c r="A424" s="125">
        <f t="shared" si="134"/>
        <v>52</v>
      </c>
      <c r="B424" s="92">
        <f t="shared" si="135"/>
        <v>0</v>
      </c>
      <c r="C424" s="92">
        <f t="shared" si="136"/>
        <v>0</v>
      </c>
      <c r="D424" s="112" t="str">
        <f t="shared" si="137"/>
        <v/>
      </c>
      <c r="E424" s="126">
        <f t="shared" si="138"/>
        <v>0</v>
      </c>
      <c r="F424" s="92">
        <f t="shared" si="139"/>
        <v>0</v>
      </c>
      <c r="G424" s="95" t="str">
        <f t="shared" si="140"/>
        <v/>
      </c>
      <c r="H424" s="126">
        <f t="shared" si="141"/>
        <v>0</v>
      </c>
      <c r="I424" s="92">
        <f t="shared" si="142"/>
        <v>0</v>
      </c>
      <c r="J424" s="95" t="str">
        <f t="shared" si="143"/>
        <v/>
      </c>
      <c r="K424" s="126">
        <f t="shared" si="144"/>
        <v>0</v>
      </c>
      <c r="L424" s="92">
        <f t="shared" si="145"/>
        <v>0</v>
      </c>
      <c r="M424" s="95" t="str">
        <f t="shared" si="146"/>
        <v/>
      </c>
      <c r="N424" s="126">
        <f t="shared" si="147"/>
        <v>0</v>
      </c>
      <c r="O424" s="92">
        <f t="shared" si="148"/>
        <v>0</v>
      </c>
      <c r="P424" s="95" t="str">
        <f t="shared" si="149"/>
        <v/>
      </c>
      <c r="Q424" s="126">
        <f t="shared" si="150"/>
        <v>0</v>
      </c>
      <c r="R424" s="92">
        <f t="shared" si="151"/>
        <v>0</v>
      </c>
      <c r="S424" s="95" t="str">
        <f t="shared" si="152"/>
        <v/>
      </c>
      <c r="T424" s="126">
        <f t="shared" si="153"/>
        <v>0</v>
      </c>
      <c r="U424" s="92">
        <f t="shared" si="154"/>
        <v>0</v>
      </c>
      <c r="V424" s="95" t="str">
        <f t="shared" si="155"/>
        <v/>
      </c>
      <c r="W424" s="126">
        <f t="shared" si="156"/>
        <v>0</v>
      </c>
      <c r="X424" s="92">
        <f t="shared" si="157"/>
        <v>0</v>
      </c>
      <c r="Y424" s="95" t="str">
        <f t="shared" si="158"/>
        <v/>
      </c>
      <c r="Z424" s="126">
        <f t="shared" si="159"/>
        <v>0</v>
      </c>
      <c r="AA424" s="92">
        <f t="shared" si="160"/>
        <v>0</v>
      </c>
      <c r="AB424" s="95" t="str">
        <f t="shared" si="161"/>
        <v/>
      </c>
      <c r="AC424" s="126">
        <f t="shared" si="162"/>
        <v>0</v>
      </c>
      <c r="AD424" s="92">
        <f t="shared" si="163"/>
        <v>0</v>
      </c>
      <c r="AE424" s="95" t="str">
        <f t="shared" si="164"/>
        <v/>
      </c>
      <c r="AF424" s="126">
        <f t="shared" si="165"/>
        <v>0</v>
      </c>
      <c r="AG424" s="92">
        <f t="shared" si="166"/>
        <v>0</v>
      </c>
      <c r="AH424" s="95" t="str">
        <f t="shared" si="167"/>
        <v/>
      </c>
      <c r="AI424" s="126">
        <f t="shared" si="168"/>
        <v>0</v>
      </c>
      <c r="AJ424" s="92">
        <f t="shared" si="169"/>
        <v>0</v>
      </c>
      <c r="AK424" s="95" t="str">
        <f t="shared" si="170"/>
        <v/>
      </c>
      <c r="AL424" s="126">
        <f t="shared" si="171"/>
        <v>0</v>
      </c>
      <c r="AM424" s="92">
        <f t="shared" si="172"/>
        <v>0</v>
      </c>
      <c r="AN424" s="95" t="str">
        <f t="shared" si="173"/>
        <v/>
      </c>
      <c r="AO424" s="95" t="str">
        <f t="shared" si="174"/>
        <v/>
      </c>
      <c r="AP424" s="83"/>
    </row>
    <row r="425" spans="1:42" outlineLevel="1" x14ac:dyDescent="0.25">
      <c r="A425" s="125">
        <f t="shared" si="134"/>
        <v>53</v>
      </c>
      <c r="B425" s="92">
        <f t="shared" si="135"/>
        <v>0</v>
      </c>
      <c r="C425" s="92">
        <f t="shared" si="136"/>
        <v>0</v>
      </c>
      <c r="D425" s="112" t="str">
        <f t="shared" si="137"/>
        <v/>
      </c>
      <c r="E425" s="126">
        <f t="shared" si="138"/>
        <v>0</v>
      </c>
      <c r="F425" s="92">
        <f t="shared" si="139"/>
        <v>0</v>
      </c>
      <c r="G425" s="95" t="str">
        <f t="shared" si="140"/>
        <v/>
      </c>
      <c r="H425" s="126">
        <f t="shared" si="141"/>
        <v>0</v>
      </c>
      <c r="I425" s="92">
        <f t="shared" si="142"/>
        <v>0</v>
      </c>
      <c r="J425" s="95" t="str">
        <f t="shared" si="143"/>
        <v/>
      </c>
      <c r="K425" s="126">
        <f t="shared" si="144"/>
        <v>0</v>
      </c>
      <c r="L425" s="92">
        <f t="shared" si="145"/>
        <v>0</v>
      </c>
      <c r="M425" s="95" t="str">
        <f t="shared" si="146"/>
        <v/>
      </c>
      <c r="N425" s="126">
        <f t="shared" si="147"/>
        <v>0</v>
      </c>
      <c r="O425" s="92">
        <f t="shared" si="148"/>
        <v>0</v>
      </c>
      <c r="P425" s="95" t="str">
        <f t="shared" si="149"/>
        <v/>
      </c>
      <c r="Q425" s="126">
        <f t="shared" si="150"/>
        <v>0</v>
      </c>
      <c r="R425" s="92">
        <f t="shared" si="151"/>
        <v>0</v>
      </c>
      <c r="S425" s="95" t="str">
        <f t="shared" si="152"/>
        <v/>
      </c>
      <c r="T425" s="126">
        <f t="shared" si="153"/>
        <v>0</v>
      </c>
      <c r="U425" s="92">
        <f t="shared" si="154"/>
        <v>0</v>
      </c>
      <c r="V425" s="95" t="str">
        <f t="shared" si="155"/>
        <v/>
      </c>
      <c r="W425" s="126">
        <f t="shared" si="156"/>
        <v>0</v>
      </c>
      <c r="X425" s="92">
        <f t="shared" si="157"/>
        <v>0</v>
      </c>
      <c r="Y425" s="95" t="str">
        <f t="shared" si="158"/>
        <v/>
      </c>
      <c r="Z425" s="126">
        <f t="shared" si="159"/>
        <v>0</v>
      </c>
      <c r="AA425" s="92">
        <f t="shared" si="160"/>
        <v>0</v>
      </c>
      <c r="AB425" s="95" t="str">
        <f t="shared" si="161"/>
        <v/>
      </c>
      <c r="AC425" s="126">
        <f t="shared" si="162"/>
        <v>0</v>
      </c>
      <c r="AD425" s="92">
        <f t="shared" si="163"/>
        <v>0</v>
      </c>
      <c r="AE425" s="95" t="str">
        <f t="shared" si="164"/>
        <v/>
      </c>
      <c r="AF425" s="126">
        <f t="shared" si="165"/>
        <v>0</v>
      </c>
      <c r="AG425" s="92">
        <f t="shared" si="166"/>
        <v>0</v>
      </c>
      <c r="AH425" s="95" t="str">
        <f t="shared" si="167"/>
        <v/>
      </c>
      <c r="AI425" s="126">
        <f t="shared" si="168"/>
        <v>0</v>
      </c>
      <c r="AJ425" s="92">
        <f t="shared" si="169"/>
        <v>0</v>
      </c>
      <c r="AK425" s="95" t="str">
        <f t="shared" si="170"/>
        <v/>
      </c>
      <c r="AL425" s="126">
        <f t="shared" si="171"/>
        <v>0</v>
      </c>
      <c r="AM425" s="92">
        <f t="shared" si="172"/>
        <v>0</v>
      </c>
      <c r="AN425" s="95" t="str">
        <f t="shared" si="173"/>
        <v/>
      </c>
      <c r="AO425" s="95" t="str">
        <f t="shared" si="174"/>
        <v/>
      </c>
      <c r="AP425" s="83"/>
    </row>
    <row r="426" spans="1:42" x14ac:dyDescent="0.25">
      <c r="A426" s="120" t="s">
        <v>68</v>
      </c>
      <c r="B426" s="121" t="s">
        <v>69</v>
      </c>
      <c r="C426" s="121" t="s">
        <v>70</v>
      </c>
      <c r="D426" s="122" t="s">
        <v>71</v>
      </c>
      <c r="E426" s="123" t="s">
        <v>72</v>
      </c>
      <c r="F426" s="122" t="s">
        <v>73</v>
      </c>
      <c r="G426" s="124" t="s">
        <v>71</v>
      </c>
      <c r="H426" s="123" t="s">
        <v>75</v>
      </c>
      <c r="I426" s="122" t="s">
        <v>76</v>
      </c>
      <c r="J426" s="124" t="s">
        <v>71</v>
      </c>
      <c r="K426" s="123" t="s">
        <v>77</v>
      </c>
      <c r="L426" s="122" t="s">
        <v>78</v>
      </c>
      <c r="M426" s="124" t="s">
        <v>71</v>
      </c>
      <c r="N426" s="123" t="s">
        <v>100</v>
      </c>
      <c r="O426" s="122" t="s">
        <v>101</v>
      </c>
      <c r="P426" s="124" t="s">
        <v>71</v>
      </c>
      <c r="Q426" s="123" t="s">
        <v>81</v>
      </c>
      <c r="R426" s="122" t="s">
        <v>82</v>
      </c>
      <c r="S426" s="124" t="s">
        <v>71</v>
      </c>
      <c r="T426" s="123" t="s">
        <v>83</v>
      </c>
      <c r="U426" s="122" t="s">
        <v>84</v>
      </c>
      <c r="V426" s="124" t="s">
        <v>71</v>
      </c>
      <c r="W426" s="123" t="s">
        <v>85</v>
      </c>
      <c r="X426" s="122" t="s">
        <v>86</v>
      </c>
      <c r="Y426" s="124" t="s">
        <v>71</v>
      </c>
      <c r="Z426" s="123" t="s">
        <v>87</v>
      </c>
      <c r="AA426" s="122" t="s">
        <v>88</v>
      </c>
      <c r="AB426" s="124" t="s">
        <v>71</v>
      </c>
      <c r="AC426" s="123" t="s">
        <v>89</v>
      </c>
      <c r="AD426" s="122" t="s">
        <v>89</v>
      </c>
      <c r="AE426" s="124" t="s">
        <v>71</v>
      </c>
      <c r="AF426" s="123" t="s">
        <v>90</v>
      </c>
      <c r="AG426" s="122" t="s">
        <v>91</v>
      </c>
      <c r="AH426" s="124" t="s">
        <v>71</v>
      </c>
      <c r="AI426" s="123" t="s">
        <v>92</v>
      </c>
      <c r="AJ426" s="122" t="s">
        <v>93</v>
      </c>
      <c r="AK426" s="124" t="s">
        <v>71</v>
      </c>
      <c r="AL426" s="123" t="s">
        <v>94</v>
      </c>
      <c r="AM426" s="122" t="s">
        <v>95</v>
      </c>
      <c r="AN426" s="124" t="s">
        <v>71</v>
      </c>
      <c r="AO426" s="124" t="s">
        <v>99</v>
      </c>
      <c r="AP426" s="83"/>
    </row>
    <row r="427" spans="1:42" x14ac:dyDescent="0.25">
      <c r="A427" s="125" t="s">
        <v>102</v>
      </c>
      <c r="B427" s="128">
        <f t="shared" ref="B427:B438" si="175">SUMIFS($D$2:$D$366,$A$2:$A$366,"&gt;="&amp;DATE(YEAR($A$2),ROW()-426,1),$A$2:$A$366,"&lt;"&amp;EOMONTH(DATE(YEAR($A$2),ROW()-426,1),0)+1)</f>
        <v>0</v>
      </c>
      <c r="C427" s="92">
        <f t="shared" ref="C427:C438" ca="1" si="176">SUMIFS(OFFSET($D$2:$D$366,0,COLUMN()-2),$A$2:$A$366,"&gt;="&amp;DATE(YEAR($A$2),ROW()-426,1),$A$2:$A$366,"&lt;"&amp;EOMONTH(DATE(YEAR($A$2),ROW()-426,1),0)+1)</f>
        <v>0</v>
      </c>
      <c r="D427" s="112" t="str">
        <f t="shared" ref="D427:D438" ca="1" si="177">IFERROR(C427/B427,"")</f>
        <v/>
      </c>
      <c r="E427" s="126">
        <f t="shared" ref="E427:F438" ca="1" si="178">SUMIFS(OFFSET($D$2:$D$366,0,COLUMN()-2),$A$2:$A$366,"&gt;="&amp;DATE(YEAR($A$2),ROW()-426,1),$A$2:$A$366,"&lt;"&amp;EOMONTH(DATE(YEAR($A$2),ROW()-426,1),0)+1)</f>
        <v>0</v>
      </c>
      <c r="F427" s="92">
        <f t="shared" ca="1" si="178"/>
        <v>0</v>
      </c>
      <c r="G427" s="95" t="str">
        <f t="shared" ref="G427:G438" ca="1" si="179">IFERROR(F427/E427,"")</f>
        <v/>
      </c>
      <c r="H427" s="126">
        <f t="shared" ref="H427:I438" ca="1" si="180">SUMIFS(OFFSET($D$2:$D$366,0,COLUMN()-2),$A$2:$A$366,"&gt;="&amp;DATE(YEAR($A$2),ROW()-426,1),$A$2:$A$366,"&lt;"&amp;EOMONTH(DATE(YEAR($A$2),ROW()-426,1),0)+1)</f>
        <v>0</v>
      </c>
      <c r="I427" s="92">
        <f t="shared" ca="1" si="180"/>
        <v>0</v>
      </c>
      <c r="J427" s="95" t="str">
        <f t="shared" ref="J427:J438" ca="1" si="181">IFERROR(I427/H427,"")</f>
        <v/>
      </c>
      <c r="K427" s="126">
        <f t="shared" ref="K427:L438" ca="1" si="182">SUMIFS(OFFSET($D$2:$D$366,0,COLUMN()-2),$A$2:$A$366,"&gt;="&amp;DATE(YEAR($A$2),ROW()-426,1),$A$2:$A$366,"&lt;"&amp;EOMONTH(DATE(YEAR($A$2),ROW()-426,1),0)+1)</f>
        <v>0</v>
      </c>
      <c r="L427" s="92">
        <f t="shared" ca="1" si="182"/>
        <v>0</v>
      </c>
      <c r="M427" s="95" t="str">
        <f t="shared" ref="M427:M438" ca="1" si="183">IFERROR(L427/K427,"")</f>
        <v/>
      </c>
      <c r="N427" s="126">
        <f t="shared" ref="N427:O438" ca="1" si="184">SUMIFS(OFFSET($D$2:$D$366,0,COLUMN()-2),$A$2:$A$366,"&gt;="&amp;DATE(YEAR($A$2),ROW()-426,1),$A$2:$A$366,"&lt;"&amp;EOMONTH(DATE(YEAR($A$2),ROW()-426,1),0)+1)</f>
        <v>0</v>
      </c>
      <c r="O427" s="92">
        <f t="shared" ca="1" si="184"/>
        <v>0</v>
      </c>
      <c r="P427" s="95" t="str">
        <f t="shared" ref="P427:P438" ca="1" si="185">IFERROR(O427/N427,"")</f>
        <v/>
      </c>
      <c r="Q427" s="126">
        <f t="shared" ref="Q427:R438" ca="1" si="186">SUMIFS(OFFSET($D$2:$D$366,0,COLUMN()-2),$A$2:$A$366,"&gt;="&amp;DATE(YEAR($A$2),ROW()-426,1),$A$2:$A$366,"&lt;"&amp;EOMONTH(DATE(YEAR($A$2),ROW()-426,1),0)+1)</f>
        <v>0</v>
      </c>
      <c r="R427" s="92">
        <f t="shared" ca="1" si="186"/>
        <v>0</v>
      </c>
      <c r="S427" s="95" t="str">
        <f t="shared" ref="S427:S438" ca="1" si="187">IFERROR(R427/Q427,"")</f>
        <v/>
      </c>
      <c r="T427" s="126">
        <f t="shared" ref="T427:U438" ca="1" si="188">SUMIFS(OFFSET($D$2:$D$366,0,COLUMN()-2),$A$2:$A$366,"&gt;="&amp;DATE(YEAR($A$2),ROW()-426,1),$A$2:$A$366,"&lt;"&amp;EOMONTH(DATE(YEAR($A$2),ROW()-426,1),0)+1)</f>
        <v>0</v>
      </c>
      <c r="U427" s="92">
        <f t="shared" ca="1" si="188"/>
        <v>0</v>
      </c>
      <c r="V427" s="95" t="str">
        <f t="shared" ref="V427:V438" ca="1" si="189">IFERROR(U427/T427,"")</f>
        <v/>
      </c>
      <c r="W427" s="126">
        <f t="shared" ref="W427:X438" ca="1" si="190">SUMIFS(OFFSET($D$2:$D$366,0,COLUMN()-2),$A$2:$A$366,"&gt;="&amp;DATE(YEAR($A$2),ROW()-426,1),$A$2:$A$366,"&lt;"&amp;EOMONTH(DATE(YEAR($A$2),ROW()-426,1),0)+1)</f>
        <v>0</v>
      </c>
      <c r="X427" s="92">
        <f t="shared" ca="1" si="190"/>
        <v>0</v>
      </c>
      <c r="Y427" s="95" t="str">
        <f t="shared" ref="Y427:Y438" ca="1" si="191">IFERROR(X427/W427,"")</f>
        <v/>
      </c>
      <c r="Z427" s="126">
        <f t="shared" ref="Z427:AA438" ca="1" si="192">SUMIFS(OFFSET($D$2:$D$366,0,COLUMN()-2),$A$2:$A$366,"&gt;="&amp;DATE(YEAR($A$2),ROW()-426,1),$A$2:$A$366,"&lt;"&amp;EOMONTH(DATE(YEAR($A$2),ROW()-426,1),0)+1)</f>
        <v>0</v>
      </c>
      <c r="AA427" s="92">
        <f t="shared" ca="1" si="192"/>
        <v>0</v>
      </c>
      <c r="AB427" s="95" t="str">
        <f t="shared" ref="AB427:AB438" ca="1" si="193">IFERROR(AA427/Z427,"")</f>
        <v/>
      </c>
      <c r="AC427" s="126">
        <f t="shared" ref="AC427:AD438" ca="1" si="194">SUMIFS(OFFSET($D$2:$D$366,0,COLUMN()-2),$A$2:$A$366,"&gt;="&amp;DATE(YEAR($A$2),ROW()-426,1),$A$2:$A$366,"&lt;"&amp;EOMONTH(DATE(YEAR($A$2),ROW()-426,1),0)+1)</f>
        <v>0</v>
      </c>
      <c r="AD427" s="92">
        <f t="shared" ca="1" si="194"/>
        <v>0</v>
      </c>
      <c r="AE427" s="95" t="str">
        <f t="shared" ref="AE427:AE438" ca="1" si="195">IFERROR(AD427/AC427,"")</f>
        <v/>
      </c>
      <c r="AF427" s="126">
        <f t="shared" ref="AF427:AG438" ca="1" si="196">SUMIFS(OFFSET($D$2:$D$366,0,COLUMN()-2),$A$2:$A$366,"&gt;="&amp;DATE(YEAR($A$2),ROW()-426,1),$A$2:$A$366,"&lt;"&amp;EOMONTH(DATE(YEAR($A$2),ROW()-426,1),0)+1)</f>
        <v>0</v>
      </c>
      <c r="AG427" s="92">
        <f t="shared" ca="1" si="196"/>
        <v>0</v>
      </c>
      <c r="AH427" s="95" t="str">
        <f t="shared" ref="AH427:AH438" ca="1" si="197">IFERROR(AG427/AF427,"")</f>
        <v/>
      </c>
      <c r="AI427" s="126">
        <f t="shared" ref="AI427:AJ438" ca="1" si="198">SUMIFS(OFFSET($D$2:$D$366,0,COLUMN()-2),$A$2:$A$366,"&gt;="&amp;DATE(YEAR($A$2),ROW()-426,1),$A$2:$A$366,"&lt;"&amp;EOMONTH(DATE(YEAR($A$2),ROW()-426,1),0)+1)</f>
        <v>0</v>
      </c>
      <c r="AJ427" s="92">
        <f t="shared" ca="1" si="198"/>
        <v>0</v>
      </c>
      <c r="AK427" s="95" t="str">
        <f t="shared" ref="AK427:AK438" ca="1" si="199">IFERROR(AJ427/AI427,"")</f>
        <v/>
      </c>
      <c r="AL427" s="126">
        <f t="shared" ref="AL427:AM438" ca="1" si="200">SUMIFS(OFFSET($D$2:$D$366,0,COLUMN()-2),$A$2:$A$366,"&gt;="&amp;DATE(YEAR($A$2),ROW()-426,1),$A$2:$A$366,"&lt;"&amp;EOMONTH(DATE(YEAR($A$2),ROW()-426,1),0)+1)</f>
        <v>0</v>
      </c>
      <c r="AM427" s="92">
        <f t="shared" ca="1" si="200"/>
        <v>0</v>
      </c>
      <c r="AN427" s="95" t="str">
        <f t="shared" ref="AN427:AN438" ca="1" si="201">IFERROR(AM427/AL427,"")</f>
        <v/>
      </c>
      <c r="AO427" s="95" t="str">
        <f t="shared" ref="AO427:AO438" ca="1" si="202">IF((COUNTIF(D427,"&gt;0")+COUNTIF(G427,"&gt;0")+COUNTIF(J427,"&gt;0")+COUNTIF(M427,"&gt;0")+COUNTIF(P427,"&gt;0")+COUNTIF(S427,"&gt;0")+COUNTIF(V427,"&gt;0")+COUNTIF(Y427,"&gt;0")+COUNTIF(AB427,"&gt;0")+COUNTIF(AE427,"&gt;0")+COUNTIF(AH427,"&gt;0")+COUNTIF(AK427,"&gt;0")+COUNTIF(AN427,"&gt;0"))=0,"",(SUMIF(D427,"&gt;0")+SUMIF(G427,"&gt;0")+SUMIF(J427,"&gt;0")+SUMIF(M427,"&gt;0")+SUMIF(P427,"&gt;0")+SUMIF(S427,"&gt;0")+SUMIF(V427,"&gt;0")+SUMIF(Y427,"&gt;0")+SUMIF(AB427,"&gt;0")+SUMIF(AE427,"&gt;0")+SUMIF(AH427,"&gt;0")+SUMIF(AK427,"&gt;0")+SUMIF(AN427,"&gt;0"))/(COUNTIF(D427,"&gt;0")+COUNTIF(G427,"&gt;0")+COUNTIF(J427,"&gt;0")+COUNTIF(M427,"&gt;0")+COUNTIF(P427,"&gt;0")+COUNTIF(S427,"&gt;0")+COUNTIF(V427,"&gt;0")+COUNTIF(Y427,"&gt;0")+COUNTIF(AB427,"&gt;0")+COUNTIF(AE427,"&gt;0")+COUNTIF(AH427,"&gt;0")+COUNTIF(AK427,"&gt;0")+COUNTIF(AN427,"&gt;0")))</f>
        <v/>
      </c>
      <c r="AP427" s="83"/>
    </row>
    <row r="428" spans="1:42" x14ac:dyDescent="0.25">
      <c r="A428" s="125" t="s">
        <v>103</v>
      </c>
      <c r="B428" s="128">
        <f t="shared" si="175"/>
        <v>0</v>
      </c>
      <c r="C428" s="92">
        <f t="shared" ca="1" si="176"/>
        <v>0</v>
      </c>
      <c r="D428" s="112" t="str">
        <f t="shared" ca="1" si="177"/>
        <v/>
      </c>
      <c r="E428" s="126">
        <f t="shared" ca="1" si="178"/>
        <v>0</v>
      </c>
      <c r="F428" s="92">
        <f t="shared" ca="1" si="178"/>
        <v>0</v>
      </c>
      <c r="G428" s="95" t="str">
        <f t="shared" ca="1" si="179"/>
        <v/>
      </c>
      <c r="H428" s="126">
        <f t="shared" ca="1" si="180"/>
        <v>0</v>
      </c>
      <c r="I428" s="92">
        <f t="shared" ca="1" si="180"/>
        <v>0</v>
      </c>
      <c r="J428" s="95" t="str">
        <f t="shared" ca="1" si="181"/>
        <v/>
      </c>
      <c r="K428" s="126">
        <f t="shared" ca="1" si="182"/>
        <v>0</v>
      </c>
      <c r="L428" s="92">
        <f t="shared" ca="1" si="182"/>
        <v>0</v>
      </c>
      <c r="M428" s="95" t="str">
        <f t="shared" ca="1" si="183"/>
        <v/>
      </c>
      <c r="N428" s="126">
        <f t="shared" ca="1" si="184"/>
        <v>0</v>
      </c>
      <c r="O428" s="92">
        <f t="shared" ca="1" si="184"/>
        <v>0</v>
      </c>
      <c r="P428" s="95" t="str">
        <f t="shared" ca="1" si="185"/>
        <v/>
      </c>
      <c r="Q428" s="126">
        <f t="shared" ca="1" si="186"/>
        <v>0</v>
      </c>
      <c r="R428" s="92">
        <f t="shared" ca="1" si="186"/>
        <v>0</v>
      </c>
      <c r="S428" s="95" t="str">
        <f t="shared" ca="1" si="187"/>
        <v/>
      </c>
      <c r="T428" s="126">
        <f t="shared" ca="1" si="188"/>
        <v>0</v>
      </c>
      <c r="U428" s="92">
        <f t="shared" ca="1" si="188"/>
        <v>0</v>
      </c>
      <c r="V428" s="95" t="str">
        <f t="shared" ca="1" si="189"/>
        <v/>
      </c>
      <c r="W428" s="126">
        <f t="shared" ca="1" si="190"/>
        <v>0</v>
      </c>
      <c r="X428" s="92">
        <f t="shared" ca="1" si="190"/>
        <v>0</v>
      </c>
      <c r="Y428" s="95" t="str">
        <f t="shared" ca="1" si="191"/>
        <v/>
      </c>
      <c r="Z428" s="126">
        <f t="shared" ca="1" si="192"/>
        <v>0</v>
      </c>
      <c r="AA428" s="92">
        <f t="shared" ca="1" si="192"/>
        <v>0</v>
      </c>
      <c r="AB428" s="95" t="str">
        <f t="shared" ca="1" si="193"/>
        <v/>
      </c>
      <c r="AC428" s="126">
        <f t="shared" ca="1" si="194"/>
        <v>0</v>
      </c>
      <c r="AD428" s="92">
        <f t="shared" ca="1" si="194"/>
        <v>0</v>
      </c>
      <c r="AE428" s="95" t="str">
        <f t="shared" ca="1" si="195"/>
        <v/>
      </c>
      <c r="AF428" s="126">
        <f t="shared" ca="1" si="196"/>
        <v>0</v>
      </c>
      <c r="AG428" s="92">
        <f t="shared" ca="1" si="196"/>
        <v>0</v>
      </c>
      <c r="AH428" s="95" t="str">
        <f t="shared" ca="1" si="197"/>
        <v/>
      </c>
      <c r="AI428" s="126">
        <f t="shared" ca="1" si="198"/>
        <v>0</v>
      </c>
      <c r="AJ428" s="92">
        <f t="shared" ca="1" si="198"/>
        <v>0</v>
      </c>
      <c r="AK428" s="95" t="str">
        <f t="shared" ca="1" si="199"/>
        <v/>
      </c>
      <c r="AL428" s="126">
        <f t="shared" ca="1" si="200"/>
        <v>0</v>
      </c>
      <c r="AM428" s="92">
        <f t="shared" ca="1" si="200"/>
        <v>0</v>
      </c>
      <c r="AN428" s="95" t="str">
        <f t="shared" ca="1" si="201"/>
        <v/>
      </c>
      <c r="AO428" s="95" t="str">
        <f t="shared" ca="1" si="202"/>
        <v/>
      </c>
      <c r="AP428" s="83"/>
    </row>
    <row r="429" spans="1:42" x14ac:dyDescent="0.25">
      <c r="A429" s="125" t="s">
        <v>104</v>
      </c>
      <c r="B429" s="128">
        <f t="shared" si="175"/>
        <v>134445</v>
      </c>
      <c r="C429" s="92">
        <f t="shared" ca="1" si="176"/>
        <v>132619</v>
      </c>
      <c r="D429" s="112">
        <f t="shared" ca="1" si="177"/>
        <v>0.98641823794116557</v>
      </c>
      <c r="E429" s="126">
        <f t="shared" ca="1" si="178"/>
        <v>0</v>
      </c>
      <c r="F429" s="92">
        <f t="shared" ca="1" si="178"/>
        <v>0</v>
      </c>
      <c r="G429" s="95" t="str">
        <f t="shared" ca="1" si="179"/>
        <v/>
      </c>
      <c r="H429" s="126">
        <f t="shared" ca="1" si="180"/>
        <v>0</v>
      </c>
      <c r="I429" s="92">
        <f t="shared" ca="1" si="180"/>
        <v>0</v>
      </c>
      <c r="J429" s="95" t="str">
        <f t="shared" ca="1" si="181"/>
        <v/>
      </c>
      <c r="K429" s="126">
        <f t="shared" ca="1" si="182"/>
        <v>22</v>
      </c>
      <c r="L429" s="92">
        <f t="shared" ca="1" si="182"/>
        <v>21</v>
      </c>
      <c r="M429" s="95">
        <f t="shared" ca="1" si="183"/>
        <v>0.95454545454545459</v>
      </c>
      <c r="N429" s="126">
        <f t="shared" ca="1" si="184"/>
        <v>18</v>
      </c>
      <c r="O429" s="92">
        <f t="shared" ca="1" si="184"/>
        <v>18</v>
      </c>
      <c r="P429" s="95">
        <f t="shared" ca="1" si="185"/>
        <v>1</v>
      </c>
      <c r="Q429" s="126">
        <f t="shared" ca="1" si="186"/>
        <v>78458</v>
      </c>
      <c r="R429" s="92">
        <f t="shared" ca="1" si="186"/>
        <v>75579</v>
      </c>
      <c r="S429" s="95">
        <f t="shared" ca="1" si="187"/>
        <v>0.96330520788192409</v>
      </c>
      <c r="T429" s="126">
        <f t="shared" ca="1" si="188"/>
        <v>4970</v>
      </c>
      <c r="U429" s="92">
        <f t="shared" ca="1" si="188"/>
        <v>4611.5999999999995</v>
      </c>
      <c r="V429" s="95">
        <f t="shared" ca="1" si="189"/>
        <v>0.92788732394366191</v>
      </c>
      <c r="W429" s="126">
        <f t="shared" ca="1" si="190"/>
        <v>15000</v>
      </c>
      <c r="X429" s="92">
        <f t="shared" ca="1" si="190"/>
        <v>15385</v>
      </c>
      <c r="Y429" s="95">
        <f t="shared" ca="1" si="191"/>
        <v>1.0256666666666667</v>
      </c>
      <c r="Z429" s="126">
        <f t="shared" ca="1" si="192"/>
        <v>200000</v>
      </c>
      <c r="AA429" s="92">
        <f t="shared" ca="1" si="192"/>
        <v>210680</v>
      </c>
      <c r="AB429" s="95">
        <f t="shared" ca="1" si="193"/>
        <v>1.0533999999999999</v>
      </c>
      <c r="AC429" s="126">
        <f t="shared" ca="1" si="194"/>
        <v>220000</v>
      </c>
      <c r="AD429" s="92">
        <f t="shared" ca="1" si="194"/>
        <v>231480</v>
      </c>
      <c r="AE429" s="95">
        <f t="shared" ca="1" si="195"/>
        <v>1.0521818181818181</v>
      </c>
      <c r="AF429" s="126">
        <f t="shared" ca="1" si="196"/>
        <v>4270</v>
      </c>
      <c r="AG429" s="92">
        <f t="shared" ca="1" si="196"/>
        <v>4358.6200000000008</v>
      </c>
      <c r="AH429" s="95">
        <f t="shared" ca="1" si="197"/>
        <v>1.020754098360656</v>
      </c>
      <c r="AI429" s="126">
        <f t="shared" ca="1" si="198"/>
        <v>1200</v>
      </c>
      <c r="AJ429" s="92">
        <f t="shared" ca="1" si="198"/>
        <v>1183</v>
      </c>
      <c r="AK429" s="95">
        <f t="shared" ca="1" si="199"/>
        <v>0.98583333333333334</v>
      </c>
      <c r="AL429" s="126">
        <f t="shared" ca="1" si="200"/>
        <v>988</v>
      </c>
      <c r="AM429" s="92">
        <f t="shared" ca="1" si="200"/>
        <v>1058</v>
      </c>
      <c r="AN429" s="95">
        <f t="shared" ca="1" si="201"/>
        <v>1.0708502024291497</v>
      </c>
      <c r="AO429" s="95">
        <f t="shared" ca="1" si="202"/>
        <v>1.0037129402985301</v>
      </c>
      <c r="AP429" s="83"/>
    </row>
    <row r="430" spans="1:42" x14ac:dyDescent="0.25">
      <c r="A430" s="125" t="s">
        <v>105</v>
      </c>
      <c r="B430" s="128">
        <f t="shared" si="175"/>
        <v>0</v>
      </c>
      <c r="C430" s="92">
        <f t="shared" ca="1" si="176"/>
        <v>0</v>
      </c>
      <c r="D430" s="112" t="str">
        <f t="shared" ca="1" si="177"/>
        <v/>
      </c>
      <c r="E430" s="126">
        <f t="shared" ca="1" si="178"/>
        <v>0</v>
      </c>
      <c r="F430" s="92">
        <f t="shared" ca="1" si="178"/>
        <v>0</v>
      </c>
      <c r="G430" s="95" t="str">
        <f t="shared" ca="1" si="179"/>
        <v/>
      </c>
      <c r="H430" s="126">
        <f t="shared" ca="1" si="180"/>
        <v>0</v>
      </c>
      <c r="I430" s="92">
        <f t="shared" ca="1" si="180"/>
        <v>0</v>
      </c>
      <c r="J430" s="95" t="str">
        <f t="shared" ca="1" si="181"/>
        <v/>
      </c>
      <c r="K430" s="126">
        <f t="shared" ca="1" si="182"/>
        <v>0</v>
      </c>
      <c r="L430" s="92">
        <f t="shared" ca="1" si="182"/>
        <v>0</v>
      </c>
      <c r="M430" s="95" t="str">
        <f t="shared" ca="1" si="183"/>
        <v/>
      </c>
      <c r="N430" s="126">
        <f t="shared" ca="1" si="184"/>
        <v>0</v>
      </c>
      <c r="O430" s="92">
        <f t="shared" ca="1" si="184"/>
        <v>0</v>
      </c>
      <c r="P430" s="95" t="str">
        <f t="shared" ca="1" si="185"/>
        <v/>
      </c>
      <c r="Q430" s="126">
        <f t="shared" ca="1" si="186"/>
        <v>0</v>
      </c>
      <c r="R430" s="92">
        <f t="shared" ca="1" si="186"/>
        <v>0</v>
      </c>
      <c r="S430" s="95" t="str">
        <f t="shared" ca="1" si="187"/>
        <v/>
      </c>
      <c r="T430" s="126">
        <f t="shared" ca="1" si="188"/>
        <v>0</v>
      </c>
      <c r="U430" s="92">
        <f t="shared" ca="1" si="188"/>
        <v>0</v>
      </c>
      <c r="V430" s="95" t="str">
        <f t="shared" ca="1" si="189"/>
        <v/>
      </c>
      <c r="W430" s="126">
        <f t="shared" ca="1" si="190"/>
        <v>0</v>
      </c>
      <c r="X430" s="92">
        <f t="shared" ca="1" si="190"/>
        <v>0</v>
      </c>
      <c r="Y430" s="95" t="str">
        <f t="shared" ca="1" si="191"/>
        <v/>
      </c>
      <c r="Z430" s="126">
        <f t="shared" ca="1" si="192"/>
        <v>0</v>
      </c>
      <c r="AA430" s="92">
        <f t="shared" ca="1" si="192"/>
        <v>0</v>
      </c>
      <c r="AB430" s="95" t="str">
        <f t="shared" ca="1" si="193"/>
        <v/>
      </c>
      <c r="AC430" s="126">
        <f t="shared" ca="1" si="194"/>
        <v>0</v>
      </c>
      <c r="AD430" s="92">
        <f t="shared" ca="1" si="194"/>
        <v>0</v>
      </c>
      <c r="AE430" s="95" t="str">
        <f t="shared" ca="1" si="195"/>
        <v/>
      </c>
      <c r="AF430" s="126">
        <f t="shared" ca="1" si="196"/>
        <v>0</v>
      </c>
      <c r="AG430" s="92">
        <f t="shared" ca="1" si="196"/>
        <v>0</v>
      </c>
      <c r="AH430" s="95" t="str">
        <f t="shared" ca="1" si="197"/>
        <v/>
      </c>
      <c r="AI430" s="126">
        <f t="shared" ca="1" si="198"/>
        <v>0</v>
      </c>
      <c r="AJ430" s="92">
        <f t="shared" ca="1" si="198"/>
        <v>0</v>
      </c>
      <c r="AK430" s="95" t="str">
        <f t="shared" ca="1" si="199"/>
        <v/>
      </c>
      <c r="AL430" s="126">
        <f t="shared" ca="1" si="200"/>
        <v>0</v>
      </c>
      <c r="AM430" s="92">
        <f t="shared" ca="1" si="200"/>
        <v>0</v>
      </c>
      <c r="AN430" s="95" t="str">
        <f t="shared" ca="1" si="201"/>
        <v/>
      </c>
      <c r="AO430" s="95" t="str">
        <f t="shared" ca="1" si="202"/>
        <v/>
      </c>
      <c r="AP430" s="83"/>
    </row>
    <row r="431" spans="1:42" x14ac:dyDescent="0.25">
      <c r="A431" s="125" t="s">
        <v>106</v>
      </c>
      <c r="B431" s="128">
        <f t="shared" si="175"/>
        <v>0</v>
      </c>
      <c r="C431" s="92">
        <f t="shared" ca="1" si="176"/>
        <v>0</v>
      </c>
      <c r="D431" s="112" t="str">
        <f t="shared" ca="1" si="177"/>
        <v/>
      </c>
      <c r="E431" s="126">
        <f t="shared" ca="1" si="178"/>
        <v>0</v>
      </c>
      <c r="F431" s="92">
        <f t="shared" ca="1" si="178"/>
        <v>0</v>
      </c>
      <c r="G431" s="95" t="str">
        <f t="shared" ca="1" si="179"/>
        <v/>
      </c>
      <c r="H431" s="126">
        <f t="shared" ca="1" si="180"/>
        <v>0</v>
      </c>
      <c r="I431" s="92">
        <f t="shared" ca="1" si="180"/>
        <v>0</v>
      </c>
      <c r="J431" s="95" t="str">
        <f t="shared" ca="1" si="181"/>
        <v/>
      </c>
      <c r="K431" s="126">
        <f t="shared" ca="1" si="182"/>
        <v>0</v>
      </c>
      <c r="L431" s="92">
        <f t="shared" ca="1" si="182"/>
        <v>0</v>
      </c>
      <c r="M431" s="95" t="str">
        <f t="shared" ca="1" si="183"/>
        <v/>
      </c>
      <c r="N431" s="126">
        <f t="shared" ca="1" si="184"/>
        <v>0</v>
      </c>
      <c r="O431" s="92">
        <f t="shared" ca="1" si="184"/>
        <v>0</v>
      </c>
      <c r="P431" s="95" t="str">
        <f t="shared" ca="1" si="185"/>
        <v/>
      </c>
      <c r="Q431" s="126">
        <f t="shared" ca="1" si="186"/>
        <v>0</v>
      </c>
      <c r="R431" s="92">
        <f t="shared" ca="1" si="186"/>
        <v>0</v>
      </c>
      <c r="S431" s="95" t="str">
        <f t="shared" ca="1" si="187"/>
        <v/>
      </c>
      <c r="T431" s="126">
        <f t="shared" ca="1" si="188"/>
        <v>0</v>
      </c>
      <c r="U431" s="92">
        <f t="shared" ca="1" si="188"/>
        <v>0</v>
      </c>
      <c r="V431" s="95" t="str">
        <f t="shared" ca="1" si="189"/>
        <v/>
      </c>
      <c r="W431" s="126">
        <f t="shared" ca="1" si="190"/>
        <v>0</v>
      </c>
      <c r="X431" s="92">
        <f t="shared" ca="1" si="190"/>
        <v>0</v>
      </c>
      <c r="Y431" s="95" t="str">
        <f t="shared" ca="1" si="191"/>
        <v/>
      </c>
      <c r="Z431" s="126">
        <f t="shared" ca="1" si="192"/>
        <v>0</v>
      </c>
      <c r="AA431" s="92">
        <f t="shared" ca="1" si="192"/>
        <v>0</v>
      </c>
      <c r="AB431" s="95" t="str">
        <f t="shared" ca="1" si="193"/>
        <v/>
      </c>
      <c r="AC431" s="126">
        <f t="shared" ca="1" si="194"/>
        <v>0</v>
      </c>
      <c r="AD431" s="92">
        <f t="shared" ca="1" si="194"/>
        <v>0</v>
      </c>
      <c r="AE431" s="95" t="str">
        <f t="shared" ca="1" si="195"/>
        <v/>
      </c>
      <c r="AF431" s="126">
        <f t="shared" ca="1" si="196"/>
        <v>0</v>
      </c>
      <c r="AG431" s="92">
        <f t="shared" ca="1" si="196"/>
        <v>0</v>
      </c>
      <c r="AH431" s="95" t="str">
        <f t="shared" ca="1" si="197"/>
        <v/>
      </c>
      <c r="AI431" s="126">
        <f t="shared" ca="1" si="198"/>
        <v>0</v>
      </c>
      <c r="AJ431" s="92">
        <f t="shared" ca="1" si="198"/>
        <v>0</v>
      </c>
      <c r="AK431" s="95" t="str">
        <f t="shared" ca="1" si="199"/>
        <v/>
      </c>
      <c r="AL431" s="126">
        <f t="shared" ca="1" si="200"/>
        <v>0</v>
      </c>
      <c r="AM431" s="92">
        <f t="shared" ca="1" si="200"/>
        <v>0</v>
      </c>
      <c r="AN431" s="95" t="str">
        <f t="shared" ca="1" si="201"/>
        <v/>
      </c>
      <c r="AO431" s="95" t="str">
        <f t="shared" ca="1" si="202"/>
        <v/>
      </c>
      <c r="AP431" s="83"/>
    </row>
    <row r="432" spans="1:42" x14ac:dyDescent="0.25">
      <c r="A432" s="125" t="s">
        <v>107</v>
      </c>
      <c r="B432" s="128">
        <f t="shared" si="175"/>
        <v>0</v>
      </c>
      <c r="C432" s="92">
        <f t="shared" ca="1" si="176"/>
        <v>0</v>
      </c>
      <c r="D432" s="112" t="str">
        <f t="shared" ca="1" si="177"/>
        <v/>
      </c>
      <c r="E432" s="126">
        <f t="shared" ca="1" si="178"/>
        <v>0</v>
      </c>
      <c r="F432" s="92">
        <f t="shared" ca="1" si="178"/>
        <v>0</v>
      </c>
      <c r="G432" s="95" t="str">
        <f t="shared" ca="1" si="179"/>
        <v/>
      </c>
      <c r="H432" s="126">
        <f t="shared" ca="1" si="180"/>
        <v>0</v>
      </c>
      <c r="I432" s="92">
        <f t="shared" ca="1" si="180"/>
        <v>0</v>
      </c>
      <c r="J432" s="95" t="str">
        <f t="shared" ca="1" si="181"/>
        <v/>
      </c>
      <c r="K432" s="126">
        <f t="shared" ca="1" si="182"/>
        <v>0</v>
      </c>
      <c r="L432" s="92">
        <f t="shared" ca="1" si="182"/>
        <v>0</v>
      </c>
      <c r="M432" s="95" t="str">
        <f t="shared" ca="1" si="183"/>
        <v/>
      </c>
      <c r="N432" s="126">
        <f t="shared" ca="1" si="184"/>
        <v>0</v>
      </c>
      <c r="O432" s="92">
        <f t="shared" ca="1" si="184"/>
        <v>0</v>
      </c>
      <c r="P432" s="95" t="str">
        <f t="shared" ca="1" si="185"/>
        <v/>
      </c>
      <c r="Q432" s="126">
        <f t="shared" ca="1" si="186"/>
        <v>0</v>
      </c>
      <c r="R432" s="92">
        <f t="shared" ca="1" si="186"/>
        <v>0</v>
      </c>
      <c r="S432" s="95" t="str">
        <f t="shared" ca="1" si="187"/>
        <v/>
      </c>
      <c r="T432" s="126">
        <f t="shared" ca="1" si="188"/>
        <v>0</v>
      </c>
      <c r="U432" s="92">
        <f t="shared" ca="1" si="188"/>
        <v>0</v>
      </c>
      <c r="V432" s="95" t="str">
        <f t="shared" ca="1" si="189"/>
        <v/>
      </c>
      <c r="W432" s="126">
        <f t="shared" ca="1" si="190"/>
        <v>0</v>
      </c>
      <c r="X432" s="92">
        <f t="shared" ca="1" si="190"/>
        <v>0</v>
      </c>
      <c r="Y432" s="95" t="str">
        <f t="shared" ca="1" si="191"/>
        <v/>
      </c>
      <c r="Z432" s="126">
        <f t="shared" ca="1" si="192"/>
        <v>0</v>
      </c>
      <c r="AA432" s="92">
        <f t="shared" ca="1" si="192"/>
        <v>0</v>
      </c>
      <c r="AB432" s="95" t="str">
        <f t="shared" ca="1" si="193"/>
        <v/>
      </c>
      <c r="AC432" s="126">
        <f t="shared" ca="1" si="194"/>
        <v>0</v>
      </c>
      <c r="AD432" s="92">
        <f t="shared" ca="1" si="194"/>
        <v>0</v>
      </c>
      <c r="AE432" s="95" t="str">
        <f t="shared" ca="1" si="195"/>
        <v/>
      </c>
      <c r="AF432" s="126">
        <f t="shared" ca="1" si="196"/>
        <v>0</v>
      </c>
      <c r="AG432" s="92">
        <f t="shared" ca="1" si="196"/>
        <v>0</v>
      </c>
      <c r="AH432" s="95" t="str">
        <f t="shared" ca="1" si="197"/>
        <v/>
      </c>
      <c r="AI432" s="126">
        <f t="shared" ca="1" si="198"/>
        <v>0</v>
      </c>
      <c r="AJ432" s="92">
        <f t="shared" ca="1" si="198"/>
        <v>0</v>
      </c>
      <c r="AK432" s="95" t="str">
        <f t="shared" ca="1" si="199"/>
        <v/>
      </c>
      <c r="AL432" s="126">
        <f t="shared" ca="1" si="200"/>
        <v>0</v>
      </c>
      <c r="AM432" s="92">
        <f t="shared" ca="1" si="200"/>
        <v>0</v>
      </c>
      <c r="AN432" s="95" t="str">
        <f t="shared" ca="1" si="201"/>
        <v/>
      </c>
      <c r="AO432" s="95" t="str">
        <f t="shared" ca="1" si="202"/>
        <v/>
      </c>
      <c r="AP432" s="83"/>
    </row>
    <row r="433" spans="1:44" x14ac:dyDescent="0.25">
      <c r="A433" s="125" t="s">
        <v>108</v>
      </c>
      <c r="B433" s="128">
        <f t="shared" si="175"/>
        <v>0</v>
      </c>
      <c r="C433" s="92">
        <f t="shared" ca="1" si="176"/>
        <v>0</v>
      </c>
      <c r="D433" s="112" t="str">
        <f t="shared" ca="1" si="177"/>
        <v/>
      </c>
      <c r="E433" s="126">
        <f t="shared" ca="1" si="178"/>
        <v>0</v>
      </c>
      <c r="F433" s="92">
        <f t="shared" ca="1" si="178"/>
        <v>0</v>
      </c>
      <c r="G433" s="95" t="str">
        <f t="shared" ca="1" si="179"/>
        <v/>
      </c>
      <c r="H433" s="126">
        <f t="shared" ca="1" si="180"/>
        <v>0</v>
      </c>
      <c r="I433" s="92">
        <f t="shared" ca="1" si="180"/>
        <v>0</v>
      </c>
      <c r="J433" s="95" t="str">
        <f t="shared" ca="1" si="181"/>
        <v/>
      </c>
      <c r="K433" s="126">
        <f t="shared" ca="1" si="182"/>
        <v>0</v>
      </c>
      <c r="L433" s="92">
        <f t="shared" ca="1" si="182"/>
        <v>0</v>
      </c>
      <c r="M433" s="95" t="str">
        <f t="shared" ca="1" si="183"/>
        <v/>
      </c>
      <c r="N433" s="126">
        <f t="shared" ca="1" si="184"/>
        <v>0</v>
      </c>
      <c r="O433" s="92">
        <f t="shared" ca="1" si="184"/>
        <v>0</v>
      </c>
      <c r="P433" s="95" t="str">
        <f t="shared" ca="1" si="185"/>
        <v/>
      </c>
      <c r="Q433" s="126">
        <f t="shared" ca="1" si="186"/>
        <v>0</v>
      </c>
      <c r="R433" s="92">
        <f t="shared" ca="1" si="186"/>
        <v>0</v>
      </c>
      <c r="S433" s="95" t="str">
        <f t="shared" ca="1" si="187"/>
        <v/>
      </c>
      <c r="T433" s="126">
        <f t="shared" ca="1" si="188"/>
        <v>0</v>
      </c>
      <c r="U433" s="92">
        <f t="shared" ca="1" si="188"/>
        <v>0</v>
      </c>
      <c r="V433" s="95" t="str">
        <f t="shared" ca="1" si="189"/>
        <v/>
      </c>
      <c r="W433" s="126">
        <f t="shared" ca="1" si="190"/>
        <v>0</v>
      </c>
      <c r="X433" s="92">
        <f t="shared" ca="1" si="190"/>
        <v>0</v>
      </c>
      <c r="Y433" s="95" t="str">
        <f t="shared" ca="1" si="191"/>
        <v/>
      </c>
      <c r="Z433" s="126">
        <f t="shared" ca="1" si="192"/>
        <v>0</v>
      </c>
      <c r="AA433" s="92">
        <f t="shared" ca="1" si="192"/>
        <v>0</v>
      </c>
      <c r="AB433" s="95" t="str">
        <f t="shared" ca="1" si="193"/>
        <v/>
      </c>
      <c r="AC433" s="126">
        <f t="shared" ca="1" si="194"/>
        <v>0</v>
      </c>
      <c r="AD433" s="92">
        <f t="shared" ca="1" si="194"/>
        <v>0</v>
      </c>
      <c r="AE433" s="95" t="str">
        <f t="shared" ca="1" si="195"/>
        <v/>
      </c>
      <c r="AF433" s="126">
        <f t="shared" ca="1" si="196"/>
        <v>0</v>
      </c>
      <c r="AG433" s="92">
        <f t="shared" ca="1" si="196"/>
        <v>0</v>
      </c>
      <c r="AH433" s="95" t="str">
        <f t="shared" ca="1" si="197"/>
        <v/>
      </c>
      <c r="AI433" s="126">
        <f t="shared" ca="1" si="198"/>
        <v>0</v>
      </c>
      <c r="AJ433" s="92">
        <f t="shared" ca="1" si="198"/>
        <v>0</v>
      </c>
      <c r="AK433" s="95" t="str">
        <f t="shared" ca="1" si="199"/>
        <v/>
      </c>
      <c r="AL433" s="126">
        <f t="shared" ca="1" si="200"/>
        <v>0</v>
      </c>
      <c r="AM433" s="92">
        <f t="shared" ca="1" si="200"/>
        <v>0</v>
      </c>
      <c r="AN433" s="95" t="str">
        <f t="shared" ca="1" si="201"/>
        <v/>
      </c>
      <c r="AO433" s="95" t="str">
        <f t="shared" ca="1" si="202"/>
        <v/>
      </c>
      <c r="AP433" s="83"/>
    </row>
    <row r="434" spans="1:44" x14ac:dyDescent="0.25">
      <c r="A434" s="125" t="s">
        <v>109</v>
      </c>
      <c r="B434" s="128">
        <f t="shared" si="175"/>
        <v>0</v>
      </c>
      <c r="C434" s="92">
        <f t="shared" ca="1" si="176"/>
        <v>0</v>
      </c>
      <c r="D434" s="112" t="str">
        <f t="shared" ca="1" si="177"/>
        <v/>
      </c>
      <c r="E434" s="126">
        <f t="shared" ca="1" si="178"/>
        <v>0</v>
      </c>
      <c r="F434" s="92">
        <f t="shared" ca="1" si="178"/>
        <v>0</v>
      </c>
      <c r="G434" s="95" t="str">
        <f t="shared" ca="1" si="179"/>
        <v/>
      </c>
      <c r="H434" s="126">
        <f t="shared" ca="1" si="180"/>
        <v>0</v>
      </c>
      <c r="I434" s="92">
        <f t="shared" ca="1" si="180"/>
        <v>0</v>
      </c>
      <c r="J434" s="95" t="str">
        <f t="shared" ca="1" si="181"/>
        <v/>
      </c>
      <c r="K434" s="126">
        <f t="shared" ca="1" si="182"/>
        <v>0</v>
      </c>
      <c r="L434" s="92">
        <f t="shared" ca="1" si="182"/>
        <v>0</v>
      </c>
      <c r="M434" s="95" t="str">
        <f t="shared" ca="1" si="183"/>
        <v/>
      </c>
      <c r="N434" s="126">
        <f t="shared" ca="1" si="184"/>
        <v>0</v>
      </c>
      <c r="O434" s="92">
        <f t="shared" ca="1" si="184"/>
        <v>0</v>
      </c>
      <c r="P434" s="95" t="str">
        <f t="shared" ca="1" si="185"/>
        <v/>
      </c>
      <c r="Q434" s="126">
        <f t="shared" ca="1" si="186"/>
        <v>0</v>
      </c>
      <c r="R434" s="92">
        <f t="shared" ca="1" si="186"/>
        <v>0</v>
      </c>
      <c r="S434" s="95" t="str">
        <f t="shared" ca="1" si="187"/>
        <v/>
      </c>
      <c r="T434" s="126">
        <f t="shared" ca="1" si="188"/>
        <v>0</v>
      </c>
      <c r="U434" s="92">
        <f t="shared" ca="1" si="188"/>
        <v>0</v>
      </c>
      <c r="V434" s="95" t="str">
        <f t="shared" ca="1" si="189"/>
        <v/>
      </c>
      <c r="W434" s="126">
        <f t="shared" ca="1" si="190"/>
        <v>0</v>
      </c>
      <c r="X434" s="92">
        <f t="shared" ca="1" si="190"/>
        <v>0</v>
      </c>
      <c r="Y434" s="95" t="str">
        <f t="shared" ca="1" si="191"/>
        <v/>
      </c>
      <c r="Z434" s="126">
        <f t="shared" ca="1" si="192"/>
        <v>0</v>
      </c>
      <c r="AA434" s="92">
        <f t="shared" ca="1" si="192"/>
        <v>0</v>
      </c>
      <c r="AB434" s="95" t="str">
        <f t="shared" ca="1" si="193"/>
        <v/>
      </c>
      <c r="AC434" s="126">
        <f t="shared" ca="1" si="194"/>
        <v>0</v>
      </c>
      <c r="AD434" s="92">
        <f t="shared" ca="1" si="194"/>
        <v>0</v>
      </c>
      <c r="AE434" s="95" t="str">
        <f t="shared" ca="1" si="195"/>
        <v/>
      </c>
      <c r="AF434" s="126">
        <f t="shared" ca="1" si="196"/>
        <v>0</v>
      </c>
      <c r="AG434" s="92">
        <f t="shared" ca="1" si="196"/>
        <v>0</v>
      </c>
      <c r="AH434" s="95" t="str">
        <f t="shared" ca="1" si="197"/>
        <v/>
      </c>
      <c r="AI434" s="126">
        <f t="shared" ca="1" si="198"/>
        <v>0</v>
      </c>
      <c r="AJ434" s="92">
        <f t="shared" ca="1" si="198"/>
        <v>0</v>
      </c>
      <c r="AK434" s="95" t="str">
        <f t="shared" ca="1" si="199"/>
        <v/>
      </c>
      <c r="AL434" s="126">
        <f t="shared" ca="1" si="200"/>
        <v>0</v>
      </c>
      <c r="AM434" s="92">
        <f t="shared" ca="1" si="200"/>
        <v>0</v>
      </c>
      <c r="AN434" s="95" t="str">
        <f t="shared" ca="1" si="201"/>
        <v/>
      </c>
      <c r="AO434" s="95" t="str">
        <f t="shared" ca="1" si="202"/>
        <v/>
      </c>
      <c r="AP434" s="83"/>
    </row>
    <row r="435" spans="1:44" x14ac:dyDescent="0.25">
      <c r="A435" s="125" t="s">
        <v>110</v>
      </c>
      <c r="B435" s="128">
        <f t="shared" si="175"/>
        <v>0</v>
      </c>
      <c r="C435" s="92">
        <f t="shared" ca="1" si="176"/>
        <v>0</v>
      </c>
      <c r="D435" s="112" t="str">
        <f t="shared" ca="1" si="177"/>
        <v/>
      </c>
      <c r="E435" s="126">
        <f t="shared" ca="1" si="178"/>
        <v>0</v>
      </c>
      <c r="F435" s="92">
        <f t="shared" ca="1" si="178"/>
        <v>0</v>
      </c>
      <c r="G435" s="95" t="str">
        <f t="shared" ca="1" si="179"/>
        <v/>
      </c>
      <c r="H435" s="126">
        <f t="shared" ca="1" si="180"/>
        <v>0</v>
      </c>
      <c r="I435" s="92">
        <f t="shared" ca="1" si="180"/>
        <v>0</v>
      </c>
      <c r="J435" s="95" t="str">
        <f t="shared" ca="1" si="181"/>
        <v/>
      </c>
      <c r="K435" s="126">
        <f t="shared" ca="1" si="182"/>
        <v>0</v>
      </c>
      <c r="L435" s="92">
        <f t="shared" ca="1" si="182"/>
        <v>0</v>
      </c>
      <c r="M435" s="95" t="str">
        <f t="shared" ca="1" si="183"/>
        <v/>
      </c>
      <c r="N435" s="126">
        <f t="shared" ca="1" si="184"/>
        <v>0</v>
      </c>
      <c r="O435" s="92">
        <f t="shared" ca="1" si="184"/>
        <v>0</v>
      </c>
      <c r="P435" s="95" t="str">
        <f t="shared" ca="1" si="185"/>
        <v/>
      </c>
      <c r="Q435" s="126">
        <f t="shared" ca="1" si="186"/>
        <v>0</v>
      </c>
      <c r="R435" s="92">
        <f t="shared" ca="1" si="186"/>
        <v>0</v>
      </c>
      <c r="S435" s="95" t="str">
        <f t="shared" ca="1" si="187"/>
        <v/>
      </c>
      <c r="T435" s="126">
        <f t="shared" ca="1" si="188"/>
        <v>0</v>
      </c>
      <c r="U435" s="92">
        <f t="shared" ca="1" si="188"/>
        <v>0</v>
      </c>
      <c r="V435" s="95" t="str">
        <f t="shared" ca="1" si="189"/>
        <v/>
      </c>
      <c r="W435" s="126">
        <f t="shared" ca="1" si="190"/>
        <v>0</v>
      </c>
      <c r="X435" s="92">
        <f t="shared" ca="1" si="190"/>
        <v>0</v>
      </c>
      <c r="Y435" s="95" t="str">
        <f t="shared" ca="1" si="191"/>
        <v/>
      </c>
      <c r="Z435" s="126">
        <f t="shared" ca="1" si="192"/>
        <v>0</v>
      </c>
      <c r="AA435" s="92">
        <f t="shared" ca="1" si="192"/>
        <v>0</v>
      </c>
      <c r="AB435" s="95" t="str">
        <f t="shared" ca="1" si="193"/>
        <v/>
      </c>
      <c r="AC435" s="126">
        <f t="shared" ca="1" si="194"/>
        <v>0</v>
      </c>
      <c r="AD435" s="92">
        <f t="shared" ca="1" si="194"/>
        <v>0</v>
      </c>
      <c r="AE435" s="95" t="str">
        <f t="shared" ca="1" si="195"/>
        <v/>
      </c>
      <c r="AF435" s="126">
        <f t="shared" ca="1" si="196"/>
        <v>0</v>
      </c>
      <c r="AG435" s="92">
        <f t="shared" ca="1" si="196"/>
        <v>0</v>
      </c>
      <c r="AH435" s="95" t="str">
        <f t="shared" ca="1" si="197"/>
        <v/>
      </c>
      <c r="AI435" s="126">
        <f t="shared" ca="1" si="198"/>
        <v>0</v>
      </c>
      <c r="AJ435" s="92">
        <f t="shared" ca="1" si="198"/>
        <v>0</v>
      </c>
      <c r="AK435" s="95" t="str">
        <f t="shared" ca="1" si="199"/>
        <v/>
      </c>
      <c r="AL435" s="126">
        <f t="shared" ca="1" si="200"/>
        <v>0</v>
      </c>
      <c r="AM435" s="92">
        <f t="shared" ca="1" si="200"/>
        <v>0</v>
      </c>
      <c r="AN435" s="95" t="str">
        <f t="shared" ca="1" si="201"/>
        <v/>
      </c>
      <c r="AO435" s="95" t="str">
        <f t="shared" ca="1" si="202"/>
        <v/>
      </c>
      <c r="AP435" s="83"/>
    </row>
    <row r="436" spans="1:44" x14ac:dyDescent="0.25">
      <c r="A436" s="125" t="s">
        <v>111</v>
      </c>
      <c r="B436" s="128">
        <f t="shared" si="175"/>
        <v>0</v>
      </c>
      <c r="C436" s="92">
        <f t="shared" ca="1" si="176"/>
        <v>0</v>
      </c>
      <c r="D436" s="112" t="str">
        <f t="shared" ca="1" si="177"/>
        <v/>
      </c>
      <c r="E436" s="126">
        <f t="shared" ca="1" si="178"/>
        <v>0</v>
      </c>
      <c r="F436" s="92">
        <f t="shared" ca="1" si="178"/>
        <v>0</v>
      </c>
      <c r="G436" s="95" t="str">
        <f t="shared" ca="1" si="179"/>
        <v/>
      </c>
      <c r="H436" s="126">
        <f t="shared" ca="1" si="180"/>
        <v>0</v>
      </c>
      <c r="I436" s="92">
        <f t="shared" ca="1" si="180"/>
        <v>0</v>
      </c>
      <c r="J436" s="95" t="str">
        <f t="shared" ca="1" si="181"/>
        <v/>
      </c>
      <c r="K436" s="126">
        <f t="shared" ca="1" si="182"/>
        <v>0</v>
      </c>
      <c r="L436" s="92">
        <f t="shared" ca="1" si="182"/>
        <v>0</v>
      </c>
      <c r="M436" s="95" t="str">
        <f t="shared" ca="1" si="183"/>
        <v/>
      </c>
      <c r="N436" s="126">
        <f t="shared" ca="1" si="184"/>
        <v>0</v>
      </c>
      <c r="O436" s="92">
        <f t="shared" ca="1" si="184"/>
        <v>0</v>
      </c>
      <c r="P436" s="95" t="str">
        <f t="shared" ca="1" si="185"/>
        <v/>
      </c>
      <c r="Q436" s="126">
        <f t="shared" ca="1" si="186"/>
        <v>0</v>
      </c>
      <c r="R436" s="92">
        <f t="shared" ca="1" si="186"/>
        <v>0</v>
      </c>
      <c r="S436" s="95" t="str">
        <f t="shared" ca="1" si="187"/>
        <v/>
      </c>
      <c r="T436" s="126">
        <f t="shared" ca="1" si="188"/>
        <v>0</v>
      </c>
      <c r="U436" s="92">
        <f t="shared" ca="1" si="188"/>
        <v>0</v>
      </c>
      <c r="V436" s="95" t="str">
        <f t="shared" ca="1" si="189"/>
        <v/>
      </c>
      <c r="W436" s="126">
        <f t="shared" ca="1" si="190"/>
        <v>0</v>
      </c>
      <c r="X436" s="92">
        <f t="shared" ca="1" si="190"/>
        <v>0</v>
      </c>
      <c r="Y436" s="95" t="str">
        <f t="shared" ca="1" si="191"/>
        <v/>
      </c>
      <c r="Z436" s="126">
        <f t="shared" ca="1" si="192"/>
        <v>0</v>
      </c>
      <c r="AA436" s="92">
        <f t="shared" ca="1" si="192"/>
        <v>0</v>
      </c>
      <c r="AB436" s="95" t="str">
        <f t="shared" ca="1" si="193"/>
        <v/>
      </c>
      <c r="AC436" s="126">
        <f t="shared" ca="1" si="194"/>
        <v>0</v>
      </c>
      <c r="AD436" s="92">
        <f t="shared" ca="1" si="194"/>
        <v>0</v>
      </c>
      <c r="AE436" s="95" t="str">
        <f t="shared" ca="1" si="195"/>
        <v/>
      </c>
      <c r="AF436" s="126">
        <f t="shared" ca="1" si="196"/>
        <v>0</v>
      </c>
      <c r="AG436" s="92">
        <f t="shared" ca="1" si="196"/>
        <v>0</v>
      </c>
      <c r="AH436" s="95" t="str">
        <f t="shared" ca="1" si="197"/>
        <v/>
      </c>
      <c r="AI436" s="126">
        <f t="shared" ca="1" si="198"/>
        <v>0</v>
      </c>
      <c r="AJ436" s="92">
        <f t="shared" ca="1" si="198"/>
        <v>0</v>
      </c>
      <c r="AK436" s="95" t="str">
        <f t="shared" ca="1" si="199"/>
        <v/>
      </c>
      <c r="AL436" s="126">
        <f t="shared" ca="1" si="200"/>
        <v>0</v>
      </c>
      <c r="AM436" s="92">
        <f t="shared" ca="1" si="200"/>
        <v>0</v>
      </c>
      <c r="AN436" s="95" t="str">
        <f t="shared" ca="1" si="201"/>
        <v/>
      </c>
      <c r="AO436" s="95" t="str">
        <f t="shared" ca="1" si="202"/>
        <v/>
      </c>
      <c r="AP436" s="83"/>
    </row>
    <row r="437" spans="1:44" x14ac:dyDescent="0.25">
      <c r="A437" s="125" t="s">
        <v>112</v>
      </c>
      <c r="B437" s="128">
        <f t="shared" si="175"/>
        <v>0</v>
      </c>
      <c r="C437" s="92">
        <f t="shared" ca="1" si="176"/>
        <v>0</v>
      </c>
      <c r="D437" s="112" t="str">
        <f t="shared" ca="1" si="177"/>
        <v/>
      </c>
      <c r="E437" s="126">
        <f t="shared" ca="1" si="178"/>
        <v>0</v>
      </c>
      <c r="F437" s="92">
        <f t="shared" ca="1" si="178"/>
        <v>0</v>
      </c>
      <c r="G437" s="95" t="str">
        <f t="shared" ca="1" si="179"/>
        <v/>
      </c>
      <c r="H437" s="126">
        <f t="shared" ca="1" si="180"/>
        <v>0</v>
      </c>
      <c r="I437" s="92">
        <f t="shared" ca="1" si="180"/>
        <v>0</v>
      </c>
      <c r="J437" s="95" t="str">
        <f t="shared" ca="1" si="181"/>
        <v/>
      </c>
      <c r="K437" s="126">
        <f t="shared" ca="1" si="182"/>
        <v>0</v>
      </c>
      <c r="L437" s="92">
        <f t="shared" ca="1" si="182"/>
        <v>0</v>
      </c>
      <c r="M437" s="95" t="str">
        <f t="shared" ca="1" si="183"/>
        <v/>
      </c>
      <c r="N437" s="126">
        <f t="shared" ca="1" si="184"/>
        <v>0</v>
      </c>
      <c r="O437" s="92">
        <f t="shared" ca="1" si="184"/>
        <v>0</v>
      </c>
      <c r="P437" s="95" t="str">
        <f t="shared" ca="1" si="185"/>
        <v/>
      </c>
      <c r="Q437" s="126">
        <f t="shared" ca="1" si="186"/>
        <v>0</v>
      </c>
      <c r="R437" s="92">
        <f t="shared" ca="1" si="186"/>
        <v>0</v>
      </c>
      <c r="S437" s="95" t="str">
        <f t="shared" ca="1" si="187"/>
        <v/>
      </c>
      <c r="T437" s="126">
        <f t="shared" ca="1" si="188"/>
        <v>0</v>
      </c>
      <c r="U437" s="92">
        <f t="shared" ca="1" si="188"/>
        <v>0</v>
      </c>
      <c r="V437" s="95" t="str">
        <f t="shared" ca="1" si="189"/>
        <v/>
      </c>
      <c r="W437" s="126">
        <f t="shared" ca="1" si="190"/>
        <v>0</v>
      </c>
      <c r="X437" s="92">
        <f t="shared" ca="1" si="190"/>
        <v>0</v>
      </c>
      <c r="Y437" s="95" t="str">
        <f t="shared" ca="1" si="191"/>
        <v/>
      </c>
      <c r="Z437" s="126">
        <f t="shared" ca="1" si="192"/>
        <v>0</v>
      </c>
      <c r="AA437" s="92">
        <f t="shared" ca="1" si="192"/>
        <v>0</v>
      </c>
      <c r="AB437" s="95" t="str">
        <f t="shared" ca="1" si="193"/>
        <v/>
      </c>
      <c r="AC437" s="126">
        <f t="shared" ca="1" si="194"/>
        <v>0</v>
      </c>
      <c r="AD437" s="92">
        <f t="shared" ca="1" si="194"/>
        <v>0</v>
      </c>
      <c r="AE437" s="95" t="str">
        <f t="shared" ca="1" si="195"/>
        <v/>
      </c>
      <c r="AF437" s="126">
        <f t="shared" ca="1" si="196"/>
        <v>0</v>
      </c>
      <c r="AG437" s="92">
        <f t="shared" ca="1" si="196"/>
        <v>0</v>
      </c>
      <c r="AH437" s="95" t="str">
        <f t="shared" ca="1" si="197"/>
        <v/>
      </c>
      <c r="AI437" s="126">
        <f t="shared" ca="1" si="198"/>
        <v>0</v>
      </c>
      <c r="AJ437" s="92">
        <f t="shared" ca="1" si="198"/>
        <v>0</v>
      </c>
      <c r="AK437" s="95" t="str">
        <f t="shared" ca="1" si="199"/>
        <v/>
      </c>
      <c r="AL437" s="126">
        <f t="shared" ca="1" si="200"/>
        <v>0</v>
      </c>
      <c r="AM437" s="92">
        <f t="shared" ca="1" si="200"/>
        <v>0</v>
      </c>
      <c r="AN437" s="95" t="str">
        <f t="shared" ca="1" si="201"/>
        <v/>
      </c>
      <c r="AO437" s="95" t="str">
        <f t="shared" ca="1" si="202"/>
        <v/>
      </c>
      <c r="AP437" s="83"/>
    </row>
    <row r="438" spans="1:44" x14ac:dyDescent="0.25">
      <c r="A438" s="125" t="s">
        <v>113</v>
      </c>
      <c r="B438" s="128">
        <f t="shared" si="175"/>
        <v>0</v>
      </c>
      <c r="C438" s="92">
        <f t="shared" ca="1" si="176"/>
        <v>0</v>
      </c>
      <c r="D438" s="112" t="str">
        <f t="shared" ca="1" si="177"/>
        <v/>
      </c>
      <c r="E438" s="126">
        <f t="shared" ca="1" si="178"/>
        <v>0</v>
      </c>
      <c r="F438" s="92">
        <f t="shared" ca="1" si="178"/>
        <v>0</v>
      </c>
      <c r="G438" s="95" t="str">
        <f t="shared" ca="1" si="179"/>
        <v/>
      </c>
      <c r="H438" s="126">
        <f t="shared" ca="1" si="180"/>
        <v>0</v>
      </c>
      <c r="I438" s="92">
        <f t="shared" ca="1" si="180"/>
        <v>0</v>
      </c>
      <c r="J438" s="95" t="str">
        <f t="shared" ca="1" si="181"/>
        <v/>
      </c>
      <c r="K438" s="126">
        <f t="shared" ca="1" si="182"/>
        <v>0</v>
      </c>
      <c r="L438" s="92">
        <f t="shared" ca="1" si="182"/>
        <v>0</v>
      </c>
      <c r="M438" s="95" t="str">
        <f t="shared" ca="1" si="183"/>
        <v/>
      </c>
      <c r="N438" s="126">
        <f t="shared" ca="1" si="184"/>
        <v>0</v>
      </c>
      <c r="O438" s="92">
        <f t="shared" ca="1" si="184"/>
        <v>0</v>
      </c>
      <c r="P438" s="95" t="str">
        <f t="shared" ca="1" si="185"/>
        <v/>
      </c>
      <c r="Q438" s="126">
        <f t="shared" ca="1" si="186"/>
        <v>0</v>
      </c>
      <c r="R438" s="92">
        <f t="shared" ca="1" si="186"/>
        <v>0</v>
      </c>
      <c r="S438" s="95" t="str">
        <f t="shared" ca="1" si="187"/>
        <v/>
      </c>
      <c r="T438" s="126">
        <f t="shared" ca="1" si="188"/>
        <v>0</v>
      </c>
      <c r="U438" s="92">
        <f t="shared" ca="1" si="188"/>
        <v>0</v>
      </c>
      <c r="V438" s="95" t="str">
        <f t="shared" ca="1" si="189"/>
        <v/>
      </c>
      <c r="W438" s="126">
        <f t="shared" ca="1" si="190"/>
        <v>0</v>
      </c>
      <c r="X438" s="92">
        <f t="shared" ca="1" si="190"/>
        <v>0</v>
      </c>
      <c r="Y438" s="95" t="str">
        <f t="shared" ca="1" si="191"/>
        <v/>
      </c>
      <c r="Z438" s="126">
        <f t="shared" ca="1" si="192"/>
        <v>0</v>
      </c>
      <c r="AA438" s="92">
        <f t="shared" ca="1" si="192"/>
        <v>0</v>
      </c>
      <c r="AB438" s="95" t="str">
        <f t="shared" ca="1" si="193"/>
        <v/>
      </c>
      <c r="AC438" s="126">
        <f t="shared" ca="1" si="194"/>
        <v>0</v>
      </c>
      <c r="AD438" s="92">
        <f t="shared" ca="1" si="194"/>
        <v>0</v>
      </c>
      <c r="AE438" s="95" t="str">
        <f t="shared" ca="1" si="195"/>
        <v/>
      </c>
      <c r="AF438" s="126">
        <f t="shared" ca="1" si="196"/>
        <v>0</v>
      </c>
      <c r="AG438" s="92">
        <f t="shared" ca="1" si="196"/>
        <v>0</v>
      </c>
      <c r="AH438" s="95" t="str">
        <f t="shared" ca="1" si="197"/>
        <v/>
      </c>
      <c r="AI438" s="126">
        <f t="shared" ca="1" si="198"/>
        <v>0</v>
      </c>
      <c r="AJ438" s="92">
        <f t="shared" ca="1" si="198"/>
        <v>0</v>
      </c>
      <c r="AK438" s="95" t="str">
        <f t="shared" ca="1" si="199"/>
        <v/>
      </c>
      <c r="AL438" s="126">
        <f t="shared" ca="1" si="200"/>
        <v>0</v>
      </c>
      <c r="AM438" s="92">
        <f t="shared" ca="1" si="200"/>
        <v>0</v>
      </c>
      <c r="AN438" s="95" t="str">
        <f t="shared" ca="1" si="201"/>
        <v/>
      </c>
      <c r="AO438" s="95" t="str">
        <f t="shared" ca="1" si="202"/>
        <v/>
      </c>
      <c r="AP438" s="83"/>
    </row>
    <row r="439" spans="1:44" x14ac:dyDescent="0.25">
      <c r="A439" s="120" t="s">
        <v>114</v>
      </c>
      <c r="B439" s="121" t="s">
        <v>69</v>
      </c>
      <c r="C439" s="121" t="s">
        <v>70</v>
      </c>
      <c r="D439" s="122" t="s">
        <v>74</v>
      </c>
      <c r="E439" s="123" t="s">
        <v>72</v>
      </c>
      <c r="F439" s="122" t="s">
        <v>73</v>
      </c>
      <c r="G439" s="124" t="s">
        <v>74</v>
      </c>
      <c r="H439" s="123" t="s">
        <v>75</v>
      </c>
      <c r="I439" s="122" t="s">
        <v>76</v>
      </c>
      <c r="J439" s="124" t="s">
        <v>97</v>
      </c>
      <c r="K439" s="123" t="s">
        <v>77</v>
      </c>
      <c r="L439" s="122" t="s">
        <v>78</v>
      </c>
      <c r="M439" s="124" t="s">
        <v>98</v>
      </c>
      <c r="N439" s="123" t="s">
        <v>79</v>
      </c>
      <c r="O439" s="122" t="s">
        <v>115</v>
      </c>
      <c r="P439" s="124" t="s">
        <v>71</v>
      </c>
      <c r="Q439" s="123" t="s">
        <v>81</v>
      </c>
      <c r="R439" s="122" t="s">
        <v>82</v>
      </c>
      <c r="S439" s="124" t="s">
        <v>71</v>
      </c>
      <c r="T439" s="123" t="s">
        <v>83</v>
      </c>
      <c r="U439" s="122" t="s">
        <v>84</v>
      </c>
      <c r="V439" s="124" t="s">
        <v>116</v>
      </c>
      <c r="W439" s="123" t="s">
        <v>85</v>
      </c>
      <c r="X439" s="122" t="s">
        <v>86</v>
      </c>
      <c r="Y439" s="124" t="s">
        <v>71</v>
      </c>
      <c r="Z439" s="123" t="s">
        <v>87</v>
      </c>
      <c r="AA439" s="122" t="s">
        <v>88</v>
      </c>
      <c r="AB439" s="124" t="s">
        <v>116</v>
      </c>
      <c r="AC439" s="123" t="s">
        <v>89</v>
      </c>
      <c r="AD439" s="122" t="s">
        <v>89</v>
      </c>
      <c r="AE439" s="124" t="s">
        <v>71</v>
      </c>
      <c r="AF439" s="123" t="s">
        <v>90</v>
      </c>
      <c r="AG439" s="122" t="s">
        <v>91</v>
      </c>
      <c r="AH439" s="124" t="s">
        <v>71</v>
      </c>
      <c r="AI439" s="123" t="s">
        <v>92</v>
      </c>
      <c r="AJ439" s="122" t="s">
        <v>93</v>
      </c>
      <c r="AK439" s="124" t="s">
        <v>71</v>
      </c>
      <c r="AL439" s="123" t="s">
        <v>94</v>
      </c>
      <c r="AM439" s="122" t="s">
        <v>95</v>
      </c>
      <c r="AN439" s="124" t="s">
        <v>71</v>
      </c>
      <c r="AO439" s="124" t="s">
        <v>99</v>
      </c>
      <c r="AP439" s="83"/>
    </row>
    <row r="440" spans="1:44" x14ac:dyDescent="0.25">
      <c r="A440" s="129">
        <v>2026</v>
      </c>
      <c r="B440" s="130">
        <f>SUM(B427:B438)</f>
        <v>134445</v>
      </c>
      <c r="C440" s="130">
        <f ca="1">SUM(C427:C438)</f>
        <v>132619</v>
      </c>
      <c r="D440" s="127">
        <f ca="1">IFERROR(C440/B440,"")</f>
        <v>0.98641823794116557</v>
      </c>
      <c r="E440" s="131">
        <f ca="1">SUM(E427:E438)</f>
        <v>0</v>
      </c>
      <c r="F440" s="130">
        <f ca="1">SUM(F427:F438)</f>
        <v>0</v>
      </c>
      <c r="G440" s="119" t="str">
        <f ca="1">IFERROR(F440/E440,"")</f>
        <v/>
      </c>
      <c r="H440" s="131">
        <f ca="1">SUM(H427:H438)</f>
        <v>0</v>
      </c>
      <c r="I440" s="130">
        <f ca="1">SUM(I427:I438)</f>
        <v>0</v>
      </c>
      <c r="J440" s="119" t="str">
        <f ca="1">IFERROR(I440/H440,"")</f>
        <v/>
      </c>
      <c r="K440" s="131">
        <f ca="1">SUM(K427:K438)</f>
        <v>22</v>
      </c>
      <c r="L440" s="130">
        <f ca="1">SUM(L427:L438)</f>
        <v>21</v>
      </c>
      <c r="M440" s="119">
        <f ca="1">IFERROR(L440/K440,"")</f>
        <v>0.95454545454545459</v>
      </c>
      <c r="N440" s="131">
        <f ca="1">SUM(N427:N438)</f>
        <v>18</v>
      </c>
      <c r="O440" s="130">
        <f ca="1">SUM(O427:O438)</f>
        <v>18</v>
      </c>
      <c r="P440" s="119">
        <f ca="1">IFERROR(O440/N440,"")</f>
        <v>1</v>
      </c>
      <c r="Q440" s="131">
        <f ca="1">SUM(Q427:Q438)</f>
        <v>78458</v>
      </c>
      <c r="R440" s="130">
        <f ca="1">SUM(R427:R438)</f>
        <v>75579</v>
      </c>
      <c r="S440" s="119">
        <f ca="1">IFERROR(R440/Q440,"")</f>
        <v>0.96330520788192409</v>
      </c>
      <c r="T440" s="131">
        <f ca="1">SUM(T427:T438)</f>
        <v>4970</v>
      </c>
      <c r="U440" s="130">
        <f ca="1">SUM(U427:U438)</f>
        <v>4611.5999999999995</v>
      </c>
      <c r="V440" s="119">
        <f ca="1">IFERROR(U440/T440,"")</f>
        <v>0.92788732394366191</v>
      </c>
      <c r="W440" s="131">
        <f ca="1">SUM(W427:W438)</f>
        <v>15000</v>
      </c>
      <c r="X440" s="130">
        <f ca="1">SUM(X427:X438)</f>
        <v>15385</v>
      </c>
      <c r="Y440" s="119">
        <f ca="1">IFERROR(X440/W440,"")</f>
        <v>1.0256666666666667</v>
      </c>
      <c r="Z440" s="131">
        <f ca="1">SUM(Z427:Z438)</f>
        <v>200000</v>
      </c>
      <c r="AA440" s="130">
        <f ca="1">SUM(AA427:AA438)</f>
        <v>210680</v>
      </c>
      <c r="AB440" s="119">
        <f ca="1">IFERROR(AA440/Z440,"")</f>
        <v>1.0533999999999999</v>
      </c>
      <c r="AC440" s="131">
        <f ca="1">SUM(AC427:AC438)</f>
        <v>220000</v>
      </c>
      <c r="AD440" s="130">
        <f ca="1">SUM(AD427:AD438)</f>
        <v>231480</v>
      </c>
      <c r="AE440" s="119">
        <f ca="1">IFERROR(AD440/AC440,"")</f>
        <v>1.0521818181818181</v>
      </c>
      <c r="AF440" s="131">
        <f ca="1">SUM(AF427:AF438)</f>
        <v>4270</v>
      </c>
      <c r="AG440" s="130">
        <f ca="1">SUM(AG427:AG438)</f>
        <v>4358.6200000000008</v>
      </c>
      <c r="AH440" s="119">
        <f ca="1">IFERROR(AG440/AF440,"")</f>
        <v>1.020754098360656</v>
      </c>
      <c r="AI440" s="131">
        <f ca="1">SUM(AI427:AI438)</f>
        <v>1200</v>
      </c>
      <c r="AJ440" s="130">
        <f ca="1">SUM(AJ427:AJ438)</f>
        <v>1183</v>
      </c>
      <c r="AK440" s="119">
        <f ca="1">IFERROR(AJ440/AI440,"")</f>
        <v>0.98583333333333334</v>
      </c>
      <c r="AL440" s="131">
        <f ca="1">SUM(AL427:AL438)</f>
        <v>988</v>
      </c>
      <c r="AM440" s="130">
        <f ca="1">SUM(AM427:AM438)</f>
        <v>1058</v>
      </c>
      <c r="AN440" s="119">
        <f ca="1">IFERROR(AM440/AL440,"")</f>
        <v>1.0708502024291497</v>
      </c>
      <c r="AO440" s="119">
        <f ca="1">IF((COUNTIF(D440,"&gt;0")+COUNTIF(G440,"&gt;0")+COUNTIF(J440,"&gt;0")+COUNTIF(M440,"&gt;0")+COUNTIF(P440,"&gt;0")+COUNTIF(S440,"&gt;0")+COUNTIF(V440,"&gt;0")+COUNTIF(Y440,"&gt;0")+COUNTIF(AB440,"&gt;0")+COUNTIF(AE440,"&gt;0")+COUNTIF(AH440,"&gt;0")+COUNTIF(AK440,"&gt;0")+COUNTIF(AN440,"&gt;0"))=0,"",(SUMIF(D440,"&gt;0")+SUMIF(G440,"&gt;0")+SUMIF(J440,"&gt;0")+SUMIF(M440,"&gt;0")+SUMIF(P440,"&gt;0")+SUMIF(S440,"&gt;0")+SUMIF(V440,"&gt;0")+SUMIF(Y440,"&gt;0")+SUMIF(AB440,"&gt;0")+SUMIF(AE440,"&gt;0")+SUMIF(AH440,"&gt;0")+SUMIF(AK440,"&gt;0")+SUMIF(AN440,"&gt;0"))/(COUNTIF(D440,"&gt;0")+COUNTIF(G440,"&gt;0")+COUNTIF(J440,"&gt;0")+COUNTIF(M440,"&gt;0")+COUNTIF(P440,"&gt;0")+COUNTIF(S440,"&gt;0")+COUNTIF(V440,"&gt;0")+COUNTIF(Y440,"&gt;0")+COUNTIF(AB440,"&gt;0")+COUNTIF(AE440,"&gt;0")+COUNTIF(AH440,"&gt;0")+COUNTIF(AK440,"&gt;0")+COUNTIF(AN440,"&gt;0")))</f>
        <v>1.0037129402985301</v>
      </c>
      <c r="AP440" s="83"/>
    </row>
    <row r="441" spans="1:44" x14ac:dyDescent="0.25">
      <c r="AP441" s="83"/>
      <c r="AQ441" s="84"/>
      <c r="AR441" s="84"/>
    </row>
    <row r="452" spans="6:43" x14ac:dyDescent="0.25">
      <c r="AQ452" s="84"/>
    </row>
    <row r="462" spans="6:43" x14ac:dyDescent="0.25">
      <c r="F462" s="83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Q366"/>
  <sheetViews>
    <sheetView topLeftCell="M1" zoomScale="59" workbookViewId="0">
      <selection activeCell="M2" sqref="M2"/>
    </sheetView>
  </sheetViews>
  <sheetFormatPr baseColWidth="10" defaultColWidth="11.5" defaultRowHeight="15" x14ac:dyDescent="0.2"/>
  <cols>
    <col min="1" max="1" width="16.1640625" customWidth="1"/>
    <col min="31" max="31" width="28.33203125" customWidth="1"/>
    <col min="32" max="32" width="36.33203125" customWidth="1"/>
    <col min="42" max="42" width="31.1640625" customWidth="1"/>
    <col min="43" max="43" width="26.6640625" customWidth="1"/>
  </cols>
  <sheetData>
    <row r="1" spans="1:43" x14ac:dyDescent="0.2">
      <c r="A1" t="str">
        <f>Реестр_План_Факт!A1</f>
        <v>Дата</v>
      </c>
      <c r="B1" t="str">
        <f>Реестр_План_Факт!B1</f>
        <v>Неделя</v>
      </c>
      <c r="C1" t="str">
        <f>Реестр_План_Факт!C1</f>
        <v>Месяц</v>
      </c>
      <c r="D1" t="str">
        <f>Реестр_План_Факт!D1</f>
        <v>План Б2.Б3,Б4, м.пог.</v>
      </c>
      <c r="E1" t="str">
        <f>Реестр_План_Факт!E1</f>
        <v>Факт Б2.Б3,Б4, м.пог.</v>
      </c>
      <c r="F1" t="str">
        <f>Реестр_План_Факт!F1</f>
        <v>% выполнения Б2.Б3,Б4</v>
      </c>
      <c r="G1" t="str">
        <f>Реестр_План_Факт!G1</f>
        <v>План цветная печать, м.пог.</v>
      </c>
      <c r="H1" t="str">
        <f>Реестр_План_Факт!H1</f>
        <v>Факт цветная печать, м.пог.</v>
      </c>
      <c r="I1" t="str">
        <f>Реестр_План_Факт!I1</f>
        <v>% выполнения цветная печать</v>
      </c>
      <c r="J1" t="str">
        <f>Реестр_План_Факт!J1</f>
        <v>План валовая печать,м.пог.</v>
      </c>
      <c r="K1" t="str">
        <f>Реестр_План_Факт!K1</f>
        <v>Факт валовая печать,м.пог.</v>
      </c>
      <c r="L1" t="str">
        <f>Реестр_План_Факт!L1</f>
        <v>% выполнения валовая печать</v>
      </c>
      <c r="M1" t="str">
        <f>Реестр_План_Факт!M1</f>
        <v>План Джиггер1,2 ;Джет, циклы</v>
      </c>
      <c r="N1" t="str">
        <f>Реестр_План_Факт!N1</f>
        <v>Факт Джиггер 1,2;Джет,циклы</v>
      </c>
      <c r="O1" t="str">
        <f>Реестр_План_Факт!O1</f>
        <v>% выполнения Джиггер 1,2;Джет,циклы</v>
      </c>
      <c r="P1" t="str">
        <f>Реестр_План_Факт!P1</f>
        <v>План Жгут циклы</v>
      </c>
      <c r="Q1" t="str">
        <f>Реестр_План_Факт!Q1</f>
        <v>Факт Жгут циклы</v>
      </c>
      <c r="R1" t="str">
        <f>Реестр_План_Факт!R1</f>
        <v>% выполнения Жгут циклы</v>
      </c>
      <c r="S1" t="str">
        <f>Реестр_План_Факт!S1</f>
        <v>План СШМ, м.пог.</v>
      </c>
      <c r="T1" t="str">
        <f>Реестр_План_Факт!T1</f>
        <v>Факт СШМ, м.пог.</v>
      </c>
      <c r="U1" t="str">
        <f>Реестр_План_Факт!U1</f>
        <v>% выполнения СШМ</v>
      </c>
      <c r="V1" t="str">
        <f>Реестр_План_Факт!V1</f>
        <v>План СШМ,кг(флис)</v>
      </c>
      <c r="W1" t="str">
        <f>Реестр_План_Факт!W1</f>
        <v>Факт СШМ,кг(флис)</v>
      </c>
      <c r="X1" t="str">
        <f>Реестр_План_Факт!X1</f>
        <v>% выполнения СШМ,кг(флис)</v>
      </c>
      <c r="Y1" t="str">
        <f>Реестр_План_Факт!Y1</f>
        <v>План мембрана, м.пог.</v>
      </c>
      <c r="Z1" t="str">
        <f>Реестр_План_Факт!Z1</f>
        <v>Факт мембрана, м.пог.</v>
      </c>
      <c r="AA1" t="str">
        <f>Реестр_План_Факт!AA1</f>
        <v>% выполнения мембрана</v>
      </c>
      <c r="AB1" t="str">
        <f>Реестр_План_Факт!AB1</f>
        <v>План ленты(1-й слой), м.пог.</v>
      </c>
      <c r="AC1" t="str">
        <f>Реестр_План_Факт!AC1</f>
        <v>Факт ленты(1-й слой), м.пог.</v>
      </c>
      <c r="AD1" t="str">
        <f>Реестр_План_Факт!AD1</f>
        <v>% выполнения ленты(1-й слой)</v>
      </c>
      <c r="AE1" t="str">
        <f>Реестр_План_Факт!AE1</f>
        <v>Ленты(резка), м.пог. 1</v>
      </c>
      <c r="AF1" t="str">
        <f>Реестр_План_Факт!AF1</f>
        <v>Ленты(резка), м.пог. 2</v>
      </c>
      <c r="AG1" t="str">
        <f>Реестр_План_Факт!AG1</f>
        <v>% выполнения Ленты(резка)</v>
      </c>
      <c r="AH1" t="str">
        <f>Реестр_План_Факт!AH1</f>
        <v>План флис(вязание) ,кг</v>
      </c>
      <c r="AI1" t="str">
        <f>Реестр_План_Факт!AI1</f>
        <v>Факт Флис(вязание),кг</v>
      </c>
      <c r="AJ1" t="str">
        <f>Реестр_План_Факт!AJ1</f>
        <v>% выполнения Флис(вязание)</v>
      </c>
      <c r="AK1" t="str">
        <f>Реестр_План_Факт!AK1</f>
        <v>План флис(ворсование),кг.</v>
      </c>
      <c r="AL1" t="str">
        <f>Реестр_План_Факт!AL1</f>
        <v>Факт флис(ворсование),кг.</v>
      </c>
      <c r="AM1" t="str">
        <f>Реестр_План_Факт!AM1</f>
        <v>% выполнения флис(ворсование)</v>
      </c>
      <c r="AN1" t="str">
        <f>Реестр_План_Факт!AN1</f>
        <v>План флис(тумблировние),кг</v>
      </c>
      <c r="AO1" t="str">
        <f>Реестр_План_Факт!AO1</f>
        <v>Факт флис(тумблировние),кг</v>
      </c>
      <c r="AP1" t="str">
        <f>Реестр_План_Факт!AP1</f>
        <v>% выполнения флис(тумблировние),кг</v>
      </c>
    </row>
    <row r="2" spans="1:43" x14ac:dyDescent="0.2">
      <c r="A2" s="201">
        <f>Реестр_План_Факт!A2</f>
        <v>46023</v>
      </c>
      <c r="B2">
        <f>Реестр_План_Факт!B2</f>
        <v>1</v>
      </c>
      <c r="C2">
        <f>Реестр_План_Факт!C2</f>
        <v>1</v>
      </c>
      <c r="D2">
        <f>Реестр_План_Факт!D2</f>
        <v>0</v>
      </c>
      <c r="E2">
        <f>Реестр_План_Факт!E2</f>
        <v>0</v>
      </c>
      <c r="F2" t="str">
        <f>Реестр_План_Факт!F2</f>
        <v/>
      </c>
      <c r="G2">
        <f>Реестр_План_Факт!G2</f>
        <v>0</v>
      </c>
      <c r="H2">
        <f>Реестр_План_Факт!H2</f>
        <v>0</v>
      </c>
      <c r="I2">
        <f>Реестр_План_Факт!I2</f>
        <v>0</v>
      </c>
      <c r="J2">
        <f>Реестр_План_Факт!J2</f>
        <v>0</v>
      </c>
      <c r="K2">
        <f>Реестр_План_Факт!K2</f>
        <v>0</v>
      </c>
      <c r="L2" t="str">
        <f>Реестр_План_Факт!L2</f>
        <v/>
      </c>
      <c r="M2">
        <f>Реестр_План_Факт!M2</f>
        <v>0</v>
      </c>
      <c r="N2">
        <f>Реестр_План_Факт!N2</f>
        <v>0</v>
      </c>
      <c r="O2" t="str">
        <f>Реестр_План_Факт!O2</f>
        <v/>
      </c>
      <c r="P2">
        <f>Реестр_План_Факт!P2</f>
        <v>0</v>
      </c>
      <c r="Q2">
        <f>Реестр_План_Факт!Q2</f>
        <v>0</v>
      </c>
      <c r="R2" t="str">
        <f>Реестр_План_Факт!R2</f>
        <v/>
      </c>
      <c r="S2">
        <f>Реестр_План_Факт!S2</f>
        <v>0</v>
      </c>
      <c r="T2">
        <f>Реестр_План_Факт!T2</f>
        <v>0</v>
      </c>
      <c r="U2" t="str">
        <f>Реестр_План_Факт!U2</f>
        <v/>
      </c>
      <c r="V2">
        <f>Реестр_План_Факт!V2</f>
        <v>0</v>
      </c>
      <c r="W2">
        <f>Реестр_План_Факт!W2</f>
        <v>0</v>
      </c>
      <c r="X2" t="str">
        <f>Реестр_План_Факт!X2</f>
        <v/>
      </c>
      <c r="Y2">
        <f>Реестр_План_Факт!Y2</f>
        <v>0</v>
      </c>
      <c r="Z2">
        <f>Реестр_План_Факт!Z2</f>
        <v>0</v>
      </c>
      <c r="AA2" t="str">
        <f>Реестр_План_Факт!AA2</f>
        <v/>
      </c>
      <c r="AB2">
        <f>Реестр_План_Факт!AB2</f>
        <v>0</v>
      </c>
      <c r="AC2">
        <f>Реестр_План_Факт!AC2</f>
        <v>0</v>
      </c>
      <c r="AD2" t="str">
        <f>Реестр_План_Факт!AD2</f>
        <v/>
      </c>
      <c r="AE2">
        <f>Реестр_План_Факт!AE2</f>
        <v>0</v>
      </c>
      <c r="AF2">
        <f>Реестр_План_Факт!AF2</f>
        <v>0</v>
      </c>
      <c r="AG2" t="str">
        <f>Реестр_План_Факт!AG2</f>
        <v/>
      </c>
      <c r="AH2">
        <f>Реестр_План_Факт!AH2</f>
        <v>0</v>
      </c>
      <c r="AI2">
        <f>Реестр_План_Факт!AI2</f>
        <v>0</v>
      </c>
      <c r="AJ2" t="str">
        <f>Реестр_План_Факт!AJ2</f>
        <v/>
      </c>
      <c r="AK2">
        <f>Реестр_План_Факт!AK2</f>
        <v>0</v>
      </c>
      <c r="AL2">
        <f>Реестр_План_Факт!AL2</f>
        <v>0</v>
      </c>
      <c r="AM2" t="str">
        <f>Реестр_План_Факт!AM2</f>
        <v/>
      </c>
      <c r="AN2">
        <f>Реестр_План_Факт!AN2</f>
        <v>0</v>
      </c>
      <c r="AO2">
        <f>Реестр_План_Факт!AO2</f>
        <v>0</v>
      </c>
      <c r="AP2" t="str">
        <f>Реестр_План_Факт!AP2</f>
        <v/>
      </c>
      <c r="AQ2">
        <f>Реестр_План_Факт!AQ2</f>
        <v>0</v>
      </c>
    </row>
    <row r="3" spans="1:43" x14ac:dyDescent="0.2">
      <c r="A3" s="201">
        <f>Реестр_План_Факт!A3</f>
        <v>46024</v>
      </c>
      <c r="B3">
        <f>Реестр_План_Факт!B3</f>
        <v>1</v>
      </c>
      <c r="C3">
        <f>Реестр_План_Факт!C3</f>
        <v>1</v>
      </c>
      <c r="D3">
        <f>Реестр_План_Факт!D3</f>
        <v>0</v>
      </c>
      <c r="E3">
        <f>Реестр_План_Факт!E3</f>
        <v>0</v>
      </c>
      <c r="F3" t="str">
        <f>Реестр_План_Факт!F3</f>
        <v/>
      </c>
      <c r="G3">
        <f>Реестр_План_Факт!G3</f>
        <v>0</v>
      </c>
      <c r="H3">
        <f>Реестр_План_Факт!H3</f>
        <v>0</v>
      </c>
      <c r="I3" t="str">
        <f>Реестр_План_Факт!I3</f>
        <v/>
      </c>
      <c r="J3">
        <f>Реестр_План_Факт!J3</f>
        <v>0</v>
      </c>
      <c r="K3">
        <f>Реестр_План_Факт!K3</f>
        <v>0</v>
      </c>
      <c r="L3" t="str">
        <f>Реестр_План_Факт!L3</f>
        <v/>
      </c>
      <c r="M3">
        <f>Реестр_План_Факт!M3</f>
        <v>0</v>
      </c>
      <c r="N3">
        <f>Реестр_План_Факт!N3</f>
        <v>0</v>
      </c>
      <c r="O3" t="str">
        <f>Реестр_План_Факт!O3</f>
        <v/>
      </c>
      <c r="P3">
        <f>Реестр_План_Факт!P3</f>
        <v>0</v>
      </c>
      <c r="Q3">
        <f>Реестр_План_Факт!Q3</f>
        <v>0</v>
      </c>
      <c r="R3" t="str">
        <f>Реестр_План_Факт!R3</f>
        <v/>
      </c>
      <c r="S3">
        <f>Реестр_План_Факт!S3</f>
        <v>0</v>
      </c>
      <c r="T3">
        <f>Реестр_План_Факт!T3</f>
        <v>0</v>
      </c>
      <c r="U3" t="str">
        <f>Реестр_План_Факт!U3</f>
        <v/>
      </c>
      <c r="V3">
        <f>Реестр_План_Факт!V3</f>
        <v>0</v>
      </c>
      <c r="W3">
        <f>Реестр_План_Факт!W3</f>
        <v>0</v>
      </c>
      <c r="X3" t="str">
        <f>Реестр_План_Факт!X3</f>
        <v/>
      </c>
      <c r="Y3">
        <f>Реестр_План_Факт!Y3</f>
        <v>0</v>
      </c>
      <c r="Z3">
        <f>Реестр_План_Факт!Z3</f>
        <v>0</v>
      </c>
      <c r="AA3" t="str">
        <f>Реестр_План_Факт!AA3</f>
        <v/>
      </c>
      <c r="AB3">
        <f>Реестр_План_Факт!AB3</f>
        <v>0</v>
      </c>
      <c r="AC3">
        <f>Реестр_План_Факт!AC3</f>
        <v>0</v>
      </c>
      <c r="AD3" t="str">
        <f>Реестр_План_Факт!AD3</f>
        <v/>
      </c>
      <c r="AE3">
        <f>Реестр_План_Факт!AE3</f>
        <v>0</v>
      </c>
      <c r="AF3">
        <f>Реестр_План_Факт!AF3</f>
        <v>0</v>
      </c>
      <c r="AG3" t="str">
        <f>Реестр_План_Факт!AG3</f>
        <v/>
      </c>
      <c r="AH3">
        <f>Реестр_План_Факт!AH3</f>
        <v>0</v>
      </c>
      <c r="AI3">
        <f>Реестр_План_Факт!AI3</f>
        <v>0</v>
      </c>
      <c r="AJ3" t="str">
        <f>Реестр_План_Факт!AJ3</f>
        <v/>
      </c>
      <c r="AK3">
        <f>Реестр_План_Факт!AK3</f>
        <v>0</v>
      </c>
      <c r="AL3">
        <f>Реестр_План_Факт!AL3</f>
        <v>0</v>
      </c>
      <c r="AM3" t="str">
        <f>Реестр_План_Факт!AM3</f>
        <v/>
      </c>
      <c r="AN3">
        <f>Реестр_План_Факт!AN3</f>
        <v>0</v>
      </c>
      <c r="AO3">
        <f>Реестр_План_Факт!AO3</f>
        <v>0</v>
      </c>
      <c r="AP3" t="str">
        <f>Реестр_План_Факт!AP3</f>
        <v/>
      </c>
      <c r="AQ3">
        <f>Реестр_План_Факт!AQ3</f>
        <v>0</v>
      </c>
    </row>
    <row r="4" spans="1:43" x14ac:dyDescent="0.2">
      <c r="A4" s="201">
        <f>Реестр_План_Факт!A4</f>
        <v>46025</v>
      </c>
      <c r="B4">
        <f>Реестр_План_Факт!B4</f>
        <v>1</v>
      </c>
      <c r="C4">
        <f>Реестр_План_Факт!C4</f>
        <v>1</v>
      </c>
      <c r="D4">
        <f>Реестр_План_Факт!D4</f>
        <v>0</v>
      </c>
      <c r="E4">
        <f>Реестр_План_Факт!E4</f>
        <v>0</v>
      </c>
      <c r="F4" t="str">
        <f>Реестр_План_Факт!F4</f>
        <v/>
      </c>
      <c r="G4">
        <f>Реестр_План_Факт!G4</f>
        <v>0</v>
      </c>
      <c r="H4">
        <f>Реестр_План_Факт!H4</f>
        <v>0</v>
      </c>
      <c r="I4" t="str">
        <f>Реестр_План_Факт!I4</f>
        <v/>
      </c>
      <c r="J4">
        <f>Реестр_План_Факт!J4</f>
        <v>0</v>
      </c>
      <c r="K4">
        <f>Реестр_План_Факт!K4</f>
        <v>0</v>
      </c>
      <c r="L4" t="str">
        <f>Реестр_План_Факт!L4</f>
        <v/>
      </c>
      <c r="M4">
        <f>Реестр_План_Факт!M4</f>
        <v>0</v>
      </c>
      <c r="N4">
        <f>Реестр_План_Факт!N4</f>
        <v>0</v>
      </c>
      <c r="O4" t="str">
        <f>Реестр_План_Факт!O4</f>
        <v/>
      </c>
      <c r="P4">
        <f>Реестр_План_Факт!P4</f>
        <v>0</v>
      </c>
      <c r="Q4">
        <f>Реестр_План_Факт!Q4</f>
        <v>0</v>
      </c>
      <c r="R4" t="str">
        <f>Реестр_План_Факт!R4</f>
        <v/>
      </c>
      <c r="S4">
        <f>Реестр_План_Факт!S4</f>
        <v>0</v>
      </c>
      <c r="T4">
        <f>Реестр_План_Факт!T4</f>
        <v>0</v>
      </c>
      <c r="U4" t="str">
        <f>Реестр_План_Факт!U4</f>
        <v/>
      </c>
      <c r="V4">
        <f>Реестр_План_Факт!V4</f>
        <v>0</v>
      </c>
      <c r="W4">
        <f>Реестр_План_Факт!W4</f>
        <v>0</v>
      </c>
      <c r="X4" t="str">
        <f>Реестр_План_Факт!X4</f>
        <v/>
      </c>
      <c r="Y4">
        <f>Реестр_План_Факт!Y4</f>
        <v>0</v>
      </c>
      <c r="Z4">
        <f>Реестр_План_Факт!Z4</f>
        <v>0</v>
      </c>
      <c r="AA4" t="str">
        <f>Реестр_План_Факт!AA4</f>
        <v/>
      </c>
      <c r="AB4">
        <f>Реестр_План_Факт!AB4</f>
        <v>0</v>
      </c>
      <c r="AC4">
        <f>Реестр_План_Факт!AC4</f>
        <v>0</v>
      </c>
      <c r="AD4" t="str">
        <f>Реестр_План_Факт!AD4</f>
        <v/>
      </c>
      <c r="AE4">
        <f>Реестр_План_Факт!AE4</f>
        <v>0</v>
      </c>
      <c r="AF4">
        <f>Реестр_План_Факт!AF4</f>
        <v>0</v>
      </c>
      <c r="AG4" t="str">
        <f>Реестр_План_Факт!AG4</f>
        <v/>
      </c>
      <c r="AH4">
        <f>Реестр_План_Факт!AH4</f>
        <v>0</v>
      </c>
      <c r="AI4">
        <f>Реестр_План_Факт!AI4</f>
        <v>0</v>
      </c>
      <c r="AJ4" t="str">
        <f>Реестр_План_Факт!AJ4</f>
        <v/>
      </c>
      <c r="AK4">
        <f>Реестр_План_Факт!AK4</f>
        <v>0</v>
      </c>
      <c r="AL4">
        <f>Реестр_План_Факт!AL4</f>
        <v>0</v>
      </c>
      <c r="AM4" t="str">
        <f>Реестр_План_Факт!AM4</f>
        <v/>
      </c>
      <c r="AN4">
        <f>Реестр_План_Факт!AN4</f>
        <v>0</v>
      </c>
      <c r="AO4">
        <f>Реестр_План_Факт!AO4</f>
        <v>0</v>
      </c>
      <c r="AP4" t="str">
        <f>Реестр_План_Факт!AP4</f>
        <v/>
      </c>
      <c r="AQ4">
        <f>Реестр_План_Факт!AQ4</f>
        <v>0</v>
      </c>
    </row>
    <row r="5" spans="1:43" x14ac:dyDescent="0.2">
      <c r="A5" s="201">
        <f>Реестр_План_Факт!A5</f>
        <v>46026</v>
      </c>
      <c r="B5">
        <f>Реестр_План_Факт!B5</f>
        <v>1</v>
      </c>
      <c r="C5">
        <f>Реестр_План_Факт!C5</f>
        <v>1</v>
      </c>
      <c r="D5">
        <f>Реестр_План_Факт!D5</f>
        <v>0</v>
      </c>
      <c r="E5">
        <f>Реестр_План_Факт!E5</f>
        <v>0</v>
      </c>
      <c r="F5" t="str">
        <f>Реестр_План_Факт!F5</f>
        <v/>
      </c>
      <c r="G5">
        <f>Реестр_План_Факт!G5</f>
        <v>0</v>
      </c>
      <c r="H5">
        <f>Реестр_План_Факт!H5</f>
        <v>0</v>
      </c>
      <c r="I5" t="str">
        <f>Реестр_План_Факт!I5</f>
        <v/>
      </c>
      <c r="J5">
        <f>Реестр_План_Факт!J5</f>
        <v>0</v>
      </c>
      <c r="K5">
        <f>Реестр_План_Факт!K5</f>
        <v>0</v>
      </c>
      <c r="L5" t="str">
        <f>Реестр_План_Факт!L5</f>
        <v/>
      </c>
      <c r="M5">
        <f>Реестр_План_Факт!M5</f>
        <v>0</v>
      </c>
      <c r="N5">
        <f>Реестр_План_Факт!N5</f>
        <v>0</v>
      </c>
      <c r="O5" t="str">
        <f>Реестр_План_Факт!O5</f>
        <v/>
      </c>
      <c r="P5">
        <f>Реестр_План_Факт!P5</f>
        <v>0</v>
      </c>
      <c r="Q5">
        <f>Реестр_План_Факт!Q5</f>
        <v>0</v>
      </c>
      <c r="R5" t="str">
        <f>Реестр_План_Факт!R5</f>
        <v/>
      </c>
      <c r="S5">
        <f>Реестр_План_Факт!S5</f>
        <v>0</v>
      </c>
      <c r="T5">
        <f>Реестр_План_Факт!T5</f>
        <v>0</v>
      </c>
      <c r="U5" t="str">
        <f>Реестр_План_Факт!U5</f>
        <v/>
      </c>
      <c r="V5">
        <f>Реестр_План_Факт!V5</f>
        <v>0</v>
      </c>
      <c r="W5">
        <f>Реестр_План_Факт!W5</f>
        <v>0</v>
      </c>
      <c r="X5" t="str">
        <f>Реестр_План_Факт!X5</f>
        <v/>
      </c>
      <c r="Y5">
        <f>Реестр_План_Факт!Y5</f>
        <v>0</v>
      </c>
      <c r="Z5">
        <f>Реестр_План_Факт!Z5</f>
        <v>0</v>
      </c>
      <c r="AA5" t="str">
        <f>Реестр_План_Факт!AA5</f>
        <v/>
      </c>
      <c r="AB5">
        <f>Реестр_План_Факт!AB5</f>
        <v>0</v>
      </c>
      <c r="AC5">
        <f>Реестр_План_Факт!AC5</f>
        <v>0</v>
      </c>
      <c r="AD5" t="str">
        <f>Реестр_План_Факт!AD5</f>
        <v/>
      </c>
      <c r="AE5">
        <f>Реестр_План_Факт!AE5</f>
        <v>0</v>
      </c>
      <c r="AF5">
        <f>Реестр_План_Факт!AF5</f>
        <v>0</v>
      </c>
      <c r="AG5" t="str">
        <f>Реестр_План_Факт!AG5</f>
        <v/>
      </c>
      <c r="AH5">
        <f>Реестр_План_Факт!AH5</f>
        <v>0</v>
      </c>
      <c r="AI5">
        <f>Реестр_План_Факт!AI5</f>
        <v>0</v>
      </c>
      <c r="AJ5" t="str">
        <f>Реестр_План_Факт!AJ5</f>
        <v/>
      </c>
      <c r="AK5">
        <f>Реестр_План_Факт!AK5</f>
        <v>0</v>
      </c>
      <c r="AL5">
        <f>Реестр_План_Факт!AL5</f>
        <v>0</v>
      </c>
      <c r="AM5" t="str">
        <f>Реестр_План_Факт!AM5</f>
        <v/>
      </c>
      <c r="AN5">
        <f>Реестр_План_Факт!AN5</f>
        <v>0</v>
      </c>
      <c r="AO5">
        <f>Реестр_План_Факт!AO5</f>
        <v>0</v>
      </c>
      <c r="AP5" t="str">
        <f>Реестр_План_Факт!AP5</f>
        <v/>
      </c>
      <c r="AQ5">
        <f>Реестр_План_Факт!AQ5</f>
        <v>0</v>
      </c>
    </row>
    <row r="6" spans="1:43" x14ac:dyDescent="0.2">
      <c r="A6" s="201">
        <f>Реестр_План_Факт!A6</f>
        <v>46027</v>
      </c>
      <c r="B6">
        <f>Реестр_План_Факт!B6</f>
        <v>2</v>
      </c>
      <c r="C6">
        <f>Реестр_План_Факт!C6</f>
        <v>1</v>
      </c>
      <c r="D6">
        <f>Реестр_План_Факт!D6</f>
        <v>0</v>
      </c>
      <c r="E6">
        <f>Реестр_План_Факт!E6</f>
        <v>0</v>
      </c>
      <c r="F6" t="str">
        <f>Реестр_План_Факт!F6</f>
        <v/>
      </c>
      <c r="G6">
        <f>Реестр_План_Факт!G6</f>
        <v>0</v>
      </c>
      <c r="H6">
        <f>Реестр_План_Факт!H6</f>
        <v>0</v>
      </c>
      <c r="I6" t="str">
        <f>Реестр_План_Факт!I6</f>
        <v/>
      </c>
      <c r="J6">
        <f>Реестр_План_Факт!J6</f>
        <v>0</v>
      </c>
      <c r="K6">
        <f>Реестр_План_Факт!K6</f>
        <v>0</v>
      </c>
      <c r="L6" t="str">
        <f>Реестр_План_Факт!L6</f>
        <v/>
      </c>
      <c r="M6">
        <f>Реестр_План_Факт!M6</f>
        <v>0</v>
      </c>
      <c r="N6">
        <f>Реестр_План_Факт!N6</f>
        <v>0</v>
      </c>
      <c r="O6" t="str">
        <f>Реестр_План_Факт!O6</f>
        <v/>
      </c>
      <c r="P6">
        <f>Реестр_План_Факт!P6</f>
        <v>0</v>
      </c>
      <c r="Q6">
        <f>Реестр_План_Факт!Q6</f>
        <v>0</v>
      </c>
      <c r="R6" t="str">
        <f>Реестр_План_Факт!R6</f>
        <v/>
      </c>
      <c r="S6">
        <f>Реестр_План_Факт!S6</f>
        <v>0</v>
      </c>
      <c r="T6">
        <f>Реестр_План_Факт!T6</f>
        <v>0</v>
      </c>
      <c r="U6" t="str">
        <f>Реестр_План_Факт!U6</f>
        <v/>
      </c>
      <c r="V6">
        <f>Реестр_План_Факт!V6</f>
        <v>0</v>
      </c>
      <c r="W6">
        <f>Реестр_План_Факт!W6</f>
        <v>0</v>
      </c>
      <c r="X6" t="str">
        <f>Реестр_План_Факт!X6</f>
        <v/>
      </c>
      <c r="Y6">
        <f>Реестр_План_Факт!Y6</f>
        <v>0</v>
      </c>
      <c r="Z6">
        <f>Реестр_План_Факт!Z6</f>
        <v>0</v>
      </c>
      <c r="AA6" t="str">
        <f>Реестр_План_Факт!AA6</f>
        <v/>
      </c>
      <c r="AB6">
        <f>Реестр_План_Факт!AB6</f>
        <v>0</v>
      </c>
      <c r="AC6">
        <f>Реестр_План_Факт!AC6</f>
        <v>0</v>
      </c>
      <c r="AD6" t="str">
        <f>Реестр_План_Факт!AD6</f>
        <v/>
      </c>
      <c r="AE6">
        <f>Реестр_План_Факт!AE6</f>
        <v>0</v>
      </c>
      <c r="AF6">
        <f>Реестр_План_Факт!AF6</f>
        <v>0</v>
      </c>
      <c r="AG6" t="str">
        <f>Реестр_План_Факт!AG6</f>
        <v/>
      </c>
      <c r="AH6">
        <f>Реестр_План_Факт!AH6</f>
        <v>0</v>
      </c>
      <c r="AI6">
        <f>Реестр_План_Факт!AI6</f>
        <v>0</v>
      </c>
      <c r="AJ6" t="str">
        <f>Реестр_План_Факт!AJ6</f>
        <v/>
      </c>
      <c r="AK6">
        <f>Реестр_План_Факт!AK6</f>
        <v>0</v>
      </c>
      <c r="AL6">
        <f>Реестр_План_Факт!AL6</f>
        <v>0</v>
      </c>
      <c r="AM6" t="str">
        <f>Реестр_План_Факт!AM6</f>
        <v/>
      </c>
      <c r="AN6">
        <f>Реестр_План_Факт!AN6</f>
        <v>0</v>
      </c>
      <c r="AO6">
        <f>Реестр_План_Факт!AO6</f>
        <v>0</v>
      </c>
      <c r="AP6" t="str">
        <f>Реестр_План_Факт!AP6</f>
        <v/>
      </c>
      <c r="AQ6">
        <f>Реестр_План_Факт!AQ6</f>
        <v>0</v>
      </c>
    </row>
    <row r="7" spans="1:43" x14ac:dyDescent="0.2">
      <c r="A7" s="201">
        <f>Реестр_План_Факт!A7</f>
        <v>46028</v>
      </c>
      <c r="B7">
        <f>Реестр_План_Факт!B7</f>
        <v>2</v>
      </c>
      <c r="C7">
        <f>Реестр_План_Факт!C7</f>
        <v>1</v>
      </c>
      <c r="D7">
        <f>Реестр_План_Факт!D7</f>
        <v>0</v>
      </c>
      <c r="E7">
        <f>Реестр_План_Факт!E7</f>
        <v>0</v>
      </c>
      <c r="F7" t="str">
        <f>Реестр_План_Факт!F7</f>
        <v/>
      </c>
      <c r="G7">
        <f>Реестр_План_Факт!G7</f>
        <v>0</v>
      </c>
      <c r="H7">
        <f>Реестр_План_Факт!H7</f>
        <v>0</v>
      </c>
      <c r="I7" t="str">
        <f>Реестр_План_Факт!I7</f>
        <v/>
      </c>
      <c r="J7">
        <f>Реестр_План_Факт!J7</f>
        <v>0</v>
      </c>
      <c r="K7">
        <f>Реестр_План_Факт!K7</f>
        <v>0</v>
      </c>
      <c r="L7" t="str">
        <f>Реестр_План_Факт!L7</f>
        <v/>
      </c>
      <c r="M7">
        <f>Реестр_План_Факт!M7</f>
        <v>0</v>
      </c>
      <c r="N7">
        <f>Реестр_План_Факт!N7</f>
        <v>0</v>
      </c>
      <c r="O7" t="str">
        <f>Реестр_План_Факт!O7</f>
        <v/>
      </c>
      <c r="P7">
        <f>Реестр_План_Факт!P7</f>
        <v>0</v>
      </c>
      <c r="Q7">
        <f>Реестр_План_Факт!Q7</f>
        <v>0</v>
      </c>
      <c r="R7" t="str">
        <f>Реестр_План_Факт!R7</f>
        <v/>
      </c>
      <c r="S7">
        <f>Реестр_План_Факт!S7</f>
        <v>0</v>
      </c>
      <c r="T7">
        <f>Реестр_План_Факт!T7</f>
        <v>0</v>
      </c>
      <c r="U7" t="str">
        <f>Реестр_План_Факт!U7</f>
        <v/>
      </c>
      <c r="V7">
        <f>Реестр_План_Факт!V7</f>
        <v>0</v>
      </c>
      <c r="W7">
        <f>Реестр_План_Факт!W7</f>
        <v>0</v>
      </c>
      <c r="X7" t="str">
        <f>Реестр_План_Факт!X7</f>
        <v/>
      </c>
      <c r="Y7">
        <f>Реестр_План_Факт!Y7</f>
        <v>0</v>
      </c>
      <c r="Z7">
        <f>Реестр_План_Факт!Z7</f>
        <v>0</v>
      </c>
      <c r="AA7" t="str">
        <f>Реестр_План_Факт!AA7</f>
        <v/>
      </c>
      <c r="AB7">
        <f>Реестр_План_Факт!AB7</f>
        <v>0</v>
      </c>
      <c r="AC7">
        <f>Реестр_План_Факт!AC7</f>
        <v>0</v>
      </c>
      <c r="AD7" t="str">
        <f>Реестр_План_Факт!AD7</f>
        <v/>
      </c>
      <c r="AE7">
        <f>Реестр_План_Факт!AE7</f>
        <v>0</v>
      </c>
      <c r="AF7">
        <f>Реестр_План_Факт!AF7</f>
        <v>0</v>
      </c>
      <c r="AG7" t="str">
        <f>Реестр_План_Факт!AG7</f>
        <v/>
      </c>
      <c r="AH7">
        <f>Реестр_План_Факт!AH7</f>
        <v>0</v>
      </c>
      <c r="AI7">
        <f>Реестр_План_Факт!AI7</f>
        <v>0</v>
      </c>
      <c r="AJ7" t="str">
        <f>Реестр_План_Факт!AJ7</f>
        <v/>
      </c>
      <c r="AK7">
        <f>Реестр_План_Факт!AK7</f>
        <v>0</v>
      </c>
      <c r="AL7">
        <f>Реестр_План_Факт!AL7</f>
        <v>0</v>
      </c>
      <c r="AM7" t="str">
        <f>Реестр_План_Факт!AM7</f>
        <v/>
      </c>
      <c r="AN7">
        <f>Реестр_План_Факт!AN7</f>
        <v>0</v>
      </c>
      <c r="AO7">
        <f>Реестр_План_Факт!AO7</f>
        <v>0</v>
      </c>
      <c r="AP7" t="str">
        <f>Реестр_План_Факт!AP7</f>
        <v/>
      </c>
      <c r="AQ7">
        <f>Реестр_План_Факт!AQ7</f>
        <v>0</v>
      </c>
    </row>
    <row r="8" spans="1:43" x14ac:dyDescent="0.2">
      <c r="A8" s="201">
        <f>Реестр_План_Факт!A8</f>
        <v>46029</v>
      </c>
      <c r="B8">
        <f>Реестр_План_Факт!B8</f>
        <v>2</v>
      </c>
      <c r="C8">
        <f>Реестр_План_Факт!C8</f>
        <v>1</v>
      </c>
      <c r="D8">
        <f>Реестр_План_Факт!D8</f>
        <v>0</v>
      </c>
      <c r="E8">
        <f>Реестр_План_Факт!E8</f>
        <v>0</v>
      </c>
      <c r="F8" t="str">
        <f>Реестр_План_Факт!F8</f>
        <v/>
      </c>
      <c r="G8">
        <f>Реестр_План_Факт!G8</f>
        <v>0</v>
      </c>
      <c r="H8">
        <f>Реестр_План_Факт!H8</f>
        <v>0</v>
      </c>
      <c r="I8" t="str">
        <f>Реестр_План_Факт!I8</f>
        <v/>
      </c>
      <c r="J8">
        <f>Реестр_План_Факт!J8</f>
        <v>0</v>
      </c>
      <c r="K8">
        <f>Реестр_План_Факт!K8</f>
        <v>0</v>
      </c>
      <c r="L8" t="str">
        <f>Реестр_План_Факт!L8</f>
        <v/>
      </c>
      <c r="M8">
        <f>Реестр_План_Факт!M8</f>
        <v>0</v>
      </c>
      <c r="N8">
        <f>Реестр_План_Факт!N8</f>
        <v>0</v>
      </c>
      <c r="O8" t="str">
        <f>Реестр_План_Факт!O8</f>
        <v/>
      </c>
      <c r="P8">
        <f>Реестр_План_Факт!P8</f>
        <v>0</v>
      </c>
      <c r="Q8">
        <f>Реестр_План_Факт!Q8</f>
        <v>0</v>
      </c>
      <c r="R8" t="str">
        <f>Реестр_План_Факт!R8</f>
        <v/>
      </c>
      <c r="S8">
        <f>Реестр_План_Факт!S8</f>
        <v>0</v>
      </c>
      <c r="T8">
        <f>Реестр_План_Факт!T8</f>
        <v>0</v>
      </c>
      <c r="U8" t="str">
        <f>Реестр_План_Факт!U8</f>
        <v/>
      </c>
      <c r="V8">
        <f>Реестр_План_Факт!V8</f>
        <v>0</v>
      </c>
      <c r="W8">
        <f>Реестр_План_Факт!W8</f>
        <v>0</v>
      </c>
      <c r="X8" t="str">
        <f>Реестр_План_Факт!X8</f>
        <v/>
      </c>
      <c r="Y8">
        <f>Реестр_План_Факт!Y8</f>
        <v>0</v>
      </c>
      <c r="Z8">
        <f>Реестр_План_Факт!Z8</f>
        <v>0</v>
      </c>
      <c r="AA8" t="str">
        <f>Реестр_План_Факт!AA8</f>
        <v/>
      </c>
      <c r="AB8">
        <f>Реестр_План_Факт!AB8</f>
        <v>0</v>
      </c>
      <c r="AC8">
        <f>Реестр_План_Факт!AC8</f>
        <v>0</v>
      </c>
      <c r="AD8" t="str">
        <f>Реестр_План_Факт!AD8</f>
        <v/>
      </c>
      <c r="AE8">
        <f>Реестр_План_Факт!AE8</f>
        <v>0</v>
      </c>
      <c r="AF8">
        <f>Реестр_План_Факт!AF8</f>
        <v>0</v>
      </c>
      <c r="AG8" t="str">
        <f>Реестр_План_Факт!AG8</f>
        <v/>
      </c>
      <c r="AH8">
        <f>Реестр_План_Факт!AH8</f>
        <v>0</v>
      </c>
      <c r="AI8">
        <f>Реестр_План_Факт!AI8</f>
        <v>0</v>
      </c>
      <c r="AJ8" t="str">
        <f>Реестр_План_Факт!AJ8</f>
        <v/>
      </c>
      <c r="AK8">
        <f>Реестр_План_Факт!AK8</f>
        <v>0</v>
      </c>
      <c r="AL8">
        <f>Реестр_План_Факт!AL8</f>
        <v>0</v>
      </c>
      <c r="AM8" t="str">
        <f>Реестр_План_Факт!AM8</f>
        <v/>
      </c>
      <c r="AN8">
        <f>Реестр_План_Факт!AN8</f>
        <v>0</v>
      </c>
      <c r="AO8">
        <f>Реестр_План_Факт!AO8</f>
        <v>0</v>
      </c>
      <c r="AP8" t="str">
        <f>Реестр_План_Факт!AP8</f>
        <v/>
      </c>
      <c r="AQ8">
        <f>Реестр_План_Факт!AQ8</f>
        <v>0</v>
      </c>
    </row>
    <row r="9" spans="1:43" x14ac:dyDescent="0.2">
      <c r="A9" s="201">
        <f>Реестр_План_Факт!A9</f>
        <v>46030</v>
      </c>
      <c r="B9">
        <f>Реестр_План_Факт!B9</f>
        <v>2</v>
      </c>
      <c r="C9">
        <f>Реестр_План_Факт!C9</f>
        <v>1</v>
      </c>
      <c r="D9">
        <f>Реестр_План_Факт!D9</f>
        <v>0</v>
      </c>
      <c r="E9">
        <f>Реестр_План_Факт!E9</f>
        <v>0</v>
      </c>
      <c r="F9" t="str">
        <f>Реестр_План_Факт!F9</f>
        <v/>
      </c>
      <c r="G9">
        <f>Реестр_План_Факт!G9</f>
        <v>0</v>
      </c>
      <c r="H9">
        <f>Реестр_План_Факт!H9</f>
        <v>0</v>
      </c>
      <c r="I9" t="str">
        <f>Реестр_План_Факт!I9</f>
        <v/>
      </c>
      <c r="J9">
        <f>Реестр_План_Факт!J9</f>
        <v>0</v>
      </c>
      <c r="K9">
        <f>Реестр_План_Факт!K9</f>
        <v>0</v>
      </c>
      <c r="L9" t="str">
        <f>Реестр_План_Факт!L9</f>
        <v/>
      </c>
      <c r="M9">
        <f>Реестр_План_Факт!M9</f>
        <v>0</v>
      </c>
      <c r="N9">
        <f>Реестр_План_Факт!N9</f>
        <v>0</v>
      </c>
      <c r="O9" t="str">
        <f>Реестр_План_Факт!O9</f>
        <v/>
      </c>
      <c r="P9">
        <f>Реестр_План_Факт!P9</f>
        <v>0</v>
      </c>
      <c r="Q9">
        <f>Реестр_План_Факт!Q9</f>
        <v>0</v>
      </c>
      <c r="R9" t="str">
        <f>Реестр_План_Факт!R9</f>
        <v/>
      </c>
      <c r="S9">
        <f>Реестр_План_Факт!S9</f>
        <v>0</v>
      </c>
      <c r="T9">
        <f>Реестр_План_Факт!T9</f>
        <v>0</v>
      </c>
      <c r="U9" t="str">
        <f>Реестр_План_Факт!U9</f>
        <v/>
      </c>
      <c r="V9">
        <f>Реестр_План_Факт!V9</f>
        <v>0</v>
      </c>
      <c r="W9">
        <f>Реестр_План_Факт!W9</f>
        <v>0</v>
      </c>
      <c r="X9" t="str">
        <f>Реестр_План_Факт!X9</f>
        <v/>
      </c>
      <c r="Y9">
        <f>Реестр_План_Факт!Y9</f>
        <v>0</v>
      </c>
      <c r="Z9">
        <f>Реестр_План_Факт!Z9</f>
        <v>0</v>
      </c>
      <c r="AA9" t="str">
        <f>Реестр_План_Факт!AA9</f>
        <v/>
      </c>
      <c r="AB9">
        <f>Реестр_План_Факт!AB9</f>
        <v>0</v>
      </c>
      <c r="AC9">
        <f>Реестр_План_Факт!AC9</f>
        <v>0</v>
      </c>
      <c r="AD9" t="str">
        <f>Реестр_План_Факт!AD9</f>
        <v/>
      </c>
      <c r="AE9">
        <f>Реестр_План_Факт!AE9</f>
        <v>0</v>
      </c>
      <c r="AF9">
        <f>Реестр_План_Факт!AF9</f>
        <v>0</v>
      </c>
      <c r="AG9" t="str">
        <f>Реестр_План_Факт!AG9</f>
        <v/>
      </c>
      <c r="AH9">
        <f>Реестр_План_Факт!AH9</f>
        <v>0</v>
      </c>
      <c r="AI9">
        <f>Реестр_План_Факт!AI9</f>
        <v>0</v>
      </c>
      <c r="AJ9" t="str">
        <f>Реестр_План_Факт!AJ9</f>
        <v/>
      </c>
      <c r="AK9">
        <f>Реестр_План_Факт!AK9</f>
        <v>0</v>
      </c>
      <c r="AL9">
        <f>Реестр_План_Факт!AL9</f>
        <v>0</v>
      </c>
      <c r="AM9" t="str">
        <f>Реестр_План_Факт!AM9</f>
        <v/>
      </c>
      <c r="AN9">
        <f>Реестр_План_Факт!AN9</f>
        <v>0</v>
      </c>
      <c r="AO9">
        <f>Реестр_План_Факт!AO9</f>
        <v>0</v>
      </c>
      <c r="AP9" t="str">
        <f>Реестр_План_Факт!AP9</f>
        <v/>
      </c>
      <c r="AQ9">
        <f>Реестр_План_Факт!AQ9</f>
        <v>0</v>
      </c>
    </row>
    <row r="10" spans="1:43" x14ac:dyDescent="0.2">
      <c r="A10" s="201">
        <f>Реестр_План_Факт!A10</f>
        <v>46031</v>
      </c>
      <c r="B10">
        <f>Реестр_План_Факт!B10</f>
        <v>2</v>
      </c>
      <c r="C10">
        <f>Реестр_План_Факт!C10</f>
        <v>1</v>
      </c>
      <c r="D10">
        <f>Реестр_План_Факт!D10</f>
        <v>0</v>
      </c>
      <c r="E10">
        <f>Реестр_План_Факт!E10</f>
        <v>0</v>
      </c>
      <c r="F10" t="str">
        <f>Реестр_План_Факт!F10</f>
        <v/>
      </c>
      <c r="G10">
        <f>Реестр_План_Факт!G10</f>
        <v>0</v>
      </c>
      <c r="H10">
        <f>Реестр_План_Факт!H10</f>
        <v>0</v>
      </c>
      <c r="I10" t="str">
        <f>Реестр_План_Факт!I10</f>
        <v/>
      </c>
      <c r="J10">
        <f>Реестр_План_Факт!J10</f>
        <v>0</v>
      </c>
      <c r="K10">
        <f>Реестр_План_Факт!K10</f>
        <v>0</v>
      </c>
      <c r="L10" t="str">
        <f>Реестр_План_Факт!L10</f>
        <v/>
      </c>
      <c r="M10">
        <f>Реестр_План_Факт!M10</f>
        <v>0</v>
      </c>
      <c r="N10">
        <f>Реестр_План_Факт!N10</f>
        <v>0</v>
      </c>
      <c r="O10" t="str">
        <f>Реестр_План_Факт!O10</f>
        <v/>
      </c>
      <c r="P10">
        <f>Реестр_План_Факт!P10</f>
        <v>0</v>
      </c>
      <c r="Q10">
        <f>Реестр_План_Факт!Q10</f>
        <v>0</v>
      </c>
      <c r="R10" t="str">
        <f>Реестр_План_Факт!R10</f>
        <v/>
      </c>
      <c r="S10">
        <f>Реестр_План_Факт!S10</f>
        <v>0</v>
      </c>
      <c r="T10">
        <f>Реестр_План_Факт!T10</f>
        <v>0</v>
      </c>
      <c r="U10" t="str">
        <f>Реестр_План_Факт!U10</f>
        <v/>
      </c>
      <c r="V10">
        <f>Реестр_План_Факт!V10</f>
        <v>0</v>
      </c>
      <c r="W10">
        <f>Реестр_План_Факт!W10</f>
        <v>0</v>
      </c>
      <c r="X10" t="str">
        <f>Реестр_План_Факт!X10</f>
        <v/>
      </c>
      <c r="Y10">
        <f>Реестр_План_Факт!Y10</f>
        <v>0</v>
      </c>
      <c r="Z10">
        <f>Реестр_План_Факт!Z10</f>
        <v>0</v>
      </c>
      <c r="AA10" t="str">
        <f>Реестр_План_Факт!AA10</f>
        <v/>
      </c>
      <c r="AB10">
        <f>Реестр_План_Факт!AB10</f>
        <v>0</v>
      </c>
      <c r="AC10">
        <f>Реестр_План_Факт!AC10</f>
        <v>0</v>
      </c>
      <c r="AD10" t="str">
        <f>Реестр_План_Факт!AD10</f>
        <v/>
      </c>
      <c r="AE10">
        <f>Реестр_План_Факт!AE10</f>
        <v>0</v>
      </c>
      <c r="AF10">
        <f>Реестр_План_Факт!AF10</f>
        <v>0</v>
      </c>
      <c r="AG10" t="str">
        <f>Реестр_План_Факт!AG10</f>
        <v/>
      </c>
      <c r="AH10">
        <f>Реестр_План_Факт!AH10</f>
        <v>0</v>
      </c>
      <c r="AI10">
        <f>Реестр_План_Факт!AI10</f>
        <v>0</v>
      </c>
      <c r="AJ10" t="str">
        <f>Реестр_План_Факт!AJ10</f>
        <v/>
      </c>
      <c r="AK10">
        <f>Реестр_План_Факт!AK10</f>
        <v>0</v>
      </c>
      <c r="AL10">
        <f>Реестр_План_Факт!AL10</f>
        <v>0</v>
      </c>
      <c r="AM10" t="str">
        <f>Реестр_План_Факт!AM10</f>
        <v/>
      </c>
      <c r="AN10">
        <f>Реестр_План_Факт!AN10</f>
        <v>0</v>
      </c>
      <c r="AO10">
        <f>Реестр_План_Факт!AO10</f>
        <v>0</v>
      </c>
      <c r="AP10" t="str">
        <f>Реестр_План_Факт!AP10</f>
        <v/>
      </c>
      <c r="AQ10">
        <f>Реестр_План_Факт!AQ10</f>
        <v>0</v>
      </c>
    </row>
    <row r="11" spans="1:43" x14ac:dyDescent="0.2">
      <c r="A11" s="201">
        <f>Реестр_План_Факт!A11</f>
        <v>46032</v>
      </c>
      <c r="B11">
        <f>Реестр_План_Факт!B11</f>
        <v>2</v>
      </c>
      <c r="C11">
        <f>Реестр_План_Факт!C11</f>
        <v>1</v>
      </c>
      <c r="D11">
        <f>Реестр_План_Факт!D11</f>
        <v>0</v>
      </c>
      <c r="E11">
        <f>Реестр_План_Факт!E11</f>
        <v>0</v>
      </c>
      <c r="F11" t="str">
        <f>Реестр_План_Факт!F11</f>
        <v/>
      </c>
      <c r="G11">
        <f>Реестр_План_Факт!G11</f>
        <v>0</v>
      </c>
      <c r="H11">
        <f>Реестр_План_Факт!H11</f>
        <v>0</v>
      </c>
      <c r="I11" t="str">
        <f>Реестр_План_Факт!I11</f>
        <v/>
      </c>
      <c r="J11">
        <f>Реестр_План_Факт!J11</f>
        <v>0</v>
      </c>
      <c r="K11">
        <f>Реестр_План_Факт!K11</f>
        <v>0</v>
      </c>
      <c r="L11" t="str">
        <f>Реестр_План_Факт!L11</f>
        <v/>
      </c>
      <c r="M11">
        <f>Реестр_План_Факт!M11</f>
        <v>0</v>
      </c>
      <c r="N11">
        <f>Реестр_План_Факт!N11</f>
        <v>0</v>
      </c>
      <c r="O11" t="str">
        <f>Реестр_План_Факт!O11</f>
        <v/>
      </c>
      <c r="P11">
        <f>Реестр_План_Факт!P11</f>
        <v>0</v>
      </c>
      <c r="Q11">
        <f>Реестр_План_Факт!Q11</f>
        <v>0</v>
      </c>
      <c r="R11" t="str">
        <f>Реестр_План_Факт!R11</f>
        <v/>
      </c>
      <c r="S11">
        <f>Реестр_План_Факт!S11</f>
        <v>0</v>
      </c>
      <c r="T11">
        <f>Реестр_План_Факт!T11</f>
        <v>0</v>
      </c>
      <c r="U11" t="str">
        <f>Реестр_План_Факт!U11</f>
        <v/>
      </c>
      <c r="V11">
        <f>Реестр_План_Факт!V11</f>
        <v>0</v>
      </c>
      <c r="W11">
        <f>Реестр_План_Факт!W11</f>
        <v>0</v>
      </c>
      <c r="X11" t="str">
        <f>Реестр_План_Факт!X11</f>
        <v/>
      </c>
      <c r="Y11">
        <f>Реестр_План_Факт!Y11</f>
        <v>0</v>
      </c>
      <c r="Z11">
        <f>Реестр_План_Факт!Z11</f>
        <v>0</v>
      </c>
      <c r="AA11" t="str">
        <f>Реестр_План_Факт!AA11</f>
        <v/>
      </c>
      <c r="AB11">
        <f>Реестр_План_Факт!AB11</f>
        <v>0</v>
      </c>
      <c r="AC11">
        <f>Реестр_План_Факт!AC11</f>
        <v>0</v>
      </c>
      <c r="AD11" t="str">
        <f>Реестр_План_Факт!AD11</f>
        <v/>
      </c>
      <c r="AE11">
        <f>Реестр_План_Факт!AE11</f>
        <v>0</v>
      </c>
      <c r="AF11">
        <f>Реестр_План_Факт!AF11</f>
        <v>0</v>
      </c>
      <c r="AG11" t="str">
        <f>Реестр_План_Факт!AG11</f>
        <v/>
      </c>
      <c r="AH11">
        <f>Реестр_План_Факт!AH11</f>
        <v>0</v>
      </c>
      <c r="AI11">
        <f>Реестр_План_Факт!AI11</f>
        <v>0</v>
      </c>
      <c r="AJ11" t="str">
        <f>Реестр_План_Факт!AJ11</f>
        <v/>
      </c>
      <c r="AK11">
        <f>Реестр_План_Факт!AK11</f>
        <v>0</v>
      </c>
      <c r="AL11">
        <f>Реестр_План_Факт!AL11</f>
        <v>0</v>
      </c>
      <c r="AM11" t="str">
        <f>Реестр_План_Факт!AM11</f>
        <v/>
      </c>
      <c r="AN11">
        <f>Реестр_План_Факт!AN11</f>
        <v>0</v>
      </c>
      <c r="AO11">
        <f>Реестр_План_Факт!AO11</f>
        <v>0</v>
      </c>
      <c r="AP11" t="str">
        <f>Реестр_План_Факт!AP11</f>
        <v/>
      </c>
      <c r="AQ11">
        <f>Реестр_План_Факт!AQ11</f>
        <v>0</v>
      </c>
    </row>
    <row r="12" spans="1:43" x14ac:dyDescent="0.2">
      <c r="A12" s="201">
        <f>Реестр_План_Факт!A12</f>
        <v>46033</v>
      </c>
      <c r="B12">
        <f>Реестр_План_Факт!B12</f>
        <v>2</v>
      </c>
      <c r="C12">
        <f>Реестр_План_Факт!C12</f>
        <v>1</v>
      </c>
      <c r="D12">
        <f>Реестр_План_Факт!D12</f>
        <v>0</v>
      </c>
      <c r="E12">
        <f>Реестр_План_Факт!E12</f>
        <v>0</v>
      </c>
      <c r="F12" t="str">
        <f>Реестр_План_Факт!F12</f>
        <v/>
      </c>
      <c r="G12">
        <f>Реестр_План_Факт!G12</f>
        <v>0</v>
      </c>
      <c r="H12">
        <f>Реестр_План_Факт!H12</f>
        <v>0</v>
      </c>
      <c r="I12" t="str">
        <f>Реестр_План_Факт!I12</f>
        <v/>
      </c>
      <c r="J12">
        <f>Реестр_План_Факт!J12</f>
        <v>0</v>
      </c>
      <c r="K12">
        <f>Реестр_План_Факт!K12</f>
        <v>0</v>
      </c>
      <c r="L12" t="str">
        <f>Реестр_План_Факт!L12</f>
        <v/>
      </c>
      <c r="M12">
        <f>Реестр_План_Факт!M12</f>
        <v>0</v>
      </c>
      <c r="N12">
        <f>Реестр_План_Факт!N12</f>
        <v>0</v>
      </c>
      <c r="O12" t="str">
        <f>Реестр_План_Факт!O12</f>
        <v/>
      </c>
      <c r="P12">
        <f>Реестр_План_Факт!P12</f>
        <v>0</v>
      </c>
      <c r="Q12">
        <f>Реестр_План_Факт!Q12</f>
        <v>0</v>
      </c>
      <c r="R12" t="str">
        <f>Реестр_План_Факт!R12</f>
        <v/>
      </c>
      <c r="S12">
        <f>Реестр_План_Факт!S12</f>
        <v>0</v>
      </c>
      <c r="T12">
        <f>Реестр_План_Факт!T12</f>
        <v>0</v>
      </c>
      <c r="U12" t="str">
        <f>Реестр_План_Факт!U12</f>
        <v/>
      </c>
      <c r="V12">
        <f>Реестр_План_Факт!V12</f>
        <v>0</v>
      </c>
      <c r="W12">
        <f>Реестр_План_Факт!W12</f>
        <v>0</v>
      </c>
      <c r="X12" t="str">
        <f>Реестр_План_Факт!X12</f>
        <v/>
      </c>
      <c r="Y12">
        <f>Реестр_План_Факт!Y12</f>
        <v>0</v>
      </c>
      <c r="Z12">
        <f>Реестр_План_Факт!Z12</f>
        <v>0</v>
      </c>
      <c r="AA12" t="str">
        <f>Реестр_План_Факт!AA12</f>
        <v/>
      </c>
      <c r="AB12">
        <f>Реестр_План_Факт!AB12</f>
        <v>0</v>
      </c>
      <c r="AC12">
        <f>Реестр_План_Факт!AC12</f>
        <v>0</v>
      </c>
      <c r="AD12" t="str">
        <f>Реестр_План_Факт!AD12</f>
        <v/>
      </c>
      <c r="AE12">
        <f>Реестр_План_Факт!AE12</f>
        <v>0</v>
      </c>
      <c r="AF12">
        <f>Реестр_План_Факт!AF12</f>
        <v>0</v>
      </c>
      <c r="AG12" t="str">
        <f>Реестр_План_Факт!AG12</f>
        <v/>
      </c>
      <c r="AH12">
        <f>Реестр_План_Факт!AH12</f>
        <v>0</v>
      </c>
      <c r="AI12">
        <f>Реестр_План_Факт!AI12</f>
        <v>0</v>
      </c>
      <c r="AJ12" t="str">
        <f>Реестр_План_Факт!AJ12</f>
        <v/>
      </c>
      <c r="AK12">
        <f>Реестр_План_Факт!AK12</f>
        <v>0</v>
      </c>
      <c r="AL12">
        <f>Реестр_План_Факт!AL12</f>
        <v>0</v>
      </c>
      <c r="AM12" t="str">
        <f>Реестр_План_Факт!AM12</f>
        <v/>
      </c>
      <c r="AN12">
        <f>Реестр_План_Факт!AN12</f>
        <v>0</v>
      </c>
      <c r="AO12">
        <f>Реестр_План_Факт!AO12</f>
        <v>0</v>
      </c>
      <c r="AP12" t="str">
        <f>Реестр_План_Факт!AP12</f>
        <v/>
      </c>
      <c r="AQ12">
        <f>Реестр_План_Факт!AQ12</f>
        <v>0</v>
      </c>
    </row>
    <row r="13" spans="1:43" x14ac:dyDescent="0.2">
      <c r="A13" s="201">
        <f>Реестр_План_Факт!A13</f>
        <v>46034</v>
      </c>
      <c r="B13">
        <f>Реестр_План_Факт!B13</f>
        <v>3</v>
      </c>
      <c r="C13">
        <f>Реестр_План_Факт!C13</f>
        <v>1</v>
      </c>
      <c r="D13">
        <f>Реестр_План_Факт!D13</f>
        <v>0</v>
      </c>
      <c r="E13">
        <f>Реестр_План_Факт!E13</f>
        <v>0</v>
      </c>
      <c r="F13" t="str">
        <f>Реестр_План_Факт!F13</f>
        <v/>
      </c>
      <c r="G13">
        <f>Реестр_План_Факт!G13</f>
        <v>0</v>
      </c>
      <c r="H13">
        <f>Реестр_План_Факт!H13</f>
        <v>0</v>
      </c>
      <c r="I13" t="str">
        <f>Реестр_План_Факт!I13</f>
        <v/>
      </c>
      <c r="J13">
        <f>Реестр_План_Факт!J13</f>
        <v>0</v>
      </c>
      <c r="K13">
        <f>Реестр_План_Факт!K13</f>
        <v>0</v>
      </c>
      <c r="L13" t="str">
        <f>Реестр_План_Факт!L13</f>
        <v/>
      </c>
      <c r="M13">
        <f>Реестр_План_Факт!M13</f>
        <v>0</v>
      </c>
      <c r="N13">
        <f>Реестр_План_Факт!N13</f>
        <v>0</v>
      </c>
      <c r="O13" t="str">
        <f>Реестр_План_Факт!O13</f>
        <v/>
      </c>
      <c r="P13">
        <f>Реестр_План_Факт!P13</f>
        <v>0</v>
      </c>
      <c r="Q13">
        <f>Реестр_План_Факт!Q13</f>
        <v>0</v>
      </c>
      <c r="R13" t="str">
        <f>Реестр_План_Факт!R13</f>
        <v/>
      </c>
      <c r="S13">
        <f>Реестр_План_Факт!S13</f>
        <v>0</v>
      </c>
      <c r="T13">
        <f>Реестр_План_Факт!T13</f>
        <v>0</v>
      </c>
      <c r="U13" t="str">
        <f>Реестр_План_Факт!U13</f>
        <v/>
      </c>
      <c r="V13">
        <f>Реестр_План_Факт!V13</f>
        <v>0</v>
      </c>
      <c r="W13">
        <f>Реестр_План_Факт!W13</f>
        <v>0</v>
      </c>
      <c r="X13" t="str">
        <f>Реестр_План_Факт!X13</f>
        <v/>
      </c>
      <c r="Y13">
        <f>Реестр_План_Факт!Y13</f>
        <v>0</v>
      </c>
      <c r="Z13">
        <f>Реестр_План_Факт!Z13</f>
        <v>0</v>
      </c>
      <c r="AA13" t="str">
        <f>Реестр_План_Факт!AA13</f>
        <v/>
      </c>
      <c r="AB13">
        <f>Реестр_План_Факт!AB13</f>
        <v>0</v>
      </c>
      <c r="AC13">
        <f>Реестр_План_Факт!AC13</f>
        <v>0</v>
      </c>
      <c r="AD13" t="str">
        <f>Реестр_План_Факт!AD13</f>
        <v/>
      </c>
      <c r="AE13">
        <f>Реестр_План_Факт!AE13</f>
        <v>0</v>
      </c>
      <c r="AF13">
        <f>Реестр_План_Факт!AF13</f>
        <v>0</v>
      </c>
      <c r="AG13" t="str">
        <f>Реестр_План_Факт!AG13</f>
        <v/>
      </c>
      <c r="AH13">
        <f>Реестр_План_Факт!AH13</f>
        <v>0</v>
      </c>
      <c r="AI13">
        <f>Реестр_План_Факт!AI13</f>
        <v>0</v>
      </c>
      <c r="AJ13" t="str">
        <f>Реестр_План_Факт!AJ13</f>
        <v/>
      </c>
      <c r="AK13">
        <f>Реестр_План_Факт!AK13</f>
        <v>0</v>
      </c>
      <c r="AL13">
        <f>Реестр_План_Факт!AL13</f>
        <v>0</v>
      </c>
      <c r="AM13" t="str">
        <f>Реестр_План_Факт!AM13</f>
        <v/>
      </c>
      <c r="AN13">
        <f>Реестр_План_Факт!AN13</f>
        <v>0</v>
      </c>
      <c r="AO13">
        <f>Реестр_План_Факт!AO13</f>
        <v>0</v>
      </c>
      <c r="AP13" t="str">
        <f>Реестр_План_Факт!AP13</f>
        <v/>
      </c>
      <c r="AQ13">
        <f>Реестр_План_Факт!AQ13</f>
        <v>0</v>
      </c>
    </row>
    <row r="14" spans="1:43" x14ac:dyDescent="0.2">
      <c r="A14" s="201">
        <f>Реестр_План_Факт!A14</f>
        <v>46035</v>
      </c>
      <c r="B14">
        <f>Реестр_План_Факт!B14</f>
        <v>3</v>
      </c>
      <c r="C14">
        <f>Реестр_План_Факт!C14</f>
        <v>1</v>
      </c>
      <c r="D14">
        <f>Реестр_План_Факт!D14</f>
        <v>0</v>
      </c>
      <c r="E14">
        <f>Реестр_План_Факт!E14</f>
        <v>0</v>
      </c>
      <c r="F14" t="str">
        <f>Реестр_План_Факт!F14</f>
        <v/>
      </c>
      <c r="G14">
        <f>Реестр_План_Факт!G14</f>
        <v>0</v>
      </c>
      <c r="H14">
        <f>Реестр_План_Факт!H14</f>
        <v>0</v>
      </c>
      <c r="I14" t="str">
        <f>Реестр_План_Факт!I14</f>
        <v/>
      </c>
      <c r="J14">
        <f>Реестр_План_Факт!J14</f>
        <v>0</v>
      </c>
      <c r="K14">
        <f>Реестр_План_Факт!K14</f>
        <v>0</v>
      </c>
      <c r="L14" t="str">
        <f>Реестр_План_Факт!L14</f>
        <v/>
      </c>
      <c r="M14">
        <f>Реестр_План_Факт!M14</f>
        <v>0</v>
      </c>
      <c r="N14">
        <f>Реестр_План_Факт!N14</f>
        <v>0</v>
      </c>
      <c r="O14" t="str">
        <f>Реестр_План_Факт!O14</f>
        <v/>
      </c>
      <c r="P14">
        <f>Реестр_План_Факт!P14</f>
        <v>0</v>
      </c>
      <c r="Q14">
        <f>Реестр_План_Факт!Q14</f>
        <v>0</v>
      </c>
      <c r="R14" t="str">
        <f>Реестр_План_Факт!R14</f>
        <v/>
      </c>
      <c r="S14">
        <f>Реестр_План_Факт!S14</f>
        <v>0</v>
      </c>
      <c r="T14">
        <f>Реестр_План_Факт!T14</f>
        <v>0</v>
      </c>
      <c r="U14" t="str">
        <f>Реестр_План_Факт!U14</f>
        <v/>
      </c>
      <c r="V14">
        <f>Реестр_План_Факт!V14</f>
        <v>0</v>
      </c>
      <c r="W14">
        <f>Реестр_План_Факт!W14</f>
        <v>0</v>
      </c>
      <c r="X14" t="str">
        <f>Реестр_План_Факт!X14</f>
        <v/>
      </c>
      <c r="Y14">
        <f>Реестр_План_Факт!Y14</f>
        <v>0</v>
      </c>
      <c r="Z14">
        <f>Реестр_План_Факт!Z14</f>
        <v>0</v>
      </c>
      <c r="AA14" t="str">
        <f>Реестр_План_Факт!AA14</f>
        <v/>
      </c>
      <c r="AB14">
        <f>Реестр_План_Факт!AB14</f>
        <v>0</v>
      </c>
      <c r="AC14">
        <f>Реестр_План_Факт!AC14</f>
        <v>0</v>
      </c>
      <c r="AD14" t="str">
        <f>Реестр_План_Факт!AD14</f>
        <v/>
      </c>
      <c r="AE14">
        <f>Реестр_План_Факт!AE14</f>
        <v>0</v>
      </c>
      <c r="AF14">
        <f>Реестр_План_Факт!AF14</f>
        <v>0</v>
      </c>
      <c r="AG14" t="str">
        <f>Реестр_План_Факт!AG14</f>
        <v/>
      </c>
      <c r="AH14">
        <f>Реестр_План_Факт!AH14</f>
        <v>0</v>
      </c>
      <c r="AI14">
        <f>Реестр_План_Факт!AI14</f>
        <v>0</v>
      </c>
      <c r="AJ14" t="str">
        <f>Реестр_План_Факт!AJ14</f>
        <v/>
      </c>
      <c r="AK14">
        <f>Реестр_План_Факт!AK14</f>
        <v>0</v>
      </c>
      <c r="AL14">
        <f>Реестр_План_Факт!AL14</f>
        <v>0</v>
      </c>
      <c r="AM14" t="str">
        <f>Реестр_План_Факт!AM14</f>
        <v/>
      </c>
      <c r="AN14">
        <f>Реестр_План_Факт!AN14</f>
        <v>0</v>
      </c>
      <c r="AO14">
        <f>Реестр_План_Факт!AO14</f>
        <v>0</v>
      </c>
      <c r="AP14" t="str">
        <f>Реестр_План_Факт!AP14</f>
        <v/>
      </c>
      <c r="AQ14">
        <f>Реестр_План_Факт!AQ14</f>
        <v>0</v>
      </c>
    </row>
    <row r="15" spans="1:43" x14ac:dyDescent="0.2">
      <c r="A15" s="201">
        <f>Реестр_План_Факт!A15</f>
        <v>46036</v>
      </c>
      <c r="B15">
        <f>Реестр_План_Факт!B15</f>
        <v>3</v>
      </c>
      <c r="C15">
        <f>Реестр_План_Факт!C15</f>
        <v>1</v>
      </c>
      <c r="D15">
        <f>Реестр_План_Факт!D15</f>
        <v>0</v>
      </c>
      <c r="E15">
        <f>Реестр_План_Факт!E15</f>
        <v>0</v>
      </c>
      <c r="F15" t="str">
        <f>Реестр_План_Факт!F15</f>
        <v/>
      </c>
      <c r="G15">
        <f>Реестр_План_Факт!G15</f>
        <v>0</v>
      </c>
      <c r="H15">
        <f>Реестр_План_Факт!H15</f>
        <v>0</v>
      </c>
      <c r="I15" t="str">
        <f>Реестр_План_Факт!I15</f>
        <v/>
      </c>
      <c r="J15">
        <f>Реестр_План_Факт!J15</f>
        <v>0</v>
      </c>
      <c r="K15">
        <f>Реестр_План_Факт!K15</f>
        <v>0</v>
      </c>
      <c r="L15" t="str">
        <f>Реестр_План_Факт!L15</f>
        <v/>
      </c>
      <c r="M15">
        <f>Реестр_План_Факт!M15</f>
        <v>0</v>
      </c>
      <c r="N15">
        <f>Реестр_План_Факт!N15</f>
        <v>0</v>
      </c>
      <c r="O15" t="str">
        <f>Реестр_План_Факт!O15</f>
        <v/>
      </c>
      <c r="P15">
        <f>Реестр_План_Факт!P15</f>
        <v>0</v>
      </c>
      <c r="Q15">
        <f>Реестр_План_Факт!Q15</f>
        <v>0</v>
      </c>
      <c r="R15" t="str">
        <f>Реестр_План_Факт!R15</f>
        <v/>
      </c>
      <c r="S15">
        <f>Реестр_План_Факт!S15</f>
        <v>0</v>
      </c>
      <c r="T15">
        <f>Реестр_План_Факт!T15</f>
        <v>0</v>
      </c>
      <c r="U15" t="str">
        <f>Реестр_План_Факт!U15</f>
        <v/>
      </c>
      <c r="V15">
        <f>Реестр_План_Факт!V15</f>
        <v>0</v>
      </c>
      <c r="W15">
        <f>Реестр_План_Факт!W15</f>
        <v>0</v>
      </c>
      <c r="X15" t="str">
        <f>Реестр_План_Факт!X15</f>
        <v/>
      </c>
      <c r="Y15">
        <f>Реестр_План_Факт!Y15</f>
        <v>0</v>
      </c>
      <c r="Z15">
        <f>Реестр_План_Факт!Z15</f>
        <v>0</v>
      </c>
      <c r="AA15" t="str">
        <f>Реестр_План_Факт!AA15</f>
        <v/>
      </c>
      <c r="AB15">
        <f>Реестр_План_Факт!AB15</f>
        <v>0</v>
      </c>
      <c r="AC15">
        <f>Реестр_План_Факт!AC15</f>
        <v>0</v>
      </c>
      <c r="AD15" t="str">
        <f>Реестр_План_Факт!AD15</f>
        <v/>
      </c>
      <c r="AE15">
        <f>Реестр_План_Факт!AE15</f>
        <v>0</v>
      </c>
      <c r="AF15">
        <f>Реестр_План_Факт!AF15</f>
        <v>0</v>
      </c>
      <c r="AG15" t="str">
        <f>Реестр_План_Факт!AG15</f>
        <v/>
      </c>
      <c r="AH15">
        <f>Реестр_План_Факт!AH15</f>
        <v>0</v>
      </c>
      <c r="AI15">
        <f>Реестр_План_Факт!AI15</f>
        <v>0</v>
      </c>
      <c r="AJ15" t="str">
        <f>Реестр_План_Факт!AJ15</f>
        <v/>
      </c>
      <c r="AK15">
        <f>Реестр_План_Факт!AK15</f>
        <v>0</v>
      </c>
      <c r="AL15">
        <f>Реестр_План_Факт!AL15</f>
        <v>0</v>
      </c>
      <c r="AM15" t="str">
        <f>Реестр_План_Факт!AM15</f>
        <v/>
      </c>
      <c r="AN15">
        <f>Реестр_План_Факт!AN15</f>
        <v>0</v>
      </c>
      <c r="AO15">
        <f>Реестр_План_Факт!AO15</f>
        <v>0</v>
      </c>
      <c r="AP15" t="str">
        <f>Реестр_План_Факт!AP15</f>
        <v/>
      </c>
      <c r="AQ15">
        <f>Реестр_План_Факт!AQ15</f>
        <v>0</v>
      </c>
    </row>
    <row r="16" spans="1:43" x14ac:dyDescent="0.2">
      <c r="A16" s="201">
        <f>Реестр_План_Факт!A16</f>
        <v>46037</v>
      </c>
      <c r="B16">
        <f>Реестр_План_Факт!B16</f>
        <v>3</v>
      </c>
      <c r="C16">
        <f>Реестр_План_Факт!C16</f>
        <v>1</v>
      </c>
      <c r="D16">
        <f>Реестр_План_Факт!D16</f>
        <v>0</v>
      </c>
      <c r="E16">
        <f>Реестр_План_Факт!E16</f>
        <v>0</v>
      </c>
      <c r="F16" t="str">
        <f>Реестр_План_Факт!F16</f>
        <v/>
      </c>
      <c r="G16">
        <f>Реестр_План_Факт!G16</f>
        <v>0</v>
      </c>
      <c r="H16">
        <f>Реестр_План_Факт!H16</f>
        <v>0</v>
      </c>
      <c r="I16" t="str">
        <f>Реестр_План_Факт!I16</f>
        <v/>
      </c>
      <c r="J16">
        <f>Реестр_План_Факт!J16</f>
        <v>0</v>
      </c>
      <c r="K16">
        <f>Реестр_План_Факт!K16</f>
        <v>0</v>
      </c>
      <c r="L16" t="str">
        <f>Реестр_План_Факт!L16</f>
        <v/>
      </c>
      <c r="M16">
        <f>Реестр_План_Факт!M16</f>
        <v>0</v>
      </c>
      <c r="N16">
        <f>Реестр_План_Факт!N16</f>
        <v>0</v>
      </c>
      <c r="O16" t="str">
        <f>Реестр_План_Факт!O16</f>
        <v/>
      </c>
      <c r="P16">
        <f>Реестр_План_Факт!P16</f>
        <v>0</v>
      </c>
      <c r="Q16">
        <f>Реестр_План_Факт!Q16</f>
        <v>0</v>
      </c>
      <c r="R16" t="str">
        <f>Реестр_План_Факт!R16</f>
        <v/>
      </c>
      <c r="S16">
        <f>Реестр_План_Факт!S16</f>
        <v>0</v>
      </c>
      <c r="T16">
        <f>Реестр_План_Факт!T16</f>
        <v>0</v>
      </c>
      <c r="U16" t="str">
        <f>Реестр_План_Факт!U16</f>
        <v/>
      </c>
      <c r="V16">
        <f>Реестр_План_Факт!V16</f>
        <v>0</v>
      </c>
      <c r="W16">
        <f>Реестр_План_Факт!W16</f>
        <v>0</v>
      </c>
      <c r="X16" t="str">
        <f>Реестр_План_Факт!X16</f>
        <v/>
      </c>
      <c r="Y16">
        <f>Реестр_План_Факт!Y16</f>
        <v>0</v>
      </c>
      <c r="Z16">
        <f>Реестр_План_Факт!Z16</f>
        <v>0</v>
      </c>
      <c r="AA16" t="str">
        <f>Реестр_План_Факт!AA16</f>
        <v/>
      </c>
      <c r="AB16">
        <f>Реестр_План_Факт!AB16</f>
        <v>0</v>
      </c>
      <c r="AC16">
        <f>Реестр_План_Факт!AC16</f>
        <v>0</v>
      </c>
      <c r="AD16" t="str">
        <f>Реестр_План_Факт!AD16</f>
        <v/>
      </c>
      <c r="AE16">
        <f>Реестр_План_Факт!AE16</f>
        <v>0</v>
      </c>
      <c r="AF16">
        <f>Реестр_План_Факт!AF16</f>
        <v>0</v>
      </c>
      <c r="AG16" t="str">
        <f>Реестр_План_Факт!AG16</f>
        <v/>
      </c>
      <c r="AH16">
        <f>Реестр_План_Факт!AH16</f>
        <v>0</v>
      </c>
      <c r="AI16">
        <f>Реестр_План_Факт!AI16</f>
        <v>0</v>
      </c>
      <c r="AJ16" t="str">
        <f>Реестр_План_Факт!AJ16</f>
        <v/>
      </c>
      <c r="AK16">
        <f>Реестр_План_Факт!AK16</f>
        <v>0</v>
      </c>
      <c r="AL16">
        <f>Реестр_План_Факт!AL16</f>
        <v>0</v>
      </c>
      <c r="AM16" t="str">
        <f>Реестр_План_Факт!AM16</f>
        <v/>
      </c>
      <c r="AN16">
        <f>Реестр_План_Факт!AN16</f>
        <v>0</v>
      </c>
      <c r="AO16">
        <f>Реестр_План_Факт!AO16</f>
        <v>0</v>
      </c>
      <c r="AP16" t="str">
        <f>Реестр_План_Факт!AP16</f>
        <v/>
      </c>
      <c r="AQ16">
        <f>Реестр_План_Факт!AQ16</f>
        <v>0</v>
      </c>
    </row>
    <row r="17" spans="1:43" x14ac:dyDescent="0.2">
      <c r="A17" s="201">
        <f>Реестр_План_Факт!A17</f>
        <v>46038</v>
      </c>
      <c r="B17">
        <f>Реестр_План_Факт!B17</f>
        <v>3</v>
      </c>
      <c r="C17">
        <f>Реестр_План_Факт!C17</f>
        <v>1</v>
      </c>
      <c r="D17">
        <f>Реестр_План_Факт!D17</f>
        <v>0</v>
      </c>
      <c r="E17">
        <f>Реестр_План_Факт!E17</f>
        <v>0</v>
      </c>
      <c r="F17" t="str">
        <f>Реестр_План_Факт!F17</f>
        <v/>
      </c>
      <c r="G17">
        <f>Реестр_План_Факт!G17</f>
        <v>0</v>
      </c>
      <c r="H17">
        <f>Реестр_План_Факт!H17</f>
        <v>0</v>
      </c>
      <c r="I17" t="str">
        <f>Реестр_План_Факт!I17</f>
        <v/>
      </c>
      <c r="J17">
        <f>Реестр_План_Факт!J17</f>
        <v>0</v>
      </c>
      <c r="K17">
        <f>Реестр_План_Факт!K17</f>
        <v>0</v>
      </c>
      <c r="L17" t="str">
        <f>Реестр_План_Факт!L17</f>
        <v/>
      </c>
      <c r="M17">
        <f>Реестр_План_Факт!M17</f>
        <v>0</v>
      </c>
      <c r="N17">
        <f>Реестр_План_Факт!N17</f>
        <v>0</v>
      </c>
      <c r="O17" t="str">
        <f>Реестр_План_Факт!O17</f>
        <v/>
      </c>
      <c r="P17">
        <f>Реестр_План_Факт!P17</f>
        <v>0</v>
      </c>
      <c r="Q17">
        <f>Реестр_План_Факт!Q17</f>
        <v>0</v>
      </c>
      <c r="R17" t="str">
        <f>Реестр_План_Факт!R17</f>
        <v/>
      </c>
      <c r="S17">
        <f>Реестр_План_Факт!S17</f>
        <v>0</v>
      </c>
      <c r="T17">
        <f>Реестр_План_Факт!T17</f>
        <v>0</v>
      </c>
      <c r="U17" t="str">
        <f>Реестр_План_Факт!U17</f>
        <v/>
      </c>
      <c r="V17">
        <f>Реестр_План_Факт!V17</f>
        <v>0</v>
      </c>
      <c r="W17">
        <f>Реестр_План_Факт!W17</f>
        <v>0</v>
      </c>
      <c r="X17" t="str">
        <f>Реестр_План_Факт!X17</f>
        <v/>
      </c>
      <c r="Y17">
        <f>Реестр_План_Факт!Y17</f>
        <v>0</v>
      </c>
      <c r="Z17">
        <f>Реестр_План_Факт!Z17</f>
        <v>0</v>
      </c>
      <c r="AA17" t="str">
        <f>Реестр_План_Факт!AA17</f>
        <v/>
      </c>
      <c r="AB17">
        <f>Реестр_План_Факт!AB17</f>
        <v>0</v>
      </c>
      <c r="AC17">
        <f>Реестр_План_Факт!AC17</f>
        <v>0</v>
      </c>
      <c r="AD17" t="str">
        <f>Реестр_План_Факт!AD17</f>
        <v/>
      </c>
      <c r="AE17">
        <f>Реестр_План_Факт!AE17</f>
        <v>0</v>
      </c>
      <c r="AF17">
        <f>Реестр_План_Факт!AF17</f>
        <v>0</v>
      </c>
      <c r="AG17" t="str">
        <f>Реестр_План_Факт!AG17</f>
        <v/>
      </c>
      <c r="AH17">
        <f>Реестр_План_Факт!AH17</f>
        <v>0</v>
      </c>
      <c r="AI17">
        <f>Реестр_План_Факт!AI17</f>
        <v>0</v>
      </c>
      <c r="AJ17" t="str">
        <f>Реестр_План_Факт!AJ17</f>
        <v/>
      </c>
      <c r="AK17">
        <f>Реестр_План_Факт!AK17</f>
        <v>0</v>
      </c>
      <c r="AL17">
        <f>Реестр_План_Факт!AL17</f>
        <v>0</v>
      </c>
      <c r="AM17" t="str">
        <f>Реестр_План_Факт!AM17</f>
        <v/>
      </c>
      <c r="AN17">
        <f>Реестр_План_Факт!AN17</f>
        <v>0</v>
      </c>
      <c r="AO17">
        <f>Реестр_План_Факт!AO17</f>
        <v>0</v>
      </c>
      <c r="AP17" t="str">
        <f>Реестр_План_Факт!AP17</f>
        <v/>
      </c>
      <c r="AQ17">
        <f>Реестр_План_Факт!AQ17</f>
        <v>0</v>
      </c>
    </row>
    <row r="18" spans="1:43" x14ac:dyDescent="0.2">
      <c r="A18" s="201">
        <f>Реестр_План_Факт!A18</f>
        <v>46039</v>
      </c>
      <c r="B18">
        <f>Реестр_План_Факт!B18</f>
        <v>3</v>
      </c>
      <c r="C18">
        <f>Реестр_План_Факт!C18</f>
        <v>1</v>
      </c>
      <c r="D18">
        <f>Реестр_План_Факт!D18</f>
        <v>0</v>
      </c>
      <c r="E18">
        <f>Реестр_План_Факт!E18</f>
        <v>0</v>
      </c>
      <c r="F18" t="str">
        <f>Реестр_План_Факт!F18</f>
        <v/>
      </c>
      <c r="G18">
        <f>Реестр_План_Факт!G18</f>
        <v>0</v>
      </c>
      <c r="H18">
        <f>Реестр_План_Факт!H18</f>
        <v>0</v>
      </c>
      <c r="I18" t="str">
        <f>Реестр_План_Факт!I18</f>
        <v/>
      </c>
      <c r="J18">
        <f>Реестр_План_Факт!J18</f>
        <v>0</v>
      </c>
      <c r="K18">
        <f>Реестр_План_Факт!K18</f>
        <v>0</v>
      </c>
      <c r="L18" t="str">
        <f>Реестр_План_Факт!L18</f>
        <v/>
      </c>
      <c r="M18">
        <f>Реестр_План_Факт!M18</f>
        <v>0</v>
      </c>
      <c r="N18">
        <f>Реестр_План_Факт!N18</f>
        <v>0</v>
      </c>
      <c r="O18" t="str">
        <f>Реестр_План_Факт!O18</f>
        <v/>
      </c>
      <c r="P18">
        <f>Реестр_План_Факт!P18</f>
        <v>0</v>
      </c>
      <c r="Q18">
        <f>Реестр_План_Факт!Q18</f>
        <v>0</v>
      </c>
      <c r="R18" t="str">
        <f>Реестр_План_Факт!R18</f>
        <v/>
      </c>
      <c r="S18">
        <f>Реестр_План_Факт!S18</f>
        <v>0</v>
      </c>
      <c r="T18">
        <f>Реестр_План_Факт!T18</f>
        <v>0</v>
      </c>
      <c r="U18" t="str">
        <f>Реестр_План_Факт!U18</f>
        <v/>
      </c>
      <c r="V18">
        <f>Реестр_План_Факт!V18</f>
        <v>0</v>
      </c>
      <c r="W18">
        <f>Реестр_План_Факт!W18</f>
        <v>0</v>
      </c>
      <c r="X18" t="str">
        <f>Реестр_План_Факт!X18</f>
        <v/>
      </c>
      <c r="Y18">
        <f>Реестр_План_Факт!Y18</f>
        <v>0</v>
      </c>
      <c r="Z18">
        <f>Реестр_План_Факт!Z18</f>
        <v>0</v>
      </c>
      <c r="AA18" t="str">
        <f>Реестр_План_Факт!AA18</f>
        <v/>
      </c>
      <c r="AB18">
        <f>Реестр_План_Факт!AB18</f>
        <v>0</v>
      </c>
      <c r="AC18">
        <f>Реестр_План_Факт!AC18</f>
        <v>0</v>
      </c>
      <c r="AD18" t="str">
        <f>Реестр_План_Факт!AD18</f>
        <v/>
      </c>
      <c r="AE18">
        <f>Реестр_План_Факт!AE18</f>
        <v>0</v>
      </c>
      <c r="AF18">
        <f>Реестр_План_Факт!AF18</f>
        <v>0</v>
      </c>
      <c r="AG18" t="str">
        <f>Реестр_План_Факт!AG18</f>
        <v/>
      </c>
      <c r="AH18">
        <f>Реестр_План_Факт!AH18</f>
        <v>0</v>
      </c>
      <c r="AI18">
        <f>Реестр_План_Факт!AI18</f>
        <v>0</v>
      </c>
      <c r="AJ18" t="str">
        <f>Реестр_План_Факт!AJ18</f>
        <v/>
      </c>
      <c r="AK18">
        <f>Реестр_План_Факт!AK18</f>
        <v>0</v>
      </c>
      <c r="AL18">
        <f>Реестр_План_Факт!AL18</f>
        <v>0</v>
      </c>
      <c r="AM18" t="str">
        <f>Реестр_План_Факт!AM18</f>
        <v/>
      </c>
      <c r="AN18">
        <f>Реестр_План_Факт!AN18</f>
        <v>0</v>
      </c>
      <c r="AO18">
        <f>Реестр_План_Факт!AO18</f>
        <v>0</v>
      </c>
      <c r="AP18" t="str">
        <f>Реестр_План_Факт!AP18</f>
        <v/>
      </c>
      <c r="AQ18">
        <f>Реестр_План_Факт!AQ18</f>
        <v>0</v>
      </c>
    </row>
    <row r="19" spans="1:43" x14ac:dyDescent="0.2">
      <c r="A19" s="201">
        <f>Реестр_План_Факт!A19</f>
        <v>46040</v>
      </c>
      <c r="B19">
        <f>Реестр_План_Факт!B19</f>
        <v>3</v>
      </c>
      <c r="C19">
        <f>Реестр_План_Факт!C19</f>
        <v>1</v>
      </c>
      <c r="D19">
        <f>Реестр_План_Факт!D19</f>
        <v>0</v>
      </c>
      <c r="E19">
        <f>Реестр_План_Факт!E19</f>
        <v>0</v>
      </c>
      <c r="F19" t="str">
        <f>Реестр_План_Факт!F19</f>
        <v/>
      </c>
      <c r="G19">
        <f>Реестр_План_Факт!G19</f>
        <v>0</v>
      </c>
      <c r="H19">
        <f>Реестр_План_Факт!H19</f>
        <v>0</v>
      </c>
      <c r="I19" t="str">
        <f>Реестр_План_Факт!I19</f>
        <v/>
      </c>
      <c r="J19">
        <f>Реестр_План_Факт!J19</f>
        <v>0</v>
      </c>
      <c r="K19">
        <f>Реестр_План_Факт!K19</f>
        <v>0</v>
      </c>
      <c r="L19" t="str">
        <f>Реестр_План_Факт!L19</f>
        <v/>
      </c>
      <c r="M19">
        <f>Реестр_План_Факт!M19</f>
        <v>0</v>
      </c>
      <c r="N19">
        <f>Реестр_План_Факт!N19</f>
        <v>0</v>
      </c>
      <c r="O19" t="str">
        <f>Реестр_План_Факт!O19</f>
        <v/>
      </c>
      <c r="P19">
        <f>Реестр_План_Факт!P19</f>
        <v>0</v>
      </c>
      <c r="Q19">
        <f>Реестр_План_Факт!Q19</f>
        <v>0</v>
      </c>
      <c r="R19" t="str">
        <f>Реестр_План_Факт!R19</f>
        <v/>
      </c>
      <c r="S19">
        <f>Реестр_План_Факт!S19</f>
        <v>0</v>
      </c>
      <c r="T19">
        <f>Реестр_План_Факт!T19</f>
        <v>0</v>
      </c>
      <c r="U19" t="str">
        <f>Реестр_План_Факт!U19</f>
        <v/>
      </c>
      <c r="V19">
        <f>Реестр_План_Факт!V19</f>
        <v>0</v>
      </c>
      <c r="W19">
        <f>Реестр_План_Факт!W19</f>
        <v>0</v>
      </c>
      <c r="X19" t="str">
        <f>Реестр_План_Факт!X19</f>
        <v/>
      </c>
      <c r="Y19">
        <f>Реестр_План_Факт!Y19</f>
        <v>0</v>
      </c>
      <c r="Z19">
        <f>Реестр_План_Факт!Z19</f>
        <v>0</v>
      </c>
      <c r="AA19" t="str">
        <f>Реестр_План_Факт!AA19</f>
        <v/>
      </c>
      <c r="AB19">
        <f>Реестр_План_Факт!AB19</f>
        <v>0</v>
      </c>
      <c r="AC19">
        <f>Реестр_План_Факт!AC19</f>
        <v>0</v>
      </c>
      <c r="AD19" t="str">
        <f>Реестр_План_Факт!AD19</f>
        <v/>
      </c>
      <c r="AE19">
        <f>Реестр_План_Факт!AE19</f>
        <v>0</v>
      </c>
      <c r="AF19">
        <f>Реестр_План_Факт!AF19</f>
        <v>0</v>
      </c>
      <c r="AG19" t="str">
        <f>Реестр_План_Факт!AG19</f>
        <v/>
      </c>
      <c r="AH19">
        <f>Реестр_План_Факт!AH19</f>
        <v>0</v>
      </c>
      <c r="AI19">
        <f>Реестр_План_Факт!AI19</f>
        <v>0</v>
      </c>
      <c r="AJ19" t="str">
        <f>Реестр_План_Факт!AJ19</f>
        <v/>
      </c>
      <c r="AK19">
        <f>Реестр_План_Факт!AK19</f>
        <v>0</v>
      </c>
      <c r="AL19">
        <f>Реестр_План_Факт!AL19</f>
        <v>0</v>
      </c>
      <c r="AM19" t="str">
        <f>Реестр_План_Факт!AM19</f>
        <v/>
      </c>
      <c r="AN19">
        <f>Реестр_План_Факт!AN19</f>
        <v>0</v>
      </c>
      <c r="AO19">
        <f>Реестр_План_Факт!AO19</f>
        <v>0</v>
      </c>
      <c r="AP19" t="str">
        <f>Реестр_План_Факт!AP19</f>
        <v/>
      </c>
      <c r="AQ19">
        <f>Реестр_План_Факт!AQ19</f>
        <v>0</v>
      </c>
    </row>
    <row r="20" spans="1:43" x14ac:dyDescent="0.2">
      <c r="A20" s="201">
        <f>Реестр_План_Факт!A20</f>
        <v>46041</v>
      </c>
      <c r="B20">
        <f>Реестр_План_Факт!B20</f>
        <v>4</v>
      </c>
      <c r="C20">
        <f>Реестр_План_Факт!C20</f>
        <v>1</v>
      </c>
      <c r="D20">
        <f>Реестр_План_Факт!D20</f>
        <v>0</v>
      </c>
      <c r="E20">
        <f>Реестр_План_Факт!E20</f>
        <v>0</v>
      </c>
      <c r="F20" t="str">
        <f>Реестр_План_Факт!F20</f>
        <v/>
      </c>
      <c r="G20">
        <f>Реестр_План_Факт!G20</f>
        <v>0</v>
      </c>
      <c r="H20">
        <f>Реестр_План_Факт!H20</f>
        <v>0</v>
      </c>
      <c r="I20" t="str">
        <f>Реестр_План_Факт!I20</f>
        <v/>
      </c>
      <c r="J20">
        <f>Реестр_План_Факт!J20</f>
        <v>0</v>
      </c>
      <c r="K20">
        <f>Реестр_План_Факт!K20</f>
        <v>0</v>
      </c>
      <c r="L20" t="str">
        <f>Реестр_План_Факт!L20</f>
        <v/>
      </c>
      <c r="M20">
        <f>Реестр_План_Факт!M20</f>
        <v>0</v>
      </c>
      <c r="N20">
        <f>Реестр_План_Факт!N20</f>
        <v>0</v>
      </c>
      <c r="O20" t="str">
        <f>Реестр_План_Факт!O20</f>
        <v/>
      </c>
      <c r="P20">
        <f>Реестр_План_Факт!P20</f>
        <v>0</v>
      </c>
      <c r="Q20">
        <f>Реестр_План_Факт!Q20</f>
        <v>0</v>
      </c>
      <c r="R20" t="str">
        <f>Реестр_План_Факт!R20</f>
        <v/>
      </c>
      <c r="S20">
        <f>Реестр_План_Факт!S20</f>
        <v>0</v>
      </c>
      <c r="T20">
        <f>Реестр_План_Факт!T20</f>
        <v>0</v>
      </c>
      <c r="U20" t="str">
        <f>Реестр_План_Факт!U20</f>
        <v/>
      </c>
      <c r="V20">
        <f>Реестр_План_Факт!V20</f>
        <v>0</v>
      </c>
      <c r="W20">
        <f>Реестр_План_Факт!W20</f>
        <v>0</v>
      </c>
      <c r="X20" t="str">
        <f>Реестр_План_Факт!X20</f>
        <v/>
      </c>
      <c r="Y20">
        <f>Реестр_План_Факт!Y20</f>
        <v>0</v>
      </c>
      <c r="Z20">
        <f>Реестр_План_Факт!Z20</f>
        <v>0</v>
      </c>
      <c r="AA20" t="str">
        <f>Реестр_План_Факт!AA20</f>
        <v/>
      </c>
      <c r="AB20">
        <f>Реестр_План_Факт!AB20</f>
        <v>0</v>
      </c>
      <c r="AC20">
        <f>Реестр_План_Факт!AC20</f>
        <v>0</v>
      </c>
      <c r="AD20" t="str">
        <f>Реестр_План_Факт!AD20</f>
        <v/>
      </c>
      <c r="AE20">
        <f>Реестр_План_Факт!AE20</f>
        <v>0</v>
      </c>
      <c r="AF20">
        <f>Реестр_План_Факт!AF20</f>
        <v>0</v>
      </c>
      <c r="AG20" t="str">
        <f>Реестр_План_Факт!AG20</f>
        <v/>
      </c>
      <c r="AH20">
        <f>Реестр_План_Факт!AH20</f>
        <v>0</v>
      </c>
      <c r="AI20">
        <f>Реестр_План_Факт!AI20</f>
        <v>0</v>
      </c>
      <c r="AJ20" t="str">
        <f>Реестр_План_Факт!AJ20</f>
        <v/>
      </c>
      <c r="AK20">
        <f>Реестр_План_Факт!AK20</f>
        <v>0</v>
      </c>
      <c r="AL20">
        <f>Реестр_План_Факт!AL20</f>
        <v>0</v>
      </c>
      <c r="AM20" t="str">
        <f>Реестр_План_Факт!AM20</f>
        <v/>
      </c>
      <c r="AN20">
        <f>Реестр_План_Факт!AN20</f>
        <v>0</v>
      </c>
      <c r="AO20">
        <f>Реестр_План_Факт!AO20</f>
        <v>0</v>
      </c>
      <c r="AP20" t="str">
        <f>Реестр_План_Факт!AP20</f>
        <v/>
      </c>
      <c r="AQ20">
        <f>Реестр_План_Факт!AQ20</f>
        <v>0</v>
      </c>
    </row>
    <row r="21" spans="1:43" x14ac:dyDescent="0.2">
      <c r="A21" s="201">
        <f>Реестр_План_Факт!A21</f>
        <v>46042</v>
      </c>
      <c r="B21">
        <f>Реестр_План_Факт!B21</f>
        <v>4</v>
      </c>
      <c r="C21">
        <f>Реестр_План_Факт!C21</f>
        <v>1</v>
      </c>
      <c r="D21">
        <f>Реестр_План_Факт!D21</f>
        <v>0</v>
      </c>
      <c r="E21">
        <f>Реестр_План_Факт!E21</f>
        <v>0</v>
      </c>
      <c r="F21" t="str">
        <f>Реестр_План_Факт!F21</f>
        <v/>
      </c>
      <c r="G21">
        <f>Реестр_План_Факт!G21</f>
        <v>0</v>
      </c>
      <c r="H21">
        <f>Реестр_План_Факт!H21</f>
        <v>0</v>
      </c>
      <c r="I21" t="str">
        <f>Реестр_План_Факт!I21</f>
        <v/>
      </c>
      <c r="J21">
        <f>Реестр_План_Факт!J21</f>
        <v>0</v>
      </c>
      <c r="K21">
        <f>Реестр_План_Факт!K21</f>
        <v>0</v>
      </c>
      <c r="L21" t="str">
        <f>Реестр_План_Факт!L21</f>
        <v/>
      </c>
      <c r="M21">
        <f>Реестр_План_Факт!M21</f>
        <v>0</v>
      </c>
      <c r="N21">
        <f>Реестр_План_Факт!N21</f>
        <v>0</v>
      </c>
      <c r="O21" t="str">
        <f>Реестр_План_Факт!O21</f>
        <v/>
      </c>
      <c r="P21">
        <f>Реестр_План_Факт!P21</f>
        <v>0</v>
      </c>
      <c r="Q21">
        <f>Реестр_План_Факт!Q21</f>
        <v>0</v>
      </c>
      <c r="R21" t="str">
        <f>Реестр_План_Факт!R21</f>
        <v/>
      </c>
      <c r="S21">
        <f>Реестр_План_Факт!S21</f>
        <v>0</v>
      </c>
      <c r="T21">
        <f>Реестр_План_Факт!T21</f>
        <v>0</v>
      </c>
      <c r="U21" t="str">
        <f>Реестр_План_Факт!U21</f>
        <v/>
      </c>
      <c r="V21">
        <f>Реестр_План_Факт!V21</f>
        <v>0</v>
      </c>
      <c r="W21">
        <f>Реестр_План_Факт!W21</f>
        <v>0</v>
      </c>
      <c r="X21" t="str">
        <f>Реестр_План_Факт!X21</f>
        <v/>
      </c>
      <c r="Y21">
        <f>Реестр_План_Факт!Y21</f>
        <v>0</v>
      </c>
      <c r="Z21">
        <f>Реестр_План_Факт!Z21</f>
        <v>0</v>
      </c>
      <c r="AA21" t="str">
        <f>Реестр_План_Факт!AA21</f>
        <v/>
      </c>
      <c r="AB21">
        <f>Реестр_План_Факт!AB21</f>
        <v>0</v>
      </c>
      <c r="AC21">
        <f>Реестр_План_Факт!AC21</f>
        <v>0</v>
      </c>
      <c r="AD21" t="str">
        <f>Реестр_План_Факт!AD21</f>
        <v/>
      </c>
      <c r="AE21">
        <f>Реестр_План_Факт!AE21</f>
        <v>0</v>
      </c>
      <c r="AF21">
        <f>Реестр_План_Факт!AF21</f>
        <v>0</v>
      </c>
      <c r="AG21" t="str">
        <f>Реестр_План_Факт!AG21</f>
        <v/>
      </c>
      <c r="AH21">
        <f>Реестр_План_Факт!AH21</f>
        <v>0</v>
      </c>
      <c r="AI21">
        <f>Реестр_План_Факт!AI21</f>
        <v>0</v>
      </c>
      <c r="AJ21" t="str">
        <f>Реестр_План_Факт!AJ21</f>
        <v/>
      </c>
      <c r="AK21">
        <f>Реестр_План_Факт!AK21</f>
        <v>0</v>
      </c>
      <c r="AL21">
        <f>Реестр_План_Факт!AL21</f>
        <v>0</v>
      </c>
      <c r="AM21" t="str">
        <f>Реестр_План_Факт!AM21</f>
        <v/>
      </c>
      <c r="AN21">
        <f>Реестр_План_Факт!AN21</f>
        <v>0</v>
      </c>
      <c r="AO21">
        <f>Реестр_План_Факт!AO21</f>
        <v>0</v>
      </c>
      <c r="AP21" t="str">
        <f>Реестр_План_Факт!AP21</f>
        <v/>
      </c>
      <c r="AQ21">
        <f>Реестр_План_Факт!AQ21</f>
        <v>0</v>
      </c>
    </row>
    <row r="22" spans="1:43" x14ac:dyDescent="0.2">
      <c r="A22" s="201">
        <f>Реестр_План_Факт!A22</f>
        <v>46043</v>
      </c>
      <c r="B22">
        <f>Реестр_План_Факт!B22</f>
        <v>4</v>
      </c>
      <c r="C22">
        <f>Реестр_План_Факт!C22</f>
        <v>1</v>
      </c>
      <c r="D22">
        <f>Реестр_План_Факт!D22</f>
        <v>0</v>
      </c>
      <c r="E22">
        <f>Реестр_План_Факт!E22</f>
        <v>0</v>
      </c>
      <c r="F22" t="str">
        <f>Реестр_План_Факт!F22</f>
        <v/>
      </c>
      <c r="G22">
        <f>Реестр_План_Факт!G22</f>
        <v>0</v>
      </c>
      <c r="H22">
        <f>Реестр_План_Факт!H22</f>
        <v>0</v>
      </c>
      <c r="I22" t="str">
        <f>Реестр_План_Факт!I22</f>
        <v/>
      </c>
      <c r="J22">
        <f>Реестр_План_Факт!J22</f>
        <v>0</v>
      </c>
      <c r="K22">
        <f>Реестр_План_Факт!K22</f>
        <v>0</v>
      </c>
      <c r="L22" t="str">
        <f>Реестр_План_Факт!L22</f>
        <v/>
      </c>
      <c r="M22">
        <f>Реестр_План_Факт!M22</f>
        <v>0</v>
      </c>
      <c r="N22">
        <f>Реестр_План_Факт!N22</f>
        <v>0</v>
      </c>
      <c r="O22" t="str">
        <f>Реестр_План_Факт!O22</f>
        <v/>
      </c>
      <c r="P22">
        <f>Реестр_План_Факт!P22</f>
        <v>0</v>
      </c>
      <c r="Q22">
        <f>Реестр_План_Факт!Q22</f>
        <v>0</v>
      </c>
      <c r="R22" t="str">
        <f>Реестр_План_Факт!R22</f>
        <v/>
      </c>
      <c r="S22">
        <f>Реестр_План_Факт!S22</f>
        <v>0</v>
      </c>
      <c r="T22">
        <f>Реестр_План_Факт!T22</f>
        <v>0</v>
      </c>
      <c r="U22" t="str">
        <f>Реестр_План_Факт!U22</f>
        <v/>
      </c>
      <c r="V22">
        <f>Реестр_План_Факт!V22</f>
        <v>0</v>
      </c>
      <c r="W22">
        <f>Реестр_План_Факт!W22</f>
        <v>0</v>
      </c>
      <c r="X22" t="str">
        <f>Реестр_План_Факт!X22</f>
        <v/>
      </c>
      <c r="Y22">
        <f>Реестр_План_Факт!Y22</f>
        <v>0</v>
      </c>
      <c r="Z22">
        <f>Реестр_План_Факт!Z22</f>
        <v>0</v>
      </c>
      <c r="AA22" t="str">
        <f>Реестр_План_Факт!AA22</f>
        <v/>
      </c>
      <c r="AB22">
        <f>Реестр_План_Факт!AB22</f>
        <v>0</v>
      </c>
      <c r="AC22">
        <f>Реестр_План_Факт!AC22</f>
        <v>0</v>
      </c>
      <c r="AD22" t="str">
        <f>Реестр_План_Факт!AD22</f>
        <v/>
      </c>
      <c r="AE22">
        <f>Реестр_План_Факт!AE22</f>
        <v>0</v>
      </c>
      <c r="AF22">
        <f>Реестр_План_Факт!AF22</f>
        <v>0</v>
      </c>
      <c r="AG22" t="str">
        <f>Реестр_План_Факт!AG22</f>
        <v/>
      </c>
      <c r="AH22">
        <f>Реестр_План_Факт!AH22</f>
        <v>0</v>
      </c>
      <c r="AI22">
        <f>Реестр_План_Факт!AI22</f>
        <v>0</v>
      </c>
      <c r="AJ22" t="str">
        <f>Реестр_План_Факт!AJ22</f>
        <v/>
      </c>
      <c r="AK22">
        <f>Реестр_План_Факт!AK22</f>
        <v>0</v>
      </c>
      <c r="AL22">
        <f>Реестр_План_Факт!AL22</f>
        <v>0</v>
      </c>
      <c r="AM22" t="str">
        <f>Реестр_План_Факт!AM22</f>
        <v/>
      </c>
      <c r="AN22">
        <f>Реестр_План_Факт!AN22</f>
        <v>0</v>
      </c>
      <c r="AO22">
        <f>Реестр_План_Факт!AO22</f>
        <v>0</v>
      </c>
      <c r="AP22" t="str">
        <f>Реестр_План_Факт!AP22</f>
        <v/>
      </c>
      <c r="AQ22">
        <f>Реестр_План_Факт!AQ22</f>
        <v>0</v>
      </c>
    </row>
    <row r="23" spans="1:43" x14ac:dyDescent="0.2">
      <c r="A23" s="201">
        <f>Реестр_План_Факт!A23</f>
        <v>46044</v>
      </c>
      <c r="B23">
        <f>Реестр_План_Факт!B23</f>
        <v>4</v>
      </c>
      <c r="C23">
        <f>Реестр_План_Факт!C23</f>
        <v>1</v>
      </c>
      <c r="D23">
        <f>Реестр_План_Факт!D23</f>
        <v>0</v>
      </c>
      <c r="E23">
        <f>Реестр_План_Факт!E23</f>
        <v>0</v>
      </c>
      <c r="F23" t="str">
        <f>Реестр_План_Факт!F23</f>
        <v/>
      </c>
      <c r="G23">
        <f>Реестр_План_Факт!G23</f>
        <v>0</v>
      </c>
      <c r="H23">
        <f>Реестр_План_Факт!H23</f>
        <v>0</v>
      </c>
      <c r="I23" t="str">
        <f>Реестр_План_Факт!I23</f>
        <v/>
      </c>
      <c r="J23">
        <f>Реестр_План_Факт!J23</f>
        <v>0</v>
      </c>
      <c r="K23">
        <f>Реестр_План_Факт!K23</f>
        <v>0</v>
      </c>
      <c r="L23" t="str">
        <f>Реестр_План_Факт!L23</f>
        <v/>
      </c>
      <c r="M23">
        <f>Реестр_План_Факт!M23</f>
        <v>0</v>
      </c>
      <c r="N23">
        <f>Реестр_План_Факт!N23</f>
        <v>0</v>
      </c>
      <c r="O23" t="str">
        <f>Реестр_План_Факт!O23</f>
        <v/>
      </c>
      <c r="P23">
        <f>Реестр_План_Факт!P23</f>
        <v>0</v>
      </c>
      <c r="Q23">
        <f>Реестр_План_Факт!Q23</f>
        <v>0</v>
      </c>
      <c r="R23" t="str">
        <f>Реестр_План_Факт!R23</f>
        <v/>
      </c>
      <c r="S23">
        <f>Реестр_План_Факт!S23</f>
        <v>0</v>
      </c>
      <c r="T23">
        <f>Реестр_План_Факт!T23</f>
        <v>0</v>
      </c>
      <c r="U23" t="str">
        <f>Реестр_План_Факт!U23</f>
        <v/>
      </c>
      <c r="V23">
        <f>Реестр_План_Факт!V23</f>
        <v>0</v>
      </c>
      <c r="W23">
        <f>Реестр_План_Факт!W23</f>
        <v>0</v>
      </c>
      <c r="X23" t="str">
        <f>Реестр_План_Факт!X23</f>
        <v/>
      </c>
      <c r="Y23">
        <f>Реестр_План_Факт!Y23</f>
        <v>0</v>
      </c>
      <c r="Z23">
        <f>Реестр_План_Факт!Z23</f>
        <v>0</v>
      </c>
      <c r="AA23" t="str">
        <f>Реестр_План_Факт!AA23</f>
        <v/>
      </c>
      <c r="AB23">
        <f>Реестр_План_Факт!AB23</f>
        <v>0</v>
      </c>
      <c r="AC23">
        <f>Реестр_План_Факт!AC23</f>
        <v>0</v>
      </c>
      <c r="AD23" t="str">
        <f>Реестр_План_Факт!AD23</f>
        <v/>
      </c>
      <c r="AE23">
        <f>Реестр_План_Факт!AE23</f>
        <v>0</v>
      </c>
      <c r="AF23">
        <f>Реестр_План_Факт!AF23</f>
        <v>0</v>
      </c>
      <c r="AG23" t="str">
        <f>Реестр_План_Факт!AG23</f>
        <v/>
      </c>
      <c r="AH23">
        <f>Реестр_План_Факт!AH23</f>
        <v>0</v>
      </c>
      <c r="AI23">
        <f>Реестр_План_Факт!AI23</f>
        <v>0</v>
      </c>
      <c r="AJ23" t="str">
        <f>Реестр_План_Факт!AJ23</f>
        <v/>
      </c>
      <c r="AK23">
        <f>Реестр_План_Факт!AK23</f>
        <v>0</v>
      </c>
      <c r="AL23">
        <f>Реестр_План_Факт!AL23</f>
        <v>0</v>
      </c>
      <c r="AM23" t="str">
        <f>Реестр_План_Факт!AM23</f>
        <v/>
      </c>
      <c r="AN23">
        <f>Реестр_План_Факт!AN23</f>
        <v>0</v>
      </c>
      <c r="AO23">
        <f>Реестр_План_Факт!AO23</f>
        <v>0</v>
      </c>
      <c r="AP23" t="str">
        <f>Реестр_План_Факт!AP23</f>
        <v/>
      </c>
      <c r="AQ23">
        <f>Реестр_План_Факт!AQ23</f>
        <v>0</v>
      </c>
    </row>
    <row r="24" spans="1:43" x14ac:dyDescent="0.2">
      <c r="A24" s="201">
        <f>Реестр_План_Факт!A24</f>
        <v>46045</v>
      </c>
      <c r="B24">
        <f>Реестр_План_Факт!B24</f>
        <v>4</v>
      </c>
      <c r="C24">
        <f>Реестр_План_Факт!C24</f>
        <v>1</v>
      </c>
      <c r="D24">
        <f>Реестр_План_Факт!D24</f>
        <v>0</v>
      </c>
      <c r="E24">
        <f>Реестр_План_Факт!E24</f>
        <v>0</v>
      </c>
      <c r="F24" t="str">
        <f>Реестр_План_Факт!F24</f>
        <v/>
      </c>
      <c r="G24">
        <f>Реестр_План_Факт!G24</f>
        <v>0</v>
      </c>
      <c r="H24">
        <f>Реестр_План_Факт!H24</f>
        <v>0</v>
      </c>
      <c r="I24" t="str">
        <f>Реестр_План_Факт!I24</f>
        <v/>
      </c>
      <c r="J24">
        <f>Реестр_План_Факт!J24</f>
        <v>0</v>
      </c>
      <c r="K24">
        <f>Реестр_План_Факт!K24</f>
        <v>0</v>
      </c>
      <c r="L24" t="str">
        <f>Реестр_План_Факт!L24</f>
        <v/>
      </c>
      <c r="M24">
        <f>Реестр_План_Факт!M24</f>
        <v>0</v>
      </c>
      <c r="N24">
        <f>Реестр_План_Факт!N24</f>
        <v>0</v>
      </c>
      <c r="O24" t="str">
        <f>Реестр_План_Факт!O24</f>
        <v/>
      </c>
      <c r="P24">
        <f>Реестр_План_Факт!P24</f>
        <v>0</v>
      </c>
      <c r="Q24">
        <f>Реестр_План_Факт!Q24</f>
        <v>0</v>
      </c>
      <c r="R24" t="str">
        <f>Реестр_План_Факт!R24</f>
        <v/>
      </c>
      <c r="S24">
        <f>Реестр_План_Факт!S24</f>
        <v>0</v>
      </c>
      <c r="T24">
        <f>Реестр_План_Факт!T24</f>
        <v>0</v>
      </c>
      <c r="U24" t="str">
        <f>Реестр_План_Факт!U24</f>
        <v/>
      </c>
      <c r="V24">
        <f>Реестр_План_Факт!V24</f>
        <v>0</v>
      </c>
      <c r="W24">
        <f>Реестр_План_Факт!W24</f>
        <v>0</v>
      </c>
      <c r="X24" t="str">
        <f>Реестр_План_Факт!X24</f>
        <v/>
      </c>
      <c r="Y24">
        <f>Реестр_План_Факт!Y24</f>
        <v>0</v>
      </c>
      <c r="Z24">
        <f>Реестр_План_Факт!Z24</f>
        <v>0</v>
      </c>
      <c r="AA24" t="str">
        <f>Реестр_План_Факт!AA24</f>
        <v/>
      </c>
      <c r="AB24">
        <f>Реестр_План_Факт!AB24</f>
        <v>0</v>
      </c>
      <c r="AC24">
        <f>Реестр_План_Факт!AC24</f>
        <v>0</v>
      </c>
      <c r="AD24" t="str">
        <f>Реестр_План_Факт!AD24</f>
        <v/>
      </c>
      <c r="AE24">
        <f>Реестр_План_Факт!AE24</f>
        <v>0</v>
      </c>
      <c r="AF24">
        <f>Реестр_План_Факт!AF24</f>
        <v>0</v>
      </c>
      <c r="AG24" t="str">
        <f>Реестр_План_Факт!AG24</f>
        <v/>
      </c>
      <c r="AH24">
        <f>Реестр_План_Факт!AH24</f>
        <v>0</v>
      </c>
      <c r="AI24">
        <f>Реестр_План_Факт!AI24</f>
        <v>0</v>
      </c>
      <c r="AJ24" t="str">
        <f>Реестр_План_Факт!AJ24</f>
        <v/>
      </c>
      <c r="AK24">
        <f>Реестр_План_Факт!AK24</f>
        <v>0</v>
      </c>
      <c r="AL24">
        <f>Реестр_План_Факт!AL24</f>
        <v>0</v>
      </c>
      <c r="AM24" t="str">
        <f>Реестр_План_Факт!AM24</f>
        <v/>
      </c>
      <c r="AN24">
        <f>Реестр_План_Факт!AN24</f>
        <v>0</v>
      </c>
      <c r="AO24">
        <f>Реестр_План_Факт!AO24</f>
        <v>0</v>
      </c>
      <c r="AP24" t="str">
        <f>Реестр_План_Факт!AP24</f>
        <v/>
      </c>
      <c r="AQ24">
        <f>Реестр_План_Факт!AQ24</f>
        <v>0</v>
      </c>
    </row>
    <row r="25" spans="1:43" x14ac:dyDescent="0.2">
      <c r="A25" s="201">
        <f>Реестр_План_Факт!A25</f>
        <v>46046</v>
      </c>
      <c r="B25">
        <f>Реестр_План_Факт!B25</f>
        <v>4</v>
      </c>
      <c r="C25">
        <f>Реестр_План_Факт!C25</f>
        <v>1</v>
      </c>
      <c r="D25">
        <f>Реестр_План_Факт!D25</f>
        <v>0</v>
      </c>
      <c r="E25">
        <f>Реестр_План_Факт!E25</f>
        <v>0</v>
      </c>
      <c r="F25" t="str">
        <f>Реестр_План_Факт!F25</f>
        <v/>
      </c>
      <c r="G25">
        <f>Реестр_План_Факт!G25</f>
        <v>0</v>
      </c>
      <c r="H25">
        <f>Реестр_План_Факт!H25</f>
        <v>0</v>
      </c>
      <c r="I25" t="str">
        <f>Реестр_План_Факт!I25</f>
        <v/>
      </c>
      <c r="J25">
        <f>Реестр_План_Факт!J25</f>
        <v>0</v>
      </c>
      <c r="K25">
        <f>Реестр_План_Факт!K25</f>
        <v>0</v>
      </c>
      <c r="L25" t="str">
        <f>Реестр_План_Факт!L25</f>
        <v/>
      </c>
      <c r="M25">
        <f>Реестр_План_Факт!M25</f>
        <v>0</v>
      </c>
      <c r="N25">
        <f>Реестр_План_Факт!N25</f>
        <v>0</v>
      </c>
      <c r="O25" t="str">
        <f>Реестр_План_Факт!O25</f>
        <v/>
      </c>
      <c r="P25">
        <f>Реестр_План_Факт!P25</f>
        <v>0</v>
      </c>
      <c r="Q25">
        <f>Реестр_План_Факт!Q25</f>
        <v>0</v>
      </c>
      <c r="R25" t="str">
        <f>Реестр_План_Факт!R25</f>
        <v/>
      </c>
      <c r="S25">
        <f>Реестр_План_Факт!S25</f>
        <v>0</v>
      </c>
      <c r="T25">
        <f>Реестр_План_Факт!T25</f>
        <v>0</v>
      </c>
      <c r="U25" t="str">
        <f>Реестр_План_Факт!U25</f>
        <v/>
      </c>
      <c r="V25">
        <f>Реестр_План_Факт!V25</f>
        <v>0</v>
      </c>
      <c r="W25">
        <f>Реестр_План_Факт!W25</f>
        <v>0</v>
      </c>
      <c r="X25" t="str">
        <f>Реестр_План_Факт!X25</f>
        <v/>
      </c>
      <c r="Y25">
        <f>Реестр_План_Факт!Y25</f>
        <v>0</v>
      </c>
      <c r="Z25">
        <f>Реестр_План_Факт!Z25</f>
        <v>0</v>
      </c>
      <c r="AA25" t="str">
        <f>Реестр_План_Факт!AA25</f>
        <v/>
      </c>
      <c r="AB25">
        <f>Реестр_План_Факт!AB25</f>
        <v>0</v>
      </c>
      <c r="AC25">
        <f>Реестр_План_Факт!AC25</f>
        <v>0</v>
      </c>
      <c r="AD25" t="str">
        <f>Реестр_План_Факт!AD25</f>
        <v/>
      </c>
      <c r="AE25">
        <f>Реестр_План_Факт!AE25</f>
        <v>0</v>
      </c>
      <c r="AF25">
        <f>Реестр_План_Факт!AF25</f>
        <v>0</v>
      </c>
      <c r="AG25" t="str">
        <f>Реестр_План_Факт!AG25</f>
        <v/>
      </c>
      <c r="AH25">
        <f>Реестр_План_Факт!AH25</f>
        <v>0</v>
      </c>
      <c r="AI25">
        <f>Реестр_План_Факт!AI25</f>
        <v>0</v>
      </c>
      <c r="AJ25" t="str">
        <f>Реестр_План_Факт!AJ25</f>
        <v/>
      </c>
      <c r="AK25">
        <f>Реестр_План_Факт!AK25</f>
        <v>0</v>
      </c>
      <c r="AL25">
        <f>Реестр_План_Факт!AL25</f>
        <v>0</v>
      </c>
      <c r="AM25" t="str">
        <f>Реестр_План_Факт!AM25</f>
        <v/>
      </c>
      <c r="AN25">
        <f>Реестр_План_Факт!AN25</f>
        <v>0</v>
      </c>
      <c r="AO25">
        <f>Реестр_План_Факт!AO25</f>
        <v>0</v>
      </c>
      <c r="AP25" t="str">
        <f>Реестр_План_Факт!AP25</f>
        <v/>
      </c>
      <c r="AQ25">
        <f>Реестр_План_Факт!AQ25</f>
        <v>0</v>
      </c>
    </row>
    <row r="26" spans="1:43" x14ac:dyDescent="0.2">
      <c r="A26" s="201">
        <f>Реестр_План_Факт!A26</f>
        <v>46047</v>
      </c>
      <c r="B26">
        <f>Реестр_План_Факт!B26</f>
        <v>4</v>
      </c>
      <c r="C26">
        <f>Реестр_План_Факт!C26</f>
        <v>1</v>
      </c>
      <c r="D26">
        <f>Реестр_План_Факт!D26</f>
        <v>0</v>
      </c>
      <c r="E26">
        <f>Реестр_План_Факт!E26</f>
        <v>0</v>
      </c>
      <c r="F26" t="str">
        <f>Реестр_План_Факт!F26</f>
        <v/>
      </c>
      <c r="G26">
        <f>Реестр_План_Факт!G26</f>
        <v>0</v>
      </c>
      <c r="H26">
        <f>Реестр_План_Факт!H26</f>
        <v>0</v>
      </c>
      <c r="I26" t="str">
        <f>Реестр_План_Факт!I26</f>
        <v/>
      </c>
      <c r="J26">
        <f>Реестр_План_Факт!J26</f>
        <v>0</v>
      </c>
      <c r="K26">
        <f>Реестр_План_Факт!K26</f>
        <v>0</v>
      </c>
      <c r="L26" t="str">
        <f>Реестр_План_Факт!L26</f>
        <v/>
      </c>
      <c r="M26">
        <f>Реестр_План_Факт!M26</f>
        <v>0</v>
      </c>
      <c r="N26">
        <f>Реестр_План_Факт!N26</f>
        <v>0</v>
      </c>
      <c r="O26" t="str">
        <f>Реестр_План_Факт!O26</f>
        <v/>
      </c>
      <c r="P26">
        <f>Реестр_План_Факт!P26</f>
        <v>0</v>
      </c>
      <c r="Q26">
        <f>Реестр_План_Факт!Q26</f>
        <v>0</v>
      </c>
      <c r="R26" t="str">
        <f>Реестр_План_Факт!R26</f>
        <v/>
      </c>
      <c r="S26">
        <f>Реестр_План_Факт!S26</f>
        <v>0</v>
      </c>
      <c r="T26">
        <f>Реестр_План_Факт!T26</f>
        <v>0</v>
      </c>
      <c r="U26" t="str">
        <f>Реестр_План_Факт!U26</f>
        <v/>
      </c>
      <c r="V26">
        <f>Реестр_План_Факт!V26</f>
        <v>0</v>
      </c>
      <c r="W26">
        <f>Реестр_План_Факт!W26</f>
        <v>0</v>
      </c>
      <c r="X26" t="str">
        <f>Реестр_План_Факт!X26</f>
        <v/>
      </c>
      <c r="Y26">
        <f>Реестр_План_Факт!Y26</f>
        <v>0</v>
      </c>
      <c r="Z26">
        <f>Реестр_План_Факт!Z26</f>
        <v>0</v>
      </c>
      <c r="AA26" t="str">
        <f>Реестр_План_Факт!AA26</f>
        <v/>
      </c>
      <c r="AB26">
        <f>Реестр_План_Факт!AB26</f>
        <v>0</v>
      </c>
      <c r="AC26">
        <f>Реестр_План_Факт!AC26</f>
        <v>0</v>
      </c>
      <c r="AD26" t="str">
        <f>Реестр_План_Факт!AD26</f>
        <v/>
      </c>
      <c r="AE26">
        <f>Реестр_План_Факт!AE26</f>
        <v>0</v>
      </c>
      <c r="AF26">
        <f>Реестр_План_Факт!AF26</f>
        <v>0</v>
      </c>
      <c r="AG26" t="str">
        <f>Реестр_План_Факт!AG26</f>
        <v/>
      </c>
      <c r="AH26">
        <f>Реестр_План_Факт!AH26</f>
        <v>0</v>
      </c>
      <c r="AI26">
        <f>Реестр_План_Факт!AI26</f>
        <v>0</v>
      </c>
      <c r="AJ26" t="str">
        <f>Реестр_План_Факт!AJ26</f>
        <v/>
      </c>
      <c r="AK26">
        <f>Реестр_План_Факт!AK26</f>
        <v>0</v>
      </c>
      <c r="AL26">
        <f>Реестр_План_Факт!AL26</f>
        <v>0</v>
      </c>
      <c r="AM26" t="str">
        <f>Реестр_План_Факт!AM26</f>
        <v/>
      </c>
      <c r="AN26">
        <f>Реестр_План_Факт!AN26</f>
        <v>0</v>
      </c>
      <c r="AO26">
        <f>Реестр_План_Факт!AO26</f>
        <v>0</v>
      </c>
      <c r="AP26" t="str">
        <f>Реестр_План_Факт!AP26</f>
        <v/>
      </c>
      <c r="AQ26">
        <f>Реестр_План_Факт!AQ26</f>
        <v>0</v>
      </c>
    </row>
    <row r="27" spans="1:43" x14ac:dyDescent="0.2">
      <c r="A27" s="201">
        <f>Реестр_План_Факт!A27</f>
        <v>46048</v>
      </c>
      <c r="B27">
        <f>Реестр_План_Факт!B27</f>
        <v>5</v>
      </c>
      <c r="C27">
        <f>Реестр_План_Факт!C27</f>
        <v>1</v>
      </c>
      <c r="D27">
        <f>Реестр_План_Факт!D27</f>
        <v>0</v>
      </c>
      <c r="E27">
        <f>Реестр_План_Факт!E27</f>
        <v>0</v>
      </c>
      <c r="F27" t="str">
        <f>Реестр_План_Факт!F27</f>
        <v/>
      </c>
      <c r="G27">
        <f>Реестр_План_Факт!G27</f>
        <v>0</v>
      </c>
      <c r="H27">
        <f>Реестр_План_Факт!H27</f>
        <v>0</v>
      </c>
      <c r="I27" t="str">
        <f>Реестр_План_Факт!I27</f>
        <v/>
      </c>
      <c r="J27">
        <f>Реестр_План_Факт!J27</f>
        <v>0</v>
      </c>
      <c r="K27">
        <f>Реестр_План_Факт!K27</f>
        <v>0</v>
      </c>
      <c r="L27" t="str">
        <f>Реестр_План_Факт!L27</f>
        <v/>
      </c>
      <c r="M27">
        <f>Реестр_План_Факт!M27</f>
        <v>0</v>
      </c>
      <c r="N27">
        <f>Реестр_План_Факт!N27</f>
        <v>0</v>
      </c>
      <c r="O27" t="str">
        <f>Реестр_План_Факт!O27</f>
        <v/>
      </c>
      <c r="P27">
        <f>Реестр_План_Факт!P27</f>
        <v>0</v>
      </c>
      <c r="Q27">
        <f>Реестр_План_Факт!Q27</f>
        <v>0</v>
      </c>
      <c r="R27" t="str">
        <f>Реестр_План_Факт!R27</f>
        <v/>
      </c>
      <c r="S27">
        <f>Реестр_План_Факт!S27</f>
        <v>0</v>
      </c>
      <c r="T27">
        <f>Реестр_План_Факт!T27</f>
        <v>0</v>
      </c>
      <c r="U27" t="str">
        <f>Реестр_План_Факт!U27</f>
        <v/>
      </c>
      <c r="V27">
        <f>Реестр_План_Факт!V27</f>
        <v>0</v>
      </c>
      <c r="W27">
        <f>Реестр_План_Факт!W27</f>
        <v>0</v>
      </c>
      <c r="X27" t="str">
        <f>Реестр_План_Факт!X27</f>
        <v/>
      </c>
      <c r="Y27">
        <f>Реестр_План_Факт!Y27</f>
        <v>0</v>
      </c>
      <c r="Z27">
        <f>Реестр_План_Факт!Z27</f>
        <v>0</v>
      </c>
      <c r="AA27" t="str">
        <f>Реестр_План_Факт!AA27</f>
        <v/>
      </c>
      <c r="AB27">
        <f>Реестр_План_Факт!AB27</f>
        <v>0</v>
      </c>
      <c r="AC27">
        <f>Реестр_План_Факт!AC27</f>
        <v>0</v>
      </c>
      <c r="AD27" t="str">
        <f>Реестр_План_Факт!AD27</f>
        <v/>
      </c>
      <c r="AE27">
        <f>Реестр_План_Факт!AE27</f>
        <v>0</v>
      </c>
      <c r="AF27">
        <f>Реестр_План_Факт!AF27</f>
        <v>0</v>
      </c>
      <c r="AG27" t="str">
        <f>Реестр_План_Факт!AG27</f>
        <v/>
      </c>
      <c r="AH27">
        <f>Реестр_План_Факт!AH27</f>
        <v>0</v>
      </c>
      <c r="AI27">
        <f>Реестр_План_Факт!AI27</f>
        <v>0</v>
      </c>
      <c r="AJ27" t="str">
        <f>Реестр_План_Факт!AJ27</f>
        <v/>
      </c>
      <c r="AK27">
        <f>Реестр_План_Факт!AK27</f>
        <v>0</v>
      </c>
      <c r="AL27">
        <f>Реестр_План_Факт!AL27</f>
        <v>0</v>
      </c>
      <c r="AM27" t="str">
        <f>Реестр_План_Факт!AM27</f>
        <v/>
      </c>
      <c r="AN27">
        <f>Реестр_План_Факт!AN27</f>
        <v>0</v>
      </c>
      <c r="AO27">
        <f>Реестр_План_Факт!AO27</f>
        <v>0</v>
      </c>
      <c r="AP27" t="str">
        <f>Реестр_План_Факт!AP27</f>
        <v/>
      </c>
      <c r="AQ27">
        <f>Реестр_План_Факт!AQ27</f>
        <v>0</v>
      </c>
    </row>
    <row r="28" spans="1:43" x14ac:dyDescent="0.2">
      <c r="A28" s="201">
        <f>Реестр_План_Факт!A28</f>
        <v>46049</v>
      </c>
      <c r="B28">
        <f>Реестр_План_Факт!B28</f>
        <v>5</v>
      </c>
      <c r="C28">
        <f>Реестр_План_Факт!C28</f>
        <v>1</v>
      </c>
      <c r="D28">
        <f>Реестр_План_Факт!D28</f>
        <v>0</v>
      </c>
      <c r="E28">
        <f>Реестр_План_Факт!E28</f>
        <v>0</v>
      </c>
      <c r="F28" t="str">
        <f>Реестр_План_Факт!F28</f>
        <v/>
      </c>
      <c r="G28">
        <f>Реестр_План_Факт!G28</f>
        <v>0</v>
      </c>
      <c r="H28">
        <f>Реестр_План_Факт!H28</f>
        <v>0</v>
      </c>
      <c r="I28" t="str">
        <f>Реестр_План_Факт!I28</f>
        <v/>
      </c>
      <c r="J28">
        <f>Реестр_План_Факт!J28</f>
        <v>0</v>
      </c>
      <c r="K28">
        <f>Реестр_План_Факт!K28</f>
        <v>0</v>
      </c>
      <c r="L28" t="str">
        <f>Реестр_План_Факт!L28</f>
        <v/>
      </c>
      <c r="M28">
        <f>Реестр_План_Факт!M28</f>
        <v>0</v>
      </c>
      <c r="N28">
        <f>Реестр_План_Факт!N28</f>
        <v>0</v>
      </c>
      <c r="O28" t="str">
        <f>Реестр_План_Факт!O28</f>
        <v/>
      </c>
      <c r="P28">
        <f>Реестр_План_Факт!P28</f>
        <v>0</v>
      </c>
      <c r="Q28">
        <f>Реестр_План_Факт!Q28</f>
        <v>0</v>
      </c>
      <c r="R28" t="str">
        <f>Реестр_План_Факт!R28</f>
        <v/>
      </c>
      <c r="S28">
        <f>Реестр_План_Факт!S28</f>
        <v>0</v>
      </c>
      <c r="T28">
        <f>Реестр_План_Факт!T28</f>
        <v>0</v>
      </c>
      <c r="U28" t="str">
        <f>Реестр_План_Факт!U28</f>
        <v/>
      </c>
      <c r="V28">
        <f>Реестр_План_Факт!V28</f>
        <v>0</v>
      </c>
      <c r="W28">
        <f>Реестр_План_Факт!W28</f>
        <v>0</v>
      </c>
      <c r="X28" t="str">
        <f>Реестр_План_Факт!X28</f>
        <v/>
      </c>
      <c r="Y28">
        <f>Реестр_План_Факт!Y28</f>
        <v>0</v>
      </c>
      <c r="Z28">
        <f>Реестр_План_Факт!Z28</f>
        <v>0</v>
      </c>
      <c r="AA28" t="str">
        <f>Реестр_План_Факт!AA28</f>
        <v/>
      </c>
      <c r="AB28">
        <f>Реестр_План_Факт!AB28</f>
        <v>0</v>
      </c>
      <c r="AC28">
        <f>Реестр_План_Факт!AC28</f>
        <v>0</v>
      </c>
      <c r="AD28" t="str">
        <f>Реестр_План_Факт!AD28</f>
        <v/>
      </c>
      <c r="AE28">
        <f>Реестр_План_Факт!AE28</f>
        <v>0</v>
      </c>
      <c r="AF28">
        <f>Реестр_План_Факт!AF28</f>
        <v>0</v>
      </c>
      <c r="AG28" t="str">
        <f>Реестр_План_Факт!AG28</f>
        <v/>
      </c>
      <c r="AH28">
        <f>Реестр_План_Факт!AH28</f>
        <v>0</v>
      </c>
      <c r="AI28">
        <f>Реестр_План_Факт!AI28</f>
        <v>0</v>
      </c>
      <c r="AJ28" t="str">
        <f>Реестр_План_Факт!AJ28</f>
        <v/>
      </c>
      <c r="AK28">
        <f>Реестр_План_Факт!AK28</f>
        <v>0</v>
      </c>
      <c r="AL28">
        <f>Реестр_План_Факт!AL28</f>
        <v>0</v>
      </c>
      <c r="AM28" t="str">
        <f>Реестр_План_Факт!AM28</f>
        <v/>
      </c>
      <c r="AN28">
        <f>Реестр_План_Факт!AN28</f>
        <v>0</v>
      </c>
      <c r="AO28">
        <f>Реестр_План_Факт!AO28</f>
        <v>0</v>
      </c>
      <c r="AP28" t="str">
        <f>Реестр_План_Факт!AP28</f>
        <v/>
      </c>
      <c r="AQ28">
        <f>Реестр_План_Факт!AQ28</f>
        <v>0</v>
      </c>
    </row>
    <row r="29" spans="1:43" x14ac:dyDescent="0.2">
      <c r="A29" s="201">
        <f>Реестр_План_Факт!A29</f>
        <v>46050</v>
      </c>
      <c r="B29">
        <f>Реестр_План_Факт!B29</f>
        <v>5</v>
      </c>
      <c r="C29">
        <f>Реестр_План_Факт!C29</f>
        <v>1</v>
      </c>
      <c r="D29">
        <f>Реестр_План_Факт!D29</f>
        <v>0</v>
      </c>
      <c r="E29">
        <f>Реестр_План_Факт!E29</f>
        <v>0</v>
      </c>
      <c r="F29" t="str">
        <f>Реестр_План_Факт!F29</f>
        <v/>
      </c>
      <c r="G29">
        <f>Реестр_План_Факт!G29</f>
        <v>0</v>
      </c>
      <c r="H29">
        <f>Реестр_План_Факт!H29</f>
        <v>0</v>
      </c>
      <c r="I29" t="str">
        <f>Реестр_План_Факт!I29</f>
        <v/>
      </c>
      <c r="J29">
        <f>Реестр_План_Факт!J29</f>
        <v>0</v>
      </c>
      <c r="K29">
        <f>Реестр_План_Факт!K29</f>
        <v>0</v>
      </c>
      <c r="L29" t="str">
        <f>Реестр_План_Факт!L29</f>
        <v/>
      </c>
      <c r="M29">
        <f>Реестр_План_Факт!M29</f>
        <v>0</v>
      </c>
      <c r="N29">
        <f>Реестр_План_Факт!N29</f>
        <v>0</v>
      </c>
      <c r="O29" t="str">
        <f>Реестр_План_Факт!O29</f>
        <v/>
      </c>
      <c r="P29">
        <f>Реестр_План_Факт!P29</f>
        <v>0</v>
      </c>
      <c r="Q29">
        <f>Реестр_План_Факт!Q29</f>
        <v>0</v>
      </c>
      <c r="R29" t="str">
        <f>Реестр_План_Факт!R29</f>
        <v/>
      </c>
      <c r="S29">
        <f>Реестр_План_Факт!S29</f>
        <v>0</v>
      </c>
      <c r="T29">
        <f>Реестр_План_Факт!T29</f>
        <v>0</v>
      </c>
      <c r="U29" t="str">
        <f>Реестр_План_Факт!U29</f>
        <v/>
      </c>
      <c r="V29">
        <f>Реестр_План_Факт!V29</f>
        <v>0</v>
      </c>
      <c r="W29">
        <f>Реестр_План_Факт!W29</f>
        <v>0</v>
      </c>
      <c r="X29" t="str">
        <f>Реестр_План_Факт!X29</f>
        <v/>
      </c>
      <c r="Y29">
        <f>Реестр_План_Факт!Y29</f>
        <v>0</v>
      </c>
      <c r="Z29">
        <f>Реестр_План_Факт!Z29</f>
        <v>0</v>
      </c>
      <c r="AA29" t="str">
        <f>Реестр_План_Факт!AA29</f>
        <v/>
      </c>
      <c r="AB29">
        <f>Реестр_План_Факт!AB29</f>
        <v>0</v>
      </c>
      <c r="AC29">
        <f>Реестр_План_Факт!AC29</f>
        <v>0</v>
      </c>
      <c r="AD29" t="str">
        <f>Реестр_План_Факт!AD29</f>
        <v/>
      </c>
      <c r="AE29">
        <f>Реестр_План_Факт!AE29</f>
        <v>0</v>
      </c>
      <c r="AF29">
        <f>Реестр_План_Факт!AF29</f>
        <v>0</v>
      </c>
      <c r="AG29" t="str">
        <f>Реестр_План_Факт!AG29</f>
        <v/>
      </c>
      <c r="AH29">
        <f>Реестр_План_Факт!AH29</f>
        <v>0</v>
      </c>
      <c r="AI29">
        <f>Реестр_План_Факт!AI29</f>
        <v>0</v>
      </c>
      <c r="AJ29" t="str">
        <f>Реестр_План_Факт!AJ29</f>
        <v/>
      </c>
      <c r="AK29">
        <f>Реестр_План_Факт!AK29</f>
        <v>0</v>
      </c>
      <c r="AL29">
        <f>Реестр_План_Факт!AL29</f>
        <v>0</v>
      </c>
      <c r="AM29" t="str">
        <f>Реестр_План_Факт!AM29</f>
        <v/>
      </c>
      <c r="AN29">
        <f>Реестр_План_Факт!AN29</f>
        <v>0</v>
      </c>
      <c r="AO29">
        <f>Реестр_План_Факт!AO29</f>
        <v>0</v>
      </c>
      <c r="AP29" t="str">
        <f>Реестр_План_Факт!AP29</f>
        <v/>
      </c>
      <c r="AQ29">
        <f>Реестр_План_Факт!AQ29</f>
        <v>0</v>
      </c>
    </row>
    <row r="30" spans="1:43" x14ac:dyDescent="0.2">
      <c r="A30" s="201">
        <f>Реестр_План_Факт!A30</f>
        <v>46051</v>
      </c>
      <c r="B30">
        <f>Реестр_План_Факт!B30</f>
        <v>5</v>
      </c>
      <c r="C30">
        <f>Реестр_План_Факт!C30</f>
        <v>1</v>
      </c>
      <c r="D30">
        <f>Реестр_План_Факт!D30</f>
        <v>0</v>
      </c>
      <c r="E30">
        <f>Реестр_План_Факт!E30</f>
        <v>0</v>
      </c>
      <c r="F30" t="str">
        <f>Реестр_План_Факт!F30</f>
        <v/>
      </c>
      <c r="G30">
        <f>Реестр_План_Факт!G30</f>
        <v>0</v>
      </c>
      <c r="H30">
        <f>Реестр_План_Факт!H30</f>
        <v>0</v>
      </c>
      <c r="I30" t="str">
        <f>Реестр_План_Факт!I30</f>
        <v/>
      </c>
      <c r="J30">
        <f>Реестр_План_Факт!J30</f>
        <v>0</v>
      </c>
      <c r="K30">
        <f>Реестр_План_Факт!K30</f>
        <v>0</v>
      </c>
      <c r="L30" t="str">
        <f>Реестр_План_Факт!L30</f>
        <v/>
      </c>
      <c r="M30">
        <f>Реестр_План_Факт!M30</f>
        <v>0</v>
      </c>
      <c r="N30">
        <f>Реестр_План_Факт!N30</f>
        <v>0</v>
      </c>
      <c r="O30" t="str">
        <f>Реестр_План_Факт!O30</f>
        <v/>
      </c>
      <c r="P30">
        <f>Реестр_План_Факт!P30</f>
        <v>0</v>
      </c>
      <c r="Q30">
        <f>Реестр_План_Факт!Q30</f>
        <v>0</v>
      </c>
      <c r="R30" t="str">
        <f>Реестр_План_Факт!R30</f>
        <v/>
      </c>
      <c r="S30">
        <f>Реестр_План_Факт!S30</f>
        <v>0</v>
      </c>
      <c r="T30">
        <f>Реестр_План_Факт!T30</f>
        <v>0</v>
      </c>
      <c r="U30" t="str">
        <f>Реестр_План_Факт!U30</f>
        <v/>
      </c>
      <c r="V30">
        <f>Реестр_План_Факт!V30</f>
        <v>0</v>
      </c>
      <c r="W30">
        <f>Реестр_План_Факт!W30</f>
        <v>0</v>
      </c>
      <c r="X30" t="str">
        <f>Реестр_План_Факт!X30</f>
        <v/>
      </c>
      <c r="Y30">
        <f>Реестр_План_Факт!Y30</f>
        <v>0</v>
      </c>
      <c r="Z30">
        <f>Реестр_План_Факт!Z30</f>
        <v>0</v>
      </c>
      <c r="AA30" t="str">
        <f>Реестр_План_Факт!AA30</f>
        <v/>
      </c>
      <c r="AB30">
        <f>Реестр_План_Факт!AB30</f>
        <v>0</v>
      </c>
      <c r="AC30">
        <f>Реестр_План_Факт!AC30</f>
        <v>0</v>
      </c>
      <c r="AD30" t="str">
        <f>Реестр_План_Факт!AD30</f>
        <v/>
      </c>
      <c r="AE30">
        <f>Реестр_План_Факт!AE30</f>
        <v>0</v>
      </c>
      <c r="AF30">
        <f>Реестр_План_Факт!AF30</f>
        <v>0</v>
      </c>
      <c r="AG30" t="str">
        <f>Реестр_План_Факт!AG30</f>
        <v/>
      </c>
      <c r="AH30">
        <f>Реестр_План_Факт!AH30</f>
        <v>0</v>
      </c>
      <c r="AI30">
        <f>Реестр_План_Факт!AI30</f>
        <v>0</v>
      </c>
      <c r="AJ30" t="str">
        <f>Реестр_План_Факт!AJ30</f>
        <v/>
      </c>
      <c r="AK30">
        <f>Реестр_План_Факт!AK30</f>
        <v>0</v>
      </c>
      <c r="AL30">
        <f>Реестр_План_Факт!AL30</f>
        <v>0</v>
      </c>
      <c r="AM30" t="str">
        <f>Реестр_План_Факт!AM30</f>
        <v/>
      </c>
      <c r="AN30">
        <f>Реестр_План_Факт!AN30</f>
        <v>0</v>
      </c>
      <c r="AO30">
        <f>Реестр_План_Факт!AO30</f>
        <v>0</v>
      </c>
      <c r="AP30" t="str">
        <f>Реестр_План_Факт!AP30</f>
        <v/>
      </c>
      <c r="AQ30">
        <f>Реестр_План_Факт!AQ30</f>
        <v>0</v>
      </c>
    </row>
    <row r="31" spans="1:43" x14ac:dyDescent="0.2">
      <c r="A31" s="201">
        <f>Реестр_План_Факт!A31</f>
        <v>46052</v>
      </c>
      <c r="B31">
        <f>Реестр_План_Факт!B31</f>
        <v>5</v>
      </c>
      <c r="C31">
        <f>Реестр_План_Факт!C31</f>
        <v>1</v>
      </c>
      <c r="D31">
        <f>Реестр_План_Факт!D31</f>
        <v>0</v>
      </c>
      <c r="E31">
        <f>Реестр_План_Факт!E31</f>
        <v>0</v>
      </c>
      <c r="F31" t="str">
        <f>Реестр_План_Факт!F31</f>
        <v/>
      </c>
      <c r="G31">
        <f>Реестр_План_Факт!G31</f>
        <v>0</v>
      </c>
      <c r="H31">
        <f>Реестр_План_Факт!H31</f>
        <v>0</v>
      </c>
      <c r="I31" t="str">
        <f>Реестр_План_Факт!I31</f>
        <v/>
      </c>
      <c r="J31">
        <f>Реестр_План_Факт!J31</f>
        <v>0</v>
      </c>
      <c r="K31">
        <f>Реестр_План_Факт!K31</f>
        <v>0</v>
      </c>
      <c r="L31" t="str">
        <f>Реестр_План_Факт!L31</f>
        <v/>
      </c>
      <c r="M31">
        <f>Реестр_План_Факт!M31</f>
        <v>0</v>
      </c>
      <c r="N31">
        <f>Реестр_План_Факт!N31</f>
        <v>0</v>
      </c>
      <c r="O31" t="str">
        <f>Реестр_План_Факт!O31</f>
        <v/>
      </c>
      <c r="P31">
        <f>Реестр_План_Факт!P31</f>
        <v>0</v>
      </c>
      <c r="Q31">
        <f>Реестр_План_Факт!Q31</f>
        <v>0</v>
      </c>
      <c r="R31" t="str">
        <f>Реестр_План_Факт!R31</f>
        <v/>
      </c>
      <c r="S31">
        <f>Реестр_План_Факт!S31</f>
        <v>0</v>
      </c>
      <c r="T31">
        <f>Реестр_План_Факт!T31</f>
        <v>0</v>
      </c>
      <c r="U31" t="str">
        <f>Реестр_План_Факт!U31</f>
        <v/>
      </c>
      <c r="V31">
        <f>Реестр_План_Факт!V31</f>
        <v>0</v>
      </c>
      <c r="W31">
        <f>Реестр_План_Факт!W31</f>
        <v>0</v>
      </c>
      <c r="X31" t="str">
        <f>Реестр_План_Факт!X31</f>
        <v/>
      </c>
      <c r="Y31">
        <f>Реестр_План_Факт!Y31</f>
        <v>0</v>
      </c>
      <c r="Z31">
        <f>Реестр_План_Факт!Z31</f>
        <v>0</v>
      </c>
      <c r="AA31" t="str">
        <f>Реестр_План_Факт!AA31</f>
        <v/>
      </c>
      <c r="AB31">
        <f>Реестр_План_Факт!AB31</f>
        <v>0</v>
      </c>
      <c r="AC31">
        <f>Реестр_План_Факт!AC31</f>
        <v>0</v>
      </c>
      <c r="AD31" t="str">
        <f>Реестр_План_Факт!AD31</f>
        <v/>
      </c>
      <c r="AE31">
        <f>Реестр_План_Факт!AE31</f>
        <v>0</v>
      </c>
      <c r="AF31">
        <f>Реестр_План_Факт!AF31</f>
        <v>0</v>
      </c>
      <c r="AG31" t="str">
        <f>Реестр_План_Факт!AG31</f>
        <v/>
      </c>
      <c r="AH31">
        <f>Реестр_План_Факт!AH31</f>
        <v>0</v>
      </c>
      <c r="AI31">
        <f>Реестр_План_Факт!AI31</f>
        <v>0</v>
      </c>
      <c r="AJ31" t="str">
        <f>Реестр_План_Факт!AJ31</f>
        <v/>
      </c>
      <c r="AK31">
        <f>Реестр_План_Факт!AK31</f>
        <v>0</v>
      </c>
      <c r="AL31">
        <f>Реестр_План_Факт!AL31</f>
        <v>0</v>
      </c>
      <c r="AM31" t="str">
        <f>Реестр_План_Факт!AM31</f>
        <v/>
      </c>
      <c r="AN31">
        <f>Реестр_План_Факт!AN31</f>
        <v>0</v>
      </c>
      <c r="AO31">
        <f>Реестр_План_Факт!AO31</f>
        <v>0</v>
      </c>
      <c r="AP31" t="str">
        <f>Реестр_План_Факт!AP31</f>
        <v/>
      </c>
      <c r="AQ31">
        <f>Реестр_План_Факт!AQ31</f>
        <v>0</v>
      </c>
    </row>
    <row r="32" spans="1:43" x14ac:dyDescent="0.2">
      <c r="A32" s="201">
        <f>Реестр_План_Факт!A32</f>
        <v>46053</v>
      </c>
      <c r="B32">
        <f>Реестр_План_Факт!B32</f>
        <v>5</v>
      </c>
      <c r="C32">
        <f>Реестр_План_Факт!C32</f>
        <v>1</v>
      </c>
      <c r="D32">
        <f>Реестр_План_Факт!D32</f>
        <v>0</v>
      </c>
      <c r="E32">
        <f>Реестр_План_Факт!E32</f>
        <v>0</v>
      </c>
      <c r="F32" t="str">
        <f>Реестр_План_Факт!F32</f>
        <v/>
      </c>
      <c r="G32">
        <f>Реестр_План_Факт!G32</f>
        <v>0</v>
      </c>
      <c r="H32">
        <f>Реестр_План_Факт!H32</f>
        <v>0</v>
      </c>
      <c r="I32" t="str">
        <f>Реестр_План_Факт!I32</f>
        <v/>
      </c>
      <c r="J32">
        <f>Реестр_План_Факт!J32</f>
        <v>0</v>
      </c>
      <c r="K32">
        <f>Реестр_План_Факт!K32</f>
        <v>0</v>
      </c>
      <c r="L32" t="str">
        <f>Реестр_План_Факт!L32</f>
        <v/>
      </c>
      <c r="M32">
        <f>Реестр_План_Факт!M32</f>
        <v>0</v>
      </c>
      <c r="N32">
        <f>Реестр_План_Факт!N32</f>
        <v>0</v>
      </c>
      <c r="O32" t="str">
        <f>Реестр_План_Факт!O32</f>
        <v/>
      </c>
      <c r="P32">
        <f>Реестр_План_Факт!P32</f>
        <v>0</v>
      </c>
      <c r="Q32">
        <f>Реестр_План_Факт!Q32</f>
        <v>0</v>
      </c>
      <c r="R32" t="str">
        <f>Реестр_План_Факт!R32</f>
        <v/>
      </c>
      <c r="S32">
        <f>Реестр_План_Факт!S32</f>
        <v>0</v>
      </c>
      <c r="T32">
        <f>Реестр_План_Факт!T32</f>
        <v>0</v>
      </c>
      <c r="U32" t="str">
        <f>Реестр_План_Факт!U32</f>
        <v/>
      </c>
      <c r="V32">
        <f>Реестр_План_Факт!V32</f>
        <v>0</v>
      </c>
      <c r="W32">
        <f>Реестр_План_Факт!W32</f>
        <v>0</v>
      </c>
      <c r="X32" t="str">
        <f>Реестр_План_Факт!X32</f>
        <v/>
      </c>
      <c r="Y32">
        <f>Реестр_План_Факт!Y32</f>
        <v>0</v>
      </c>
      <c r="Z32">
        <f>Реестр_План_Факт!Z32</f>
        <v>0</v>
      </c>
      <c r="AA32" t="str">
        <f>Реестр_План_Факт!AA32</f>
        <v/>
      </c>
      <c r="AB32">
        <f>Реестр_План_Факт!AB32</f>
        <v>0</v>
      </c>
      <c r="AC32">
        <f>Реестр_План_Факт!AC32</f>
        <v>0</v>
      </c>
      <c r="AD32" t="str">
        <f>Реестр_План_Факт!AD32</f>
        <v/>
      </c>
      <c r="AE32">
        <f>Реестр_План_Факт!AE32</f>
        <v>0</v>
      </c>
      <c r="AF32">
        <f>Реестр_План_Факт!AF32</f>
        <v>0</v>
      </c>
      <c r="AG32" t="str">
        <f>Реестр_План_Факт!AG32</f>
        <v/>
      </c>
      <c r="AH32">
        <f>Реестр_План_Факт!AH32</f>
        <v>0</v>
      </c>
      <c r="AI32">
        <f>Реестр_План_Факт!AI32</f>
        <v>0</v>
      </c>
      <c r="AJ32" t="str">
        <f>Реестр_План_Факт!AJ32</f>
        <v/>
      </c>
      <c r="AK32">
        <f>Реестр_План_Факт!AK32</f>
        <v>0</v>
      </c>
      <c r="AL32">
        <f>Реестр_План_Факт!AL32</f>
        <v>0</v>
      </c>
      <c r="AM32" t="str">
        <f>Реестр_План_Факт!AM32</f>
        <v/>
      </c>
      <c r="AN32">
        <f>Реестр_План_Факт!AN32</f>
        <v>0</v>
      </c>
      <c r="AO32">
        <f>Реестр_План_Факт!AO32</f>
        <v>0</v>
      </c>
      <c r="AP32" t="str">
        <f>Реестр_План_Факт!AP32</f>
        <v/>
      </c>
      <c r="AQ32">
        <f>Реестр_План_Факт!AQ32</f>
        <v>0</v>
      </c>
    </row>
    <row r="33" spans="1:43" x14ac:dyDescent="0.2">
      <c r="A33" s="201">
        <f>Реестр_План_Факт!A33</f>
        <v>46054</v>
      </c>
      <c r="B33">
        <f>Реестр_План_Факт!B33</f>
        <v>5</v>
      </c>
      <c r="C33">
        <f>Реестр_План_Факт!C33</f>
        <v>2</v>
      </c>
      <c r="D33">
        <f>Реестр_План_Факт!D33</f>
        <v>0</v>
      </c>
      <c r="E33">
        <f>Реестр_План_Факт!E33</f>
        <v>0</v>
      </c>
      <c r="F33" t="str">
        <f>Реестр_План_Факт!F33</f>
        <v/>
      </c>
      <c r="G33">
        <f>Реестр_План_Факт!G33</f>
        <v>0</v>
      </c>
      <c r="H33">
        <f>Реестр_План_Факт!H33</f>
        <v>0</v>
      </c>
      <c r="I33" t="str">
        <f>Реестр_План_Факт!I33</f>
        <v/>
      </c>
      <c r="J33">
        <f>Реестр_План_Факт!J33</f>
        <v>0</v>
      </c>
      <c r="K33">
        <f>Реестр_План_Факт!K33</f>
        <v>0</v>
      </c>
      <c r="L33" t="str">
        <f>Реестр_План_Факт!L33</f>
        <v/>
      </c>
      <c r="M33">
        <f>Реестр_План_Факт!M33</f>
        <v>0</v>
      </c>
      <c r="N33">
        <f>Реестр_План_Факт!N33</f>
        <v>0</v>
      </c>
      <c r="O33" t="str">
        <f>Реестр_План_Факт!O33</f>
        <v/>
      </c>
      <c r="P33">
        <f>Реестр_План_Факт!P33</f>
        <v>0</v>
      </c>
      <c r="Q33">
        <f>Реестр_План_Факт!Q33</f>
        <v>0</v>
      </c>
      <c r="R33" t="str">
        <f>Реестр_План_Факт!R33</f>
        <v/>
      </c>
      <c r="S33">
        <f>Реестр_План_Факт!S33</f>
        <v>0</v>
      </c>
      <c r="T33">
        <f>Реестр_План_Факт!T33</f>
        <v>0</v>
      </c>
      <c r="U33" t="str">
        <f>Реестр_План_Факт!U33</f>
        <v/>
      </c>
      <c r="V33">
        <f>Реестр_План_Факт!V33</f>
        <v>0</v>
      </c>
      <c r="W33">
        <f>Реестр_План_Факт!W33</f>
        <v>0</v>
      </c>
      <c r="X33" t="str">
        <f>Реестр_План_Факт!X33</f>
        <v/>
      </c>
      <c r="Y33">
        <f>Реестр_План_Факт!Y33</f>
        <v>0</v>
      </c>
      <c r="Z33">
        <f>Реестр_План_Факт!Z33</f>
        <v>0</v>
      </c>
      <c r="AA33" t="str">
        <f>Реестр_План_Факт!AA33</f>
        <v/>
      </c>
      <c r="AB33">
        <f>Реестр_План_Факт!AB33</f>
        <v>0</v>
      </c>
      <c r="AC33">
        <f>Реестр_План_Факт!AC33</f>
        <v>0</v>
      </c>
      <c r="AD33" t="str">
        <f>Реестр_План_Факт!AD33</f>
        <v/>
      </c>
      <c r="AE33">
        <f>Реестр_План_Факт!AE33</f>
        <v>0</v>
      </c>
      <c r="AF33">
        <f>Реестр_План_Факт!AF33</f>
        <v>0</v>
      </c>
      <c r="AG33" t="str">
        <f>Реестр_План_Факт!AG33</f>
        <v/>
      </c>
      <c r="AH33">
        <f>Реестр_План_Факт!AH33</f>
        <v>0</v>
      </c>
      <c r="AI33">
        <f>Реестр_План_Факт!AI33</f>
        <v>0</v>
      </c>
      <c r="AJ33" t="str">
        <f>Реестр_План_Факт!AJ33</f>
        <v/>
      </c>
      <c r="AK33">
        <f>Реестр_План_Факт!AK33</f>
        <v>0</v>
      </c>
      <c r="AL33">
        <f>Реестр_План_Факт!AL33</f>
        <v>0</v>
      </c>
      <c r="AM33" t="str">
        <f>Реестр_План_Факт!AM33</f>
        <v/>
      </c>
      <c r="AN33">
        <f>Реестр_План_Факт!AN33</f>
        <v>0</v>
      </c>
      <c r="AO33">
        <f>Реестр_План_Факт!AO33</f>
        <v>0</v>
      </c>
      <c r="AP33" t="str">
        <f>Реестр_План_Факт!AP33</f>
        <v/>
      </c>
      <c r="AQ33">
        <f>Реестр_План_Факт!AQ33</f>
        <v>0</v>
      </c>
    </row>
    <row r="34" spans="1:43" x14ac:dyDescent="0.2">
      <c r="A34" s="201">
        <f>Реестр_План_Факт!A34</f>
        <v>46055</v>
      </c>
      <c r="B34">
        <f>Реестр_План_Факт!B34</f>
        <v>6</v>
      </c>
      <c r="C34">
        <f>Реестр_План_Факт!C34</f>
        <v>2</v>
      </c>
      <c r="D34">
        <f>Реестр_План_Факт!D34</f>
        <v>0</v>
      </c>
      <c r="E34">
        <f>Реестр_План_Факт!E34</f>
        <v>0</v>
      </c>
      <c r="F34" t="str">
        <f>Реестр_План_Факт!F34</f>
        <v/>
      </c>
      <c r="G34">
        <f>Реестр_План_Факт!G34</f>
        <v>0</v>
      </c>
      <c r="H34">
        <f>Реестр_План_Факт!H34</f>
        <v>0</v>
      </c>
      <c r="I34" t="str">
        <f>Реестр_План_Факт!I34</f>
        <v/>
      </c>
      <c r="J34">
        <f>Реестр_План_Факт!J34</f>
        <v>0</v>
      </c>
      <c r="K34">
        <f>Реестр_План_Факт!K34</f>
        <v>0</v>
      </c>
      <c r="L34" t="str">
        <f>Реестр_План_Факт!L34</f>
        <v/>
      </c>
      <c r="M34">
        <f>Реестр_План_Факт!M34</f>
        <v>0</v>
      </c>
      <c r="N34">
        <f>Реестр_План_Факт!N34</f>
        <v>0</v>
      </c>
      <c r="O34" t="str">
        <f>Реестр_План_Факт!O34</f>
        <v/>
      </c>
      <c r="P34">
        <f>Реестр_План_Факт!P34</f>
        <v>0</v>
      </c>
      <c r="Q34">
        <f>Реестр_План_Факт!Q34</f>
        <v>0</v>
      </c>
      <c r="R34" t="str">
        <f>Реестр_План_Факт!R34</f>
        <v/>
      </c>
      <c r="S34">
        <f>Реестр_План_Факт!S34</f>
        <v>0</v>
      </c>
      <c r="T34">
        <f>Реестр_План_Факт!T34</f>
        <v>0</v>
      </c>
      <c r="U34" t="str">
        <f>Реестр_План_Факт!U34</f>
        <v/>
      </c>
      <c r="V34">
        <f>Реестр_План_Факт!V34</f>
        <v>0</v>
      </c>
      <c r="W34">
        <f>Реестр_План_Факт!W34</f>
        <v>0</v>
      </c>
      <c r="X34" t="str">
        <f>Реестр_План_Факт!X34</f>
        <v/>
      </c>
      <c r="Y34">
        <f>Реестр_План_Факт!Y34</f>
        <v>0</v>
      </c>
      <c r="Z34">
        <f>Реестр_План_Факт!Z34</f>
        <v>0</v>
      </c>
      <c r="AA34" t="str">
        <f>Реестр_План_Факт!AA34</f>
        <v/>
      </c>
      <c r="AB34">
        <f>Реестр_План_Факт!AB34</f>
        <v>0</v>
      </c>
      <c r="AC34">
        <f>Реестр_План_Факт!AC34</f>
        <v>0</v>
      </c>
      <c r="AD34" t="str">
        <f>Реестр_План_Факт!AD34</f>
        <v/>
      </c>
      <c r="AE34">
        <f>Реестр_План_Факт!AE34</f>
        <v>0</v>
      </c>
      <c r="AF34">
        <f>Реестр_План_Факт!AF34</f>
        <v>0</v>
      </c>
      <c r="AG34" t="str">
        <f>Реестр_План_Факт!AG34</f>
        <v/>
      </c>
      <c r="AH34">
        <f>Реестр_План_Факт!AH34</f>
        <v>0</v>
      </c>
      <c r="AI34">
        <f>Реестр_План_Факт!AI34</f>
        <v>0</v>
      </c>
      <c r="AJ34" t="str">
        <f>Реестр_План_Факт!AJ34</f>
        <v/>
      </c>
      <c r="AK34">
        <f>Реестр_План_Факт!AK34</f>
        <v>0</v>
      </c>
      <c r="AL34">
        <f>Реестр_План_Факт!AL34</f>
        <v>0</v>
      </c>
      <c r="AM34" t="str">
        <f>Реестр_План_Факт!AM34</f>
        <v/>
      </c>
      <c r="AN34">
        <f>Реестр_План_Факт!AN34</f>
        <v>0</v>
      </c>
      <c r="AO34">
        <f>Реестр_План_Факт!AO34</f>
        <v>0</v>
      </c>
      <c r="AP34" t="str">
        <f>Реестр_План_Факт!AP34</f>
        <v/>
      </c>
      <c r="AQ34">
        <f>Реестр_План_Факт!AQ34</f>
        <v>0</v>
      </c>
    </row>
    <row r="35" spans="1:43" x14ac:dyDescent="0.2">
      <c r="A35" s="201">
        <f>Реестр_План_Факт!A35</f>
        <v>46056</v>
      </c>
      <c r="B35">
        <f>Реестр_План_Факт!B35</f>
        <v>6</v>
      </c>
      <c r="C35">
        <f>Реестр_План_Факт!C35</f>
        <v>2</v>
      </c>
      <c r="D35">
        <f>Реестр_План_Факт!D35</f>
        <v>0</v>
      </c>
      <c r="E35">
        <f>Реестр_План_Факт!E35</f>
        <v>0</v>
      </c>
      <c r="F35" t="str">
        <f>Реестр_План_Факт!F35</f>
        <v/>
      </c>
      <c r="G35">
        <f>Реестр_План_Факт!G35</f>
        <v>0</v>
      </c>
      <c r="H35">
        <f>Реестр_План_Факт!H35</f>
        <v>0</v>
      </c>
      <c r="I35" t="str">
        <f>Реестр_План_Факт!I35</f>
        <v/>
      </c>
      <c r="J35">
        <f>Реестр_План_Факт!J35</f>
        <v>0</v>
      </c>
      <c r="K35">
        <f>Реестр_План_Факт!K35</f>
        <v>0</v>
      </c>
      <c r="L35" t="str">
        <f>Реестр_План_Факт!L35</f>
        <v/>
      </c>
      <c r="M35">
        <f>Реестр_План_Факт!M35</f>
        <v>0</v>
      </c>
      <c r="N35">
        <f>Реестр_План_Факт!N35</f>
        <v>0</v>
      </c>
      <c r="O35" t="str">
        <f>Реестр_План_Факт!O35</f>
        <v/>
      </c>
      <c r="P35">
        <f>Реестр_План_Факт!P35</f>
        <v>0</v>
      </c>
      <c r="Q35">
        <f>Реестр_План_Факт!Q35</f>
        <v>0</v>
      </c>
      <c r="R35" t="str">
        <f>Реестр_План_Факт!R35</f>
        <v/>
      </c>
      <c r="S35">
        <f>Реестр_План_Факт!S35</f>
        <v>0</v>
      </c>
      <c r="T35">
        <f>Реестр_План_Факт!T35</f>
        <v>0</v>
      </c>
      <c r="U35" t="str">
        <f>Реестр_План_Факт!U35</f>
        <v/>
      </c>
      <c r="V35">
        <f>Реестр_План_Факт!V35</f>
        <v>0</v>
      </c>
      <c r="W35">
        <f>Реестр_План_Факт!W35</f>
        <v>0</v>
      </c>
      <c r="X35" t="str">
        <f>Реестр_План_Факт!X35</f>
        <v/>
      </c>
      <c r="Y35">
        <f>Реестр_План_Факт!Y35</f>
        <v>0</v>
      </c>
      <c r="Z35">
        <f>Реестр_План_Факт!Z35</f>
        <v>0</v>
      </c>
      <c r="AA35" t="str">
        <f>Реестр_План_Факт!AA35</f>
        <v/>
      </c>
      <c r="AB35">
        <f>Реестр_План_Факт!AB35</f>
        <v>0</v>
      </c>
      <c r="AC35">
        <f>Реестр_План_Факт!AC35</f>
        <v>0</v>
      </c>
      <c r="AD35" t="str">
        <f>Реестр_План_Факт!AD35</f>
        <v/>
      </c>
      <c r="AE35">
        <f>Реестр_План_Факт!AE35</f>
        <v>0</v>
      </c>
      <c r="AF35">
        <f>Реестр_План_Факт!AF35</f>
        <v>0</v>
      </c>
      <c r="AG35" t="str">
        <f>Реестр_План_Факт!AG35</f>
        <v/>
      </c>
      <c r="AH35">
        <f>Реестр_План_Факт!AH35</f>
        <v>0</v>
      </c>
      <c r="AI35">
        <f>Реестр_План_Факт!AI35</f>
        <v>0</v>
      </c>
      <c r="AJ35" t="str">
        <f>Реестр_План_Факт!AJ35</f>
        <v/>
      </c>
      <c r="AK35">
        <f>Реестр_План_Факт!AK35</f>
        <v>0</v>
      </c>
      <c r="AL35">
        <f>Реестр_План_Факт!AL35</f>
        <v>0</v>
      </c>
      <c r="AM35" t="str">
        <f>Реестр_План_Факт!AM35</f>
        <v/>
      </c>
      <c r="AN35">
        <f>Реестр_План_Факт!AN35</f>
        <v>0</v>
      </c>
      <c r="AO35">
        <f>Реестр_План_Факт!AO35</f>
        <v>0</v>
      </c>
      <c r="AP35" t="str">
        <f>Реестр_План_Факт!AP35</f>
        <v/>
      </c>
      <c r="AQ35">
        <f>Реестр_План_Факт!AQ35</f>
        <v>0</v>
      </c>
    </row>
    <row r="36" spans="1:43" x14ac:dyDescent="0.2">
      <c r="A36" s="201">
        <f>Реестр_План_Факт!A36</f>
        <v>46057</v>
      </c>
      <c r="B36">
        <f>Реестр_План_Факт!B36</f>
        <v>6</v>
      </c>
      <c r="C36">
        <f>Реестр_План_Факт!C36</f>
        <v>2</v>
      </c>
      <c r="D36">
        <f>Реестр_План_Факт!D36</f>
        <v>0</v>
      </c>
      <c r="E36">
        <f>Реестр_План_Факт!E36</f>
        <v>0</v>
      </c>
      <c r="F36" t="str">
        <f>Реестр_План_Факт!F36</f>
        <v/>
      </c>
      <c r="G36">
        <f>Реестр_План_Факт!G36</f>
        <v>0</v>
      </c>
      <c r="H36">
        <f>Реестр_План_Факт!H36</f>
        <v>0</v>
      </c>
      <c r="I36" t="str">
        <f>Реестр_План_Факт!I36</f>
        <v/>
      </c>
      <c r="J36">
        <f>Реестр_План_Факт!J36</f>
        <v>0</v>
      </c>
      <c r="K36">
        <f>Реестр_План_Факт!K36</f>
        <v>0</v>
      </c>
      <c r="L36" t="str">
        <f>Реестр_План_Факт!L36</f>
        <v/>
      </c>
      <c r="M36">
        <f>Реестр_План_Факт!M36</f>
        <v>0</v>
      </c>
      <c r="N36">
        <f>Реестр_План_Факт!N36</f>
        <v>0</v>
      </c>
      <c r="O36" t="str">
        <f>Реестр_План_Факт!O36</f>
        <v/>
      </c>
      <c r="P36">
        <f>Реестр_План_Факт!P36</f>
        <v>0</v>
      </c>
      <c r="Q36">
        <f>Реестр_План_Факт!Q36</f>
        <v>0</v>
      </c>
      <c r="R36" t="str">
        <f>Реестр_План_Факт!R36</f>
        <v/>
      </c>
      <c r="S36">
        <f>Реестр_План_Факт!S36</f>
        <v>0</v>
      </c>
      <c r="T36">
        <f>Реестр_План_Факт!T36</f>
        <v>0</v>
      </c>
      <c r="U36" t="str">
        <f>Реестр_План_Факт!U36</f>
        <v/>
      </c>
      <c r="V36">
        <f>Реестр_План_Факт!V36</f>
        <v>0</v>
      </c>
      <c r="W36">
        <f>Реестр_План_Факт!W36</f>
        <v>0</v>
      </c>
      <c r="X36" t="str">
        <f>Реестр_План_Факт!X36</f>
        <v/>
      </c>
      <c r="Y36">
        <f>Реестр_План_Факт!Y36</f>
        <v>0</v>
      </c>
      <c r="Z36">
        <f>Реестр_План_Факт!Z36</f>
        <v>0</v>
      </c>
      <c r="AA36" t="str">
        <f>Реестр_План_Факт!AA36</f>
        <v/>
      </c>
      <c r="AB36">
        <f>Реестр_План_Факт!AB36</f>
        <v>0</v>
      </c>
      <c r="AC36">
        <f>Реестр_План_Факт!AC36</f>
        <v>0</v>
      </c>
      <c r="AD36" t="str">
        <f>Реестр_План_Факт!AD36</f>
        <v/>
      </c>
      <c r="AE36">
        <f>Реестр_План_Факт!AE36</f>
        <v>0</v>
      </c>
      <c r="AF36">
        <f>Реестр_План_Факт!AF36</f>
        <v>0</v>
      </c>
      <c r="AG36" t="str">
        <f>Реестр_План_Факт!AG36</f>
        <v/>
      </c>
      <c r="AH36">
        <f>Реестр_План_Факт!AH36</f>
        <v>0</v>
      </c>
      <c r="AI36">
        <f>Реестр_План_Факт!AI36</f>
        <v>0</v>
      </c>
      <c r="AJ36" t="str">
        <f>Реестр_План_Факт!AJ36</f>
        <v/>
      </c>
      <c r="AK36">
        <f>Реестр_План_Факт!AK36</f>
        <v>0</v>
      </c>
      <c r="AL36">
        <f>Реестр_План_Факт!AL36</f>
        <v>0</v>
      </c>
      <c r="AM36" t="str">
        <f>Реестр_План_Факт!AM36</f>
        <v/>
      </c>
      <c r="AN36">
        <f>Реестр_План_Факт!AN36</f>
        <v>0</v>
      </c>
      <c r="AO36">
        <f>Реестр_План_Факт!AO36</f>
        <v>0</v>
      </c>
      <c r="AP36" t="str">
        <f>Реестр_План_Факт!AP36</f>
        <v/>
      </c>
      <c r="AQ36">
        <f>Реестр_План_Факт!AQ36</f>
        <v>0</v>
      </c>
    </row>
    <row r="37" spans="1:43" x14ac:dyDescent="0.2">
      <c r="A37" s="201">
        <f>Реестр_План_Факт!A37</f>
        <v>46058</v>
      </c>
      <c r="B37">
        <f>Реестр_План_Факт!B37</f>
        <v>6</v>
      </c>
      <c r="C37">
        <f>Реестр_План_Факт!C37</f>
        <v>2</v>
      </c>
      <c r="D37">
        <f>Реестр_План_Факт!D37</f>
        <v>0</v>
      </c>
      <c r="E37">
        <f>Реестр_План_Факт!E37</f>
        <v>0</v>
      </c>
      <c r="F37" t="str">
        <f>Реестр_План_Факт!F37</f>
        <v/>
      </c>
      <c r="G37">
        <f>Реестр_План_Факт!G37</f>
        <v>0</v>
      </c>
      <c r="H37">
        <f>Реестр_План_Факт!H37</f>
        <v>0</v>
      </c>
      <c r="I37" t="str">
        <f>Реестр_План_Факт!I37</f>
        <v/>
      </c>
      <c r="J37">
        <f>Реестр_План_Факт!J37</f>
        <v>0</v>
      </c>
      <c r="K37">
        <f>Реестр_План_Факт!K37</f>
        <v>0</v>
      </c>
      <c r="L37" t="str">
        <f>Реестр_План_Факт!L37</f>
        <v/>
      </c>
      <c r="M37">
        <f>Реестр_План_Факт!M37</f>
        <v>0</v>
      </c>
      <c r="N37">
        <f>Реестр_План_Факт!N37</f>
        <v>0</v>
      </c>
      <c r="O37" t="str">
        <f>Реестр_План_Факт!O37</f>
        <v/>
      </c>
      <c r="P37">
        <f>Реестр_План_Факт!P37</f>
        <v>0</v>
      </c>
      <c r="Q37">
        <f>Реестр_План_Факт!Q37</f>
        <v>0</v>
      </c>
      <c r="R37" t="str">
        <f>Реестр_План_Факт!R37</f>
        <v/>
      </c>
      <c r="S37">
        <f>Реестр_План_Факт!S37</f>
        <v>0</v>
      </c>
      <c r="T37">
        <f>Реестр_План_Факт!T37</f>
        <v>0</v>
      </c>
      <c r="U37" t="str">
        <f>Реестр_План_Факт!U37</f>
        <v/>
      </c>
      <c r="V37">
        <f>Реестр_План_Факт!V37</f>
        <v>0</v>
      </c>
      <c r="W37">
        <f>Реестр_План_Факт!W37</f>
        <v>0</v>
      </c>
      <c r="X37" t="str">
        <f>Реестр_План_Факт!X37</f>
        <v/>
      </c>
      <c r="Y37">
        <f>Реестр_План_Факт!Y37</f>
        <v>0</v>
      </c>
      <c r="Z37">
        <f>Реестр_План_Факт!Z37</f>
        <v>0</v>
      </c>
      <c r="AA37" t="str">
        <f>Реестр_План_Факт!AA37</f>
        <v/>
      </c>
      <c r="AB37">
        <f>Реестр_План_Факт!AB37</f>
        <v>0</v>
      </c>
      <c r="AC37">
        <f>Реестр_План_Факт!AC37</f>
        <v>0</v>
      </c>
      <c r="AD37" t="str">
        <f>Реестр_План_Факт!AD37</f>
        <v/>
      </c>
      <c r="AE37">
        <f>Реестр_План_Факт!AE37</f>
        <v>0</v>
      </c>
      <c r="AF37">
        <f>Реестр_План_Факт!AF37</f>
        <v>0</v>
      </c>
      <c r="AG37" t="str">
        <f>Реестр_План_Факт!AG37</f>
        <v/>
      </c>
      <c r="AH37">
        <f>Реестр_План_Факт!AH37</f>
        <v>0</v>
      </c>
      <c r="AI37">
        <f>Реестр_План_Факт!AI37</f>
        <v>0</v>
      </c>
      <c r="AJ37" t="str">
        <f>Реестр_План_Факт!AJ37</f>
        <v/>
      </c>
      <c r="AK37">
        <f>Реестр_План_Факт!AK37</f>
        <v>0</v>
      </c>
      <c r="AL37">
        <f>Реестр_План_Факт!AL37</f>
        <v>0</v>
      </c>
      <c r="AM37" t="str">
        <f>Реестр_План_Факт!AM37</f>
        <v/>
      </c>
      <c r="AN37">
        <f>Реестр_План_Факт!AN37</f>
        <v>0</v>
      </c>
      <c r="AO37">
        <f>Реестр_План_Факт!AO37</f>
        <v>0</v>
      </c>
      <c r="AP37" t="str">
        <f>Реестр_План_Факт!AP37</f>
        <v/>
      </c>
      <c r="AQ37">
        <f>Реестр_План_Факт!AQ37</f>
        <v>0</v>
      </c>
    </row>
    <row r="38" spans="1:43" x14ac:dyDescent="0.2">
      <c r="A38" s="201">
        <f>Реестр_План_Факт!A38</f>
        <v>46059</v>
      </c>
      <c r="B38">
        <f>Реестр_План_Факт!B38</f>
        <v>6</v>
      </c>
      <c r="C38">
        <f>Реестр_План_Факт!C38</f>
        <v>2</v>
      </c>
      <c r="D38">
        <f>Реестр_План_Факт!D38</f>
        <v>0</v>
      </c>
      <c r="E38">
        <f>Реестр_План_Факт!E38</f>
        <v>0</v>
      </c>
      <c r="F38" t="str">
        <f>Реестр_План_Факт!F38</f>
        <v/>
      </c>
      <c r="G38">
        <f>Реестр_План_Факт!G38</f>
        <v>0</v>
      </c>
      <c r="H38">
        <f>Реестр_План_Факт!H38</f>
        <v>0</v>
      </c>
      <c r="I38" t="str">
        <f>Реестр_План_Факт!I38</f>
        <v/>
      </c>
      <c r="J38">
        <f>Реестр_План_Факт!J38</f>
        <v>0</v>
      </c>
      <c r="K38">
        <f>Реестр_План_Факт!K38</f>
        <v>0</v>
      </c>
      <c r="L38" t="str">
        <f>Реестр_План_Факт!L38</f>
        <v/>
      </c>
      <c r="M38">
        <f>Реестр_План_Факт!M38</f>
        <v>0</v>
      </c>
      <c r="N38">
        <f>Реестр_План_Факт!N38</f>
        <v>0</v>
      </c>
      <c r="O38" t="str">
        <f>Реестр_План_Факт!O38</f>
        <v/>
      </c>
      <c r="P38">
        <f>Реестр_План_Факт!P38</f>
        <v>0</v>
      </c>
      <c r="Q38">
        <f>Реестр_План_Факт!Q38</f>
        <v>0</v>
      </c>
      <c r="R38" t="str">
        <f>Реестр_План_Факт!R38</f>
        <v/>
      </c>
      <c r="S38">
        <f>Реестр_План_Факт!S38</f>
        <v>0</v>
      </c>
      <c r="T38">
        <f>Реестр_План_Факт!T38</f>
        <v>0</v>
      </c>
      <c r="U38" t="str">
        <f>Реестр_План_Факт!U38</f>
        <v/>
      </c>
      <c r="V38">
        <f>Реестр_План_Факт!V38</f>
        <v>0</v>
      </c>
      <c r="W38">
        <f>Реестр_План_Факт!W38</f>
        <v>0</v>
      </c>
      <c r="X38" t="str">
        <f>Реестр_План_Факт!X38</f>
        <v/>
      </c>
      <c r="Y38">
        <f>Реестр_План_Факт!Y38</f>
        <v>0</v>
      </c>
      <c r="Z38">
        <f>Реестр_План_Факт!Z38</f>
        <v>0</v>
      </c>
      <c r="AA38" t="str">
        <f>Реестр_План_Факт!AA38</f>
        <v/>
      </c>
      <c r="AB38">
        <f>Реестр_План_Факт!AB38</f>
        <v>0</v>
      </c>
      <c r="AC38">
        <f>Реестр_План_Факт!AC38</f>
        <v>0</v>
      </c>
      <c r="AD38" t="str">
        <f>Реестр_План_Факт!AD38</f>
        <v/>
      </c>
      <c r="AE38">
        <f>Реестр_План_Факт!AE38</f>
        <v>0</v>
      </c>
      <c r="AF38">
        <f>Реестр_План_Факт!AF38</f>
        <v>0</v>
      </c>
      <c r="AG38" t="str">
        <f>Реестр_План_Факт!AG38</f>
        <v/>
      </c>
      <c r="AH38">
        <f>Реестр_План_Факт!AH38</f>
        <v>0</v>
      </c>
      <c r="AI38">
        <f>Реестр_План_Факт!AI38</f>
        <v>0</v>
      </c>
      <c r="AJ38" t="str">
        <f>Реестр_План_Факт!AJ38</f>
        <v/>
      </c>
      <c r="AK38">
        <f>Реестр_План_Факт!AK38</f>
        <v>0</v>
      </c>
      <c r="AL38">
        <f>Реестр_План_Факт!AL38</f>
        <v>0</v>
      </c>
      <c r="AM38" t="str">
        <f>Реестр_План_Факт!AM38</f>
        <v/>
      </c>
      <c r="AN38">
        <f>Реестр_План_Факт!AN38</f>
        <v>0</v>
      </c>
      <c r="AO38">
        <f>Реестр_План_Факт!AO38</f>
        <v>0</v>
      </c>
      <c r="AP38" t="str">
        <f>Реестр_План_Факт!AP38</f>
        <v/>
      </c>
      <c r="AQ38">
        <f>Реестр_План_Факт!AQ38</f>
        <v>0</v>
      </c>
    </row>
    <row r="39" spans="1:43" x14ac:dyDescent="0.2">
      <c r="A39" s="201">
        <f>Реестр_План_Факт!A39</f>
        <v>46060</v>
      </c>
      <c r="B39">
        <f>Реестр_План_Факт!B39</f>
        <v>6</v>
      </c>
      <c r="C39">
        <f>Реестр_План_Факт!C39</f>
        <v>2</v>
      </c>
      <c r="D39">
        <f>Реестр_План_Факт!D39</f>
        <v>0</v>
      </c>
      <c r="E39">
        <f>Реестр_План_Факт!E39</f>
        <v>0</v>
      </c>
      <c r="F39" t="str">
        <f>Реестр_План_Факт!F39</f>
        <v/>
      </c>
      <c r="G39">
        <f>Реестр_План_Факт!G39</f>
        <v>0</v>
      </c>
      <c r="H39">
        <f>Реестр_План_Факт!H39</f>
        <v>0</v>
      </c>
      <c r="I39" t="str">
        <f>Реестр_План_Факт!I39</f>
        <v/>
      </c>
      <c r="J39">
        <f>Реестр_План_Факт!J39</f>
        <v>0</v>
      </c>
      <c r="K39">
        <f>Реестр_План_Факт!K39</f>
        <v>0</v>
      </c>
      <c r="L39" t="str">
        <f>Реестр_План_Факт!L39</f>
        <v/>
      </c>
      <c r="M39">
        <f>Реестр_План_Факт!M39</f>
        <v>0</v>
      </c>
      <c r="N39">
        <f>Реестр_План_Факт!N39</f>
        <v>0</v>
      </c>
      <c r="O39" t="str">
        <f>Реестр_План_Факт!O39</f>
        <v/>
      </c>
      <c r="P39">
        <f>Реестр_План_Факт!P39</f>
        <v>0</v>
      </c>
      <c r="Q39">
        <f>Реестр_План_Факт!Q39</f>
        <v>0</v>
      </c>
      <c r="R39" t="str">
        <f>Реестр_План_Факт!R39</f>
        <v/>
      </c>
      <c r="S39">
        <f>Реестр_План_Факт!S39</f>
        <v>0</v>
      </c>
      <c r="T39">
        <f>Реестр_План_Факт!T39</f>
        <v>0</v>
      </c>
      <c r="U39" t="str">
        <f>Реестр_План_Факт!U39</f>
        <v/>
      </c>
      <c r="V39">
        <f>Реестр_План_Факт!V39</f>
        <v>0</v>
      </c>
      <c r="W39">
        <f>Реестр_План_Факт!W39</f>
        <v>0</v>
      </c>
      <c r="X39" t="str">
        <f>Реестр_План_Факт!X39</f>
        <v/>
      </c>
      <c r="Y39">
        <f>Реестр_План_Факт!Y39</f>
        <v>0</v>
      </c>
      <c r="Z39">
        <f>Реестр_План_Факт!Z39</f>
        <v>0</v>
      </c>
      <c r="AA39" t="str">
        <f>Реестр_План_Факт!AA39</f>
        <v/>
      </c>
      <c r="AB39">
        <f>Реестр_План_Факт!AB39</f>
        <v>0</v>
      </c>
      <c r="AC39">
        <f>Реестр_План_Факт!AC39</f>
        <v>0</v>
      </c>
      <c r="AD39" t="str">
        <f>Реестр_План_Факт!AD39</f>
        <v/>
      </c>
      <c r="AE39">
        <f>Реестр_План_Факт!AE39</f>
        <v>0</v>
      </c>
      <c r="AF39">
        <f>Реестр_План_Факт!AF39</f>
        <v>0</v>
      </c>
      <c r="AG39" t="str">
        <f>Реестр_План_Факт!AG39</f>
        <v/>
      </c>
      <c r="AH39">
        <f>Реестр_План_Факт!AH39</f>
        <v>0</v>
      </c>
      <c r="AI39">
        <f>Реестр_План_Факт!AI39</f>
        <v>0</v>
      </c>
      <c r="AJ39" t="str">
        <f>Реестр_План_Факт!AJ39</f>
        <v/>
      </c>
      <c r="AK39">
        <f>Реестр_План_Факт!AK39</f>
        <v>0</v>
      </c>
      <c r="AL39">
        <f>Реестр_План_Факт!AL39</f>
        <v>0</v>
      </c>
      <c r="AM39" t="str">
        <f>Реестр_План_Факт!AM39</f>
        <v/>
      </c>
      <c r="AN39">
        <f>Реестр_План_Факт!AN39</f>
        <v>0</v>
      </c>
      <c r="AO39">
        <f>Реестр_План_Факт!AO39</f>
        <v>0</v>
      </c>
      <c r="AP39" t="str">
        <f>Реестр_План_Факт!AP39</f>
        <v/>
      </c>
      <c r="AQ39">
        <f>Реестр_План_Факт!AQ39</f>
        <v>0</v>
      </c>
    </row>
    <row r="40" spans="1:43" x14ac:dyDescent="0.2">
      <c r="A40" s="201">
        <f>Реестр_План_Факт!A40</f>
        <v>46061</v>
      </c>
      <c r="B40">
        <f>Реестр_План_Факт!B40</f>
        <v>6</v>
      </c>
      <c r="C40">
        <f>Реестр_План_Факт!C40</f>
        <v>2</v>
      </c>
      <c r="D40">
        <f>Реестр_План_Факт!D40</f>
        <v>0</v>
      </c>
      <c r="E40">
        <f>Реестр_План_Факт!E40</f>
        <v>0</v>
      </c>
      <c r="F40" t="str">
        <f>Реестр_План_Факт!F40</f>
        <v/>
      </c>
      <c r="G40">
        <f>Реестр_План_Факт!G40</f>
        <v>0</v>
      </c>
      <c r="H40">
        <f>Реестр_План_Факт!H40</f>
        <v>0</v>
      </c>
      <c r="I40" t="str">
        <f>Реестр_План_Факт!I40</f>
        <v/>
      </c>
      <c r="J40">
        <f>Реестр_План_Факт!J40</f>
        <v>0</v>
      </c>
      <c r="K40">
        <f>Реестр_План_Факт!K40</f>
        <v>0</v>
      </c>
      <c r="L40" t="str">
        <f>Реестр_План_Факт!L40</f>
        <v/>
      </c>
      <c r="M40">
        <f>Реестр_План_Факт!M40</f>
        <v>0</v>
      </c>
      <c r="N40">
        <f>Реестр_План_Факт!N40</f>
        <v>0</v>
      </c>
      <c r="O40" t="str">
        <f>Реестр_План_Факт!O40</f>
        <v/>
      </c>
      <c r="P40">
        <f>Реестр_План_Факт!P40</f>
        <v>0</v>
      </c>
      <c r="Q40">
        <f>Реестр_План_Факт!Q40</f>
        <v>0</v>
      </c>
      <c r="R40" t="str">
        <f>Реестр_План_Факт!R40</f>
        <v/>
      </c>
      <c r="S40">
        <f>Реестр_План_Факт!S40</f>
        <v>0</v>
      </c>
      <c r="T40">
        <f>Реестр_План_Факт!T40</f>
        <v>0</v>
      </c>
      <c r="U40" t="str">
        <f>Реестр_План_Факт!U40</f>
        <v/>
      </c>
      <c r="V40">
        <f>Реестр_План_Факт!V40</f>
        <v>0</v>
      </c>
      <c r="W40">
        <f>Реестр_План_Факт!W40</f>
        <v>0</v>
      </c>
      <c r="X40" t="str">
        <f>Реестр_План_Факт!X40</f>
        <v/>
      </c>
      <c r="Y40">
        <f>Реестр_План_Факт!Y40</f>
        <v>0</v>
      </c>
      <c r="Z40">
        <f>Реестр_План_Факт!Z40</f>
        <v>0</v>
      </c>
      <c r="AA40" t="str">
        <f>Реестр_План_Факт!AA40</f>
        <v/>
      </c>
      <c r="AB40">
        <f>Реестр_План_Факт!AB40</f>
        <v>0</v>
      </c>
      <c r="AC40">
        <f>Реестр_План_Факт!AC40</f>
        <v>0</v>
      </c>
      <c r="AD40" t="str">
        <f>Реестр_План_Факт!AD40</f>
        <v/>
      </c>
      <c r="AE40">
        <f>Реестр_План_Факт!AE40</f>
        <v>0</v>
      </c>
      <c r="AF40">
        <f>Реестр_План_Факт!AF40</f>
        <v>0</v>
      </c>
      <c r="AG40" t="str">
        <f>Реестр_План_Факт!AG40</f>
        <v/>
      </c>
      <c r="AH40">
        <f>Реестр_План_Факт!AH40</f>
        <v>0</v>
      </c>
      <c r="AI40">
        <f>Реестр_План_Факт!AI40</f>
        <v>0</v>
      </c>
      <c r="AJ40" t="str">
        <f>Реестр_План_Факт!AJ40</f>
        <v/>
      </c>
      <c r="AK40">
        <f>Реестр_План_Факт!AK40</f>
        <v>0</v>
      </c>
      <c r="AL40">
        <f>Реестр_План_Факт!AL40</f>
        <v>0</v>
      </c>
      <c r="AM40" t="str">
        <f>Реестр_План_Факт!AM40</f>
        <v/>
      </c>
      <c r="AN40">
        <f>Реестр_План_Факт!AN40</f>
        <v>0</v>
      </c>
      <c r="AO40">
        <f>Реестр_План_Факт!AO40</f>
        <v>0</v>
      </c>
      <c r="AP40" t="str">
        <f>Реестр_План_Факт!AP40</f>
        <v/>
      </c>
      <c r="AQ40">
        <f>Реестр_План_Факт!AQ40</f>
        <v>0</v>
      </c>
    </row>
    <row r="41" spans="1:43" x14ac:dyDescent="0.2">
      <c r="A41" s="201">
        <f>Реестр_План_Факт!A41</f>
        <v>46062</v>
      </c>
      <c r="B41">
        <f>Реестр_План_Факт!B41</f>
        <v>7</v>
      </c>
      <c r="C41">
        <f>Реестр_План_Факт!C41</f>
        <v>2</v>
      </c>
      <c r="D41">
        <f>Реестр_План_Факт!D41</f>
        <v>0</v>
      </c>
      <c r="E41">
        <f>Реестр_План_Факт!E41</f>
        <v>0</v>
      </c>
      <c r="F41" t="str">
        <f>Реестр_План_Факт!F41</f>
        <v/>
      </c>
      <c r="G41">
        <f>Реестр_План_Факт!G41</f>
        <v>0</v>
      </c>
      <c r="H41">
        <f>Реестр_План_Факт!H41</f>
        <v>0</v>
      </c>
      <c r="I41" t="str">
        <f>Реестр_План_Факт!I41</f>
        <v/>
      </c>
      <c r="J41">
        <f>Реестр_План_Факт!J41</f>
        <v>0</v>
      </c>
      <c r="K41">
        <f>Реестр_План_Факт!K41</f>
        <v>0</v>
      </c>
      <c r="L41" t="str">
        <f>Реестр_План_Факт!L41</f>
        <v/>
      </c>
      <c r="M41">
        <f>Реестр_План_Факт!M41</f>
        <v>0</v>
      </c>
      <c r="N41">
        <f>Реестр_План_Факт!N41</f>
        <v>0</v>
      </c>
      <c r="O41" t="str">
        <f>Реестр_План_Факт!O41</f>
        <v/>
      </c>
      <c r="P41">
        <f>Реестр_План_Факт!P41</f>
        <v>0</v>
      </c>
      <c r="Q41">
        <f>Реестр_План_Факт!Q41</f>
        <v>0</v>
      </c>
      <c r="R41" t="str">
        <f>Реестр_План_Факт!R41</f>
        <v/>
      </c>
      <c r="S41">
        <f>Реестр_План_Факт!S41</f>
        <v>0</v>
      </c>
      <c r="T41">
        <f>Реестр_План_Факт!T41</f>
        <v>0</v>
      </c>
      <c r="U41" t="str">
        <f>Реестр_План_Факт!U41</f>
        <v/>
      </c>
      <c r="V41">
        <f>Реестр_План_Факт!V41</f>
        <v>0</v>
      </c>
      <c r="W41">
        <f>Реестр_План_Факт!W41</f>
        <v>0</v>
      </c>
      <c r="X41" t="str">
        <f>Реестр_План_Факт!X41</f>
        <v/>
      </c>
      <c r="Y41">
        <f>Реестр_План_Факт!Y41</f>
        <v>0</v>
      </c>
      <c r="Z41">
        <f>Реестр_План_Факт!Z41</f>
        <v>0</v>
      </c>
      <c r="AA41" t="str">
        <f>Реестр_План_Факт!AA41</f>
        <v/>
      </c>
      <c r="AB41">
        <f>Реестр_План_Факт!AB41</f>
        <v>0</v>
      </c>
      <c r="AC41">
        <f>Реестр_План_Факт!AC41</f>
        <v>0</v>
      </c>
      <c r="AD41" t="str">
        <f>Реестр_План_Факт!AD41</f>
        <v/>
      </c>
      <c r="AE41">
        <f>Реестр_План_Факт!AE41</f>
        <v>0</v>
      </c>
      <c r="AF41">
        <f>Реестр_План_Факт!AF41</f>
        <v>0</v>
      </c>
      <c r="AG41" t="str">
        <f>Реестр_План_Факт!AG41</f>
        <v/>
      </c>
      <c r="AH41">
        <f>Реестр_План_Факт!AH41</f>
        <v>0</v>
      </c>
      <c r="AI41">
        <f>Реестр_План_Факт!AI41</f>
        <v>0</v>
      </c>
      <c r="AJ41" t="str">
        <f>Реестр_План_Факт!AJ41</f>
        <v/>
      </c>
      <c r="AK41">
        <f>Реестр_План_Факт!AK41</f>
        <v>0</v>
      </c>
      <c r="AL41">
        <f>Реестр_План_Факт!AL41</f>
        <v>0</v>
      </c>
      <c r="AM41" t="str">
        <f>Реестр_План_Факт!AM41</f>
        <v/>
      </c>
      <c r="AN41">
        <f>Реестр_План_Факт!AN41</f>
        <v>0</v>
      </c>
      <c r="AO41">
        <f>Реестр_План_Факт!AO41</f>
        <v>0</v>
      </c>
      <c r="AP41" t="str">
        <f>Реестр_План_Факт!AP41</f>
        <v/>
      </c>
      <c r="AQ41">
        <f>Реестр_План_Факт!AQ41</f>
        <v>0</v>
      </c>
    </row>
    <row r="42" spans="1:43" x14ac:dyDescent="0.2">
      <c r="A42" s="201">
        <f>Реестр_План_Факт!A42</f>
        <v>46063</v>
      </c>
      <c r="B42">
        <f>Реестр_План_Факт!B42</f>
        <v>7</v>
      </c>
      <c r="C42">
        <f>Реестр_План_Факт!C42</f>
        <v>2</v>
      </c>
      <c r="D42">
        <f>Реестр_План_Факт!D42</f>
        <v>0</v>
      </c>
      <c r="E42">
        <f>Реестр_План_Факт!E42</f>
        <v>0</v>
      </c>
      <c r="F42" t="str">
        <f>Реестр_План_Факт!F42</f>
        <v/>
      </c>
      <c r="G42">
        <f>Реестр_План_Факт!G42</f>
        <v>0</v>
      </c>
      <c r="H42">
        <f>Реестр_План_Факт!H42</f>
        <v>0</v>
      </c>
      <c r="I42" t="str">
        <f>Реестр_План_Факт!I42</f>
        <v/>
      </c>
      <c r="J42">
        <f>Реестр_План_Факт!J42</f>
        <v>0</v>
      </c>
      <c r="K42">
        <f>Реестр_План_Факт!K42</f>
        <v>0</v>
      </c>
      <c r="L42" t="str">
        <f>Реестр_План_Факт!L42</f>
        <v/>
      </c>
      <c r="M42">
        <f>Реестр_План_Факт!M42</f>
        <v>0</v>
      </c>
      <c r="N42">
        <f>Реестр_План_Факт!N42</f>
        <v>0</v>
      </c>
      <c r="O42" t="str">
        <f>Реестр_План_Факт!O42</f>
        <v/>
      </c>
      <c r="P42">
        <f>Реестр_План_Факт!P42</f>
        <v>0</v>
      </c>
      <c r="Q42">
        <f>Реестр_План_Факт!Q42</f>
        <v>0</v>
      </c>
      <c r="R42" t="str">
        <f>Реестр_План_Факт!R42</f>
        <v/>
      </c>
      <c r="S42">
        <f>Реестр_План_Факт!S42</f>
        <v>0</v>
      </c>
      <c r="T42">
        <f>Реестр_План_Факт!T42</f>
        <v>0</v>
      </c>
      <c r="U42" t="str">
        <f>Реестр_План_Факт!U42</f>
        <v/>
      </c>
      <c r="V42">
        <f>Реестр_План_Факт!V42</f>
        <v>0</v>
      </c>
      <c r="W42">
        <f>Реестр_План_Факт!W42</f>
        <v>0</v>
      </c>
      <c r="X42" t="str">
        <f>Реестр_План_Факт!X42</f>
        <v/>
      </c>
      <c r="Y42">
        <f>Реестр_План_Факт!Y42</f>
        <v>0</v>
      </c>
      <c r="Z42">
        <f>Реестр_План_Факт!Z42</f>
        <v>0</v>
      </c>
      <c r="AA42" t="str">
        <f>Реестр_План_Факт!AA42</f>
        <v/>
      </c>
      <c r="AB42">
        <f>Реестр_План_Факт!AB42</f>
        <v>0</v>
      </c>
      <c r="AC42">
        <f>Реестр_План_Факт!AC42</f>
        <v>0</v>
      </c>
      <c r="AD42" t="str">
        <f>Реестр_План_Факт!AD42</f>
        <v/>
      </c>
      <c r="AE42">
        <f>Реестр_План_Факт!AE42</f>
        <v>0</v>
      </c>
      <c r="AF42">
        <f>Реестр_План_Факт!AF42</f>
        <v>0</v>
      </c>
      <c r="AG42" t="str">
        <f>Реестр_План_Факт!AG42</f>
        <v/>
      </c>
      <c r="AH42">
        <f>Реестр_План_Факт!AH42</f>
        <v>0</v>
      </c>
      <c r="AI42">
        <f>Реестр_План_Факт!AI42</f>
        <v>0</v>
      </c>
      <c r="AJ42" t="str">
        <f>Реестр_План_Факт!AJ42</f>
        <v/>
      </c>
      <c r="AK42">
        <f>Реестр_План_Факт!AK42</f>
        <v>0</v>
      </c>
      <c r="AL42">
        <f>Реестр_План_Факт!AL42</f>
        <v>0</v>
      </c>
      <c r="AM42" t="str">
        <f>Реестр_План_Факт!AM42</f>
        <v/>
      </c>
      <c r="AN42">
        <f>Реестр_План_Факт!AN42</f>
        <v>0</v>
      </c>
      <c r="AO42">
        <f>Реестр_План_Факт!AO42</f>
        <v>0</v>
      </c>
      <c r="AP42" t="str">
        <f>Реестр_План_Факт!AP42</f>
        <v/>
      </c>
      <c r="AQ42">
        <f>Реестр_План_Факт!AQ42</f>
        <v>0</v>
      </c>
    </row>
    <row r="43" spans="1:43" x14ac:dyDescent="0.2">
      <c r="A43" s="201">
        <f>Реестр_План_Факт!A43</f>
        <v>46064</v>
      </c>
      <c r="B43">
        <f>Реестр_План_Факт!B43</f>
        <v>7</v>
      </c>
      <c r="C43">
        <f>Реестр_План_Факт!C43</f>
        <v>2</v>
      </c>
      <c r="D43">
        <f>Реестр_План_Факт!D43</f>
        <v>0</v>
      </c>
      <c r="E43">
        <f>Реестр_План_Факт!E43</f>
        <v>0</v>
      </c>
      <c r="F43" t="str">
        <f>Реестр_План_Факт!F43</f>
        <v/>
      </c>
      <c r="G43">
        <f>Реестр_План_Факт!G43</f>
        <v>0</v>
      </c>
      <c r="H43">
        <f>Реестр_План_Факт!H43</f>
        <v>0</v>
      </c>
      <c r="I43" t="str">
        <f>Реестр_План_Факт!I43</f>
        <v/>
      </c>
      <c r="J43">
        <f>Реестр_План_Факт!J43</f>
        <v>0</v>
      </c>
      <c r="K43">
        <f>Реестр_План_Факт!K43</f>
        <v>0</v>
      </c>
      <c r="L43" t="str">
        <f>Реестр_План_Факт!L43</f>
        <v/>
      </c>
      <c r="M43">
        <f>Реестр_План_Факт!M43</f>
        <v>0</v>
      </c>
      <c r="N43">
        <f>Реестр_План_Факт!N43</f>
        <v>0</v>
      </c>
      <c r="O43" t="str">
        <f>Реестр_План_Факт!O43</f>
        <v/>
      </c>
      <c r="P43">
        <f>Реестр_План_Факт!P43</f>
        <v>0</v>
      </c>
      <c r="Q43">
        <f>Реестр_План_Факт!Q43</f>
        <v>0</v>
      </c>
      <c r="R43" t="str">
        <f>Реестр_План_Факт!R43</f>
        <v/>
      </c>
      <c r="S43">
        <f>Реестр_План_Факт!S43</f>
        <v>0</v>
      </c>
      <c r="T43">
        <f>Реестр_План_Факт!T43</f>
        <v>0</v>
      </c>
      <c r="U43" t="str">
        <f>Реестр_План_Факт!U43</f>
        <v/>
      </c>
      <c r="V43">
        <f>Реестр_План_Факт!V43</f>
        <v>0</v>
      </c>
      <c r="W43">
        <f>Реестр_План_Факт!W43</f>
        <v>0</v>
      </c>
      <c r="X43" t="str">
        <f>Реестр_План_Факт!X43</f>
        <v/>
      </c>
      <c r="Y43">
        <f>Реестр_План_Факт!Y43</f>
        <v>0</v>
      </c>
      <c r="Z43">
        <f>Реестр_План_Факт!Z43</f>
        <v>0</v>
      </c>
      <c r="AA43" t="str">
        <f>Реестр_План_Факт!AA43</f>
        <v/>
      </c>
      <c r="AB43">
        <f>Реестр_План_Факт!AB43</f>
        <v>0</v>
      </c>
      <c r="AC43">
        <f>Реестр_План_Факт!AC43</f>
        <v>0</v>
      </c>
      <c r="AD43" t="str">
        <f>Реестр_План_Факт!AD43</f>
        <v/>
      </c>
      <c r="AE43">
        <f>Реестр_План_Факт!AE43</f>
        <v>0</v>
      </c>
      <c r="AF43">
        <f>Реестр_План_Факт!AF43</f>
        <v>0</v>
      </c>
      <c r="AG43" t="str">
        <f>Реестр_План_Факт!AG43</f>
        <v/>
      </c>
      <c r="AH43">
        <f>Реестр_План_Факт!AH43</f>
        <v>0</v>
      </c>
      <c r="AI43">
        <f>Реестр_План_Факт!AI43</f>
        <v>0</v>
      </c>
      <c r="AJ43" t="str">
        <f>Реестр_План_Факт!AJ43</f>
        <v/>
      </c>
      <c r="AK43">
        <f>Реестр_План_Факт!AK43</f>
        <v>0</v>
      </c>
      <c r="AL43">
        <f>Реестр_План_Факт!AL43</f>
        <v>0</v>
      </c>
      <c r="AM43" t="str">
        <f>Реестр_План_Факт!AM43</f>
        <v/>
      </c>
      <c r="AN43">
        <f>Реестр_План_Факт!AN43</f>
        <v>0</v>
      </c>
      <c r="AO43">
        <f>Реестр_План_Факт!AO43</f>
        <v>0</v>
      </c>
      <c r="AP43" t="str">
        <f>Реестр_План_Факт!AP43</f>
        <v/>
      </c>
      <c r="AQ43">
        <f>Реестр_План_Факт!AQ43</f>
        <v>0</v>
      </c>
    </row>
    <row r="44" spans="1:43" x14ac:dyDescent="0.2">
      <c r="A44" s="201">
        <f>Реестр_План_Факт!A44</f>
        <v>46065</v>
      </c>
      <c r="B44">
        <f>Реестр_План_Факт!B44</f>
        <v>7</v>
      </c>
      <c r="C44">
        <f>Реестр_План_Факт!C44</f>
        <v>2</v>
      </c>
      <c r="D44">
        <f>Реестр_План_Факт!D44</f>
        <v>0</v>
      </c>
      <c r="E44">
        <f>Реестр_План_Факт!E44</f>
        <v>0</v>
      </c>
      <c r="F44" t="str">
        <f>Реестр_План_Факт!F44</f>
        <v/>
      </c>
      <c r="G44">
        <f>Реестр_План_Факт!G44</f>
        <v>0</v>
      </c>
      <c r="H44">
        <f>Реестр_План_Факт!H44</f>
        <v>0</v>
      </c>
      <c r="I44" t="str">
        <f>Реестр_План_Факт!I44</f>
        <v/>
      </c>
      <c r="J44">
        <f>Реестр_План_Факт!J44</f>
        <v>0</v>
      </c>
      <c r="K44">
        <f>Реестр_План_Факт!K44</f>
        <v>0</v>
      </c>
      <c r="L44" t="str">
        <f>Реестр_План_Факт!L44</f>
        <v/>
      </c>
      <c r="M44">
        <f>Реестр_План_Факт!M44</f>
        <v>0</v>
      </c>
      <c r="N44">
        <f>Реестр_План_Факт!N44</f>
        <v>0</v>
      </c>
      <c r="O44" t="str">
        <f>Реестр_План_Факт!O44</f>
        <v/>
      </c>
      <c r="P44">
        <f>Реестр_План_Факт!P44</f>
        <v>0</v>
      </c>
      <c r="Q44">
        <f>Реестр_План_Факт!Q44</f>
        <v>0</v>
      </c>
      <c r="R44" t="str">
        <f>Реестр_План_Факт!R44</f>
        <v/>
      </c>
      <c r="S44">
        <f>Реестр_План_Факт!S44</f>
        <v>0</v>
      </c>
      <c r="T44">
        <f>Реестр_План_Факт!T44</f>
        <v>0</v>
      </c>
      <c r="U44" t="str">
        <f>Реестр_План_Факт!U44</f>
        <v/>
      </c>
      <c r="V44">
        <f>Реестр_План_Факт!V44</f>
        <v>0</v>
      </c>
      <c r="W44">
        <f>Реестр_План_Факт!W44</f>
        <v>0</v>
      </c>
      <c r="X44" t="str">
        <f>Реестр_План_Факт!X44</f>
        <v/>
      </c>
      <c r="Y44">
        <f>Реестр_План_Факт!Y44</f>
        <v>0</v>
      </c>
      <c r="Z44">
        <f>Реестр_План_Факт!Z44</f>
        <v>0</v>
      </c>
      <c r="AA44" t="str">
        <f>Реестр_План_Факт!AA44</f>
        <v/>
      </c>
      <c r="AB44">
        <f>Реестр_План_Факт!AB44</f>
        <v>0</v>
      </c>
      <c r="AC44">
        <f>Реестр_План_Факт!AC44</f>
        <v>0</v>
      </c>
      <c r="AD44" t="str">
        <f>Реестр_План_Факт!AD44</f>
        <v/>
      </c>
      <c r="AE44">
        <f>Реестр_План_Факт!AE44</f>
        <v>0</v>
      </c>
      <c r="AF44">
        <f>Реестр_План_Факт!AF44</f>
        <v>0</v>
      </c>
      <c r="AG44" t="str">
        <f>Реестр_План_Факт!AG44</f>
        <v/>
      </c>
      <c r="AH44">
        <f>Реестр_План_Факт!AH44</f>
        <v>0</v>
      </c>
      <c r="AI44">
        <f>Реестр_План_Факт!AI44</f>
        <v>0</v>
      </c>
      <c r="AJ44" t="str">
        <f>Реестр_План_Факт!AJ44</f>
        <v/>
      </c>
      <c r="AK44">
        <f>Реестр_План_Факт!AK44</f>
        <v>0</v>
      </c>
      <c r="AL44">
        <f>Реестр_План_Факт!AL44</f>
        <v>0</v>
      </c>
      <c r="AM44" t="str">
        <f>Реестр_План_Факт!AM44</f>
        <v/>
      </c>
      <c r="AN44">
        <f>Реестр_План_Факт!AN44</f>
        <v>0</v>
      </c>
      <c r="AO44">
        <f>Реестр_План_Факт!AO44</f>
        <v>0</v>
      </c>
      <c r="AP44" t="str">
        <f>Реестр_План_Факт!AP44</f>
        <v/>
      </c>
      <c r="AQ44">
        <f>Реестр_План_Факт!AQ44</f>
        <v>0</v>
      </c>
    </row>
    <row r="45" spans="1:43" x14ac:dyDescent="0.2">
      <c r="A45" s="201">
        <f>Реестр_План_Факт!A45</f>
        <v>46066</v>
      </c>
      <c r="B45">
        <f>Реестр_План_Факт!B45</f>
        <v>7</v>
      </c>
      <c r="C45">
        <f>Реестр_План_Факт!C45</f>
        <v>2</v>
      </c>
      <c r="D45">
        <f>Реестр_План_Факт!D45</f>
        <v>0</v>
      </c>
      <c r="E45">
        <f>Реестр_План_Факт!E45</f>
        <v>0</v>
      </c>
      <c r="F45" t="str">
        <f>Реестр_План_Факт!F45</f>
        <v/>
      </c>
      <c r="G45">
        <f>Реестр_План_Факт!G45</f>
        <v>0</v>
      </c>
      <c r="H45">
        <f>Реестр_План_Факт!H45</f>
        <v>0</v>
      </c>
      <c r="I45" t="str">
        <f>Реестр_План_Факт!I45</f>
        <v/>
      </c>
      <c r="J45">
        <f>Реестр_План_Факт!J45</f>
        <v>0</v>
      </c>
      <c r="K45">
        <f>Реестр_План_Факт!K45</f>
        <v>0</v>
      </c>
      <c r="L45" t="str">
        <f>Реестр_План_Факт!L45</f>
        <v/>
      </c>
      <c r="M45">
        <f>Реестр_План_Факт!M45</f>
        <v>0</v>
      </c>
      <c r="N45">
        <f>Реестр_План_Факт!N45</f>
        <v>0</v>
      </c>
      <c r="O45" t="str">
        <f>Реестр_План_Факт!O45</f>
        <v/>
      </c>
      <c r="P45">
        <f>Реестр_План_Факт!P45</f>
        <v>0</v>
      </c>
      <c r="Q45">
        <f>Реестр_План_Факт!Q45</f>
        <v>0</v>
      </c>
      <c r="R45" t="str">
        <f>Реестр_План_Факт!R45</f>
        <v/>
      </c>
      <c r="S45">
        <f>Реестр_План_Факт!S45</f>
        <v>0</v>
      </c>
      <c r="T45">
        <f>Реестр_План_Факт!T45</f>
        <v>0</v>
      </c>
      <c r="U45" t="str">
        <f>Реестр_План_Факт!U45</f>
        <v/>
      </c>
      <c r="V45">
        <f>Реестр_План_Факт!V45</f>
        <v>0</v>
      </c>
      <c r="W45">
        <f>Реестр_План_Факт!W45</f>
        <v>0</v>
      </c>
      <c r="X45" t="str">
        <f>Реестр_План_Факт!X45</f>
        <v/>
      </c>
      <c r="Y45">
        <f>Реестр_План_Факт!Y45</f>
        <v>0</v>
      </c>
      <c r="Z45">
        <f>Реестр_План_Факт!Z45</f>
        <v>0</v>
      </c>
      <c r="AA45" t="str">
        <f>Реестр_План_Факт!AA45</f>
        <v/>
      </c>
      <c r="AB45">
        <f>Реестр_План_Факт!AB45</f>
        <v>0</v>
      </c>
      <c r="AC45">
        <f>Реестр_План_Факт!AC45</f>
        <v>0</v>
      </c>
      <c r="AD45" t="str">
        <f>Реестр_План_Факт!AD45</f>
        <v/>
      </c>
      <c r="AE45">
        <f>Реестр_План_Факт!AE45</f>
        <v>0</v>
      </c>
      <c r="AF45">
        <f>Реестр_План_Факт!AF45</f>
        <v>0</v>
      </c>
      <c r="AG45" t="str">
        <f>Реестр_План_Факт!AG45</f>
        <v/>
      </c>
      <c r="AH45">
        <f>Реестр_План_Факт!AH45</f>
        <v>0</v>
      </c>
      <c r="AI45">
        <f>Реестр_План_Факт!AI45</f>
        <v>0</v>
      </c>
      <c r="AJ45" t="str">
        <f>Реестр_План_Факт!AJ45</f>
        <v/>
      </c>
      <c r="AK45">
        <f>Реестр_План_Факт!AK45</f>
        <v>0</v>
      </c>
      <c r="AL45">
        <f>Реестр_План_Факт!AL45</f>
        <v>0</v>
      </c>
      <c r="AM45" t="str">
        <f>Реестр_План_Факт!AM45</f>
        <v/>
      </c>
      <c r="AN45">
        <f>Реестр_План_Факт!AN45</f>
        <v>0</v>
      </c>
      <c r="AO45">
        <f>Реестр_План_Факт!AO45</f>
        <v>0</v>
      </c>
      <c r="AP45" t="str">
        <f>Реестр_План_Факт!AP45</f>
        <v/>
      </c>
      <c r="AQ45">
        <f>Реестр_План_Факт!AQ45</f>
        <v>0</v>
      </c>
    </row>
    <row r="46" spans="1:43" x14ac:dyDescent="0.2">
      <c r="A46" s="201">
        <f>Реестр_План_Факт!A46</f>
        <v>46067</v>
      </c>
      <c r="B46">
        <f>Реестр_План_Факт!B46</f>
        <v>7</v>
      </c>
      <c r="C46">
        <f>Реестр_План_Факт!C46</f>
        <v>2</v>
      </c>
      <c r="D46">
        <f>Реестр_План_Факт!D46</f>
        <v>0</v>
      </c>
      <c r="E46">
        <f>Реестр_План_Факт!E46</f>
        <v>0</v>
      </c>
      <c r="F46" t="str">
        <f>Реестр_План_Факт!F46</f>
        <v/>
      </c>
      <c r="G46">
        <f>Реестр_План_Факт!G46</f>
        <v>0</v>
      </c>
      <c r="H46">
        <f>Реестр_План_Факт!H46</f>
        <v>0</v>
      </c>
      <c r="I46" t="str">
        <f>Реестр_План_Факт!I46</f>
        <v/>
      </c>
      <c r="J46">
        <f>Реестр_План_Факт!J46</f>
        <v>0</v>
      </c>
      <c r="K46">
        <f>Реестр_План_Факт!K46</f>
        <v>0</v>
      </c>
      <c r="L46" t="str">
        <f>Реестр_План_Факт!L46</f>
        <v/>
      </c>
      <c r="M46">
        <f>Реестр_План_Факт!M46</f>
        <v>0</v>
      </c>
      <c r="N46">
        <f>Реестр_План_Факт!N46</f>
        <v>0</v>
      </c>
      <c r="O46" t="str">
        <f>Реестр_План_Факт!O46</f>
        <v/>
      </c>
      <c r="P46">
        <f>Реестр_План_Факт!P46</f>
        <v>0</v>
      </c>
      <c r="Q46">
        <f>Реестр_План_Факт!Q46</f>
        <v>0</v>
      </c>
      <c r="R46" t="str">
        <f>Реестр_План_Факт!R46</f>
        <v/>
      </c>
      <c r="S46">
        <f>Реестр_План_Факт!S46</f>
        <v>0</v>
      </c>
      <c r="T46">
        <f>Реестр_План_Факт!T46</f>
        <v>0</v>
      </c>
      <c r="U46" t="str">
        <f>Реестр_План_Факт!U46</f>
        <v/>
      </c>
      <c r="V46">
        <f>Реестр_План_Факт!V46</f>
        <v>0</v>
      </c>
      <c r="W46">
        <f>Реестр_План_Факт!W46</f>
        <v>0</v>
      </c>
      <c r="X46" t="str">
        <f>Реестр_План_Факт!X46</f>
        <v/>
      </c>
      <c r="Y46">
        <f>Реестр_План_Факт!Y46</f>
        <v>0</v>
      </c>
      <c r="Z46">
        <f>Реестр_План_Факт!Z46</f>
        <v>0</v>
      </c>
      <c r="AA46" t="str">
        <f>Реестр_План_Факт!AA46</f>
        <v/>
      </c>
      <c r="AB46">
        <f>Реестр_План_Факт!AB46</f>
        <v>0</v>
      </c>
      <c r="AC46">
        <f>Реестр_План_Факт!AC46</f>
        <v>0</v>
      </c>
      <c r="AD46" t="str">
        <f>Реестр_План_Факт!AD46</f>
        <v/>
      </c>
      <c r="AE46">
        <f>Реестр_План_Факт!AE46</f>
        <v>0</v>
      </c>
      <c r="AF46">
        <f>Реестр_План_Факт!AF46</f>
        <v>0</v>
      </c>
      <c r="AG46" t="str">
        <f>Реестр_План_Факт!AG46</f>
        <v/>
      </c>
      <c r="AH46">
        <f>Реестр_План_Факт!AH46</f>
        <v>0</v>
      </c>
      <c r="AI46">
        <f>Реестр_План_Факт!AI46</f>
        <v>0</v>
      </c>
      <c r="AJ46" t="str">
        <f>Реестр_План_Факт!AJ46</f>
        <v/>
      </c>
      <c r="AK46">
        <f>Реестр_План_Факт!AK46</f>
        <v>0</v>
      </c>
      <c r="AL46">
        <f>Реестр_План_Факт!AL46</f>
        <v>0</v>
      </c>
      <c r="AM46" t="str">
        <f>Реестр_План_Факт!AM46</f>
        <v/>
      </c>
      <c r="AN46">
        <f>Реестр_План_Факт!AN46</f>
        <v>0</v>
      </c>
      <c r="AO46">
        <f>Реестр_План_Факт!AO46</f>
        <v>0</v>
      </c>
      <c r="AP46" t="str">
        <f>Реестр_План_Факт!AP46</f>
        <v/>
      </c>
      <c r="AQ46">
        <f>Реестр_План_Факт!AQ46</f>
        <v>0</v>
      </c>
    </row>
    <row r="47" spans="1:43" x14ac:dyDescent="0.2">
      <c r="A47" s="201">
        <f>Реестр_План_Факт!A47</f>
        <v>46068</v>
      </c>
      <c r="B47">
        <f>Реестр_План_Факт!B47</f>
        <v>7</v>
      </c>
      <c r="C47">
        <f>Реестр_План_Факт!C47</f>
        <v>2</v>
      </c>
      <c r="D47">
        <f>Реестр_План_Факт!D47</f>
        <v>0</v>
      </c>
      <c r="E47">
        <f>Реестр_План_Факт!E47</f>
        <v>0</v>
      </c>
      <c r="F47" t="str">
        <f>Реестр_План_Факт!F47</f>
        <v/>
      </c>
      <c r="G47">
        <f>Реестр_План_Факт!G47</f>
        <v>0</v>
      </c>
      <c r="H47">
        <f>Реестр_План_Факт!H47</f>
        <v>0</v>
      </c>
      <c r="I47" t="str">
        <f>Реестр_План_Факт!I47</f>
        <v/>
      </c>
      <c r="J47">
        <f>Реестр_План_Факт!J47</f>
        <v>0</v>
      </c>
      <c r="K47">
        <f>Реестр_План_Факт!K47</f>
        <v>0</v>
      </c>
      <c r="L47" t="str">
        <f>Реестр_План_Факт!L47</f>
        <v/>
      </c>
      <c r="M47">
        <f>Реестр_План_Факт!M47</f>
        <v>0</v>
      </c>
      <c r="N47">
        <f>Реестр_План_Факт!N47</f>
        <v>0</v>
      </c>
      <c r="O47" t="str">
        <f>Реестр_План_Факт!O47</f>
        <v/>
      </c>
      <c r="P47">
        <f>Реестр_План_Факт!P47</f>
        <v>0</v>
      </c>
      <c r="Q47">
        <f>Реестр_План_Факт!Q47</f>
        <v>0</v>
      </c>
      <c r="R47" t="str">
        <f>Реестр_План_Факт!R47</f>
        <v/>
      </c>
      <c r="S47">
        <f>Реестр_План_Факт!S47</f>
        <v>0</v>
      </c>
      <c r="T47">
        <f>Реестр_План_Факт!T47</f>
        <v>0</v>
      </c>
      <c r="U47" t="str">
        <f>Реестр_План_Факт!U47</f>
        <v/>
      </c>
      <c r="V47">
        <f>Реестр_План_Факт!V47</f>
        <v>0</v>
      </c>
      <c r="W47">
        <f>Реестр_План_Факт!W47</f>
        <v>0</v>
      </c>
      <c r="X47" t="str">
        <f>Реестр_План_Факт!X47</f>
        <v/>
      </c>
      <c r="Y47">
        <f>Реестр_План_Факт!Y47</f>
        <v>0</v>
      </c>
      <c r="Z47">
        <f>Реестр_План_Факт!Z47</f>
        <v>0</v>
      </c>
      <c r="AA47" t="str">
        <f>Реестр_План_Факт!AA47</f>
        <v/>
      </c>
      <c r="AB47">
        <f>Реестр_План_Факт!AB47</f>
        <v>0</v>
      </c>
      <c r="AC47">
        <f>Реестр_План_Факт!AC47</f>
        <v>0</v>
      </c>
      <c r="AD47" t="str">
        <f>Реестр_План_Факт!AD47</f>
        <v/>
      </c>
      <c r="AE47">
        <f>Реестр_План_Факт!AE47</f>
        <v>0</v>
      </c>
      <c r="AF47">
        <f>Реестр_План_Факт!AF47</f>
        <v>0</v>
      </c>
      <c r="AG47" t="str">
        <f>Реестр_План_Факт!AG47</f>
        <v/>
      </c>
      <c r="AH47">
        <f>Реестр_План_Факт!AH47</f>
        <v>0</v>
      </c>
      <c r="AI47">
        <f>Реестр_План_Факт!AI47</f>
        <v>0</v>
      </c>
      <c r="AJ47" t="str">
        <f>Реестр_План_Факт!AJ47</f>
        <v/>
      </c>
      <c r="AK47">
        <f>Реестр_План_Факт!AK47</f>
        <v>0</v>
      </c>
      <c r="AL47">
        <f>Реестр_План_Факт!AL47</f>
        <v>0</v>
      </c>
      <c r="AM47" t="str">
        <f>Реестр_План_Факт!AM47</f>
        <v/>
      </c>
      <c r="AN47">
        <f>Реестр_План_Факт!AN47</f>
        <v>0</v>
      </c>
      <c r="AO47">
        <f>Реестр_План_Факт!AO47</f>
        <v>0</v>
      </c>
      <c r="AP47" t="str">
        <f>Реестр_План_Факт!AP47</f>
        <v/>
      </c>
      <c r="AQ47">
        <f>Реестр_План_Факт!AQ47</f>
        <v>0</v>
      </c>
    </row>
    <row r="48" spans="1:43" x14ac:dyDescent="0.2">
      <c r="A48" s="201">
        <f>Реестр_План_Факт!A48</f>
        <v>46069</v>
      </c>
      <c r="B48">
        <f>Реестр_План_Факт!B48</f>
        <v>8</v>
      </c>
      <c r="C48">
        <f>Реестр_План_Факт!C48</f>
        <v>2</v>
      </c>
      <c r="D48">
        <f>Реестр_План_Факт!D48</f>
        <v>0</v>
      </c>
      <c r="E48">
        <f>Реестр_План_Факт!E48</f>
        <v>0</v>
      </c>
      <c r="F48" t="str">
        <f>Реестр_План_Факт!F48</f>
        <v/>
      </c>
      <c r="G48">
        <f>Реестр_План_Факт!G48</f>
        <v>0</v>
      </c>
      <c r="H48">
        <f>Реестр_План_Факт!H48</f>
        <v>0</v>
      </c>
      <c r="I48" t="str">
        <f>Реестр_План_Факт!I48</f>
        <v/>
      </c>
      <c r="J48">
        <f>Реестр_План_Факт!J48</f>
        <v>0</v>
      </c>
      <c r="K48">
        <f>Реестр_План_Факт!K48</f>
        <v>0</v>
      </c>
      <c r="L48" t="str">
        <f>Реестр_План_Факт!L48</f>
        <v/>
      </c>
      <c r="M48">
        <f>Реестр_План_Факт!M48</f>
        <v>0</v>
      </c>
      <c r="N48">
        <f>Реестр_План_Факт!N48</f>
        <v>0</v>
      </c>
      <c r="O48" t="str">
        <f>Реестр_План_Факт!O48</f>
        <v/>
      </c>
      <c r="P48">
        <f>Реестр_План_Факт!P48</f>
        <v>0</v>
      </c>
      <c r="Q48">
        <f>Реестр_План_Факт!Q48</f>
        <v>0</v>
      </c>
      <c r="R48" t="str">
        <f>Реестр_План_Факт!R48</f>
        <v/>
      </c>
      <c r="S48">
        <f>Реестр_План_Факт!S48</f>
        <v>0</v>
      </c>
      <c r="T48">
        <f>Реестр_План_Факт!T48</f>
        <v>0</v>
      </c>
      <c r="U48" t="str">
        <f>Реестр_План_Факт!U48</f>
        <v/>
      </c>
      <c r="V48">
        <f>Реестр_План_Факт!V48</f>
        <v>0</v>
      </c>
      <c r="W48">
        <f>Реестр_План_Факт!W48</f>
        <v>0</v>
      </c>
      <c r="X48" t="str">
        <f>Реестр_План_Факт!X48</f>
        <v/>
      </c>
      <c r="Y48">
        <f>Реестр_План_Факт!Y48</f>
        <v>0</v>
      </c>
      <c r="Z48">
        <f>Реестр_План_Факт!Z48</f>
        <v>0</v>
      </c>
      <c r="AA48" t="str">
        <f>Реестр_План_Факт!AA48</f>
        <v/>
      </c>
      <c r="AB48">
        <f>Реестр_План_Факт!AB48</f>
        <v>0</v>
      </c>
      <c r="AC48">
        <f>Реестр_План_Факт!AC48</f>
        <v>0</v>
      </c>
      <c r="AD48" t="str">
        <f>Реестр_План_Факт!AD48</f>
        <v/>
      </c>
      <c r="AE48">
        <f>Реестр_План_Факт!AE48</f>
        <v>0</v>
      </c>
      <c r="AF48">
        <f>Реестр_План_Факт!AF48</f>
        <v>0</v>
      </c>
      <c r="AG48" t="str">
        <f>Реестр_План_Факт!AG48</f>
        <v/>
      </c>
      <c r="AH48">
        <f>Реестр_План_Факт!AH48</f>
        <v>0</v>
      </c>
      <c r="AI48">
        <f>Реестр_План_Факт!AI48</f>
        <v>0</v>
      </c>
      <c r="AJ48" t="str">
        <f>Реестр_План_Факт!AJ48</f>
        <v/>
      </c>
      <c r="AK48">
        <f>Реестр_План_Факт!AK48</f>
        <v>0</v>
      </c>
      <c r="AL48">
        <f>Реестр_План_Факт!AL48</f>
        <v>0</v>
      </c>
      <c r="AM48" t="str">
        <f>Реестр_План_Факт!AM48</f>
        <v/>
      </c>
      <c r="AN48">
        <f>Реестр_План_Факт!AN48</f>
        <v>0</v>
      </c>
      <c r="AO48">
        <f>Реестр_План_Факт!AO48</f>
        <v>0</v>
      </c>
      <c r="AP48" t="str">
        <f>Реестр_План_Факт!AP48</f>
        <v/>
      </c>
      <c r="AQ48">
        <f>Реестр_План_Факт!AQ48</f>
        <v>0</v>
      </c>
    </row>
    <row r="49" spans="1:43" x14ac:dyDescent="0.2">
      <c r="A49" s="201">
        <f>Реестр_План_Факт!A49</f>
        <v>46070</v>
      </c>
      <c r="B49">
        <f>Реестр_План_Факт!B49</f>
        <v>8</v>
      </c>
      <c r="C49">
        <f>Реестр_План_Факт!C49</f>
        <v>2</v>
      </c>
      <c r="D49">
        <f>Реестр_План_Факт!D49</f>
        <v>0</v>
      </c>
      <c r="E49">
        <f>Реестр_План_Факт!E49</f>
        <v>0</v>
      </c>
      <c r="F49" t="str">
        <f>Реестр_План_Факт!F49</f>
        <v/>
      </c>
      <c r="G49">
        <f>Реестр_План_Факт!G49</f>
        <v>0</v>
      </c>
      <c r="H49">
        <f>Реестр_План_Факт!H49</f>
        <v>0</v>
      </c>
      <c r="I49" t="str">
        <f>Реестр_План_Факт!I49</f>
        <v/>
      </c>
      <c r="J49">
        <f>Реестр_План_Факт!J49</f>
        <v>0</v>
      </c>
      <c r="K49">
        <f>Реестр_План_Факт!K49</f>
        <v>0</v>
      </c>
      <c r="L49" t="str">
        <f>Реестр_План_Факт!L49</f>
        <v/>
      </c>
      <c r="M49">
        <f>Реестр_План_Факт!M49</f>
        <v>0</v>
      </c>
      <c r="N49">
        <f>Реестр_План_Факт!N49</f>
        <v>0</v>
      </c>
      <c r="O49" t="str">
        <f>Реестр_План_Факт!O49</f>
        <v/>
      </c>
      <c r="P49">
        <f>Реестр_План_Факт!P49</f>
        <v>0</v>
      </c>
      <c r="Q49">
        <f>Реестр_План_Факт!Q49</f>
        <v>0</v>
      </c>
      <c r="R49" t="str">
        <f>Реестр_План_Факт!R49</f>
        <v/>
      </c>
      <c r="S49">
        <f>Реестр_План_Факт!S49</f>
        <v>0</v>
      </c>
      <c r="T49">
        <f>Реестр_План_Факт!T49</f>
        <v>0</v>
      </c>
      <c r="U49" t="str">
        <f>Реестр_План_Факт!U49</f>
        <v/>
      </c>
      <c r="V49">
        <f>Реестр_План_Факт!V49</f>
        <v>0</v>
      </c>
      <c r="W49">
        <f>Реестр_План_Факт!W49</f>
        <v>0</v>
      </c>
      <c r="X49" t="str">
        <f>Реестр_План_Факт!X49</f>
        <v/>
      </c>
      <c r="Y49">
        <f>Реестр_План_Факт!Y49</f>
        <v>0</v>
      </c>
      <c r="Z49">
        <f>Реестр_План_Факт!Z49</f>
        <v>0</v>
      </c>
      <c r="AA49" t="str">
        <f>Реестр_План_Факт!AA49</f>
        <v/>
      </c>
      <c r="AB49">
        <f>Реестр_План_Факт!AB49</f>
        <v>0</v>
      </c>
      <c r="AC49">
        <f>Реестр_План_Факт!AC49</f>
        <v>0</v>
      </c>
      <c r="AD49" t="str">
        <f>Реестр_План_Факт!AD49</f>
        <v/>
      </c>
      <c r="AE49">
        <f>Реестр_План_Факт!AE49</f>
        <v>0</v>
      </c>
      <c r="AF49">
        <f>Реестр_План_Факт!AF49</f>
        <v>0</v>
      </c>
      <c r="AG49" t="str">
        <f>Реестр_План_Факт!AG49</f>
        <v/>
      </c>
      <c r="AH49">
        <f>Реестр_План_Факт!AH49</f>
        <v>0</v>
      </c>
      <c r="AI49">
        <f>Реестр_План_Факт!AI49</f>
        <v>0</v>
      </c>
      <c r="AJ49" t="str">
        <f>Реестр_План_Факт!AJ49</f>
        <v/>
      </c>
      <c r="AK49">
        <f>Реестр_План_Факт!AK49</f>
        <v>0</v>
      </c>
      <c r="AL49">
        <f>Реестр_План_Факт!AL49</f>
        <v>0</v>
      </c>
      <c r="AM49" t="str">
        <f>Реестр_План_Факт!AM49</f>
        <v/>
      </c>
      <c r="AN49">
        <f>Реестр_План_Факт!AN49</f>
        <v>0</v>
      </c>
      <c r="AO49">
        <f>Реестр_План_Факт!AO49</f>
        <v>0</v>
      </c>
      <c r="AP49" t="str">
        <f>Реестр_План_Факт!AP49</f>
        <v/>
      </c>
      <c r="AQ49">
        <f>Реестр_План_Факт!AQ49</f>
        <v>0</v>
      </c>
    </row>
    <row r="50" spans="1:43" x14ac:dyDescent="0.2">
      <c r="A50" s="201">
        <f>Реестр_План_Факт!A50</f>
        <v>46071</v>
      </c>
      <c r="B50">
        <f>Реестр_План_Факт!B50</f>
        <v>8</v>
      </c>
      <c r="C50">
        <f>Реестр_План_Факт!C50</f>
        <v>2</v>
      </c>
      <c r="D50">
        <f>Реестр_План_Факт!D50</f>
        <v>0</v>
      </c>
      <c r="E50">
        <f>Реестр_План_Факт!E50</f>
        <v>0</v>
      </c>
      <c r="F50" t="str">
        <f>Реестр_План_Факт!F50</f>
        <v/>
      </c>
      <c r="G50">
        <f>Реестр_План_Факт!G50</f>
        <v>0</v>
      </c>
      <c r="H50">
        <f>Реестр_План_Факт!H50</f>
        <v>0</v>
      </c>
      <c r="I50" t="str">
        <f>Реестр_План_Факт!I50</f>
        <v/>
      </c>
      <c r="J50">
        <f>Реестр_План_Факт!J50</f>
        <v>0</v>
      </c>
      <c r="K50">
        <f>Реестр_План_Факт!K50</f>
        <v>0</v>
      </c>
      <c r="L50" t="str">
        <f>Реестр_План_Факт!L50</f>
        <v/>
      </c>
      <c r="M50">
        <f>Реестр_План_Факт!M50</f>
        <v>0</v>
      </c>
      <c r="N50">
        <f>Реестр_План_Факт!N50</f>
        <v>0</v>
      </c>
      <c r="O50" t="str">
        <f>Реестр_План_Факт!O50</f>
        <v/>
      </c>
      <c r="P50">
        <f>Реестр_План_Факт!P50</f>
        <v>0</v>
      </c>
      <c r="Q50">
        <f>Реестр_План_Факт!Q50</f>
        <v>0</v>
      </c>
      <c r="R50" t="str">
        <f>Реестр_План_Факт!R50</f>
        <v/>
      </c>
      <c r="S50">
        <f>Реестр_План_Факт!S50</f>
        <v>0</v>
      </c>
      <c r="T50">
        <f>Реестр_План_Факт!T50</f>
        <v>0</v>
      </c>
      <c r="U50" t="str">
        <f>Реестр_План_Факт!U50</f>
        <v/>
      </c>
      <c r="V50">
        <f>Реестр_План_Факт!V50</f>
        <v>0</v>
      </c>
      <c r="W50">
        <f>Реестр_План_Факт!W50</f>
        <v>0</v>
      </c>
      <c r="X50" t="str">
        <f>Реестр_План_Факт!X50</f>
        <v/>
      </c>
      <c r="Y50">
        <f>Реестр_План_Факт!Y50</f>
        <v>0</v>
      </c>
      <c r="Z50">
        <f>Реестр_План_Факт!Z50</f>
        <v>0</v>
      </c>
      <c r="AA50" t="str">
        <f>Реестр_План_Факт!AA50</f>
        <v/>
      </c>
      <c r="AB50">
        <f>Реестр_План_Факт!AB50</f>
        <v>0</v>
      </c>
      <c r="AC50">
        <f>Реестр_План_Факт!AC50</f>
        <v>0</v>
      </c>
      <c r="AD50" t="str">
        <f>Реестр_План_Факт!AD50</f>
        <v/>
      </c>
      <c r="AE50">
        <f>Реестр_План_Факт!AE50</f>
        <v>0</v>
      </c>
      <c r="AF50">
        <f>Реестр_План_Факт!AF50</f>
        <v>0</v>
      </c>
      <c r="AG50" t="str">
        <f>Реестр_План_Факт!AG50</f>
        <v/>
      </c>
      <c r="AH50">
        <f>Реестр_План_Факт!AH50</f>
        <v>0</v>
      </c>
      <c r="AI50">
        <f>Реестр_План_Факт!AI50</f>
        <v>0</v>
      </c>
      <c r="AJ50" t="str">
        <f>Реестр_План_Факт!AJ50</f>
        <v/>
      </c>
      <c r="AK50">
        <f>Реестр_План_Факт!AK50</f>
        <v>0</v>
      </c>
      <c r="AL50">
        <f>Реестр_План_Факт!AL50</f>
        <v>0</v>
      </c>
      <c r="AM50" t="str">
        <f>Реестр_План_Факт!AM50</f>
        <v/>
      </c>
      <c r="AN50">
        <f>Реестр_План_Факт!AN50</f>
        <v>0</v>
      </c>
      <c r="AO50">
        <f>Реестр_План_Факт!AO50</f>
        <v>0</v>
      </c>
      <c r="AP50" t="str">
        <f>Реестр_План_Факт!AP50</f>
        <v/>
      </c>
      <c r="AQ50">
        <f>Реестр_План_Факт!AQ50</f>
        <v>0</v>
      </c>
    </row>
    <row r="51" spans="1:43" x14ac:dyDescent="0.2">
      <c r="A51" s="201">
        <f>Реестр_План_Факт!A51</f>
        <v>46072</v>
      </c>
      <c r="B51">
        <f>Реестр_План_Факт!B51</f>
        <v>8</v>
      </c>
      <c r="C51">
        <f>Реестр_План_Факт!C51</f>
        <v>2</v>
      </c>
      <c r="D51">
        <f>Реестр_План_Факт!D51</f>
        <v>0</v>
      </c>
      <c r="E51">
        <f>Реестр_План_Факт!E51</f>
        <v>0</v>
      </c>
      <c r="F51" t="str">
        <f>Реестр_План_Факт!F51</f>
        <v/>
      </c>
      <c r="G51">
        <f>Реестр_План_Факт!G51</f>
        <v>0</v>
      </c>
      <c r="H51">
        <f>Реестр_План_Факт!H51</f>
        <v>0</v>
      </c>
      <c r="I51" t="str">
        <f>Реестр_План_Факт!I51</f>
        <v/>
      </c>
      <c r="J51">
        <f>Реестр_План_Факт!J51</f>
        <v>0</v>
      </c>
      <c r="K51">
        <f>Реестр_План_Факт!K51</f>
        <v>0</v>
      </c>
      <c r="L51" t="str">
        <f>Реестр_План_Факт!L51</f>
        <v/>
      </c>
      <c r="M51">
        <f>Реестр_План_Факт!M51</f>
        <v>0</v>
      </c>
      <c r="N51">
        <f>Реестр_План_Факт!N51</f>
        <v>0</v>
      </c>
      <c r="O51" t="str">
        <f>Реестр_План_Факт!O51</f>
        <v/>
      </c>
      <c r="P51">
        <f>Реестр_План_Факт!P51</f>
        <v>0</v>
      </c>
      <c r="Q51">
        <f>Реестр_План_Факт!Q51</f>
        <v>0</v>
      </c>
      <c r="R51" t="str">
        <f>Реестр_План_Факт!R51</f>
        <v/>
      </c>
      <c r="S51">
        <f>Реестр_План_Факт!S51</f>
        <v>0</v>
      </c>
      <c r="T51">
        <f>Реестр_План_Факт!T51</f>
        <v>0</v>
      </c>
      <c r="U51" t="str">
        <f>Реестр_План_Факт!U51</f>
        <v/>
      </c>
      <c r="V51">
        <f>Реестр_План_Факт!V51</f>
        <v>0</v>
      </c>
      <c r="W51">
        <f>Реестр_План_Факт!W51</f>
        <v>0</v>
      </c>
      <c r="X51" t="str">
        <f>Реестр_План_Факт!X51</f>
        <v/>
      </c>
      <c r="Y51">
        <f>Реестр_План_Факт!Y51</f>
        <v>0</v>
      </c>
      <c r="Z51">
        <f>Реестр_План_Факт!Z51</f>
        <v>0</v>
      </c>
      <c r="AA51" t="str">
        <f>Реестр_План_Факт!AA51</f>
        <v/>
      </c>
      <c r="AB51">
        <f>Реестр_План_Факт!AB51</f>
        <v>0</v>
      </c>
      <c r="AC51">
        <f>Реестр_План_Факт!AC51</f>
        <v>0</v>
      </c>
      <c r="AD51" t="str">
        <f>Реестр_План_Факт!AD51</f>
        <v/>
      </c>
      <c r="AE51">
        <f>Реестр_План_Факт!AE51</f>
        <v>0</v>
      </c>
      <c r="AF51">
        <f>Реестр_План_Факт!AF51</f>
        <v>0</v>
      </c>
      <c r="AG51" t="str">
        <f>Реестр_План_Факт!AG51</f>
        <v/>
      </c>
      <c r="AH51">
        <f>Реестр_План_Факт!AH51</f>
        <v>0</v>
      </c>
      <c r="AI51">
        <f>Реестр_План_Факт!AI51</f>
        <v>0</v>
      </c>
      <c r="AJ51" t="str">
        <f>Реестр_План_Факт!AJ51</f>
        <v/>
      </c>
      <c r="AK51">
        <f>Реестр_План_Факт!AK51</f>
        <v>0</v>
      </c>
      <c r="AL51">
        <f>Реестр_План_Факт!AL51</f>
        <v>0</v>
      </c>
      <c r="AM51" t="str">
        <f>Реестр_План_Факт!AM51</f>
        <v/>
      </c>
      <c r="AN51">
        <f>Реестр_План_Факт!AN51</f>
        <v>0</v>
      </c>
      <c r="AO51">
        <f>Реестр_План_Факт!AO51</f>
        <v>0</v>
      </c>
      <c r="AP51" t="str">
        <f>Реестр_План_Факт!AP51</f>
        <v/>
      </c>
      <c r="AQ51">
        <f>Реестр_План_Факт!AQ51</f>
        <v>0</v>
      </c>
    </row>
    <row r="52" spans="1:43" x14ac:dyDescent="0.2">
      <c r="A52" s="201">
        <f>Реестр_План_Факт!A52</f>
        <v>46073</v>
      </c>
      <c r="B52">
        <f>Реестр_План_Факт!B52</f>
        <v>8</v>
      </c>
      <c r="C52">
        <f>Реестр_План_Факт!C52</f>
        <v>2</v>
      </c>
      <c r="D52">
        <f>Реестр_План_Факт!D52</f>
        <v>0</v>
      </c>
      <c r="E52">
        <f>Реестр_План_Факт!E52</f>
        <v>0</v>
      </c>
      <c r="F52" t="str">
        <f>Реестр_План_Факт!F52</f>
        <v/>
      </c>
      <c r="G52">
        <f>Реестр_План_Факт!G52</f>
        <v>0</v>
      </c>
      <c r="H52">
        <f>Реестр_План_Факт!H52</f>
        <v>0</v>
      </c>
      <c r="I52" t="str">
        <f>Реестр_План_Факт!I52</f>
        <v/>
      </c>
      <c r="J52">
        <f>Реестр_План_Факт!J52</f>
        <v>0</v>
      </c>
      <c r="K52">
        <f>Реестр_План_Факт!K52</f>
        <v>0</v>
      </c>
      <c r="L52" t="str">
        <f>Реестр_План_Факт!L52</f>
        <v/>
      </c>
      <c r="M52">
        <f>Реестр_План_Факт!M52</f>
        <v>0</v>
      </c>
      <c r="N52">
        <f>Реестр_План_Факт!N52</f>
        <v>0</v>
      </c>
      <c r="O52" t="str">
        <f>Реестр_План_Факт!O52</f>
        <v/>
      </c>
      <c r="P52">
        <f>Реестр_План_Факт!P52</f>
        <v>0</v>
      </c>
      <c r="Q52">
        <f>Реестр_План_Факт!Q52</f>
        <v>0</v>
      </c>
      <c r="R52" t="str">
        <f>Реестр_План_Факт!R52</f>
        <v/>
      </c>
      <c r="S52">
        <f>Реестр_План_Факт!S52</f>
        <v>0</v>
      </c>
      <c r="T52">
        <f>Реестр_План_Факт!T52</f>
        <v>0</v>
      </c>
      <c r="U52" t="str">
        <f>Реестр_План_Факт!U52</f>
        <v/>
      </c>
      <c r="V52">
        <f>Реестр_План_Факт!V52</f>
        <v>0</v>
      </c>
      <c r="W52">
        <f>Реестр_План_Факт!W52</f>
        <v>0</v>
      </c>
      <c r="X52" t="str">
        <f>Реестр_План_Факт!X52</f>
        <v/>
      </c>
      <c r="Y52">
        <f>Реестр_План_Факт!Y52</f>
        <v>0</v>
      </c>
      <c r="Z52">
        <f>Реестр_План_Факт!Z52</f>
        <v>0</v>
      </c>
      <c r="AA52" t="str">
        <f>Реестр_План_Факт!AA52</f>
        <v/>
      </c>
      <c r="AB52">
        <f>Реестр_План_Факт!AB52</f>
        <v>0</v>
      </c>
      <c r="AC52">
        <f>Реестр_План_Факт!AC52</f>
        <v>0</v>
      </c>
      <c r="AD52" t="str">
        <f>Реестр_План_Факт!AD52</f>
        <v/>
      </c>
      <c r="AE52">
        <f>Реестр_План_Факт!AE52</f>
        <v>0</v>
      </c>
      <c r="AF52">
        <f>Реестр_План_Факт!AF52</f>
        <v>0</v>
      </c>
      <c r="AG52" t="str">
        <f>Реестр_План_Факт!AG52</f>
        <v/>
      </c>
      <c r="AH52">
        <f>Реестр_План_Факт!AH52</f>
        <v>0</v>
      </c>
      <c r="AI52">
        <f>Реестр_План_Факт!AI52</f>
        <v>0</v>
      </c>
      <c r="AJ52" t="str">
        <f>Реестр_План_Факт!AJ52</f>
        <v/>
      </c>
      <c r="AK52">
        <f>Реестр_План_Факт!AK52</f>
        <v>0</v>
      </c>
      <c r="AL52">
        <f>Реестр_План_Факт!AL52</f>
        <v>0</v>
      </c>
      <c r="AM52" t="str">
        <f>Реестр_План_Факт!AM52</f>
        <v/>
      </c>
      <c r="AN52">
        <f>Реестр_План_Факт!AN52</f>
        <v>0</v>
      </c>
      <c r="AO52">
        <f>Реестр_План_Факт!AO52</f>
        <v>0</v>
      </c>
      <c r="AP52" t="str">
        <f>Реестр_План_Факт!AP52</f>
        <v/>
      </c>
      <c r="AQ52">
        <f>Реестр_План_Факт!AQ52</f>
        <v>0</v>
      </c>
    </row>
    <row r="53" spans="1:43" x14ac:dyDescent="0.2">
      <c r="A53" s="201">
        <f>Реестр_План_Факт!A53</f>
        <v>46074</v>
      </c>
      <c r="B53">
        <f>Реестр_План_Факт!B53</f>
        <v>8</v>
      </c>
      <c r="C53">
        <f>Реестр_План_Факт!C53</f>
        <v>2</v>
      </c>
      <c r="D53">
        <f>Реестр_План_Факт!D53</f>
        <v>0</v>
      </c>
      <c r="E53">
        <f>Реестр_План_Факт!E53</f>
        <v>0</v>
      </c>
      <c r="F53" t="str">
        <f>Реестр_План_Факт!F53</f>
        <v/>
      </c>
      <c r="G53">
        <f>Реестр_План_Факт!G53</f>
        <v>0</v>
      </c>
      <c r="H53">
        <f>Реестр_План_Факт!H53</f>
        <v>0</v>
      </c>
      <c r="I53" t="str">
        <f>Реестр_План_Факт!I53</f>
        <v/>
      </c>
      <c r="J53">
        <f>Реестр_План_Факт!J53</f>
        <v>0</v>
      </c>
      <c r="K53">
        <f>Реестр_План_Факт!K53</f>
        <v>0</v>
      </c>
      <c r="L53" t="str">
        <f>Реестр_План_Факт!L53</f>
        <v/>
      </c>
      <c r="M53">
        <f>Реестр_План_Факт!M53</f>
        <v>0</v>
      </c>
      <c r="N53">
        <f>Реестр_План_Факт!N53</f>
        <v>0</v>
      </c>
      <c r="O53" t="str">
        <f>Реестр_План_Факт!O53</f>
        <v/>
      </c>
      <c r="P53">
        <f>Реестр_План_Факт!P53</f>
        <v>0</v>
      </c>
      <c r="Q53">
        <f>Реестр_План_Факт!Q53</f>
        <v>0</v>
      </c>
      <c r="R53" t="str">
        <f>Реестр_План_Факт!R53</f>
        <v/>
      </c>
      <c r="S53">
        <f>Реестр_План_Факт!S53</f>
        <v>0</v>
      </c>
      <c r="T53">
        <f>Реестр_План_Факт!T53</f>
        <v>0</v>
      </c>
      <c r="U53" t="str">
        <f>Реестр_План_Факт!U53</f>
        <v/>
      </c>
      <c r="V53">
        <f>Реестр_План_Факт!V53</f>
        <v>0</v>
      </c>
      <c r="W53">
        <f>Реестр_План_Факт!W53</f>
        <v>0</v>
      </c>
      <c r="X53" t="str">
        <f>Реестр_План_Факт!X53</f>
        <v/>
      </c>
      <c r="Y53">
        <f>Реестр_План_Факт!Y53</f>
        <v>0</v>
      </c>
      <c r="Z53">
        <f>Реестр_План_Факт!Z53</f>
        <v>0</v>
      </c>
      <c r="AA53" t="str">
        <f>Реестр_План_Факт!AA53</f>
        <v/>
      </c>
      <c r="AB53">
        <f>Реестр_План_Факт!AB53</f>
        <v>0</v>
      </c>
      <c r="AC53">
        <f>Реестр_План_Факт!AC53</f>
        <v>0</v>
      </c>
      <c r="AD53" t="str">
        <f>Реестр_План_Факт!AD53</f>
        <v/>
      </c>
      <c r="AE53">
        <f>Реестр_План_Факт!AE53</f>
        <v>0</v>
      </c>
      <c r="AF53">
        <f>Реестр_План_Факт!AF53</f>
        <v>0</v>
      </c>
      <c r="AG53" t="str">
        <f>Реестр_План_Факт!AG53</f>
        <v/>
      </c>
      <c r="AH53">
        <f>Реестр_План_Факт!AH53</f>
        <v>0</v>
      </c>
      <c r="AI53">
        <f>Реестр_План_Факт!AI53</f>
        <v>0</v>
      </c>
      <c r="AJ53" t="str">
        <f>Реестр_План_Факт!AJ53</f>
        <v/>
      </c>
      <c r="AK53">
        <f>Реестр_План_Факт!AK53</f>
        <v>0</v>
      </c>
      <c r="AL53">
        <f>Реестр_План_Факт!AL53</f>
        <v>0</v>
      </c>
      <c r="AM53" t="str">
        <f>Реестр_План_Факт!AM53</f>
        <v/>
      </c>
      <c r="AN53">
        <f>Реестр_План_Факт!AN53</f>
        <v>0</v>
      </c>
      <c r="AO53">
        <f>Реестр_План_Факт!AO53</f>
        <v>0</v>
      </c>
      <c r="AP53" t="str">
        <f>Реестр_План_Факт!AP53</f>
        <v/>
      </c>
      <c r="AQ53">
        <f>Реестр_План_Факт!AQ53</f>
        <v>0</v>
      </c>
    </row>
    <row r="54" spans="1:43" x14ac:dyDescent="0.2">
      <c r="A54" s="201">
        <f>Реестр_План_Факт!A54</f>
        <v>46075</v>
      </c>
      <c r="B54">
        <f>Реестр_План_Факт!B54</f>
        <v>8</v>
      </c>
      <c r="C54">
        <f>Реестр_План_Факт!C54</f>
        <v>2</v>
      </c>
      <c r="D54">
        <f>Реестр_План_Факт!D54</f>
        <v>0</v>
      </c>
      <c r="E54">
        <f>Реестр_План_Факт!E54</f>
        <v>0</v>
      </c>
      <c r="F54" t="str">
        <f>Реестр_План_Факт!F54</f>
        <v/>
      </c>
      <c r="G54">
        <f>Реестр_План_Факт!G54</f>
        <v>0</v>
      </c>
      <c r="H54">
        <f>Реестр_План_Факт!H54</f>
        <v>0</v>
      </c>
      <c r="I54" t="str">
        <f>Реестр_План_Факт!I54</f>
        <v/>
      </c>
      <c r="J54">
        <f>Реестр_План_Факт!J54</f>
        <v>0</v>
      </c>
      <c r="K54">
        <f>Реестр_План_Факт!K54</f>
        <v>0</v>
      </c>
      <c r="L54" t="str">
        <f>Реестр_План_Факт!L54</f>
        <v/>
      </c>
      <c r="M54">
        <f>Реестр_План_Факт!M54</f>
        <v>0</v>
      </c>
      <c r="N54">
        <f>Реестр_План_Факт!N54</f>
        <v>0</v>
      </c>
      <c r="O54" t="str">
        <f>Реестр_План_Факт!O54</f>
        <v/>
      </c>
      <c r="P54">
        <f>Реестр_План_Факт!P54</f>
        <v>0</v>
      </c>
      <c r="Q54">
        <f>Реестр_План_Факт!Q54</f>
        <v>0</v>
      </c>
      <c r="R54" t="str">
        <f>Реестр_План_Факт!R54</f>
        <v/>
      </c>
      <c r="S54">
        <f>Реестр_План_Факт!S54</f>
        <v>0</v>
      </c>
      <c r="T54">
        <f>Реестр_План_Факт!T54</f>
        <v>0</v>
      </c>
      <c r="U54" t="str">
        <f>Реестр_План_Факт!U54</f>
        <v/>
      </c>
      <c r="V54">
        <f>Реестр_План_Факт!V54</f>
        <v>0</v>
      </c>
      <c r="W54">
        <f>Реестр_План_Факт!W54</f>
        <v>0</v>
      </c>
      <c r="X54" t="str">
        <f>Реестр_План_Факт!X54</f>
        <v/>
      </c>
      <c r="Y54">
        <f>Реестр_План_Факт!Y54</f>
        <v>0</v>
      </c>
      <c r="Z54">
        <f>Реестр_План_Факт!Z54</f>
        <v>0</v>
      </c>
      <c r="AA54" t="str">
        <f>Реестр_План_Факт!AA54</f>
        <v/>
      </c>
      <c r="AB54">
        <f>Реестр_План_Факт!AB54</f>
        <v>0</v>
      </c>
      <c r="AC54">
        <f>Реестр_План_Факт!AC54</f>
        <v>0</v>
      </c>
      <c r="AD54" t="str">
        <f>Реестр_План_Факт!AD54</f>
        <v/>
      </c>
      <c r="AE54">
        <f>Реестр_План_Факт!AE54</f>
        <v>0</v>
      </c>
      <c r="AF54">
        <f>Реестр_План_Факт!AF54</f>
        <v>0</v>
      </c>
      <c r="AG54" t="str">
        <f>Реестр_План_Факт!AG54</f>
        <v/>
      </c>
      <c r="AH54">
        <f>Реестр_План_Факт!AH54</f>
        <v>0</v>
      </c>
      <c r="AI54">
        <f>Реестр_План_Факт!AI54</f>
        <v>0</v>
      </c>
      <c r="AJ54" t="str">
        <f>Реестр_План_Факт!AJ54</f>
        <v/>
      </c>
      <c r="AK54">
        <f>Реестр_План_Факт!AK54</f>
        <v>0</v>
      </c>
      <c r="AL54">
        <f>Реестр_План_Факт!AL54</f>
        <v>0</v>
      </c>
      <c r="AM54" t="str">
        <f>Реестр_План_Факт!AM54</f>
        <v/>
      </c>
      <c r="AN54">
        <f>Реестр_План_Факт!AN54</f>
        <v>0</v>
      </c>
      <c r="AO54">
        <f>Реестр_План_Факт!AO54</f>
        <v>0</v>
      </c>
      <c r="AP54" t="str">
        <f>Реестр_План_Факт!AP54</f>
        <v/>
      </c>
      <c r="AQ54">
        <f>Реестр_План_Факт!AQ54</f>
        <v>0</v>
      </c>
    </row>
    <row r="55" spans="1:43" x14ac:dyDescent="0.2">
      <c r="A55" s="201">
        <f>Реестр_План_Факт!A55</f>
        <v>46076</v>
      </c>
      <c r="B55">
        <f>Реестр_План_Факт!B55</f>
        <v>9</v>
      </c>
      <c r="C55">
        <f>Реестр_План_Факт!C55</f>
        <v>2</v>
      </c>
      <c r="D55">
        <f>Реестр_План_Факт!D55</f>
        <v>0</v>
      </c>
      <c r="E55">
        <f>Реестр_План_Факт!E55</f>
        <v>0</v>
      </c>
      <c r="F55" t="str">
        <f>Реестр_План_Факт!F55</f>
        <v/>
      </c>
      <c r="G55">
        <f>Реестр_План_Факт!G55</f>
        <v>0</v>
      </c>
      <c r="H55">
        <f>Реестр_План_Факт!H55</f>
        <v>0</v>
      </c>
      <c r="I55" t="str">
        <f>Реестр_План_Факт!I55</f>
        <v/>
      </c>
      <c r="J55">
        <f>Реестр_План_Факт!J55</f>
        <v>0</v>
      </c>
      <c r="K55">
        <f>Реестр_План_Факт!K55</f>
        <v>0</v>
      </c>
      <c r="L55" t="str">
        <f>Реестр_План_Факт!L55</f>
        <v/>
      </c>
      <c r="M55">
        <f>Реестр_План_Факт!M55</f>
        <v>0</v>
      </c>
      <c r="N55">
        <f>Реестр_План_Факт!N55</f>
        <v>0</v>
      </c>
      <c r="O55" t="str">
        <f>Реестр_План_Факт!O55</f>
        <v/>
      </c>
      <c r="P55">
        <f>Реестр_План_Факт!P55</f>
        <v>0</v>
      </c>
      <c r="Q55">
        <f>Реестр_План_Факт!Q55</f>
        <v>0</v>
      </c>
      <c r="R55" t="str">
        <f>Реестр_План_Факт!R55</f>
        <v/>
      </c>
      <c r="S55">
        <f>Реестр_План_Факт!S55</f>
        <v>0</v>
      </c>
      <c r="T55">
        <f>Реестр_План_Факт!T55</f>
        <v>0</v>
      </c>
      <c r="U55" t="str">
        <f>Реестр_План_Факт!U55</f>
        <v/>
      </c>
      <c r="V55">
        <f>Реестр_План_Факт!V55</f>
        <v>0</v>
      </c>
      <c r="W55">
        <f>Реестр_План_Факт!W55</f>
        <v>0</v>
      </c>
      <c r="X55" t="str">
        <f>Реестр_План_Факт!X55</f>
        <v/>
      </c>
      <c r="Y55">
        <f>Реестр_План_Факт!Y55</f>
        <v>0</v>
      </c>
      <c r="Z55">
        <f>Реестр_План_Факт!Z55</f>
        <v>0</v>
      </c>
      <c r="AA55" t="str">
        <f>Реестр_План_Факт!AA55</f>
        <v/>
      </c>
      <c r="AB55">
        <f>Реестр_План_Факт!AB55</f>
        <v>0</v>
      </c>
      <c r="AC55">
        <f>Реестр_План_Факт!AC55</f>
        <v>0</v>
      </c>
      <c r="AD55" t="str">
        <f>Реестр_План_Факт!AD55</f>
        <v/>
      </c>
      <c r="AE55">
        <f>Реестр_План_Факт!AE55</f>
        <v>0</v>
      </c>
      <c r="AF55">
        <f>Реестр_План_Факт!AF55</f>
        <v>0</v>
      </c>
      <c r="AG55" t="str">
        <f>Реестр_План_Факт!AG55</f>
        <v/>
      </c>
      <c r="AH55">
        <f>Реестр_План_Факт!AH55</f>
        <v>0</v>
      </c>
      <c r="AI55">
        <f>Реестр_План_Факт!AI55</f>
        <v>0</v>
      </c>
      <c r="AJ55" t="str">
        <f>Реестр_План_Факт!AJ55</f>
        <v/>
      </c>
      <c r="AK55">
        <f>Реестр_План_Факт!AK55</f>
        <v>0</v>
      </c>
      <c r="AL55">
        <f>Реестр_План_Факт!AL55</f>
        <v>0</v>
      </c>
      <c r="AM55" t="str">
        <f>Реестр_План_Факт!AM55</f>
        <v/>
      </c>
      <c r="AN55">
        <f>Реестр_План_Факт!AN55</f>
        <v>0</v>
      </c>
      <c r="AO55">
        <f>Реестр_План_Факт!AO55</f>
        <v>0</v>
      </c>
      <c r="AP55" t="str">
        <f>Реестр_План_Факт!AP55</f>
        <v/>
      </c>
      <c r="AQ55">
        <f>Реестр_План_Факт!AQ55</f>
        <v>0</v>
      </c>
    </row>
    <row r="56" spans="1:43" x14ac:dyDescent="0.2">
      <c r="A56" s="201">
        <f>Реестр_План_Факт!A56</f>
        <v>46077</v>
      </c>
      <c r="B56">
        <f>Реестр_План_Факт!B56</f>
        <v>9</v>
      </c>
      <c r="C56">
        <f>Реестр_План_Факт!C56</f>
        <v>2</v>
      </c>
      <c r="D56">
        <f>Реестр_План_Факт!D56</f>
        <v>0</v>
      </c>
      <c r="E56">
        <f>Реестр_План_Факт!E56</f>
        <v>0</v>
      </c>
      <c r="F56" t="str">
        <f>Реестр_План_Факт!F56</f>
        <v/>
      </c>
      <c r="G56">
        <f>Реестр_План_Факт!G56</f>
        <v>0</v>
      </c>
      <c r="H56">
        <f>Реестр_План_Факт!H56</f>
        <v>0</v>
      </c>
      <c r="I56" t="str">
        <f>Реестр_План_Факт!I56</f>
        <v/>
      </c>
      <c r="J56">
        <f>Реестр_План_Факт!J56</f>
        <v>0</v>
      </c>
      <c r="K56">
        <f>Реестр_План_Факт!K56</f>
        <v>0</v>
      </c>
      <c r="L56" t="str">
        <f>Реестр_План_Факт!L56</f>
        <v/>
      </c>
      <c r="M56">
        <f>Реестр_План_Факт!M56</f>
        <v>0</v>
      </c>
      <c r="N56">
        <f>Реестр_План_Факт!N56</f>
        <v>0</v>
      </c>
      <c r="O56" t="str">
        <f>Реестр_План_Факт!O56</f>
        <v/>
      </c>
      <c r="P56">
        <f>Реестр_План_Факт!P56</f>
        <v>0</v>
      </c>
      <c r="Q56">
        <f>Реестр_План_Факт!Q56</f>
        <v>0</v>
      </c>
      <c r="R56" t="str">
        <f>Реестр_План_Факт!R56</f>
        <v/>
      </c>
      <c r="S56">
        <f>Реестр_План_Факт!S56</f>
        <v>0</v>
      </c>
      <c r="T56">
        <f>Реестр_План_Факт!T56</f>
        <v>0</v>
      </c>
      <c r="U56" t="str">
        <f>Реестр_План_Факт!U56</f>
        <v/>
      </c>
      <c r="V56">
        <f>Реестр_План_Факт!V56</f>
        <v>0</v>
      </c>
      <c r="W56">
        <f>Реестр_План_Факт!W56</f>
        <v>0</v>
      </c>
      <c r="X56" t="str">
        <f>Реестр_План_Факт!X56</f>
        <v/>
      </c>
      <c r="Y56">
        <f>Реестр_План_Факт!Y56</f>
        <v>0</v>
      </c>
      <c r="Z56">
        <f>Реестр_План_Факт!Z56</f>
        <v>0</v>
      </c>
      <c r="AA56" t="str">
        <f>Реестр_План_Факт!AA56</f>
        <v/>
      </c>
      <c r="AB56">
        <f>Реестр_План_Факт!AB56</f>
        <v>0</v>
      </c>
      <c r="AC56">
        <f>Реестр_План_Факт!AC56</f>
        <v>0</v>
      </c>
      <c r="AD56" t="str">
        <f>Реестр_План_Факт!AD56</f>
        <v/>
      </c>
      <c r="AE56">
        <f>Реестр_План_Факт!AE56</f>
        <v>0</v>
      </c>
      <c r="AF56">
        <f>Реестр_План_Факт!AF56</f>
        <v>0</v>
      </c>
      <c r="AG56" t="str">
        <f>Реестр_План_Факт!AG56</f>
        <v/>
      </c>
      <c r="AH56">
        <f>Реестр_План_Факт!AH56</f>
        <v>0</v>
      </c>
      <c r="AI56">
        <f>Реестр_План_Факт!AI56</f>
        <v>0</v>
      </c>
      <c r="AJ56" t="str">
        <f>Реестр_План_Факт!AJ56</f>
        <v/>
      </c>
      <c r="AK56">
        <f>Реестр_План_Факт!AK56</f>
        <v>0</v>
      </c>
      <c r="AL56">
        <f>Реестр_План_Факт!AL56</f>
        <v>0</v>
      </c>
      <c r="AM56" t="str">
        <f>Реестр_План_Факт!AM56</f>
        <v/>
      </c>
      <c r="AN56">
        <f>Реестр_План_Факт!AN56</f>
        <v>0</v>
      </c>
      <c r="AO56">
        <f>Реестр_План_Факт!AO56</f>
        <v>0</v>
      </c>
      <c r="AP56" t="str">
        <f>Реестр_План_Факт!AP56</f>
        <v/>
      </c>
      <c r="AQ56">
        <f>Реестр_План_Факт!AQ56</f>
        <v>0</v>
      </c>
    </row>
    <row r="57" spans="1:43" x14ac:dyDescent="0.2">
      <c r="A57" s="201">
        <f>Реестр_План_Факт!A57</f>
        <v>46078</v>
      </c>
      <c r="B57">
        <f>Реестр_План_Факт!B57</f>
        <v>9</v>
      </c>
      <c r="C57">
        <f>Реестр_План_Факт!C57</f>
        <v>2</v>
      </c>
      <c r="D57">
        <f>Реестр_План_Факт!D57</f>
        <v>0</v>
      </c>
      <c r="E57">
        <f>Реестр_План_Факт!E57</f>
        <v>0</v>
      </c>
      <c r="F57" t="str">
        <f>Реестр_План_Факт!F57</f>
        <v/>
      </c>
      <c r="G57">
        <f>Реестр_План_Факт!G57</f>
        <v>0</v>
      </c>
      <c r="H57">
        <f>Реестр_План_Факт!H57</f>
        <v>0</v>
      </c>
      <c r="I57" t="str">
        <f>Реестр_План_Факт!I57</f>
        <v/>
      </c>
      <c r="J57">
        <f>Реестр_План_Факт!J57</f>
        <v>0</v>
      </c>
      <c r="K57">
        <f>Реестр_План_Факт!K57</f>
        <v>0</v>
      </c>
      <c r="L57" t="str">
        <f>Реестр_План_Факт!L57</f>
        <v/>
      </c>
      <c r="M57">
        <f>Реестр_План_Факт!M57</f>
        <v>0</v>
      </c>
      <c r="N57">
        <f>Реестр_План_Факт!N57</f>
        <v>0</v>
      </c>
      <c r="O57" t="str">
        <f>Реестр_План_Факт!O57</f>
        <v/>
      </c>
      <c r="P57">
        <f>Реестр_План_Факт!P57</f>
        <v>0</v>
      </c>
      <c r="Q57">
        <f>Реестр_План_Факт!Q57</f>
        <v>0</v>
      </c>
      <c r="R57" t="str">
        <f>Реестр_План_Факт!R57</f>
        <v/>
      </c>
      <c r="S57">
        <f>Реестр_План_Факт!S57</f>
        <v>0</v>
      </c>
      <c r="T57">
        <f>Реестр_План_Факт!T57</f>
        <v>0</v>
      </c>
      <c r="U57" t="str">
        <f>Реестр_План_Факт!U57</f>
        <v/>
      </c>
      <c r="V57">
        <f>Реестр_План_Факт!V57</f>
        <v>0</v>
      </c>
      <c r="W57">
        <f>Реестр_План_Факт!W57</f>
        <v>0</v>
      </c>
      <c r="X57" t="str">
        <f>Реестр_План_Факт!X57</f>
        <v/>
      </c>
      <c r="Y57">
        <f>Реестр_План_Факт!Y57</f>
        <v>0</v>
      </c>
      <c r="Z57">
        <f>Реестр_План_Факт!Z57</f>
        <v>0</v>
      </c>
      <c r="AA57" t="str">
        <f>Реестр_План_Факт!AA57</f>
        <v/>
      </c>
      <c r="AB57">
        <f>Реестр_План_Факт!AB57</f>
        <v>0</v>
      </c>
      <c r="AC57">
        <f>Реестр_План_Факт!AC57</f>
        <v>0</v>
      </c>
      <c r="AD57" t="str">
        <f>Реестр_План_Факт!AD57</f>
        <v/>
      </c>
      <c r="AE57">
        <f>Реестр_План_Факт!AE57</f>
        <v>0</v>
      </c>
      <c r="AF57">
        <f>Реестр_План_Факт!AF57</f>
        <v>0</v>
      </c>
      <c r="AG57" t="str">
        <f>Реестр_План_Факт!AG57</f>
        <v/>
      </c>
      <c r="AH57">
        <f>Реестр_План_Факт!AH57</f>
        <v>0</v>
      </c>
      <c r="AI57">
        <f>Реестр_План_Факт!AI57</f>
        <v>0</v>
      </c>
      <c r="AJ57" t="str">
        <f>Реестр_План_Факт!AJ57</f>
        <v/>
      </c>
      <c r="AK57">
        <f>Реестр_План_Факт!AK57</f>
        <v>0</v>
      </c>
      <c r="AL57">
        <f>Реестр_План_Факт!AL57</f>
        <v>0</v>
      </c>
      <c r="AM57" t="str">
        <f>Реестр_План_Факт!AM57</f>
        <v/>
      </c>
      <c r="AN57">
        <f>Реестр_План_Факт!AN57</f>
        <v>0</v>
      </c>
      <c r="AO57">
        <f>Реестр_План_Факт!AO57</f>
        <v>0</v>
      </c>
      <c r="AP57" t="str">
        <f>Реестр_План_Факт!AP57</f>
        <v/>
      </c>
      <c r="AQ57">
        <f>Реестр_План_Факт!AQ57</f>
        <v>0</v>
      </c>
    </row>
    <row r="58" spans="1:43" x14ac:dyDescent="0.2">
      <c r="A58" s="201">
        <f>Реестр_План_Факт!A58</f>
        <v>46079</v>
      </c>
      <c r="B58">
        <f>Реестр_План_Факт!B58</f>
        <v>9</v>
      </c>
      <c r="C58">
        <f>Реестр_План_Факт!C58</f>
        <v>2</v>
      </c>
      <c r="D58">
        <f>Реестр_План_Факт!D58</f>
        <v>0</v>
      </c>
      <c r="E58">
        <f>Реестр_План_Факт!E58</f>
        <v>0</v>
      </c>
      <c r="F58" t="str">
        <f>Реестр_План_Факт!F58</f>
        <v/>
      </c>
      <c r="G58">
        <f>Реестр_План_Факт!G58</f>
        <v>0</v>
      </c>
      <c r="H58">
        <f>Реестр_План_Факт!H58</f>
        <v>0</v>
      </c>
      <c r="I58" t="str">
        <f>Реестр_План_Факт!I58</f>
        <v/>
      </c>
      <c r="J58">
        <f>Реестр_План_Факт!J58</f>
        <v>0</v>
      </c>
      <c r="K58">
        <f>Реестр_План_Факт!K58</f>
        <v>0</v>
      </c>
      <c r="L58" t="str">
        <f>Реестр_План_Факт!L58</f>
        <v/>
      </c>
      <c r="M58">
        <f>Реестр_План_Факт!M58</f>
        <v>0</v>
      </c>
      <c r="N58">
        <f>Реестр_План_Факт!N58</f>
        <v>0</v>
      </c>
      <c r="O58" t="str">
        <f>Реестр_План_Факт!O58</f>
        <v/>
      </c>
      <c r="P58">
        <f>Реестр_План_Факт!P58</f>
        <v>0</v>
      </c>
      <c r="Q58">
        <f>Реестр_План_Факт!Q58</f>
        <v>0</v>
      </c>
      <c r="R58" t="str">
        <f>Реестр_План_Факт!R58</f>
        <v/>
      </c>
      <c r="S58">
        <f>Реестр_План_Факт!S58</f>
        <v>0</v>
      </c>
      <c r="T58">
        <f>Реестр_План_Факт!T58</f>
        <v>0</v>
      </c>
      <c r="U58" t="str">
        <f>Реестр_План_Факт!U58</f>
        <v/>
      </c>
      <c r="V58">
        <f>Реестр_План_Факт!V58</f>
        <v>0</v>
      </c>
      <c r="W58">
        <f>Реестр_План_Факт!W58</f>
        <v>0</v>
      </c>
      <c r="X58" t="str">
        <f>Реестр_План_Факт!X58</f>
        <v/>
      </c>
      <c r="Y58">
        <f>Реестр_План_Факт!Y58</f>
        <v>0</v>
      </c>
      <c r="Z58">
        <f>Реестр_План_Факт!Z58</f>
        <v>0</v>
      </c>
      <c r="AA58" t="str">
        <f>Реестр_План_Факт!AA58</f>
        <v/>
      </c>
      <c r="AB58">
        <f>Реестр_План_Факт!AB58</f>
        <v>0</v>
      </c>
      <c r="AC58">
        <f>Реестр_План_Факт!AC58</f>
        <v>0</v>
      </c>
      <c r="AD58" t="str">
        <f>Реестр_План_Факт!AD58</f>
        <v/>
      </c>
      <c r="AE58">
        <f>Реестр_План_Факт!AE58</f>
        <v>0</v>
      </c>
      <c r="AF58">
        <f>Реестр_План_Факт!AF58</f>
        <v>0</v>
      </c>
      <c r="AG58" t="str">
        <f>Реестр_План_Факт!AG58</f>
        <v/>
      </c>
      <c r="AH58">
        <f>Реестр_План_Факт!AH58</f>
        <v>0</v>
      </c>
      <c r="AI58">
        <f>Реестр_План_Факт!AI58</f>
        <v>0</v>
      </c>
      <c r="AJ58" t="str">
        <f>Реестр_План_Факт!AJ58</f>
        <v/>
      </c>
      <c r="AK58">
        <f>Реестр_План_Факт!AK58</f>
        <v>0</v>
      </c>
      <c r="AL58">
        <f>Реестр_План_Факт!AL58</f>
        <v>0</v>
      </c>
      <c r="AM58" t="str">
        <f>Реестр_План_Факт!AM58</f>
        <v/>
      </c>
      <c r="AN58">
        <f>Реестр_План_Факт!AN58</f>
        <v>0</v>
      </c>
      <c r="AO58">
        <f>Реестр_План_Факт!AO58</f>
        <v>0</v>
      </c>
      <c r="AP58" t="str">
        <f>Реестр_План_Факт!AP58</f>
        <v/>
      </c>
      <c r="AQ58">
        <f>Реестр_План_Факт!AQ58</f>
        <v>0</v>
      </c>
    </row>
    <row r="59" spans="1:43" x14ac:dyDescent="0.2">
      <c r="A59" s="201">
        <f>Реестр_План_Факт!A59</f>
        <v>46080</v>
      </c>
      <c r="B59">
        <f>Реестр_План_Факт!B59</f>
        <v>9</v>
      </c>
      <c r="C59">
        <f>Реестр_План_Факт!C59</f>
        <v>2</v>
      </c>
      <c r="D59">
        <f>Реестр_План_Факт!D59</f>
        <v>0</v>
      </c>
      <c r="E59">
        <f>Реестр_План_Факт!E59</f>
        <v>0</v>
      </c>
      <c r="F59" t="str">
        <f>Реестр_План_Факт!F59</f>
        <v/>
      </c>
      <c r="G59">
        <f>Реестр_План_Факт!G59</f>
        <v>0</v>
      </c>
      <c r="H59">
        <f>Реестр_План_Факт!H59</f>
        <v>0</v>
      </c>
      <c r="I59" t="str">
        <f>Реестр_План_Факт!I59</f>
        <v/>
      </c>
      <c r="J59">
        <f>Реестр_План_Факт!J59</f>
        <v>0</v>
      </c>
      <c r="K59">
        <f>Реестр_План_Факт!K59</f>
        <v>0</v>
      </c>
      <c r="L59" t="str">
        <f>Реестр_План_Факт!L59</f>
        <v/>
      </c>
      <c r="M59">
        <f>Реестр_План_Факт!M59</f>
        <v>0</v>
      </c>
      <c r="N59">
        <f>Реестр_План_Факт!N59</f>
        <v>0</v>
      </c>
      <c r="O59" t="str">
        <f>Реестр_План_Факт!O59</f>
        <v/>
      </c>
      <c r="P59">
        <f>Реестр_План_Факт!P59</f>
        <v>0</v>
      </c>
      <c r="Q59">
        <f>Реестр_План_Факт!Q59</f>
        <v>0</v>
      </c>
      <c r="R59" t="str">
        <f>Реестр_План_Факт!R59</f>
        <v/>
      </c>
      <c r="S59">
        <f>Реестр_План_Факт!S59</f>
        <v>0</v>
      </c>
      <c r="T59">
        <f>Реестр_План_Факт!T59</f>
        <v>0</v>
      </c>
      <c r="U59" t="str">
        <f>Реестр_План_Факт!U59</f>
        <v/>
      </c>
      <c r="V59">
        <f>Реестр_План_Факт!V59</f>
        <v>0</v>
      </c>
      <c r="W59">
        <f>Реестр_План_Факт!W59</f>
        <v>0</v>
      </c>
      <c r="X59" t="str">
        <f>Реестр_План_Факт!X59</f>
        <v/>
      </c>
      <c r="Y59">
        <f>Реестр_План_Факт!Y59</f>
        <v>0</v>
      </c>
      <c r="Z59">
        <f>Реестр_План_Факт!Z59</f>
        <v>0</v>
      </c>
      <c r="AA59" t="str">
        <f>Реестр_План_Факт!AA59</f>
        <v/>
      </c>
      <c r="AB59">
        <f>Реестр_План_Факт!AB59</f>
        <v>0</v>
      </c>
      <c r="AC59">
        <f>Реестр_План_Факт!AC59</f>
        <v>0</v>
      </c>
      <c r="AD59" t="str">
        <f>Реестр_План_Факт!AD59</f>
        <v/>
      </c>
      <c r="AE59">
        <f>Реестр_План_Факт!AE59</f>
        <v>0</v>
      </c>
      <c r="AF59">
        <f>Реестр_План_Факт!AF59</f>
        <v>0</v>
      </c>
      <c r="AG59" t="str">
        <f>Реестр_План_Факт!AG59</f>
        <v/>
      </c>
      <c r="AH59">
        <f>Реестр_План_Факт!AH59</f>
        <v>0</v>
      </c>
      <c r="AI59">
        <f>Реестр_План_Факт!AI59</f>
        <v>0</v>
      </c>
      <c r="AJ59" t="str">
        <f>Реестр_План_Факт!AJ59</f>
        <v/>
      </c>
      <c r="AK59">
        <f>Реестр_План_Факт!AK59</f>
        <v>0</v>
      </c>
      <c r="AL59">
        <f>Реестр_План_Факт!AL59</f>
        <v>0</v>
      </c>
      <c r="AM59" t="str">
        <f>Реестр_План_Факт!AM59</f>
        <v/>
      </c>
      <c r="AN59">
        <f>Реестр_План_Факт!AN59</f>
        <v>0</v>
      </c>
      <c r="AO59">
        <f>Реестр_План_Факт!AO59</f>
        <v>0</v>
      </c>
      <c r="AP59" t="str">
        <f>Реестр_План_Факт!AP59</f>
        <v/>
      </c>
      <c r="AQ59">
        <f>Реестр_План_Факт!AQ59</f>
        <v>0</v>
      </c>
    </row>
    <row r="60" spans="1:43" x14ac:dyDescent="0.2">
      <c r="A60" s="201">
        <f>Реестр_План_Факт!A60</f>
        <v>46081</v>
      </c>
      <c r="B60">
        <f>Реестр_План_Факт!B60</f>
        <v>9</v>
      </c>
      <c r="C60">
        <f>Реестр_План_Факт!C60</f>
        <v>2</v>
      </c>
      <c r="D60">
        <f>Реестр_План_Факт!D60</f>
        <v>0</v>
      </c>
      <c r="E60">
        <f>Реестр_План_Факт!E60</f>
        <v>0</v>
      </c>
      <c r="F60" t="str">
        <f>Реестр_План_Факт!F60</f>
        <v/>
      </c>
      <c r="G60">
        <f>Реестр_План_Факт!G60</f>
        <v>0</v>
      </c>
      <c r="H60">
        <f>Реестр_План_Факт!H60</f>
        <v>0</v>
      </c>
      <c r="I60" t="str">
        <f>Реестр_План_Факт!I60</f>
        <v/>
      </c>
      <c r="J60">
        <f>Реестр_План_Факт!J60</f>
        <v>0</v>
      </c>
      <c r="K60">
        <f>Реестр_План_Факт!K60</f>
        <v>0</v>
      </c>
      <c r="L60" t="str">
        <f>Реестр_План_Факт!L60</f>
        <v/>
      </c>
      <c r="M60">
        <f>Реестр_План_Факт!M60</f>
        <v>0</v>
      </c>
      <c r="N60">
        <f>Реестр_План_Факт!N60</f>
        <v>0</v>
      </c>
      <c r="O60" t="str">
        <f>Реестр_План_Факт!O60</f>
        <v/>
      </c>
      <c r="P60">
        <f>Реестр_План_Факт!P60</f>
        <v>0</v>
      </c>
      <c r="Q60">
        <f>Реестр_План_Факт!Q60</f>
        <v>0</v>
      </c>
      <c r="R60" t="str">
        <f>Реестр_План_Факт!R60</f>
        <v/>
      </c>
      <c r="S60">
        <f>Реестр_План_Факт!S60</f>
        <v>0</v>
      </c>
      <c r="T60">
        <f>Реестр_План_Факт!T60</f>
        <v>0</v>
      </c>
      <c r="U60" t="str">
        <f>Реестр_План_Факт!U60</f>
        <v/>
      </c>
      <c r="V60">
        <f>Реестр_План_Факт!V60</f>
        <v>0</v>
      </c>
      <c r="W60">
        <f>Реестр_План_Факт!W60</f>
        <v>0</v>
      </c>
      <c r="X60" t="str">
        <f>Реестр_План_Факт!X60</f>
        <v/>
      </c>
      <c r="Y60">
        <f>Реестр_План_Факт!Y60</f>
        <v>0</v>
      </c>
      <c r="Z60">
        <f>Реестр_План_Факт!Z60</f>
        <v>0</v>
      </c>
      <c r="AA60" t="str">
        <f>Реестр_План_Факт!AA60</f>
        <v/>
      </c>
      <c r="AB60">
        <f>Реестр_План_Факт!AB60</f>
        <v>0</v>
      </c>
      <c r="AC60">
        <f>Реестр_План_Факт!AC60</f>
        <v>0</v>
      </c>
      <c r="AD60" t="str">
        <f>Реестр_План_Факт!AD60</f>
        <v/>
      </c>
      <c r="AE60">
        <f>Реестр_План_Факт!AE60</f>
        <v>0</v>
      </c>
      <c r="AF60">
        <f>Реестр_План_Факт!AF60</f>
        <v>0</v>
      </c>
      <c r="AG60" t="str">
        <f>Реестр_План_Факт!AG60</f>
        <v/>
      </c>
      <c r="AH60">
        <f>Реестр_План_Факт!AH60</f>
        <v>0</v>
      </c>
      <c r="AI60">
        <f>Реестр_План_Факт!AI60</f>
        <v>0</v>
      </c>
      <c r="AJ60" t="str">
        <f>Реестр_План_Факт!AJ60</f>
        <v/>
      </c>
      <c r="AK60">
        <f>Реестр_План_Факт!AK60</f>
        <v>0</v>
      </c>
      <c r="AL60">
        <f>Реестр_План_Факт!AL60</f>
        <v>0</v>
      </c>
      <c r="AM60" t="str">
        <f>Реестр_План_Факт!AM60</f>
        <v/>
      </c>
      <c r="AN60">
        <f>Реестр_План_Факт!AN60</f>
        <v>0</v>
      </c>
      <c r="AO60">
        <f>Реестр_План_Факт!AO60</f>
        <v>0</v>
      </c>
      <c r="AP60" t="str">
        <f>Реестр_План_Факт!AP60</f>
        <v/>
      </c>
      <c r="AQ60">
        <f>Реестр_План_Факт!AQ60</f>
        <v>0</v>
      </c>
    </row>
    <row r="61" spans="1:43" x14ac:dyDescent="0.2">
      <c r="A61" s="201">
        <f>Реестр_План_Факт!A61</f>
        <v>46082</v>
      </c>
      <c r="B61">
        <f>Реестр_План_Факт!B61</f>
        <v>9</v>
      </c>
      <c r="C61">
        <f>Реестр_План_Факт!C61</f>
        <v>3</v>
      </c>
      <c r="D61">
        <f>Реестр_План_Факт!D61</f>
        <v>0</v>
      </c>
      <c r="E61">
        <f>Реестр_План_Факт!E61</f>
        <v>0</v>
      </c>
      <c r="F61" t="str">
        <f>Реестр_План_Факт!F61</f>
        <v/>
      </c>
      <c r="G61">
        <f>Реестр_План_Факт!G61</f>
        <v>0</v>
      </c>
      <c r="H61">
        <f>Реестр_План_Факт!H61</f>
        <v>0</v>
      </c>
      <c r="I61" t="str">
        <f>Реестр_План_Факт!I61</f>
        <v/>
      </c>
      <c r="J61">
        <f>Реестр_План_Факт!J61</f>
        <v>0</v>
      </c>
      <c r="K61">
        <f>Реестр_План_Факт!K61</f>
        <v>0</v>
      </c>
      <c r="L61" t="str">
        <f>Реестр_План_Факт!L61</f>
        <v/>
      </c>
      <c r="M61">
        <f>Реестр_План_Факт!M61</f>
        <v>0</v>
      </c>
      <c r="N61">
        <f>Реестр_План_Факт!N61</f>
        <v>0</v>
      </c>
      <c r="O61" t="str">
        <f>Реестр_План_Факт!O61</f>
        <v/>
      </c>
      <c r="P61">
        <f>Реестр_План_Факт!P61</f>
        <v>0</v>
      </c>
      <c r="Q61">
        <f>Реестр_План_Факт!Q61</f>
        <v>0</v>
      </c>
      <c r="R61" t="str">
        <f>Реестр_План_Факт!R61</f>
        <v/>
      </c>
      <c r="S61">
        <f>Реестр_План_Факт!S61</f>
        <v>0</v>
      </c>
      <c r="T61">
        <f>Реестр_План_Факт!T61</f>
        <v>0</v>
      </c>
      <c r="U61" t="str">
        <f>Реестр_План_Факт!U61</f>
        <v/>
      </c>
      <c r="V61">
        <f>Реестр_План_Факт!V61</f>
        <v>0</v>
      </c>
      <c r="W61">
        <f>Реестр_План_Факт!W61</f>
        <v>0</v>
      </c>
      <c r="X61" t="str">
        <f>Реестр_План_Факт!X61</f>
        <v/>
      </c>
      <c r="Y61">
        <f>Реестр_План_Факт!Y61</f>
        <v>0</v>
      </c>
      <c r="Z61">
        <f>Реестр_План_Факт!Z61</f>
        <v>0</v>
      </c>
      <c r="AA61" t="str">
        <f>Реестр_План_Факт!AA61</f>
        <v/>
      </c>
      <c r="AB61">
        <f>Реестр_План_Факт!AB61</f>
        <v>0</v>
      </c>
      <c r="AC61">
        <f>Реестр_План_Факт!AC61</f>
        <v>0</v>
      </c>
      <c r="AD61" t="str">
        <f>Реестр_План_Факт!AD61</f>
        <v/>
      </c>
      <c r="AE61">
        <f>Реестр_План_Факт!AE61</f>
        <v>0</v>
      </c>
      <c r="AF61">
        <f>Реестр_План_Факт!AF61</f>
        <v>0</v>
      </c>
      <c r="AG61" t="str">
        <f>Реестр_План_Факт!AG61</f>
        <v/>
      </c>
      <c r="AH61">
        <f>Реестр_План_Факт!AH61</f>
        <v>0</v>
      </c>
      <c r="AI61">
        <f>Реестр_План_Факт!AI61</f>
        <v>0</v>
      </c>
      <c r="AJ61" t="str">
        <f>Реестр_План_Факт!AJ61</f>
        <v/>
      </c>
      <c r="AK61">
        <f>Реестр_План_Факт!AK61</f>
        <v>0</v>
      </c>
      <c r="AL61">
        <f>Реестр_План_Факт!AL61</f>
        <v>0</v>
      </c>
      <c r="AM61" t="str">
        <f>Реестр_План_Факт!AM61</f>
        <v/>
      </c>
      <c r="AN61">
        <f>Реестр_План_Факт!AN61</f>
        <v>0</v>
      </c>
      <c r="AO61">
        <f>Реестр_План_Факт!AO61</f>
        <v>0</v>
      </c>
      <c r="AP61" t="str">
        <f>Реестр_План_Факт!AP61</f>
        <v/>
      </c>
      <c r="AQ61">
        <f>Реестр_План_Факт!AQ61</f>
        <v>0</v>
      </c>
    </row>
    <row r="62" spans="1:43" x14ac:dyDescent="0.2">
      <c r="A62" s="201">
        <f>Реестр_План_Факт!A62</f>
        <v>46083</v>
      </c>
      <c r="B62">
        <f>Реестр_План_Факт!B62</f>
        <v>10</v>
      </c>
      <c r="C62">
        <f>Реестр_План_Факт!C62</f>
        <v>3</v>
      </c>
      <c r="D62">
        <f>Реестр_План_Факт!D62</f>
        <v>10410</v>
      </c>
      <c r="E62">
        <f>Реестр_План_Факт!E62</f>
        <v>12051</v>
      </c>
      <c r="F62">
        <f>Реестр_План_Факт!F62</f>
        <v>1.1576368876080692</v>
      </c>
      <c r="G62">
        <f>Реестр_План_Факт!G62</f>
        <v>0</v>
      </c>
      <c r="H62">
        <f>Реестр_План_Факт!H62</f>
        <v>0</v>
      </c>
      <c r="I62" t="str">
        <f>Реестр_План_Факт!I62</f>
        <v/>
      </c>
      <c r="J62">
        <f>Реестр_План_Факт!J62</f>
        <v>0</v>
      </c>
      <c r="K62">
        <f>Реестр_План_Факт!K62</f>
        <v>0</v>
      </c>
      <c r="L62" t="str">
        <f>Реестр_План_Факт!L62</f>
        <v/>
      </c>
      <c r="M62">
        <f>Реестр_План_Факт!M62</f>
        <v>1</v>
      </c>
      <c r="N62">
        <f>Реестр_План_Факт!N62</f>
        <v>1</v>
      </c>
      <c r="O62">
        <f>Реестр_План_Факт!O62</f>
        <v>1</v>
      </c>
      <c r="P62">
        <f>Реестр_План_Факт!P62</f>
        <v>3</v>
      </c>
      <c r="Q62">
        <f>Реестр_План_Факт!Q62</f>
        <v>3</v>
      </c>
      <c r="R62">
        <f>Реестр_План_Факт!R62</f>
        <v>1</v>
      </c>
      <c r="S62">
        <f>Реестр_План_Факт!S62</f>
        <v>10918</v>
      </c>
      <c r="T62">
        <f>Реестр_План_Факт!T62</f>
        <v>5605</v>
      </c>
      <c r="U62">
        <f>Реестр_План_Факт!U62</f>
        <v>0.5133724125297674</v>
      </c>
      <c r="V62">
        <f>Реестр_План_Факт!V62</f>
        <v>400</v>
      </c>
      <c r="W62">
        <f>Реестр_План_Факт!W62</f>
        <v>14</v>
      </c>
      <c r="X62">
        <f>Реестр_План_Факт!X62</f>
        <v>3.5000000000000003E-2</v>
      </c>
      <c r="Y62">
        <f>Реестр_План_Факт!Y62</f>
        <v>0</v>
      </c>
      <c r="Z62">
        <f>Реестр_План_Факт!Z62</f>
        <v>0</v>
      </c>
      <c r="AA62" t="str">
        <f>Реестр_План_Факт!AA62</f>
        <v/>
      </c>
      <c r="AB62">
        <f>Реестр_План_Факт!AB62</f>
        <v>200000</v>
      </c>
      <c r="AC62">
        <f>Реестр_План_Факт!AC62</f>
        <v>210680</v>
      </c>
      <c r="AD62">
        <f>Реестр_План_Факт!AD62</f>
        <v>1.0533999999999999</v>
      </c>
      <c r="AE62">
        <f>Реестр_План_Факт!AE62</f>
        <v>200000</v>
      </c>
      <c r="AF62">
        <f>Реестр_План_Факт!AF62</f>
        <v>210680</v>
      </c>
      <c r="AG62">
        <f>Реестр_План_Факт!AG62</f>
        <v>1.0533999999999999</v>
      </c>
      <c r="AH62">
        <f>Реестр_План_Факт!AH62</f>
        <v>280</v>
      </c>
      <c r="AI62">
        <f>Реестр_План_Факт!AI62</f>
        <v>280.14999999999998</v>
      </c>
      <c r="AJ62">
        <f>Реестр_План_Факт!AJ62</f>
        <v>1.0005357142857143</v>
      </c>
      <c r="AK62">
        <f>Реестр_План_Факт!AK62</f>
        <v>0</v>
      </c>
      <c r="AL62">
        <f>Реестр_План_Факт!AL62</f>
        <v>0</v>
      </c>
      <c r="AM62" t="str">
        <f>Реестр_План_Факт!AM62</f>
        <v/>
      </c>
      <c r="AN62">
        <f>Реестр_План_Факт!AN62</f>
        <v>8</v>
      </c>
      <c r="AO62">
        <f>Реестр_План_Факт!AO62</f>
        <v>8</v>
      </c>
      <c r="AP62">
        <f>Реестр_План_Факт!AP62</f>
        <v>1</v>
      </c>
      <c r="AQ62">
        <f>Реестр_План_Факт!AQ62</f>
        <v>0</v>
      </c>
    </row>
    <row r="63" spans="1:43" x14ac:dyDescent="0.2">
      <c r="A63" s="201">
        <f>Реестр_План_Факт!A63</f>
        <v>46084</v>
      </c>
      <c r="B63">
        <f>Реестр_План_Факт!B63</f>
        <v>10</v>
      </c>
      <c r="C63">
        <f>Реестр_План_Факт!C63</f>
        <v>3</v>
      </c>
      <c r="D63">
        <f>Реестр_План_Факт!D63</f>
        <v>7860</v>
      </c>
      <c r="E63">
        <f>Реестр_План_Факт!E63</f>
        <v>10653</v>
      </c>
      <c r="F63">
        <f>Реестр_План_Факт!F63</f>
        <v>1.3553435114503818</v>
      </c>
      <c r="G63">
        <f>Реестр_План_Факт!G63</f>
        <v>0</v>
      </c>
      <c r="H63">
        <f>Реестр_План_Факт!H63</f>
        <v>0</v>
      </c>
      <c r="I63" t="str">
        <f>Реестр_План_Факт!I63</f>
        <v/>
      </c>
      <c r="J63">
        <f>Реестр_План_Факт!J63</f>
        <v>0</v>
      </c>
      <c r="K63">
        <f>Реестр_План_Факт!K63</f>
        <v>0</v>
      </c>
      <c r="L63" t="str">
        <f>Реестр_План_Факт!L63</f>
        <v/>
      </c>
      <c r="M63">
        <f>Реестр_План_Факт!M63</f>
        <v>2</v>
      </c>
      <c r="N63">
        <f>Реестр_План_Факт!N63</f>
        <v>1</v>
      </c>
      <c r="O63">
        <f>Реестр_План_Факт!O63</f>
        <v>0.5</v>
      </c>
      <c r="P63">
        <f>Реестр_План_Факт!P63</f>
        <v>2</v>
      </c>
      <c r="Q63">
        <f>Реестр_План_Факт!Q63</f>
        <v>2</v>
      </c>
      <c r="R63">
        <f>Реестр_План_Факт!R63</f>
        <v>1</v>
      </c>
      <c r="S63">
        <f>Реестр_План_Факт!S63</f>
        <v>16000</v>
      </c>
      <c r="T63">
        <f>Реестр_План_Факт!T63</f>
        <v>16348</v>
      </c>
      <c r="U63">
        <f>Реестр_План_Факт!U63</f>
        <v>1.0217499999999999</v>
      </c>
      <c r="V63">
        <f>Реестр_План_Факт!V63</f>
        <v>0</v>
      </c>
      <c r="W63">
        <f>Реестр_План_Факт!W63</f>
        <v>0</v>
      </c>
      <c r="X63" t="str">
        <f>Реестр_План_Факт!X63</f>
        <v/>
      </c>
      <c r="Y63">
        <f>Реестр_План_Факт!Y63</f>
        <v>0</v>
      </c>
      <c r="Z63">
        <f>Реестр_План_Факт!Z63</f>
        <v>0</v>
      </c>
      <c r="AA63" t="str">
        <f>Реестр_План_Факт!AA63</f>
        <v/>
      </c>
      <c r="AB63">
        <f>Реестр_План_Факт!AB63</f>
        <v>0</v>
      </c>
      <c r="AC63">
        <f>Реестр_План_Факт!AC63</f>
        <v>0</v>
      </c>
      <c r="AD63" t="str">
        <f>Реестр_План_Факт!AD63</f>
        <v/>
      </c>
      <c r="AE63">
        <f>Реестр_План_Факт!AE63</f>
        <v>20000</v>
      </c>
      <c r="AF63">
        <f>Реестр_План_Факт!AF63</f>
        <v>20800</v>
      </c>
      <c r="AG63">
        <f>Реестр_План_Факт!AG63</f>
        <v>1.04</v>
      </c>
      <c r="AH63">
        <f>Реестр_План_Факт!AH63</f>
        <v>400</v>
      </c>
      <c r="AI63">
        <f>Реестр_План_Факт!AI63</f>
        <v>405.4</v>
      </c>
      <c r="AJ63">
        <f>Реестр_План_Факт!AJ63</f>
        <v>1.0134999999999998</v>
      </c>
      <c r="AK63">
        <f>Реестр_План_Факт!AK63</f>
        <v>800</v>
      </c>
      <c r="AL63">
        <f>Реестр_План_Факт!AL63</f>
        <v>768</v>
      </c>
      <c r="AM63">
        <f>Реестр_План_Факт!AM63</f>
        <v>0.96</v>
      </c>
      <c r="AN63">
        <f>Реестр_План_Факт!AN63</f>
        <v>200</v>
      </c>
      <c r="AO63">
        <f>Реестр_План_Факт!AO63</f>
        <v>194</v>
      </c>
      <c r="AP63">
        <f>Реестр_План_Факт!AP63</f>
        <v>0.97</v>
      </c>
      <c r="AQ63">
        <f>Реестр_План_Факт!AQ63</f>
        <v>0</v>
      </c>
    </row>
    <row r="64" spans="1:43" x14ac:dyDescent="0.2">
      <c r="A64" s="201">
        <f>Реестр_План_Факт!A64</f>
        <v>46085</v>
      </c>
      <c r="B64">
        <f>Реестр_План_Факт!B64</f>
        <v>10</v>
      </c>
      <c r="C64">
        <f>Реестр_План_Факт!C64</f>
        <v>3</v>
      </c>
      <c r="D64">
        <f>Реестр_План_Факт!D64</f>
        <v>12406</v>
      </c>
      <c r="E64">
        <f>Реестр_План_Факт!E64</f>
        <v>11717</v>
      </c>
      <c r="F64">
        <f>Реестр_План_Факт!F64</f>
        <v>0.94446235692406899</v>
      </c>
      <c r="G64">
        <f>Реестр_План_Факт!G64</f>
        <v>0</v>
      </c>
      <c r="H64">
        <f>Реестр_План_Факт!H64</f>
        <v>0</v>
      </c>
      <c r="I64" t="str">
        <f>Реестр_План_Факт!I64</f>
        <v/>
      </c>
      <c r="J64">
        <f>Реестр_План_Факт!J64</f>
        <v>0</v>
      </c>
      <c r="K64">
        <f>Реестр_План_Факт!K64</f>
        <v>0</v>
      </c>
      <c r="L64" t="str">
        <f>Реестр_План_Факт!L64</f>
        <v/>
      </c>
      <c r="M64">
        <f>Реестр_План_Факт!M64</f>
        <v>2</v>
      </c>
      <c r="N64">
        <f>Реестр_План_Факт!N64</f>
        <v>2</v>
      </c>
      <c r="O64">
        <f>Реестр_План_Факт!O64</f>
        <v>1</v>
      </c>
      <c r="P64">
        <f>Реестр_План_Факт!P64</f>
        <v>2</v>
      </c>
      <c r="Q64">
        <f>Реестр_План_Факт!Q64</f>
        <v>2</v>
      </c>
      <c r="R64">
        <f>Реестр_План_Факт!R64</f>
        <v>1</v>
      </c>
      <c r="S64">
        <f>Реестр_План_Факт!S64</f>
        <v>3040</v>
      </c>
      <c r="T64">
        <f>Реестр_План_Факт!T64</f>
        <v>44</v>
      </c>
      <c r="U64">
        <f>Реестр_План_Факт!U64</f>
        <v>1.4473684210526316E-2</v>
      </c>
      <c r="V64">
        <f>Реестр_План_Факт!V64</f>
        <v>1400</v>
      </c>
      <c r="W64">
        <f>Реестр_План_Факт!W64</f>
        <v>1461</v>
      </c>
      <c r="X64">
        <f>Реестр_План_Факт!X64</f>
        <v>1.0435714285714286</v>
      </c>
      <c r="Y64">
        <f>Реестр_План_Факт!Y64</f>
        <v>0</v>
      </c>
      <c r="Z64">
        <f>Реестр_План_Факт!Z64</f>
        <v>0</v>
      </c>
      <c r="AA64" t="str">
        <f>Реестр_План_Факт!AA64</f>
        <v/>
      </c>
      <c r="AB64">
        <f>Реестр_План_Факт!AB64</f>
        <v>0</v>
      </c>
      <c r="AC64">
        <f>Реестр_План_Факт!AC64</f>
        <v>0</v>
      </c>
      <c r="AD64" t="str">
        <f>Реестр_План_Факт!AD64</f>
        <v/>
      </c>
      <c r="AE64">
        <f>Реестр_План_Факт!AE64</f>
        <v>0</v>
      </c>
      <c r="AF64">
        <f>Реестр_План_Факт!AF64</f>
        <v>0</v>
      </c>
      <c r="AG64" t="str">
        <f>Реестр_План_Факт!AG64</f>
        <v/>
      </c>
      <c r="AH64">
        <f>Реестр_План_Факт!AH64</f>
        <v>440</v>
      </c>
      <c r="AI64">
        <f>Реестр_План_Факт!AI64</f>
        <v>446.17</v>
      </c>
      <c r="AJ64">
        <f>Реестр_План_Факт!AJ64</f>
        <v>1.0140227272727274</v>
      </c>
      <c r="AK64">
        <f>Реестр_План_Факт!AK64</f>
        <v>400</v>
      </c>
      <c r="AL64">
        <f>Реестр_План_Факт!AL64</f>
        <v>415</v>
      </c>
      <c r="AM64">
        <f>Реестр_План_Факт!AM64</f>
        <v>1.0375000000000001</v>
      </c>
      <c r="AN64">
        <f>Реестр_План_Факт!AN64</f>
        <v>400</v>
      </c>
      <c r="AO64">
        <f>Реестр_План_Факт!AO64</f>
        <v>420</v>
      </c>
      <c r="AP64">
        <f>Реестр_План_Факт!AP64</f>
        <v>1.05</v>
      </c>
      <c r="AQ64">
        <f>Реестр_План_Факт!AQ64</f>
        <v>0</v>
      </c>
    </row>
    <row r="65" spans="1:43" x14ac:dyDescent="0.2">
      <c r="A65" s="201">
        <f>Реестр_План_Факт!A65</f>
        <v>46086</v>
      </c>
      <c r="B65">
        <f>Реестр_План_Факт!B65</f>
        <v>10</v>
      </c>
      <c r="C65">
        <f>Реестр_План_Факт!C65</f>
        <v>3</v>
      </c>
      <c r="D65">
        <f>Реестр_План_Факт!D65</f>
        <v>14070</v>
      </c>
      <c r="E65">
        <f>Реестр_План_Факт!E65</f>
        <v>17525</v>
      </c>
      <c r="F65">
        <f>Реестр_План_Факт!F65</f>
        <v>1.2455579246624022</v>
      </c>
      <c r="G65">
        <f>Реестр_План_Факт!G65</f>
        <v>0</v>
      </c>
      <c r="H65">
        <f>Реестр_План_Факт!H65</f>
        <v>0</v>
      </c>
      <c r="I65" t="str">
        <f>Реестр_План_Факт!I65</f>
        <v/>
      </c>
      <c r="J65">
        <f>Реестр_План_Факт!J65</f>
        <v>0</v>
      </c>
      <c r="K65">
        <f>Реестр_План_Факт!K65</f>
        <v>0</v>
      </c>
      <c r="L65" t="str">
        <f>Реестр_План_Факт!L65</f>
        <v/>
      </c>
      <c r="M65">
        <f>Реестр_План_Факт!M65</f>
        <v>2</v>
      </c>
      <c r="N65">
        <f>Реестр_План_Факт!N65</f>
        <v>2</v>
      </c>
      <c r="O65">
        <f>Реестр_План_Факт!O65</f>
        <v>1</v>
      </c>
      <c r="P65">
        <f>Реестр_План_Факт!P65</f>
        <v>2</v>
      </c>
      <c r="Q65">
        <f>Реестр_План_Факт!Q65</f>
        <v>2</v>
      </c>
      <c r="R65">
        <f>Реестр_План_Факт!R65</f>
        <v>1</v>
      </c>
      <c r="S65">
        <f>Реестр_План_Факт!S65</f>
        <v>4500</v>
      </c>
      <c r="T65">
        <f>Реестр_План_Факт!T65</f>
        <v>3031</v>
      </c>
      <c r="U65">
        <f>Реестр_План_Факт!U65</f>
        <v>0.67355555555555557</v>
      </c>
      <c r="V65">
        <f>Реестр_План_Факт!V65</f>
        <v>180</v>
      </c>
      <c r="W65">
        <f>Реестр_План_Факт!W65</f>
        <v>0</v>
      </c>
      <c r="X65">
        <f>Реестр_План_Факт!X65</f>
        <v>0</v>
      </c>
      <c r="Y65">
        <f>Реестр_План_Факт!Y65</f>
        <v>0</v>
      </c>
      <c r="Z65">
        <f>Реестр_План_Факт!Z65</f>
        <v>0</v>
      </c>
      <c r="AA65" t="str">
        <f>Реестр_План_Факт!AA65</f>
        <v/>
      </c>
      <c r="AB65">
        <f>Реестр_План_Факт!AB65</f>
        <v>0</v>
      </c>
      <c r="AC65">
        <f>Реестр_План_Факт!AC65</f>
        <v>0</v>
      </c>
      <c r="AD65" t="str">
        <f>Реестр_План_Факт!AD65</f>
        <v/>
      </c>
      <c r="AE65">
        <f>Реестр_План_Факт!AE65</f>
        <v>0</v>
      </c>
      <c r="AF65">
        <f>Реестр_План_Факт!AF65</f>
        <v>0</v>
      </c>
      <c r="AG65" t="str">
        <f>Реестр_План_Факт!AG65</f>
        <v/>
      </c>
      <c r="AH65">
        <f>Реестр_План_Факт!AH65</f>
        <v>450</v>
      </c>
      <c r="AI65">
        <f>Реестр_План_Факт!AI65</f>
        <v>497.25</v>
      </c>
      <c r="AJ65">
        <f>Реестр_План_Факт!AJ65</f>
        <v>1.105</v>
      </c>
      <c r="AK65">
        <f>Реестр_План_Факт!AK65</f>
        <v>0</v>
      </c>
      <c r="AL65">
        <f>Реестр_План_Факт!AL65</f>
        <v>0</v>
      </c>
      <c r="AM65" t="str">
        <f>Реестр_План_Факт!AM65</f>
        <v/>
      </c>
      <c r="AN65">
        <f>Реестр_План_Факт!AN65</f>
        <v>180</v>
      </c>
      <c r="AO65">
        <f>Реестр_План_Факт!AO65</f>
        <v>217</v>
      </c>
      <c r="AP65">
        <f>Реестр_План_Факт!AP65</f>
        <v>1.2055555555555555</v>
      </c>
      <c r="AQ65" t="str">
        <f>Реестр_План_Факт!AQ65</f>
        <v>не было эл/энергии</v>
      </c>
    </row>
    <row r="66" spans="1:43" x14ac:dyDescent="0.2">
      <c r="A66" s="201">
        <f>Реестр_План_Факт!A66</f>
        <v>46087</v>
      </c>
      <c r="B66">
        <f>Реестр_План_Факт!B66</f>
        <v>10</v>
      </c>
      <c r="C66">
        <f>Реестр_План_Факт!C66</f>
        <v>3</v>
      </c>
      <c r="D66">
        <f>Реестр_План_Факт!D66</f>
        <v>16167</v>
      </c>
      <c r="E66">
        <f>Реестр_План_Факт!E66</f>
        <v>16044</v>
      </c>
      <c r="F66">
        <f>Реестр_План_Факт!F66</f>
        <v>0.99239190944516609</v>
      </c>
      <c r="G66">
        <f>Реестр_План_Факт!G66</f>
        <v>0</v>
      </c>
      <c r="H66">
        <f>Реестр_План_Факт!H66</f>
        <v>0</v>
      </c>
      <c r="I66">
        <f>Реестр_План_Факт!I66</f>
        <v>0</v>
      </c>
      <c r="J66">
        <f>Реестр_План_Факт!J66</f>
        <v>0</v>
      </c>
      <c r="K66">
        <f>Реестр_План_Факт!K66</f>
        <v>0</v>
      </c>
      <c r="L66" t="str">
        <f>Реестр_План_Факт!L66</f>
        <v/>
      </c>
      <c r="M66">
        <f>Реестр_План_Факт!M66</f>
        <v>2</v>
      </c>
      <c r="N66">
        <f>Реестр_План_Факт!N66</f>
        <v>2</v>
      </c>
      <c r="O66">
        <f>Реестр_План_Факт!O66</f>
        <v>1</v>
      </c>
      <c r="P66">
        <f>Реестр_План_Факт!P66</f>
        <v>1</v>
      </c>
      <c r="Q66">
        <f>Реестр_План_Факт!Q66</f>
        <v>1</v>
      </c>
      <c r="R66">
        <f>Реестр_План_Факт!R66</f>
        <v>1</v>
      </c>
      <c r="S66">
        <f>Реестр_План_Факт!S66</f>
        <v>7500</v>
      </c>
      <c r="T66">
        <f>Реестр_План_Факт!T66</f>
        <v>7658</v>
      </c>
      <c r="U66">
        <f>Реестр_План_Факт!U66</f>
        <v>1.0210666666666666</v>
      </c>
      <c r="V66">
        <f>Реестр_План_Факт!V66</f>
        <v>220</v>
      </c>
      <c r="W66">
        <f>Реестр_План_Факт!W66</f>
        <v>221</v>
      </c>
      <c r="X66">
        <f>Реестр_План_Факт!X66</f>
        <v>1.0045454545454546</v>
      </c>
      <c r="Y66">
        <f>Реестр_План_Факт!Y66</f>
        <v>0</v>
      </c>
      <c r="Z66">
        <f>Реестр_План_Факт!Z66</f>
        <v>0</v>
      </c>
      <c r="AA66" t="str">
        <f>Реестр_План_Факт!AA66</f>
        <v/>
      </c>
      <c r="AB66">
        <f>Реестр_План_Факт!AB66</f>
        <v>0</v>
      </c>
      <c r="AC66">
        <f>Реестр_План_Факт!AC66</f>
        <v>0</v>
      </c>
      <c r="AD66" t="str">
        <f>Реестр_План_Факт!AD66</f>
        <v/>
      </c>
      <c r="AE66">
        <f>Реестр_План_Факт!AE66</f>
        <v>0</v>
      </c>
      <c r="AF66">
        <f>Реестр_План_Факт!AF66</f>
        <v>0</v>
      </c>
      <c r="AG66" t="str">
        <f>Реестр_План_Факт!AG66</f>
        <v/>
      </c>
      <c r="AH66">
        <f>Реестр_План_Факт!AH66</f>
        <v>500</v>
      </c>
      <c r="AI66">
        <f>Реестр_План_Факт!AI66</f>
        <v>512</v>
      </c>
      <c r="AJ66">
        <f>Реестр_План_Факт!AJ66</f>
        <v>1.024</v>
      </c>
      <c r="AK66">
        <f>Реестр_План_Факт!AK66</f>
        <v>0</v>
      </c>
      <c r="AL66">
        <f>Реестр_План_Факт!AL66</f>
        <v>0</v>
      </c>
      <c r="AM66" t="str">
        <f>Реестр_План_Факт!AM66</f>
        <v/>
      </c>
      <c r="AN66">
        <f>Реестр_План_Факт!AN66</f>
        <v>0</v>
      </c>
      <c r="AO66">
        <f>Реестр_План_Факт!AO66</f>
        <v>0</v>
      </c>
      <c r="AP66" t="str">
        <f>Реестр_План_Факт!AP66</f>
        <v/>
      </c>
      <c r="AQ66">
        <f>Реестр_План_Факт!AQ66</f>
        <v>0</v>
      </c>
    </row>
    <row r="67" spans="1:43" x14ac:dyDescent="0.2">
      <c r="A67" s="201">
        <f>Реестр_План_Факт!A67</f>
        <v>46088</v>
      </c>
      <c r="B67">
        <f>Реестр_План_Факт!B67</f>
        <v>10</v>
      </c>
      <c r="C67">
        <f>Реестр_План_Факт!C67</f>
        <v>3</v>
      </c>
      <c r="D67">
        <f>Реестр_План_Факт!D67</f>
        <v>0</v>
      </c>
      <c r="E67">
        <f>Реестр_План_Факт!E67</f>
        <v>0</v>
      </c>
      <c r="F67" t="str">
        <f>Реестр_План_Факт!F67</f>
        <v/>
      </c>
      <c r="G67">
        <f>Реестр_План_Факт!G67</f>
        <v>0</v>
      </c>
      <c r="H67">
        <f>Реестр_План_Факт!H67</f>
        <v>0</v>
      </c>
      <c r="I67" t="str">
        <f>Реестр_План_Факт!I67</f>
        <v/>
      </c>
      <c r="J67">
        <f>Реестр_План_Факт!J67</f>
        <v>0</v>
      </c>
      <c r="K67">
        <f>Реестр_План_Факт!K67</f>
        <v>0</v>
      </c>
      <c r="L67" t="str">
        <f>Реестр_План_Факт!L67</f>
        <v/>
      </c>
      <c r="M67">
        <f>Реестр_План_Факт!M67</f>
        <v>5</v>
      </c>
      <c r="N67">
        <f>Реестр_План_Факт!N67</f>
        <v>5</v>
      </c>
      <c r="O67">
        <f>Реестр_План_Факт!O67</f>
        <v>1</v>
      </c>
      <c r="P67">
        <f>Реестр_План_Факт!P67</f>
        <v>0</v>
      </c>
      <c r="Q67">
        <f>Реестр_План_Факт!Q67</f>
        <v>0</v>
      </c>
      <c r="R67" t="str">
        <f>Реестр_План_Факт!R67</f>
        <v/>
      </c>
      <c r="S67">
        <f>Реестр_План_Факт!S67</f>
        <v>0</v>
      </c>
      <c r="T67">
        <f>Реестр_План_Факт!T67</f>
        <v>0</v>
      </c>
      <c r="U67" t="str">
        <f>Реестр_План_Факт!U67</f>
        <v/>
      </c>
      <c r="V67">
        <f>Реестр_План_Факт!V67</f>
        <v>0</v>
      </c>
      <c r="W67">
        <f>Реестр_План_Факт!W67</f>
        <v>0</v>
      </c>
      <c r="X67" t="str">
        <f>Реестр_План_Факт!X67</f>
        <v/>
      </c>
      <c r="Y67">
        <f>Реестр_План_Факт!Y67</f>
        <v>0</v>
      </c>
      <c r="Z67">
        <f>Реестр_План_Факт!Z67</f>
        <v>0</v>
      </c>
      <c r="AA67" t="str">
        <f>Реестр_План_Факт!AA67</f>
        <v/>
      </c>
      <c r="AB67">
        <f>Реестр_План_Факт!AB67</f>
        <v>0</v>
      </c>
      <c r="AC67">
        <f>Реестр_План_Факт!AC67</f>
        <v>0</v>
      </c>
      <c r="AD67" t="str">
        <f>Реестр_План_Факт!AD67</f>
        <v/>
      </c>
      <c r="AE67">
        <f>Реестр_План_Факт!AE67</f>
        <v>0</v>
      </c>
      <c r="AF67">
        <f>Реестр_План_Факт!AF67</f>
        <v>0</v>
      </c>
      <c r="AG67" t="str">
        <f>Реестр_План_Факт!AG67</f>
        <v/>
      </c>
      <c r="AH67">
        <f>Реестр_План_Факт!AH67</f>
        <v>0</v>
      </c>
      <c r="AI67">
        <f>Реестр_План_Факт!AI67</f>
        <v>0</v>
      </c>
      <c r="AJ67" t="str">
        <f>Реестр_План_Факт!AJ67</f>
        <v/>
      </c>
      <c r="AK67">
        <f>Реестр_План_Факт!AK67</f>
        <v>0</v>
      </c>
      <c r="AL67">
        <f>Реестр_План_Факт!AL67</f>
        <v>0</v>
      </c>
      <c r="AM67" t="str">
        <f>Реестр_План_Факт!AM67</f>
        <v/>
      </c>
      <c r="AN67">
        <f>Реестр_План_Факт!AN67</f>
        <v>0</v>
      </c>
      <c r="AO67">
        <f>Реестр_План_Факт!AO67</f>
        <v>0</v>
      </c>
      <c r="AP67" t="str">
        <f>Реестр_План_Факт!AP67</f>
        <v/>
      </c>
      <c r="AQ67">
        <f>Реестр_План_Факт!AQ67</f>
        <v>0</v>
      </c>
    </row>
    <row r="68" spans="1:43" x14ac:dyDescent="0.2">
      <c r="A68" s="201">
        <f>Реестр_План_Факт!A68</f>
        <v>46089</v>
      </c>
      <c r="B68">
        <f>Реестр_План_Факт!B68</f>
        <v>10</v>
      </c>
      <c r="C68">
        <f>Реестр_План_Факт!C68</f>
        <v>3</v>
      </c>
      <c r="D68">
        <f>Реестр_План_Факт!D68</f>
        <v>0</v>
      </c>
      <c r="E68">
        <f>Реестр_План_Факт!E68</f>
        <v>0</v>
      </c>
      <c r="F68" t="str">
        <f>Реестр_План_Факт!F68</f>
        <v/>
      </c>
      <c r="G68">
        <f>Реестр_План_Факт!G68</f>
        <v>0</v>
      </c>
      <c r="H68">
        <f>Реестр_План_Факт!H68</f>
        <v>0</v>
      </c>
      <c r="I68" t="str">
        <f>Реестр_План_Факт!I68</f>
        <v/>
      </c>
      <c r="J68">
        <f>Реестр_План_Факт!J68</f>
        <v>0</v>
      </c>
      <c r="K68">
        <f>Реестр_План_Факт!K68</f>
        <v>0</v>
      </c>
      <c r="L68" t="str">
        <f>Реестр_План_Факт!L68</f>
        <v/>
      </c>
      <c r="M68">
        <f>Реестр_План_Факт!M68</f>
        <v>0</v>
      </c>
      <c r="N68">
        <f>Реестр_План_Факт!N68</f>
        <v>0</v>
      </c>
      <c r="O68" t="str">
        <f>Реестр_План_Факт!O68</f>
        <v/>
      </c>
      <c r="P68">
        <f>Реестр_План_Факт!P68</f>
        <v>0</v>
      </c>
      <c r="Q68">
        <f>Реестр_План_Факт!Q68</f>
        <v>0</v>
      </c>
      <c r="R68" t="str">
        <f>Реестр_План_Факт!R68</f>
        <v/>
      </c>
      <c r="S68">
        <f>Реестр_План_Факт!S68</f>
        <v>0</v>
      </c>
      <c r="T68">
        <f>Реестр_План_Факт!T68</f>
        <v>0</v>
      </c>
      <c r="U68" t="str">
        <f>Реестр_План_Факт!U68</f>
        <v/>
      </c>
      <c r="V68">
        <f>Реестр_План_Факт!V68</f>
        <v>0</v>
      </c>
      <c r="W68">
        <f>Реестр_План_Факт!W68</f>
        <v>0</v>
      </c>
      <c r="X68" t="str">
        <f>Реестр_План_Факт!X68</f>
        <v/>
      </c>
      <c r="Y68">
        <f>Реестр_План_Факт!Y68</f>
        <v>0</v>
      </c>
      <c r="Z68">
        <f>Реестр_План_Факт!Z68</f>
        <v>0</v>
      </c>
      <c r="AA68" t="str">
        <f>Реестр_План_Факт!AA68</f>
        <v/>
      </c>
      <c r="AB68">
        <f>Реестр_План_Факт!AB68</f>
        <v>0</v>
      </c>
      <c r="AC68">
        <f>Реестр_План_Факт!AC68</f>
        <v>0</v>
      </c>
      <c r="AD68" t="str">
        <f>Реестр_План_Факт!AD68</f>
        <v/>
      </c>
      <c r="AE68">
        <f>Реестр_План_Факт!AE68</f>
        <v>0</v>
      </c>
      <c r="AF68">
        <f>Реестр_План_Факт!AF68</f>
        <v>0</v>
      </c>
      <c r="AG68" t="str">
        <f>Реестр_План_Факт!AG68</f>
        <v/>
      </c>
      <c r="AH68">
        <f>Реестр_План_Факт!AH68</f>
        <v>0</v>
      </c>
      <c r="AI68">
        <f>Реестр_План_Факт!AI68</f>
        <v>0</v>
      </c>
      <c r="AJ68" t="str">
        <f>Реестр_План_Факт!AJ68</f>
        <v/>
      </c>
      <c r="AK68">
        <f>Реестр_План_Факт!AK68</f>
        <v>0</v>
      </c>
      <c r="AL68">
        <f>Реестр_План_Факт!AL68</f>
        <v>0</v>
      </c>
      <c r="AM68" t="str">
        <f>Реестр_План_Факт!AM68</f>
        <v/>
      </c>
      <c r="AN68">
        <f>Реестр_План_Факт!AN68</f>
        <v>0</v>
      </c>
      <c r="AO68">
        <f>Реестр_План_Факт!AO68</f>
        <v>0</v>
      </c>
      <c r="AP68" t="str">
        <f>Реестр_План_Факт!AP68</f>
        <v/>
      </c>
      <c r="AQ68">
        <f>Реестр_План_Факт!AQ68</f>
        <v>0</v>
      </c>
    </row>
    <row r="69" spans="1:43" x14ac:dyDescent="0.2">
      <c r="A69" s="201">
        <f>Реестр_План_Факт!A69</f>
        <v>46090</v>
      </c>
      <c r="B69">
        <f>Реестр_План_Факт!B69</f>
        <v>11</v>
      </c>
      <c r="C69">
        <f>Реестр_План_Факт!C69</f>
        <v>3</v>
      </c>
      <c r="D69">
        <f>Реестр_План_Факт!D69</f>
        <v>0</v>
      </c>
      <c r="E69">
        <f>Реестр_План_Факт!E69</f>
        <v>0</v>
      </c>
      <c r="F69" t="str">
        <f>Реестр_План_Факт!F69</f>
        <v/>
      </c>
      <c r="G69">
        <f>Реестр_План_Факт!G69</f>
        <v>0</v>
      </c>
      <c r="H69">
        <f>Реестр_План_Факт!H69</f>
        <v>0</v>
      </c>
      <c r="I69" t="str">
        <f>Реестр_План_Факт!I69</f>
        <v/>
      </c>
      <c r="J69">
        <f>Реестр_План_Факт!J69</f>
        <v>0</v>
      </c>
      <c r="K69">
        <f>Реестр_План_Факт!K69</f>
        <v>0</v>
      </c>
      <c r="L69" t="str">
        <f>Реестр_План_Факт!L69</f>
        <v/>
      </c>
      <c r="M69">
        <f>Реестр_План_Факт!M69</f>
        <v>0</v>
      </c>
      <c r="N69">
        <f>Реестр_План_Факт!N69</f>
        <v>0</v>
      </c>
      <c r="O69" t="str">
        <f>Реестр_План_Факт!O69</f>
        <v/>
      </c>
      <c r="P69">
        <f>Реестр_План_Факт!P69</f>
        <v>0</v>
      </c>
      <c r="Q69">
        <f>Реестр_План_Факт!Q69</f>
        <v>0</v>
      </c>
      <c r="R69" t="str">
        <f>Реестр_План_Факт!R69</f>
        <v/>
      </c>
      <c r="S69">
        <f>Реестр_План_Факт!S69</f>
        <v>0</v>
      </c>
      <c r="T69">
        <f>Реестр_План_Факт!T69</f>
        <v>0</v>
      </c>
      <c r="U69" t="str">
        <f>Реестр_План_Факт!U69</f>
        <v/>
      </c>
      <c r="V69">
        <f>Реестр_План_Факт!V69</f>
        <v>0</v>
      </c>
      <c r="W69">
        <f>Реестр_План_Факт!W69</f>
        <v>0</v>
      </c>
      <c r="X69" t="str">
        <f>Реестр_План_Факт!X69</f>
        <v/>
      </c>
      <c r="Y69">
        <f>Реестр_План_Факт!Y69</f>
        <v>0</v>
      </c>
      <c r="Z69">
        <f>Реестр_План_Факт!Z69</f>
        <v>0</v>
      </c>
      <c r="AA69" t="str">
        <f>Реестр_План_Факт!AA69</f>
        <v/>
      </c>
      <c r="AB69">
        <f>Реестр_План_Факт!AB69</f>
        <v>0</v>
      </c>
      <c r="AC69">
        <f>Реестр_План_Факт!AC69</f>
        <v>0</v>
      </c>
      <c r="AD69" t="str">
        <f>Реестр_План_Факт!AD69</f>
        <v/>
      </c>
      <c r="AE69">
        <f>Реестр_План_Факт!AE69</f>
        <v>0</v>
      </c>
      <c r="AF69">
        <f>Реестр_План_Факт!AF69</f>
        <v>0</v>
      </c>
      <c r="AG69" t="str">
        <f>Реестр_План_Факт!AG69</f>
        <v/>
      </c>
      <c r="AH69">
        <f>Реестр_План_Факт!AH69</f>
        <v>0</v>
      </c>
      <c r="AI69">
        <f>Реестр_План_Факт!AI69</f>
        <v>0</v>
      </c>
      <c r="AJ69" t="str">
        <f>Реестр_План_Факт!AJ69</f>
        <v/>
      </c>
      <c r="AK69">
        <f>Реестр_План_Факт!AK69</f>
        <v>0</v>
      </c>
      <c r="AL69">
        <f>Реестр_План_Факт!AL69</f>
        <v>0</v>
      </c>
      <c r="AM69" t="str">
        <f>Реестр_План_Факт!AM69</f>
        <v/>
      </c>
      <c r="AN69">
        <f>Реестр_План_Факт!AN69</f>
        <v>0</v>
      </c>
      <c r="AO69">
        <f>Реестр_План_Факт!AO69</f>
        <v>0</v>
      </c>
      <c r="AP69" t="str">
        <f>Реестр_План_Факт!AP69</f>
        <v/>
      </c>
      <c r="AQ69">
        <f>Реестр_План_Факт!AQ69</f>
        <v>0</v>
      </c>
    </row>
    <row r="70" spans="1:43" x14ac:dyDescent="0.2">
      <c r="A70" s="201">
        <f>Реестр_План_Факт!A70</f>
        <v>46091</v>
      </c>
      <c r="B70">
        <f>Реестр_План_Факт!B70</f>
        <v>11</v>
      </c>
      <c r="C70">
        <f>Реестр_План_Факт!C70</f>
        <v>3</v>
      </c>
      <c r="D70">
        <f>Реестр_План_Факт!D70</f>
        <v>19874</v>
      </c>
      <c r="E70">
        <f>Реестр_План_Факт!E70</f>
        <v>15985</v>
      </c>
      <c r="F70">
        <f>Реестр_План_Факт!F70</f>
        <v>0.80431719834960247</v>
      </c>
      <c r="G70">
        <f>Реестр_План_Факт!G70</f>
        <v>0</v>
      </c>
      <c r="H70">
        <f>Реестр_План_Факт!H70</f>
        <v>0</v>
      </c>
      <c r="I70" t="str">
        <f>Реестр_План_Факт!I70</f>
        <v/>
      </c>
      <c r="J70">
        <f>Реестр_План_Факт!J70</f>
        <v>0</v>
      </c>
      <c r="K70">
        <f>Реестр_План_Факт!K70</f>
        <v>0</v>
      </c>
      <c r="L70" t="str">
        <f>Реестр_План_Факт!L70</f>
        <v/>
      </c>
      <c r="M70">
        <f>Реестр_План_Факт!M70</f>
        <v>1</v>
      </c>
      <c r="N70">
        <f>Реестр_План_Факт!N70</f>
        <v>1</v>
      </c>
      <c r="O70">
        <f>Реестр_План_Факт!O70</f>
        <v>1</v>
      </c>
      <c r="P70">
        <f>Реестр_План_Факт!P70</f>
        <v>0</v>
      </c>
      <c r="Q70">
        <f>Реестр_План_Факт!Q70</f>
        <v>0</v>
      </c>
      <c r="R70" t="str">
        <f>Реестр_План_Факт!R70</f>
        <v/>
      </c>
      <c r="S70">
        <f>Реестр_План_Факт!S70</f>
        <v>4000</v>
      </c>
      <c r="T70">
        <f>Реестр_План_Факт!T70</f>
        <v>8400</v>
      </c>
      <c r="U70">
        <f>Реестр_План_Факт!U70</f>
        <v>2.1</v>
      </c>
      <c r="V70">
        <f>Реестр_План_Факт!V70</f>
        <v>1260</v>
      </c>
      <c r="W70">
        <f>Реестр_План_Факт!W70</f>
        <v>962.95</v>
      </c>
      <c r="X70">
        <f>Реестр_План_Факт!X70</f>
        <v>0.76424603174603178</v>
      </c>
      <c r="Y70">
        <f>Реестр_План_Факт!Y70</f>
        <v>0</v>
      </c>
      <c r="Z70">
        <f>Реестр_План_Факт!Z70</f>
        <v>0</v>
      </c>
      <c r="AA70" t="str">
        <f>Реестр_План_Факт!AA70</f>
        <v/>
      </c>
      <c r="AB70">
        <f>Реестр_План_Факт!AB70</f>
        <v>0</v>
      </c>
      <c r="AC70">
        <f>Реестр_План_Факт!AC70</f>
        <v>0</v>
      </c>
      <c r="AD70" t="str">
        <f>Реестр_План_Факт!AD70</f>
        <v/>
      </c>
      <c r="AE70">
        <f>Реестр_План_Факт!AE70</f>
        <v>0</v>
      </c>
      <c r="AF70">
        <f>Реестр_План_Факт!AF70</f>
        <v>0</v>
      </c>
      <c r="AG70" t="str">
        <f>Реестр_План_Факт!AG70</f>
        <v/>
      </c>
      <c r="AH70">
        <f>Реестр_План_Факт!AH70</f>
        <v>450</v>
      </c>
      <c r="AI70">
        <f>Реестр_План_Факт!AI70</f>
        <v>470.65</v>
      </c>
      <c r="AJ70">
        <f>Реестр_План_Факт!AJ70</f>
        <v>1.0458888888888889</v>
      </c>
      <c r="AK70">
        <f>Реестр_План_Факт!AK70</f>
        <v>0</v>
      </c>
      <c r="AL70">
        <f>Реестр_План_Факт!AL70</f>
        <v>0</v>
      </c>
      <c r="AM70" t="str">
        <f>Реестр_План_Факт!AM70</f>
        <v/>
      </c>
      <c r="AN70">
        <f>Реестр_План_Факт!AN70</f>
        <v>200</v>
      </c>
      <c r="AO70">
        <f>Реестр_План_Факт!AO70</f>
        <v>219</v>
      </c>
      <c r="AP70" t="str">
        <f>Реестр_План_Факт!AP70</f>
        <v/>
      </c>
      <c r="AQ70">
        <f>Реестр_План_Факт!AQ70</f>
        <v>0</v>
      </c>
    </row>
    <row r="71" spans="1:43" x14ac:dyDescent="0.2">
      <c r="A71" s="201">
        <f>Реестр_План_Факт!A71</f>
        <v>46092</v>
      </c>
      <c r="B71">
        <f>Реестр_План_Факт!B71</f>
        <v>11</v>
      </c>
      <c r="C71">
        <f>Реестр_План_Факт!C71</f>
        <v>3</v>
      </c>
      <c r="D71">
        <f>Реестр_План_Факт!D71</f>
        <v>18000</v>
      </c>
      <c r="E71">
        <f>Реестр_План_Факт!E71</f>
        <v>14250</v>
      </c>
      <c r="F71">
        <f>Реестр_План_Факт!F71</f>
        <v>0.79166666666666663</v>
      </c>
      <c r="G71">
        <f>Реестр_План_Факт!G71</f>
        <v>0</v>
      </c>
      <c r="H71">
        <f>Реестр_План_Факт!H71</f>
        <v>0</v>
      </c>
      <c r="I71" t="str">
        <f>Реестр_План_Факт!I71</f>
        <v/>
      </c>
      <c r="J71">
        <f>Реестр_План_Факт!J71</f>
        <v>0</v>
      </c>
      <c r="K71">
        <f>Реестр_План_Факт!K71</f>
        <v>0</v>
      </c>
      <c r="L71" t="str">
        <f>Реестр_План_Факт!L71</f>
        <v/>
      </c>
      <c r="M71">
        <f>Реестр_План_Факт!M71</f>
        <v>1</v>
      </c>
      <c r="N71">
        <f>Реестр_План_Факт!N71</f>
        <v>1</v>
      </c>
      <c r="O71">
        <f>Реестр_План_Факт!O71</f>
        <v>1</v>
      </c>
      <c r="P71">
        <f>Реестр_План_Факт!P71</f>
        <v>0</v>
      </c>
      <c r="Q71">
        <f>Реестр_План_Факт!Q71</f>
        <v>0</v>
      </c>
      <c r="R71" t="str">
        <f>Реестр_План_Факт!R71</f>
        <v/>
      </c>
      <c r="S71">
        <f>Реестр_План_Факт!S71</f>
        <v>4000</v>
      </c>
      <c r="T71">
        <f>Реестр_План_Факт!T71</f>
        <v>5189</v>
      </c>
      <c r="U71">
        <f>Реестр_План_Факт!U71</f>
        <v>1.29725</v>
      </c>
      <c r="V71">
        <f>Реестр_План_Факт!V71</f>
        <v>650</v>
      </c>
      <c r="W71">
        <f>Реестр_План_Факт!W71</f>
        <v>670</v>
      </c>
      <c r="X71">
        <f>Реестр_План_Факт!X71</f>
        <v>1.0307692307692307</v>
      </c>
      <c r="Y71">
        <f>Реестр_План_Факт!Y71</f>
        <v>0</v>
      </c>
      <c r="Z71">
        <f>Реестр_План_Факт!Z71</f>
        <v>0</v>
      </c>
      <c r="AA71" t="str">
        <f>Реестр_План_Факт!AA71</f>
        <v/>
      </c>
      <c r="AB71">
        <f>Реестр_План_Факт!AB71</f>
        <v>0</v>
      </c>
      <c r="AC71">
        <f>Реестр_План_Факт!AC71</f>
        <v>0</v>
      </c>
      <c r="AD71" t="str">
        <f>Реестр_План_Факт!AD71</f>
        <v/>
      </c>
      <c r="AE71">
        <f>Реестр_План_Факт!AE71</f>
        <v>0</v>
      </c>
      <c r="AF71">
        <f>Реестр_План_Факт!AF71</f>
        <v>0</v>
      </c>
      <c r="AG71" t="str">
        <f>Реестр_План_Факт!AG71</f>
        <v/>
      </c>
      <c r="AH71">
        <f>Реестр_План_Факт!AH71</f>
        <v>200</v>
      </c>
      <c r="AI71">
        <f>Реестр_План_Факт!AI71</f>
        <v>184</v>
      </c>
      <c r="AJ71">
        <f>Реестр_План_Факт!AJ71</f>
        <v>0.92</v>
      </c>
      <c r="AK71">
        <f>Реестр_План_Факт!AK71</f>
        <v>0</v>
      </c>
      <c r="AL71">
        <f>Реестр_План_Факт!AL71</f>
        <v>0</v>
      </c>
      <c r="AM71" t="str">
        <f>Реестр_План_Факт!AM71</f>
        <v/>
      </c>
      <c r="AN71">
        <f>Реестр_План_Факт!AN71</f>
        <v>0</v>
      </c>
      <c r="AO71">
        <f>Реестр_План_Факт!AO71</f>
        <v>0</v>
      </c>
      <c r="AP71" t="str">
        <f>Реестр_План_Факт!AP71</f>
        <v/>
      </c>
      <c r="AQ71">
        <f>Реестр_План_Факт!AQ71</f>
        <v>0</v>
      </c>
    </row>
    <row r="72" spans="1:43" x14ac:dyDescent="0.2">
      <c r="A72" s="201">
        <f>Реестр_План_Факт!A72</f>
        <v>46093</v>
      </c>
      <c r="B72">
        <f>Реестр_План_Факт!B72</f>
        <v>11</v>
      </c>
      <c r="C72">
        <f>Реестр_План_Факт!C72</f>
        <v>3</v>
      </c>
      <c r="D72">
        <f>Реестр_План_Факт!D72</f>
        <v>15658</v>
      </c>
      <c r="E72">
        <f>Реестр_План_Факт!E72</f>
        <v>13184</v>
      </c>
      <c r="F72">
        <f>Реестр_План_Факт!F72</f>
        <v>0.84199770085579262</v>
      </c>
      <c r="G72">
        <f>Реестр_План_Факт!G72</f>
        <v>0</v>
      </c>
      <c r="H72">
        <f>Реестр_План_Факт!H72</f>
        <v>0</v>
      </c>
      <c r="I72" t="str">
        <f>Реестр_План_Факт!I72</f>
        <v/>
      </c>
      <c r="J72">
        <f>Реестр_План_Факт!J72</f>
        <v>0</v>
      </c>
      <c r="K72">
        <f>Реестр_План_Факт!K72</f>
        <v>0</v>
      </c>
      <c r="L72" t="str">
        <f>Реестр_План_Факт!L72</f>
        <v/>
      </c>
      <c r="M72">
        <f>Реестр_План_Факт!M72</f>
        <v>1</v>
      </c>
      <c r="N72">
        <f>Реестр_План_Факт!N72</f>
        <v>1</v>
      </c>
      <c r="O72">
        <f>Реестр_План_Факт!O72</f>
        <v>1</v>
      </c>
      <c r="P72">
        <f>Реестр_План_Факт!P72</f>
        <v>3</v>
      </c>
      <c r="Q72">
        <f>Реестр_План_Факт!Q72</f>
        <v>3</v>
      </c>
      <c r="R72">
        <f>Реестр_План_Факт!R72</f>
        <v>1</v>
      </c>
      <c r="S72">
        <f>Реестр_План_Факт!S72</f>
        <v>10000</v>
      </c>
      <c r="T72">
        <f>Реестр_План_Факт!T72</f>
        <v>10072</v>
      </c>
      <c r="U72">
        <f>Реестр_План_Факт!U72</f>
        <v>1.0072000000000001</v>
      </c>
      <c r="V72">
        <f>Реестр_План_Факт!V72</f>
        <v>0</v>
      </c>
      <c r="W72">
        <f>Реестр_План_Факт!W72</f>
        <v>0</v>
      </c>
      <c r="X72" t="str">
        <f>Реестр_План_Факт!X72</f>
        <v/>
      </c>
      <c r="Y72">
        <f>Реестр_План_Факт!Y72</f>
        <v>15000</v>
      </c>
      <c r="Z72">
        <f>Реестр_План_Факт!Z72</f>
        <v>15385</v>
      </c>
      <c r="AA72">
        <f>Реестр_План_Факт!AA72</f>
        <v>1.0256666666666667</v>
      </c>
      <c r="AB72">
        <f>Реестр_План_Факт!AB72</f>
        <v>0</v>
      </c>
      <c r="AC72">
        <f>Реестр_План_Факт!AC72</f>
        <v>0</v>
      </c>
      <c r="AD72" t="str">
        <f>Реестр_План_Факт!AD72</f>
        <v/>
      </c>
      <c r="AE72">
        <f>Реестр_План_Факт!AE72</f>
        <v>0</v>
      </c>
      <c r="AF72">
        <f>Реестр_План_Факт!AF72</f>
        <v>0</v>
      </c>
      <c r="AG72" t="str">
        <f>Реестр_План_Факт!AG72</f>
        <v/>
      </c>
      <c r="AH72">
        <f>Реестр_План_Факт!AH72</f>
        <v>450</v>
      </c>
      <c r="AI72">
        <f>Реестр_План_Факт!AI72</f>
        <v>452</v>
      </c>
      <c r="AJ72">
        <f>Реестр_План_Факт!AJ72</f>
        <v>1.0044444444444445</v>
      </c>
      <c r="AK72">
        <f>Реестр_План_Факт!AK72</f>
        <v>0</v>
      </c>
      <c r="AL72">
        <f>Реестр_План_Факт!AL72</f>
        <v>0</v>
      </c>
      <c r="AM72" t="str">
        <f>Реестр_План_Факт!AM72</f>
        <v/>
      </c>
      <c r="AN72">
        <f>Реестр_План_Факт!AN72</f>
        <v>0</v>
      </c>
      <c r="AO72">
        <f>Реестр_План_Факт!AO72</f>
        <v>0</v>
      </c>
      <c r="AP72" t="str">
        <f>Реестр_План_Факт!AP72</f>
        <v/>
      </c>
      <c r="AQ72">
        <f>Реестр_План_Факт!AQ72</f>
        <v>0</v>
      </c>
    </row>
    <row r="73" spans="1:43" x14ac:dyDescent="0.2">
      <c r="A73" s="201">
        <f>Реестр_План_Факт!A73</f>
        <v>46094</v>
      </c>
      <c r="B73">
        <f>Реестр_План_Факт!B73</f>
        <v>11</v>
      </c>
      <c r="C73">
        <f>Реестр_План_Факт!C73</f>
        <v>3</v>
      </c>
      <c r="D73">
        <f>Реестр_План_Факт!D73</f>
        <v>10000</v>
      </c>
      <c r="E73">
        <f>Реестр_План_Факт!E73</f>
        <v>10407</v>
      </c>
      <c r="F73">
        <f>Реестр_План_Факт!F73</f>
        <v>1.0407</v>
      </c>
      <c r="G73">
        <f>Реестр_План_Факт!G73</f>
        <v>0</v>
      </c>
      <c r="H73">
        <f>Реестр_План_Факт!H73</f>
        <v>0</v>
      </c>
      <c r="I73" t="str">
        <f>Реестр_План_Факт!I73</f>
        <v/>
      </c>
      <c r="J73">
        <f>Реестр_План_Факт!J73</f>
        <v>0</v>
      </c>
      <c r="K73">
        <f>Реестр_План_Факт!K73</f>
        <v>0</v>
      </c>
      <c r="L73" t="str">
        <f>Реестр_План_Факт!L73</f>
        <v/>
      </c>
      <c r="M73">
        <f>Реестр_План_Факт!M73</f>
        <v>4</v>
      </c>
      <c r="N73">
        <f>Реестр_План_Факт!N73</f>
        <v>4</v>
      </c>
      <c r="O73">
        <f>Реестр_План_Факт!O73</f>
        <v>1</v>
      </c>
      <c r="P73">
        <f>Реестр_План_Факт!P73</f>
        <v>3</v>
      </c>
      <c r="Q73">
        <f>Реестр_План_Факт!Q73</f>
        <v>3</v>
      </c>
      <c r="R73">
        <f>Реестр_План_Факт!R73</f>
        <v>1</v>
      </c>
      <c r="S73">
        <f>Реестр_План_Факт!S73</f>
        <v>14000</v>
      </c>
      <c r="T73">
        <f>Реестр_План_Факт!T73</f>
        <v>15638</v>
      </c>
      <c r="U73">
        <f>Реестр_План_Факт!U73</f>
        <v>1.117</v>
      </c>
      <c r="V73">
        <f>Реестр_План_Факт!V73</f>
        <v>60</v>
      </c>
      <c r="W73">
        <f>Реестр_План_Факт!W73</f>
        <v>60</v>
      </c>
      <c r="X73">
        <f>Реестр_План_Факт!X73</f>
        <v>1</v>
      </c>
      <c r="Y73">
        <f>Реестр_План_Факт!Y73</f>
        <v>0</v>
      </c>
      <c r="Z73">
        <f>Реестр_План_Факт!Z73</f>
        <v>0</v>
      </c>
      <c r="AA73" t="str">
        <f>Реестр_План_Факт!AA73</f>
        <v/>
      </c>
      <c r="AB73">
        <f>Реестр_План_Факт!AB73</f>
        <v>0</v>
      </c>
      <c r="AC73">
        <f>Реестр_План_Факт!AC73</f>
        <v>0</v>
      </c>
      <c r="AD73" t="str">
        <f>Реестр_План_Факт!AD73</f>
        <v/>
      </c>
      <c r="AE73">
        <f>Реестр_План_Факт!AE73</f>
        <v>0</v>
      </c>
      <c r="AF73">
        <f>Реестр_План_Факт!AF73</f>
        <v>0</v>
      </c>
      <c r="AG73" t="str">
        <f>Реестр_План_Факт!AG73</f>
        <v/>
      </c>
      <c r="AH73">
        <f>Реестр_План_Факт!AH73</f>
        <v>500</v>
      </c>
      <c r="AI73">
        <f>Реестр_План_Факт!AI73</f>
        <v>539</v>
      </c>
      <c r="AJ73">
        <f>Реестр_План_Факт!AJ73</f>
        <v>1.0780000000000001</v>
      </c>
      <c r="AK73">
        <f>Реестр_План_Факт!AK73</f>
        <v>0</v>
      </c>
      <c r="AL73">
        <f>Реестр_План_Факт!AL73</f>
        <v>0</v>
      </c>
      <c r="AM73" t="str">
        <f>Реестр_План_Факт!AM73</f>
        <v/>
      </c>
      <c r="AN73">
        <f>Реестр_План_Факт!AN73</f>
        <v>0</v>
      </c>
      <c r="AO73">
        <f>Реестр_План_Факт!AO73</f>
        <v>0</v>
      </c>
      <c r="AP73" t="str">
        <f>Реестр_План_Факт!AP73</f>
        <v/>
      </c>
      <c r="AQ73">
        <f>Реестр_План_Факт!AQ73</f>
        <v>0</v>
      </c>
    </row>
    <row r="74" spans="1:43" x14ac:dyDescent="0.2">
      <c r="A74" s="201">
        <f>Реестр_План_Факт!A74</f>
        <v>46095</v>
      </c>
      <c r="B74">
        <f>Реестр_План_Факт!B74</f>
        <v>11</v>
      </c>
      <c r="C74">
        <f>Реестр_План_Факт!C74</f>
        <v>3</v>
      </c>
      <c r="D74">
        <f>Реестр_План_Факт!D74</f>
        <v>0</v>
      </c>
      <c r="E74">
        <f>Реестр_План_Факт!E74</f>
        <v>0</v>
      </c>
      <c r="F74" t="str">
        <f>Реестр_План_Факт!F74</f>
        <v/>
      </c>
      <c r="G74">
        <f>Реестр_План_Факт!G74</f>
        <v>0</v>
      </c>
      <c r="H74">
        <f>Реестр_План_Факт!H74</f>
        <v>0</v>
      </c>
      <c r="I74" t="str">
        <f>Реестр_План_Факт!I74</f>
        <v/>
      </c>
      <c r="J74">
        <f>Реестр_План_Факт!J74</f>
        <v>0</v>
      </c>
      <c r="K74">
        <f>Реестр_План_Факт!K74</f>
        <v>0</v>
      </c>
      <c r="L74" t="str">
        <f>Реестр_План_Факт!L74</f>
        <v/>
      </c>
      <c r="M74">
        <f>Реестр_План_Факт!M74</f>
        <v>0</v>
      </c>
      <c r="N74">
        <f>Реестр_План_Факт!N74</f>
        <v>0</v>
      </c>
      <c r="O74" t="str">
        <f>Реестр_План_Факт!O74</f>
        <v/>
      </c>
      <c r="P74">
        <f>Реестр_План_Факт!P74</f>
        <v>0</v>
      </c>
      <c r="Q74">
        <f>Реестр_План_Факт!Q74</f>
        <v>0</v>
      </c>
      <c r="R74" t="str">
        <f>Реестр_План_Факт!R74</f>
        <v/>
      </c>
      <c r="S74">
        <f>Реестр_План_Факт!S74</f>
        <v>0</v>
      </c>
      <c r="T74">
        <f>Реестр_План_Факт!T74</f>
        <v>0</v>
      </c>
      <c r="U74" t="str">
        <f>Реестр_План_Факт!U74</f>
        <v/>
      </c>
      <c r="V74">
        <f>Реестр_План_Факт!V74</f>
        <v>0</v>
      </c>
      <c r="W74">
        <f>Реестр_План_Факт!W74</f>
        <v>0</v>
      </c>
      <c r="X74" t="str">
        <f>Реестр_План_Факт!X74</f>
        <v/>
      </c>
      <c r="Y74">
        <f>Реестр_План_Факт!Y74</f>
        <v>0</v>
      </c>
      <c r="Z74">
        <f>Реестр_План_Факт!Z74</f>
        <v>0</v>
      </c>
      <c r="AA74" t="str">
        <f>Реестр_План_Факт!AA74</f>
        <v/>
      </c>
      <c r="AB74">
        <f>Реестр_План_Факт!AB74</f>
        <v>0</v>
      </c>
      <c r="AC74">
        <f>Реестр_План_Факт!AC74</f>
        <v>0</v>
      </c>
      <c r="AD74" t="str">
        <f>Реестр_План_Факт!AD74</f>
        <v/>
      </c>
      <c r="AE74">
        <f>Реестр_План_Факт!AE74</f>
        <v>0</v>
      </c>
      <c r="AF74">
        <f>Реестр_План_Факт!AF74</f>
        <v>0</v>
      </c>
      <c r="AG74" t="str">
        <f>Реестр_План_Факт!AG74</f>
        <v/>
      </c>
      <c r="AH74">
        <f>Реестр_План_Факт!AH74</f>
        <v>0</v>
      </c>
      <c r="AI74">
        <f>Реестр_План_Факт!AI74</f>
        <v>0</v>
      </c>
      <c r="AJ74" t="str">
        <f>Реестр_План_Факт!AJ74</f>
        <v/>
      </c>
      <c r="AK74">
        <f>Реестр_План_Факт!AK74</f>
        <v>0</v>
      </c>
      <c r="AL74">
        <f>Реестр_План_Факт!AL74</f>
        <v>0</v>
      </c>
      <c r="AM74" t="str">
        <f>Реестр_План_Факт!AM74</f>
        <v/>
      </c>
      <c r="AN74">
        <f>Реестр_План_Факт!AN74</f>
        <v>0</v>
      </c>
      <c r="AO74">
        <f>Реестр_План_Факт!AO74</f>
        <v>0</v>
      </c>
      <c r="AP74" t="str">
        <f>Реестр_План_Факт!AP74</f>
        <v/>
      </c>
      <c r="AQ74">
        <f>Реестр_План_Факт!AQ74</f>
        <v>0</v>
      </c>
    </row>
    <row r="75" spans="1:43" x14ac:dyDescent="0.2">
      <c r="A75" s="201">
        <f>Реестр_План_Факт!A75</f>
        <v>46096</v>
      </c>
      <c r="B75">
        <f>Реестр_План_Факт!B75</f>
        <v>11</v>
      </c>
      <c r="C75">
        <f>Реестр_План_Факт!C75</f>
        <v>3</v>
      </c>
      <c r="D75">
        <f>Реестр_План_Факт!D75</f>
        <v>0</v>
      </c>
      <c r="E75">
        <f>Реестр_План_Факт!E75</f>
        <v>0</v>
      </c>
      <c r="F75" t="str">
        <f>Реестр_План_Факт!F75</f>
        <v/>
      </c>
      <c r="G75">
        <f>Реестр_План_Факт!G75</f>
        <v>0</v>
      </c>
      <c r="H75">
        <f>Реестр_План_Факт!H75</f>
        <v>0</v>
      </c>
      <c r="I75" t="str">
        <f>Реестр_План_Факт!I75</f>
        <v/>
      </c>
      <c r="J75">
        <f>Реестр_План_Факт!J75</f>
        <v>0</v>
      </c>
      <c r="K75">
        <f>Реестр_План_Факт!K75</f>
        <v>0</v>
      </c>
      <c r="L75" t="str">
        <f>Реестр_План_Факт!L75</f>
        <v/>
      </c>
      <c r="M75">
        <f>Реестр_План_Факт!M75</f>
        <v>0</v>
      </c>
      <c r="N75">
        <f>Реестр_План_Факт!N75</f>
        <v>0</v>
      </c>
      <c r="O75" t="str">
        <f>Реестр_План_Факт!O75</f>
        <v/>
      </c>
      <c r="P75">
        <f>Реестр_План_Факт!P75</f>
        <v>0</v>
      </c>
      <c r="Q75">
        <f>Реестр_План_Факт!Q75</f>
        <v>0</v>
      </c>
      <c r="R75" t="str">
        <f>Реестр_План_Факт!R75</f>
        <v/>
      </c>
      <c r="S75">
        <f>Реестр_План_Факт!S75</f>
        <v>0</v>
      </c>
      <c r="T75">
        <f>Реестр_План_Факт!T75</f>
        <v>0</v>
      </c>
      <c r="U75" t="str">
        <f>Реестр_План_Факт!U75</f>
        <v/>
      </c>
      <c r="V75">
        <f>Реестр_План_Факт!V75</f>
        <v>0</v>
      </c>
      <c r="W75">
        <f>Реестр_План_Факт!W75</f>
        <v>0</v>
      </c>
      <c r="X75" t="str">
        <f>Реестр_План_Факт!X75</f>
        <v/>
      </c>
      <c r="Y75">
        <f>Реестр_План_Факт!Y75</f>
        <v>0</v>
      </c>
      <c r="Z75">
        <f>Реестр_План_Факт!Z75</f>
        <v>0</v>
      </c>
      <c r="AA75" t="str">
        <f>Реестр_План_Факт!AA75</f>
        <v/>
      </c>
      <c r="AB75">
        <f>Реестр_План_Факт!AB75</f>
        <v>0</v>
      </c>
      <c r="AC75">
        <f>Реестр_План_Факт!AC75</f>
        <v>0</v>
      </c>
      <c r="AD75" t="str">
        <f>Реестр_План_Факт!AD75</f>
        <v/>
      </c>
      <c r="AE75">
        <f>Реестр_План_Факт!AE75</f>
        <v>0</v>
      </c>
      <c r="AF75">
        <f>Реестр_План_Факт!AF75</f>
        <v>0</v>
      </c>
      <c r="AG75" t="str">
        <f>Реестр_План_Факт!AG75</f>
        <v/>
      </c>
      <c r="AH75">
        <f>Реестр_План_Факт!AH75</f>
        <v>0</v>
      </c>
      <c r="AI75">
        <f>Реестр_План_Факт!AI75</f>
        <v>0</v>
      </c>
      <c r="AJ75" t="str">
        <f>Реестр_План_Факт!AJ75</f>
        <v/>
      </c>
      <c r="AK75">
        <f>Реестр_План_Факт!AK75</f>
        <v>0</v>
      </c>
      <c r="AL75">
        <f>Реестр_План_Факт!AL75</f>
        <v>0</v>
      </c>
      <c r="AM75" t="str">
        <f>Реестр_План_Факт!AM75</f>
        <v/>
      </c>
      <c r="AN75">
        <f>Реестр_План_Факт!AN75</f>
        <v>0</v>
      </c>
      <c r="AO75">
        <f>Реестр_План_Факт!AO75</f>
        <v>0</v>
      </c>
      <c r="AP75" t="str">
        <f>Реестр_План_Факт!AP75</f>
        <v/>
      </c>
      <c r="AQ75">
        <f>Реестр_План_Факт!AQ75</f>
        <v>0</v>
      </c>
    </row>
    <row r="76" spans="1:43" x14ac:dyDescent="0.2">
      <c r="A76" s="201">
        <f>Реестр_План_Факт!A76</f>
        <v>46097</v>
      </c>
      <c r="B76">
        <f>Реестр_План_Факт!B76</f>
        <v>12</v>
      </c>
      <c r="C76">
        <f>Реестр_План_Факт!C76</f>
        <v>3</v>
      </c>
      <c r="D76">
        <f>Реестр_План_Факт!D76</f>
        <v>10000</v>
      </c>
      <c r="E76">
        <f>Реестр_План_Факт!E76</f>
        <v>10803</v>
      </c>
      <c r="F76">
        <f>Реестр_План_Факт!F76</f>
        <v>1.0803</v>
      </c>
      <c r="G76">
        <f>Реестр_План_Факт!G76</f>
        <v>0</v>
      </c>
      <c r="H76">
        <f>Реестр_План_Факт!H76</f>
        <v>0</v>
      </c>
      <c r="I76" t="str">
        <f>Реестр_План_Факт!I76</f>
        <v/>
      </c>
      <c r="J76">
        <f>Реестр_План_Факт!J76</f>
        <v>0</v>
      </c>
      <c r="K76">
        <f>Реестр_План_Факт!K76</f>
        <v>0</v>
      </c>
      <c r="L76" t="str">
        <f>Реестр_План_Факт!L76</f>
        <v/>
      </c>
      <c r="M76">
        <f>Реестр_План_Факт!M76</f>
        <v>1</v>
      </c>
      <c r="N76">
        <f>Реестр_План_Факт!N76</f>
        <v>1</v>
      </c>
      <c r="O76">
        <f>Реестр_План_Факт!O76</f>
        <v>1</v>
      </c>
      <c r="P76">
        <f>Реестр_План_Факт!P76</f>
        <v>2</v>
      </c>
      <c r="Q76">
        <f>Реестр_План_Факт!Q76</f>
        <v>2</v>
      </c>
      <c r="R76">
        <f>Реестр_План_Факт!R76</f>
        <v>1</v>
      </c>
      <c r="S76">
        <f>Реестр_План_Факт!S76</f>
        <v>4500</v>
      </c>
      <c r="T76">
        <f>Реестр_План_Факт!T76</f>
        <v>3594</v>
      </c>
      <c r="U76">
        <f>Реестр_План_Факт!U76</f>
        <v>0.79866666666666664</v>
      </c>
      <c r="V76">
        <f>Реестр_План_Факт!V76</f>
        <v>800</v>
      </c>
      <c r="W76">
        <f>Реестр_План_Факт!W76</f>
        <v>1222.6499999999999</v>
      </c>
      <c r="X76">
        <f>Реестр_План_Факт!X76</f>
        <v>1.5283124999999997</v>
      </c>
      <c r="Y76">
        <f>Реестр_План_Факт!Y76</f>
        <v>0</v>
      </c>
      <c r="Z76">
        <f>Реестр_План_Факт!Z76</f>
        <v>0</v>
      </c>
      <c r="AA76" t="str">
        <f>Реестр_План_Факт!AA76</f>
        <v/>
      </c>
      <c r="AB76">
        <f>Реестр_План_Факт!AB76</f>
        <v>0</v>
      </c>
      <c r="AC76">
        <f>Реестр_План_Факт!AC76</f>
        <v>0</v>
      </c>
      <c r="AD76" t="str">
        <f>Реестр_План_Факт!AD76</f>
        <v/>
      </c>
      <c r="AE76">
        <f>Реестр_План_Факт!AE76</f>
        <v>0</v>
      </c>
      <c r="AF76">
        <f>Реестр_План_Факт!AF76</f>
        <v>0</v>
      </c>
      <c r="AG76" t="str">
        <f>Реестр_План_Факт!AG76</f>
        <v/>
      </c>
      <c r="AH76">
        <f>Реестр_План_Факт!AH76</f>
        <v>600</v>
      </c>
      <c r="AI76">
        <f>Реестр_План_Факт!AI76</f>
        <v>572</v>
      </c>
      <c r="AJ76">
        <f>Реестр_План_Факт!AJ76</f>
        <v>0.95333333333333337</v>
      </c>
      <c r="AK76">
        <f>Реестр_План_Факт!AK76</f>
        <v>0</v>
      </c>
      <c r="AL76">
        <f>Реестр_План_Факт!AL76</f>
        <v>0</v>
      </c>
      <c r="AM76" t="str">
        <f>Реестр_План_Факт!AM76</f>
        <v/>
      </c>
      <c r="AN76">
        <f>Реестр_План_Факт!AN76</f>
        <v>0</v>
      </c>
      <c r="AO76">
        <f>Реестр_План_Факт!AO76</f>
        <v>0</v>
      </c>
      <c r="AP76" t="str">
        <f>Реестр_План_Факт!AP76</f>
        <v/>
      </c>
      <c r="AQ76">
        <f>Реестр_План_Факт!AQ76</f>
        <v>0</v>
      </c>
    </row>
    <row r="77" spans="1:43" x14ac:dyDescent="0.2">
      <c r="A77" s="201">
        <f>Реестр_План_Факт!A77</f>
        <v>46098</v>
      </c>
      <c r="B77">
        <f>Реестр_План_Факт!B77</f>
        <v>12</v>
      </c>
      <c r="C77">
        <f>Реестр_План_Факт!C77</f>
        <v>3</v>
      </c>
      <c r="D77">
        <f>Реестр_План_Факт!D77</f>
        <v>0</v>
      </c>
      <c r="E77">
        <f>Реестр_План_Факт!E77</f>
        <v>0</v>
      </c>
      <c r="F77" t="str">
        <f>Реестр_План_Факт!F77</f>
        <v/>
      </c>
      <c r="G77">
        <f>Реестр_План_Факт!G77</f>
        <v>0</v>
      </c>
      <c r="H77">
        <f>Реестр_План_Факт!H77</f>
        <v>0</v>
      </c>
      <c r="I77" t="str">
        <f>Реестр_План_Факт!I77</f>
        <v/>
      </c>
      <c r="J77">
        <f>Реестр_План_Факт!J77</f>
        <v>0</v>
      </c>
      <c r="K77">
        <f>Реестр_План_Факт!K77</f>
        <v>0</v>
      </c>
      <c r="L77" t="str">
        <f>Реестр_План_Факт!L77</f>
        <v/>
      </c>
      <c r="M77">
        <f>Реестр_План_Факт!M77</f>
        <v>0</v>
      </c>
      <c r="N77">
        <f>Реестр_План_Факт!N77</f>
        <v>0</v>
      </c>
      <c r="O77" t="str">
        <f>Реестр_План_Факт!O77</f>
        <v/>
      </c>
      <c r="P77">
        <f>Реестр_План_Факт!P77</f>
        <v>0</v>
      </c>
      <c r="Q77">
        <f>Реестр_План_Факт!Q77</f>
        <v>0</v>
      </c>
      <c r="R77" t="str">
        <f>Реестр_План_Факт!R77</f>
        <v/>
      </c>
      <c r="S77">
        <f>Реестр_План_Факт!S77</f>
        <v>0</v>
      </c>
      <c r="T77">
        <f>Реестр_План_Факт!T77</f>
        <v>0</v>
      </c>
      <c r="U77" t="str">
        <f>Реестр_План_Факт!U77</f>
        <v/>
      </c>
      <c r="V77">
        <f>Реестр_План_Факт!V77</f>
        <v>0</v>
      </c>
      <c r="W77">
        <f>Реестр_План_Факт!W77</f>
        <v>0</v>
      </c>
      <c r="X77" t="str">
        <f>Реестр_План_Факт!X77</f>
        <v/>
      </c>
      <c r="Y77">
        <f>Реестр_План_Факт!Y77</f>
        <v>0</v>
      </c>
      <c r="Z77">
        <f>Реестр_План_Факт!Z77</f>
        <v>0</v>
      </c>
      <c r="AA77" t="str">
        <f>Реестр_План_Факт!AA77</f>
        <v/>
      </c>
      <c r="AB77">
        <f>Реестр_План_Факт!AB77</f>
        <v>0</v>
      </c>
      <c r="AC77">
        <f>Реестр_План_Факт!AC77</f>
        <v>0</v>
      </c>
      <c r="AD77" t="str">
        <f>Реестр_План_Факт!AD77</f>
        <v/>
      </c>
      <c r="AE77">
        <f>Реестр_План_Факт!AE77</f>
        <v>0</v>
      </c>
      <c r="AF77">
        <f>Реестр_План_Факт!AF77</f>
        <v>0</v>
      </c>
      <c r="AG77" t="str">
        <f>Реестр_План_Факт!AG77</f>
        <v/>
      </c>
      <c r="AH77">
        <f>Реестр_План_Факт!AH77</f>
        <v>0</v>
      </c>
      <c r="AI77">
        <f>Реестр_План_Факт!AI77</f>
        <v>0</v>
      </c>
      <c r="AJ77" t="str">
        <f>Реестр_План_Факт!AJ77</f>
        <v/>
      </c>
      <c r="AK77">
        <f>Реестр_План_Факт!AK77</f>
        <v>0</v>
      </c>
      <c r="AL77">
        <f>Реестр_План_Факт!AL77</f>
        <v>0</v>
      </c>
      <c r="AM77" t="str">
        <f>Реестр_План_Факт!AM77</f>
        <v/>
      </c>
      <c r="AN77">
        <f>Реестр_План_Факт!AN77</f>
        <v>0</v>
      </c>
      <c r="AO77">
        <f>Реестр_План_Факт!AO77</f>
        <v>0</v>
      </c>
      <c r="AP77" t="str">
        <f>Реестр_План_Факт!AP77</f>
        <v/>
      </c>
      <c r="AQ77">
        <f>Реестр_План_Факт!AQ77</f>
        <v>0</v>
      </c>
    </row>
    <row r="78" spans="1:43" x14ac:dyDescent="0.2">
      <c r="A78" s="201">
        <f>Реестр_План_Факт!A78</f>
        <v>46099</v>
      </c>
      <c r="B78">
        <f>Реестр_План_Факт!B78</f>
        <v>12</v>
      </c>
      <c r="C78">
        <f>Реестр_План_Факт!C78</f>
        <v>3</v>
      </c>
      <c r="D78">
        <f>Реестр_План_Факт!D78</f>
        <v>0</v>
      </c>
      <c r="E78">
        <f>Реестр_План_Факт!E78</f>
        <v>0</v>
      </c>
      <c r="F78" t="str">
        <f>Реестр_План_Факт!F78</f>
        <v/>
      </c>
      <c r="G78">
        <f>Реестр_План_Факт!G78</f>
        <v>0</v>
      </c>
      <c r="H78">
        <f>Реестр_План_Факт!H78</f>
        <v>0</v>
      </c>
      <c r="I78" t="str">
        <f>Реестр_План_Факт!I78</f>
        <v/>
      </c>
      <c r="J78">
        <f>Реестр_План_Факт!J78</f>
        <v>0</v>
      </c>
      <c r="K78">
        <f>Реестр_План_Факт!K78</f>
        <v>0</v>
      </c>
      <c r="L78" t="str">
        <f>Реестр_План_Факт!L78</f>
        <v/>
      </c>
      <c r="M78">
        <f>Реестр_План_Факт!M78</f>
        <v>0</v>
      </c>
      <c r="N78">
        <f>Реестр_План_Факт!N78</f>
        <v>0</v>
      </c>
      <c r="O78" t="str">
        <f>Реестр_План_Факт!O78</f>
        <v/>
      </c>
      <c r="P78">
        <f>Реестр_План_Факт!P78</f>
        <v>0</v>
      </c>
      <c r="Q78">
        <f>Реестр_План_Факт!Q78</f>
        <v>0</v>
      </c>
      <c r="R78" t="str">
        <f>Реестр_План_Факт!R78</f>
        <v/>
      </c>
      <c r="S78">
        <f>Реестр_План_Факт!S78</f>
        <v>0</v>
      </c>
      <c r="T78">
        <f>Реестр_План_Факт!T78</f>
        <v>0</v>
      </c>
      <c r="U78" t="str">
        <f>Реестр_План_Факт!U78</f>
        <v/>
      </c>
      <c r="V78">
        <f>Реестр_План_Факт!V78</f>
        <v>0</v>
      </c>
      <c r="W78">
        <f>Реестр_План_Факт!W78</f>
        <v>0</v>
      </c>
      <c r="X78" t="str">
        <f>Реестр_План_Факт!X78</f>
        <v/>
      </c>
      <c r="Y78">
        <f>Реестр_План_Факт!Y78</f>
        <v>0</v>
      </c>
      <c r="Z78">
        <f>Реестр_План_Факт!Z78</f>
        <v>0</v>
      </c>
      <c r="AA78" t="str">
        <f>Реестр_План_Факт!AA78</f>
        <v/>
      </c>
      <c r="AB78">
        <f>Реестр_План_Факт!AB78</f>
        <v>0</v>
      </c>
      <c r="AC78">
        <f>Реестр_План_Факт!AC78</f>
        <v>0</v>
      </c>
      <c r="AD78" t="str">
        <f>Реестр_План_Факт!AD78</f>
        <v/>
      </c>
      <c r="AE78">
        <f>Реестр_План_Факт!AE78</f>
        <v>0</v>
      </c>
      <c r="AF78">
        <f>Реестр_План_Факт!AF78</f>
        <v>0</v>
      </c>
      <c r="AG78" t="str">
        <f>Реестр_План_Факт!AG78</f>
        <v/>
      </c>
      <c r="AH78">
        <f>Реестр_План_Факт!AH78</f>
        <v>0</v>
      </c>
      <c r="AI78">
        <f>Реестр_План_Факт!AI78</f>
        <v>0</v>
      </c>
      <c r="AJ78" t="str">
        <f>Реестр_План_Факт!AJ78</f>
        <v/>
      </c>
      <c r="AK78">
        <f>Реестр_План_Факт!AK78</f>
        <v>0</v>
      </c>
      <c r="AL78">
        <f>Реестр_План_Факт!AL78</f>
        <v>0</v>
      </c>
      <c r="AM78" t="str">
        <f>Реестр_План_Факт!AM78</f>
        <v/>
      </c>
      <c r="AN78">
        <f>Реестр_План_Факт!AN78</f>
        <v>0</v>
      </c>
      <c r="AO78">
        <f>Реестр_План_Факт!AO78</f>
        <v>0</v>
      </c>
      <c r="AP78" t="str">
        <f>Реестр_План_Факт!AP78</f>
        <v/>
      </c>
      <c r="AQ78">
        <f>Реестр_План_Факт!AQ78</f>
        <v>0</v>
      </c>
    </row>
    <row r="79" spans="1:43" x14ac:dyDescent="0.2">
      <c r="A79" s="201">
        <f>Реестр_План_Факт!A79</f>
        <v>46100</v>
      </c>
      <c r="B79">
        <f>Реестр_План_Факт!B79</f>
        <v>12</v>
      </c>
      <c r="C79">
        <f>Реестр_План_Факт!C79</f>
        <v>3</v>
      </c>
      <c r="D79">
        <f>Реестр_План_Факт!D79</f>
        <v>0</v>
      </c>
      <c r="E79">
        <f>Реестр_План_Факт!E79</f>
        <v>0</v>
      </c>
      <c r="F79" t="str">
        <f>Реестр_План_Факт!F79</f>
        <v/>
      </c>
      <c r="G79">
        <f>Реестр_План_Факт!G79</f>
        <v>0</v>
      </c>
      <c r="H79">
        <f>Реестр_План_Факт!H79</f>
        <v>0</v>
      </c>
      <c r="I79" t="str">
        <f>Реестр_План_Факт!I79</f>
        <v/>
      </c>
      <c r="J79">
        <f>Реестр_План_Факт!J79</f>
        <v>0</v>
      </c>
      <c r="K79">
        <f>Реестр_План_Факт!K79</f>
        <v>0</v>
      </c>
      <c r="L79" t="str">
        <f>Реестр_План_Факт!L79</f>
        <v/>
      </c>
      <c r="M79">
        <f>Реестр_План_Факт!M79</f>
        <v>0</v>
      </c>
      <c r="N79">
        <f>Реестр_План_Факт!N79</f>
        <v>0</v>
      </c>
      <c r="O79" t="str">
        <f>Реестр_План_Факт!O79</f>
        <v/>
      </c>
      <c r="P79">
        <f>Реестр_План_Факт!P79</f>
        <v>0</v>
      </c>
      <c r="Q79">
        <f>Реестр_План_Факт!Q79</f>
        <v>0</v>
      </c>
      <c r="R79" t="str">
        <f>Реестр_План_Факт!R79</f>
        <v/>
      </c>
      <c r="S79">
        <f>Реестр_План_Факт!S79</f>
        <v>0</v>
      </c>
      <c r="T79">
        <f>Реестр_План_Факт!T79</f>
        <v>0</v>
      </c>
      <c r="U79" t="str">
        <f>Реестр_План_Факт!U79</f>
        <v/>
      </c>
      <c r="V79">
        <f>Реестр_План_Факт!V79</f>
        <v>0</v>
      </c>
      <c r="W79">
        <f>Реестр_План_Факт!W79</f>
        <v>0</v>
      </c>
      <c r="X79" t="str">
        <f>Реестр_План_Факт!X79</f>
        <v/>
      </c>
      <c r="Y79">
        <f>Реестр_План_Факт!Y79</f>
        <v>0</v>
      </c>
      <c r="Z79">
        <f>Реестр_План_Факт!Z79</f>
        <v>0</v>
      </c>
      <c r="AA79" t="str">
        <f>Реестр_План_Факт!AA79</f>
        <v/>
      </c>
      <c r="AB79">
        <f>Реестр_План_Факт!AB79</f>
        <v>0</v>
      </c>
      <c r="AC79">
        <f>Реестр_План_Факт!AC79</f>
        <v>0</v>
      </c>
      <c r="AD79" t="str">
        <f>Реестр_План_Факт!AD79</f>
        <v/>
      </c>
      <c r="AE79">
        <f>Реестр_План_Факт!AE79</f>
        <v>0</v>
      </c>
      <c r="AF79">
        <f>Реестр_План_Факт!AF79</f>
        <v>0</v>
      </c>
      <c r="AG79" t="str">
        <f>Реестр_План_Факт!AG79</f>
        <v/>
      </c>
      <c r="AH79">
        <f>Реестр_План_Факт!AH79</f>
        <v>0</v>
      </c>
      <c r="AI79">
        <f>Реестр_План_Факт!AI79</f>
        <v>0</v>
      </c>
      <c r="AJ79" t="str">
        <f>Реестр_План_Факт!AJ79</f>
        <v/>
      </c>
      <c r="AK79">
        <f>Реестр_План_Факт!AK79</f>
        <v>0</v>
      </c>
      <c r="AL79">
        <f>Реестр_План_Факт!AL79</f>
        <v>0</v>
      </c>
      <c r="AM79" t="str">
        <f>Реестр_План_Факт!AM79</f>
        <v/>
      </c>
      <c r="AN79">
        <f>Реестр_План_Факт!AN79</f>
        <v>0</v>
      </c>
      <c r="AO79">
        <f>Реестр_План_Факт!AO79</f>
        <v>0</v>
      </c>
      <c r="AP79" t="str">
        <f>Реестр_План_Факт!AP79</f>
        <v/>
      </c>
      <c r="AQ79">
        <f>Реестр_План_Факт!AQ79</f>
        <v>0</v>
      </c>
    </row>
    <row r="80" spans="1:43" x14ac:dyDescent="0.2">
      <c r="A80" s="201">
        <f>Реестр_План_Факт!A80</f>
        <v>46101</v>
      </c>
      <c r="B80">
        <f>Реестр_План_Факт!B80</f>
        <v>12</v>
      </c>
      <c r="C80">
        <f>Реестр_План_Факт!C80</f>
        <v>3</v>
      </c>
      <c r="D80">
        <f>Реестр_План_Факт!D80</f>
        <v>0</v>
      </c>
      <c r="E80">
        <f>Реестр_План_Факт!E80</f>
        <v>0</v>
      </c>
      <c r="F80" t="str">
        <f>Реестр_План_Факт!F80</f>
        <v/>
      </c>
      <c r="G80">
        <f>Реестр_План_Факт!G80</f>
        <v>0</v>
      </c>
      <c r="H80">
        <f>Реестр_План_Факт!H80</f>
        <v>0</v>
      </c>
      <c r="I80" t="str">
        <f>Реестр_План_Факт!I80</f>
        <v/>
      </c>
      <c r="J80">
        <f>Реестр_План_Факт!J80</f>
        <v>0</v>
      </c>
      <c r="K80">
        <f>Реестр_План_Факт!K80</f>
        <v>0</v>
      </c>
      <c r="L80" t="str">
        <f>Реестр_План_Факт!L80</f>
        <v/>
      </c>
      <c r="M80">
        <f>Реестр_План_Факт!M80</f>
        <v>0</v>
      </c>
      <c r="N80">
        <f>Реестр_План_Факт!N80</f>
        <v>0</v>
      </c>
      <c r="O80" t="str">
        <f>Реестр_План_Факт!O80</f>
        <v/>
      </c>
      <c r="P80">
        <f>Реестр_План_Факт!P80</f>
        <v>0</v>
      </c>
      <c r="Q80">
        <f>Реестр_План_Факт!Q80</f>
        <v>0</v>
      </c>
      <c r="R80" t="str">
        <f>Реестр_План_Факт!R80</f>
        <v/>
      </c>
      <c r="S80">
        <f>Реестр_План_Факт!S80</f>
        <v>0</v>
      </c>
      <c r="T80">
        <f>Реестр_План_Факт!T80</f>
        <v>0</v>
      </c>
      <c r="U80" t="str">
        <f>Реестр_План_Факт!U80</f>
        <v/>
      </c>
      <c r="V80">
        <f>Реестр_План_Факт!V80</f>
        <v>0</v>
      </c>
      <c r="W80">
        <f>Реестр_План_Факт!W80</f>
        <v>0</v>
      </c>
      <c r="X80" t="str">
        <f>Реестр_План_Факт!X80</f>
        <v/>
      </c>
      <c r="Y80">
        <f>Реестр_План_Факт!Y80</f>
        <v>0</v>
      </c>
      <c r="Z80">
        <f>Реестр_План_Факт!Z80</f>
        <v>0</v>
      </c>
      <c r="AA80" t="str">
        <f>Реестр_План_Факт!AA80</f>
        <v/>
      </c>
      <c r="AB80">
        <f>Реестр_План_Факт!AB80</f>
        <v>0</v>
      </c>
      <c r="AC80">
        <f>Реестр_План_Факт!AC80</f>
        <v>0</v>
      </c>
      <c r="AD80" t="str">
        <f>Реестр_План_Факт!AD80</f>
        <v/>
      </c>
      <c r="AE80">
        <f>Реестр_План_Факт!AE80</f>
        <v>0</v>
      </c>
      <c r="AF80">
        <f>Реестр_План_Факт!AF80</f>
        <v>0</v>
      </c>
      <c r="AG80" t="str">
        <f>Реестр_План_Факт!AG80</f>
        <v/>
      </c>
      <c r="AH80">
        <f>Реестр_План_Факт!AH80</f>
        <v>0</v>
      </c>
      <c r="AI80">
        <f>Реестр_План_Факт!AI80</f>
        <v>0</v>
      </c>
      <c r="AJ80" t="str">
        <f>Реестр_План_Факт!AJ80</f>
        <v/>
      </c>
      <c r="AK80">
        <f>Реестр_План_Факт!AK80</f>
        <v>0</v>
      </c>
      <c r="AL80">
        <f>Реестр_План_Факт!AL80</f>
        <v>0</v>
      </c>
      <c r="AM80" t="str">
        <f>Реестр_План_Факт!AM80</f>
        <v/>
      </c>
      <c r="AN80">
        <f>Реестр_План_Факт!AN80</f>
        <v>0</v>
      </c>
      <c r="AO80">
        <f>Реестр_План_Факт!AO80</f>
        <v>0</v>
      </c>
      <c r="AP80" t="str">
        <f>Реестр_План_Факт!AP80</f>
        <v/>
      </c>
      <c r="AQ80">
        <f>Реестр_План_Факт!AQ80</f>
        <v>0</v>
      </c>
    </row>
    <row r="81" spans="1:43" x14ac:dyDescent="0.2">
      <c r="A81" s="201">
        <f>Реестр_План_Факт!A81</f>
        <v>46102</v>
      </c>
      <c r="B81">
        <f>Реестр_План_Факт!B81</f>
        <v>12</v>
      </c>
      <c r="C81">
        <f>Реестр_План_Факт!C81</f>
        <v>3</v>
      </c>
      <c r="D81">
        <f>Реестр_План_Факт!D81</f>
        <v>0</v>
      </c>
      <c r="E81">
        <f>Реестр_План_Факт!E81</f>
        <v>0</v>
      </c>
      <c r="F81" t="str">
        <f>Реестр_План_Факт!F81</f>
        <v/>
      </c>
      <c r="G81">
        <f>Реестр_План_Факт!G81</f>
        <v>0</v>
      </c>
      <c r="H81">
        <f>Реестр_План_Факт!H81</f>
        <v>0</v>
      </c>
      <c r="I81" t="str">
        <f>Реестр_План_Факт!I81</f>
        <v/>
      </c>
      <c r="J81">
        <f>Реестр_План_Факт!J81</f>
        <v>0</v>
      </c>
      <c r="K81">
        <f>Реестр_План_Факт!K81</f>
        <v>0</v>
      </c>
      <c r="L81" t="str">
        <f>Реестр_План_Факт!L81</f>
        <v/>
      </c>
      <c r="M81">
        <f>Реестр_План_Факт!M81</f>
        <v>0</v>
      </c>
      <c r="N81">
        <f>Реестр_План_Факт!N81</f>
        <v>0</v>
      </c>
      <c r="O81" t="str">
        <f>Реестр_План_Факт!O81</f>
        <v/>
      </c>
      <c r="P81">
        <f>Реестр_План_Факт!P81</f>
        <v>0</v>
      </c>
      <c r="Q81">
        <f>Реестр_План_Факт!Q81</f>
        <v>0</v>
      </c>
      <c r="R81" t="str">
        <f>Реестр_План_Факт!R81</f>
        <v/>
      </c>
      <c r="S81">
        <f>Реестр_План_Факт!S81</f>
        <v>0</v>
      </c>
      <c r="T81">
        <f>Реестр_План_Факт!T81</f>
        <v>0</v>
      </c>
      <c r="U81" t="str">
        <f>Реестр_План_Факт!U81</f>
        <v/>
      </c>
      <c r="V81">
        <f>Реестр_План_Факт!V81</f>
        <v>0</v>
      </c>
      <c r="W81">
        <f>Реестр_План_Факт!W81</f>
        <v>0</v>
      </c>
      <c r="X81" t="str">
        <f>Реестр_План_Факт!X81</f>
        <v/>
      </c>
      <c r="Y81">
        <f>Реестр_План_Факт!Y81</f>
        <v>0</v>
      </c>
      <c r="Z81">
        <f>Реестр_План_Факт!Z81</f>
        <v>0</v>
      </c>
      <c r="AA81" t="str">
        <f>Реестр_План_Факт!AA81</f>
        <v/>
      </c>
      <c r="AB81">
        <f>Реестр_План_Факт!AB81</f>
        <v>0</v>
      </c>
      <c r="AC81">
        <f>Реестр_План_Факт!AC81</f>
        <v>0</v>
      </c>
      <c r="AD81" t="str">
        <f>Реестр_План_Факт!AD81</f>
        <v/>
      </c>
      <c r="AE81">
        <f>Реестр_План_Факт!AE81</f>
        <v>0</v>
      </c>
      <c r="AF81">
        <f>Реестр_План_Факт!AF81</f>
        <v>0</v>
      </c>
      <c r="AG81" t="str">
        <f>Реестр_План_Факт!AG81</f>
        <v/>
      </c>
      <c r="AH81">
        <f>Реестр_План_Факт!AH81</f>
        <v>0</v>
      </c>
      <c r="AI81">
        <f>Реестр_План_Факт!AI81</f>
        <v>0</v>
      </c>
      <c r="AJ81" t="str">
        <f>Реестр_План_Факт!AJ81</f>
        <v/>
      </c>
      <c r="AK81">
        <f>Реестр_План_Факт!AK81</f>
        <v>0</v>
      </c>
      <c r="AL81">
        <f>Реестр_План_Факт!AL81</f>
        <v>0</v>
      </c>
      <c r="AM81" t="str">
        <f>Реестр_План_Факт!AM81</f>
        <v/>
      </c>
      <c r="AN81">
        <f>Реестр_План_Факт!AN81</f>
        <v>0</v>
      </c>
      <c r="AO81">
        <f>Реестр_План_Факт!AO81</f>
        <v>0</v>
      </c>
      <c r="AP81" t="str">
        <f>Реестр_План_Факт!AP81</f>
        <v/>
      </c>
      <c r="AQ81">
        <f>Реестр_План_Факт!AQ81</f>
        <v>0</v>
      </c>
    </row>
    <row r="82" spans="1:43" x14ac:dyDescent="0.2">
      <c r="A82" s="201">
        <f>Реестр_План_Факт!A82</f>
        <v>46103</v>
      </c>
      <c r="B82">
        <f>Реестр_План_Факт!B82</f>
        <v>12</v>
      </c>
      <c r="C82">
        <f>Реестр_План_Факт!C82</f>
        <v>3</v>
      </c>
      <c r="D82">
        <f>Реестр_План_Факт!D82</f>
        <v>0</v>
      </c>
      <c r="E82">
        <f>Реестр_План_Факт!E82</f>
        <v>0</v>
      </c>
      <c r="F82" t="str">
        <f>Реестр_План_Факт!F82</f>
        <v/>
      </c>
      <c r="G82">
        <f>Реестр_План_Факт!G82</f>
        <v>0</v>
      </c>
      <c r="H82">
        <f>Реестр_План_Факт!H82</f>
        <v>0</v>
      </c>
      <c r="I82" t="str">
        <f>Реестр_План_Факт!I82</f>
        <v/>
      </c>
      <c r="J82">
        <f>Реестр_План_Факт!J82</f>
        <v>0</v>
      </c>
      <c r="K82">
        <f>Реестр_План_Факт!K82</f>
        <v>0</v>
      </c>
      <c r="L82" t="str">
        <f>Реестр_План_Факт!L82</f>
        <v/>
      </c>
      <c r="M82">
        <f>Реестр_План_Факт!M82</f>
        <v>0</v>
      </c>
      <c r="N82">
        <f>Реестр_План_Факт!N82</f>
        <v>0</v>
      </c>
      <c r="O82" t="str">
        <f>Реестр_План_Факт!O82</f>
        <v/>
      </c>
      <c r="P82">
        <f>Реестр_План_Факт!P82</f>
        <v>0</v>
      </c>
      <c r="Q82">
        <f>Реестр_План_Факт!Q82</f>
        <v>0</v>
      </c>
      <c r="R82" t="str">
        <f>Реестр_План_Факт!R82</f>
        <v/>
      </c>
      <c r="S82">
        <f>Реестр_План_Факт!S82</f>
        <v>0</v>
      </c>
      <c r="T82">
        <f>Реестр_План_Факт!T82</f>
        <v>0</v>
      </c>
      <c r="U82" t="str">
        <f>Реестр_План_Факт!U82</f>
        <v/>
      </c>
      <c r="V82">
        <f>Реестр_План_Факт!V82</f>
        <v>0</v>
      </c>
      <c r="W82">
        <f>Реестр_План_Факт!W82</f>
        <v>0</v>
      </c>
      <c r="X82" t="str">
        <f>Реестр_План_Факт!X82</f>
        <v/>
      </c>
      <c r="Y82">
        <f>Реестр_План_Факт!Y82</f>
        <v>0</v>
      </c>
      <c r="Z82">
        <f>Реестр_План_Факт!Z82</f>
        <v>0</v>
      </c>
      <c r="AA82" t="str">
        <f>Реестр_План_Факт!AA82</f>
        <v/>
      </c>
      <c r="AB82">
        <f>Реестр_План_Факт!AB82</f>
        <v>0</v>
      </c>
      <c r="AC82">
        <f>Реестр_План_Факт!AC82</f>
        <v>0</v>
      </c>
      <c r="AD82" t="str">
        <f>Реестр_План_Факт!AD82</f>
        <v/>
      </c>
      <c r="AE82">
        <f>Реестр_План_Факт!AE82</f>
        <v>0</v>
      </c>
      <c r="AF82">
        <f>Реестр_План_Факт!AF82</f>
        <v>0</v>
      </c>
      <c r="AG82" t="str">
        <f>Реестр_План_Факт!AG82</f>
        <v/>
      </c>
      <c r="AH82">
        <f>Реестр_План_Факт!AH82</f>
        <v>0</v>
      </c>
      <c r="AI82">
        <f>Реестр_План_Факт!AI82</f>
        <v>0</v>
      </c>
      <c r="AJ82" t="str">
        <f>Реестр_План_Факт!AJ82</f>
        <v/>
      </c>
      <c r="AK82">
        <f>Реестр_План_Факт!AK82</f>
        <v>0</v>
      </c>
      <c r="AL82">
        <f>Реестр_План_Факт!AL82</f>
        <v>0</v>
      </c>
      <c r="AM82" t="str">
        <f>Реестр_План_Факт!AM82</f>
        <v/>
      </c>
      <c r="AN82">
        <f>Реестр_План_Факт!AN82</f>
        <v>0</v>
      </c>
      <c r="AO82">
        <f>Реестр_План_Факт!AO82</f>
        <v>0</v>
      </c>
      <c r="AP82" t="str">
        <f>Реестр_План_Факт!AP82</f>
        <v/>
      </c>
      <c r="AQ82">
        <f>Реестр_План_Факт!AQ82</f>
        <v>0</v>
      </c>
    </row>
    <row r="83" spans="1:43" x14ac:dyDescent="0.2">
      <c r="A83" s="201">
        <f>Реестр_План_Факт!A83</f>
        <v>46104</v>
      </c>
      <c r="B83">
        <f>Реестр_План_Факт!B83</f>
        <v>13</v>
      </c>
      <c r="C83">
        <f>Реестр_План_Факт!C83</f>
        <v>3</v>
      </c>
      <c r="D83">
        <f>Реестр_План_Факт!D83</f>
        <v>0</v>
      </c>
      <c r="E83">
        <f>Реестр_План_Факт!E83</f>
        <v>0</v>
      </c>
      <c r="F83" t="str">
        <f>Реестр_План_Факт!F83</f>
        <v/>
      </c>
      <c r="G83">
        <f>Реестр_План_Факт!G83</f>
        <v>0</v>
      </c>
      <c r="H83">
        <f>Реестр_План_Факт!H83</f>
        <v>0</v>
      </c>
      <c r="I83" t="str">
        <f>Реестр_План_Факт!I83</f>
        <v/>
      </c>
      <c r="J83">
        <f>Реестр_План_Факт!J83</f>
        <v>0</v>
      </c>
      <c r="K83">
        <f>Реестр_План_Факт!K83</f>
        <v>0</v>
      </c>
      <c r="L83" t="str">
        <f>Реестр_План_Факт!L83</f>
        <v/>
      </c>
      <c r="M83">
        <f>Реестр_План_Факт!M83</f>
        <v>0</v>
      </c>
      <c r="N83">
        <f>Реестр_План_Факт!N83</f>
        <v>0</v>
      </c>
      <c r="O83" t="str">
        <f>Реестр_План_Факт!O83</f>
        <v/>
      </c>
      <c r="P83">
        <f>Реестр_План_Факт!P83</f>
        <v>0</v>
      </c>
      <c r="Q83">
        <f>Реестр_План_Факт!Q83</f>
        <v>0</v>
      </c>
      <c r="R83" t="str">
        <f>Реестр_План_Факт!R83</f>
        <v/>
      </c>
      <c r="S83">
        <f>Реестр_План_Факт!S83</f>
        <v>0</v>
      </c>
      <c r="T83">
        <f>Реестр_План_Факт!T83</f>
        <v>0</v>
      </c>
      <c r="U83" t="str">
        <f>Реестр_План_Факт!U83</f>
        <v/>
      </c>
      <c r="V83">
        <f>Реестр_План_Факт!V83</f>
        <v>0</v>
      </c>
      <c r="W83">
        <f>Реестр_План_Факт!W83</f>
        <v>0</v>
      </c>
      <c r="X83" t="str">
        <f>Реестр_План_Факт!X83</f>
        <v/>
      </c>
      <c r="Y83">
        <f>Реестр_План_Факт!Y83</f>
        <v>0</v>
      </c>
      <c r="Z83">
        <f>Реестр_План_Факт!Z83</f>
        <v>0</v>
      </c>
      <c r="AA83" t="str">
        <f>Реестр_План_Факт!AA83</f>
        <v/>
      </c>
      <c r="AB83">
        <f>Реестр_План_Факт!AB83</f>
        <v>0</v>
      </c>
      <c r="AC83">
        <f>Реестр_План_Факт!AC83</f>
        <v>0</v>
      </c>
      <c r="AD83" t="str">
        <f>Реестр_План_Факт!AD83</f>
        <v/>
      </c>
      <c r="AE83">
        <f>Реестр_План_Факт!AE83</f>
        <v>0</v>
      </c>
      <c r="AF83">
        <f>Реестр_План_Факт!AF83</f>
        <v>0</v>
      </c>
      <c r="AG83" t="str">
        <f>Реестр_План_Факт!AG83</f>
        <v/>
      </c>
      <c r="AH83">
        <f>Реестр_План_Факт!AH83</f>
        <v>0</v>
      </c>
      <c r="AI83">
        <f>Реестр_План_Факт!AI83</f>
        <v>0</v>
      </c>
      <c r="AJ83" t="str">
        <f>Реестр_План_Факт!AJ83</f>
        <v/>
      </c>
      <c r="AK83">
        <f>Реестр_План_Факт!AK83</f>
        <v>0</v>
      </c>
      <c r="AL83">
        <f>Реестр_План_Факт!AL83</f>
        <v>0</v>
      </c>
      <c r="AM83" t="str">
        <f>Реестр_План_Факт!AM83</f>
        <v/>
      </c>
      <c r="AN83">
        <f>Реестр_План_Факт!AN83</f>
        <v>0</v>
      </c>
      <c r="AO83">
        <f>Реестр_План_Факт!AO83</f>
        <v>0</v>
      </c>
      <c r="AP83" t="str">
        <f>Реестр_План_Факт!AP83</f>
        <v/>
      </c>
      <c r="AQ83">
        <f>Реестр_План_Факт!AQ83</f>
        <v>0</v>
      </c>
    </row>
    <row r="84" spans="1:43" x14ac:dyDescent="0.2">
      <c r="A84" s="201">
        <f>Реестр_План_Факт!A84</f>
        <v>46105</v>
      </c>
      <c r="B84">
        <f>Реестр_План_Факт!B84</f>
        <v>13</v>
      </c>
      <c r="C84">
        <f>Реестр_План_Факт!C84</f>
        <v>3</v>
      </c>
      <c r="D84">
        <f>Реестр_План_Факт!D84</f>
        <v>0</v>
      </c>
      <c r="E84">
        <f>Реестр_План_Факт!E84</f>
        <v>0</v>
      </c>
      <c r="F84" t="str">
        <f>Реестр_План_Факт!F84</f>
        <v/>
      </c>
      <c r="G84">
        <f>Реестр_План_Факт!G84</f>
        <v>0</v>
      </c>
      <c r="H84">
        <f>Реестр_План_Факт!H84</f>
        <v>0</v>
      </c>
      <c r="I84" t="str">
        <f>Реестр_План_Факт!I84</f>
        <v/>
      </c>
      <c r="J84">
        <f>Реестр_План_Факт!J84</f>
        <v>0</v>
      </c>
      <c r="K84">
        <f>Реестр_План_Факт!K84</f>
        <v>0</v>
      </c>
      <c r="L84" t="str">
        <f>Реестр_План_Факт!L84</f>
        <v/>
      </c>
      <c r="M84">
        <f>Реестр_План_Факт!M84</f>
        <v>0</v>
      </c>
      <c r="N84">
        <f>Реестр_План_Факт!N84</f>
        <v>0</v>
      </c>
      <c r="O84" t="str">
        <f>Реестр_План_Факт!O84</f>
        <v/>
      </c>
      <c r="P84">
        <f>Реестр_План_Факт!P84</f>
        <v>0</v>
      </c>
      <c r="Q84">
        <f>Реестр_План_Факт!Q84</f>
        <v>0</v>
      </c>
      <c r="R84" t="str">
        <f>Реестр_План_Факт!R84</f>
        <v/>
      </c>
      <c r="S84">
        <f>Реестр_План_Факт!S84</f>
        <v>0</v>
      </c>
      <c r="T84">
        <f>Реестр_План_Факт!T84</f>
        <v>0</v>
      </c>
      <c r="U84" t="str">
        <f>Реестр_План_Факт!U84</f>
        <v/>
      </c>
      <c r="V84">
        <f>Реестр_План_Факт!V84</f>
        <v>0</v>
      </c>
      <c r="W84">
        <f>Реестр_План_Факт!W84</f>
        <v>0</v>
      </c>
      <c r="X84" t="str">
        <f>Реестр_План_Факт!X84</f>
        <v/>
      </c>
      <c r="Y84">
        <f>Реестр_План_Факт!Y84</f>
        <v>0</v>
      </c>
      <c r="Z84">
        <f>Реестр_План_Факт!Z84</f>
        <v>0</v>
      </c>
      <c r="AA84" t="str">
        <f>Реестр_План_Факт!AA84</f>
        <v/>
      </c>
      <c r="AB84">
        <f>Реестр_План_Факт!AB84</f>
        <v>0</v>
      </c>
      <c r="AC84">
        <f>Реестр_План_Факт!AC84</f>
        <v>0</v>
      </c>
      <c r="AD84" t="str">
        <f>Реестр_План_Факт!AD84</f>
        <v/>
      </c>
      <c r="AE84">
        <f>Реестр_План_Факт!AE84</f>
        <v>0</v>
      </c>
      <c r="AF84">
        <f>Реестр_План_Факт!AF84</f>
        <v>0</v>
      </c>
      <c r="AG84" t="str">
        <f>Реестр_План_Факт!AG84</f>
        <v/>
      </c>
      <c r="AH84">
        <f>Реестр_План_Факт!AH84</f>
        <v>0</v>
      </c>
      <c r="AI84">
        <f>Реестр_План_Факт!AI84</f>
        <v>0</v>
      </c>
      <c r="AJ84" t="str">
        <f>Реестр_План_Факт!AJ84</f>
        <v/>
      </c>
      <c r="AK84">
        <f>Реестр_План_Факт!AK84</f>
        <v>0</v>
      </c>
      <c r="AL84">
        <f>Реестр_План_Факт!AL84</f>
        <v>0</v>
      </c>
      <c r="AM84" t="str">
        <f>Реестр_План_Факт!AM84</f>
        <v/>
      </c>
      <c r="AN84">
        <f>Реестр_План_Факт!AN84</f>
        <v>0</v>
      </c>
      <c r="AO84">
        <f>Реестр_План_Факт!AO84</f>
        <v>0</v>
      </c>
      <c r="AP84" t="str">
        <f>Реестр_План_Факт!AP84</f>
        <v/>
      </c>
      <c r="AQ84">
        <f>Реестр_План_Факт!AQ84</f>
        <v>0</v>
      </c>
    </row>
    <row r="85" spans="1:43" x14ac:dyDescent="0.2">
      <c r="A85" s="201">
        <f>Реестр_План_Факт!A85</f>
        <v>46106</v>
      </c>
      <c r="B85">
        <f>Реестр_План_Факт!B85</f>
        <v>13</v>
      </c>
      <c r="C85">
        <f>Реестр_План_Факт!C85</f>
        <v>3</v>
      </c>
      <c r="D85">
        <f>Реестр_План_Факт!D85</f>
        <v>0</v>
      </c>
      <c r="E85">
        <f>Реестр_План_Факт!E85</f>
        <v>0</v>
      </c>
      <c r="F85" t="str">
        <f>Реестр_План_Факт!F85</f>
        <v/>
      </c>
      <c r="G85">
        <f>Реестр_План_Факт!G85</f>
        <v>0</v>
      </c>
      <c r="H85">
        <f>Реестр_План_Факт!H85</f>
        <v>0</v>
      </c>
      <c r="I85" t="str">
        <f>Реестр_План_Факт!I85</f>
        <v/>
      </c>
      <c r="J85">
        <f>Реестр_План_Факт!J85</f>
        <v>0</v>
      </c>
      <c r="K85">
        <f>Реестр_План_Факт!K85</f>
        <v>0</v>
      </c>
      <c r="L85" t="str">
        <f>Реестр_План_Факт!L85</f>
        <v/>
      </c>
      <c r="M85">
        <f>Реестр_План_Факт!M85</f>
        <v>0</v>
      </c>
      <c r="N85">
        <f>Реестр_План_Факт!N85</f>
        <v>0</v>
      </c>
      <c r="O85" t="str">
        <f>Реестр_План_Факт!O85</f>
        <v/>
      </c>
      <c r="P85">
        <f>Реестр_План_Факт!P85</f>
        <v>0</v>
      </c>
      <c r="Q85">
        <f>Реестр_План_Факт!Q85</f>
        <v>0</v>
      </c>
      <c r="R85" t="str">
        <f>Реестр_План_Факт!R85</f>
        <v/>
      </c>
      <c r="S85">
        <f>Реестр_План_Факт!S85</f>
        <v>0</v>
      </c>
      <c r="T85">
        <f>Реестр_План_Факт!T85</f>
        <v>0</v>
      </c>
      <c r="U85" t="str">
        <f>Реестр_План_Факт!U85</f>
        <v/>
      </c>
      <c r="V85">
        <f>Реестр_План_Факт!V85</f>
        <v>0</v>
      </c>
      <c r="W85">
        <f>Реестр_План_Факт!W85</f>
        <v>0</v>
      </c>
      <c r="X85" t="str">
        <f>Реестр_План_Факт!X85</f>
        <v/>
      </c>
      <c r="Y85">
        <f>Реестр_План_Факт!Y85</f>
        <v>0</v>
      </c>
      <c r="Z85">
        <f>Реестр_План_Факт!Z85</f>
        <v>0</v>
      </c>
      <c r="AA85" t="str">
        <f>Реестр_План_Факт!AA85</f>
        <v/>
      </c>
      <c r="AB85">
        <f>Реестр_План_Факт!AB85</f>
        <v>0</v>
      </c>
      <c r="AC85">
        <f>Реестр_План_Факт!AC85</f>
        <v>0</v>
      </c>
      <c r="AD85" t="str">
        <f>Реестр_План_Факт!AD85</f>
        <v/>
      </c>
      <c r="AE85">
        <f>Реестр_План_Факт!AE85</f>
        <v>0</v>
      </c>
      <c r="AF85">
        <f>Реестр_План_Факт!AF85</f>
        <v>0</v>
      </c>
      <c r="AG85" t="str">
        <f>Реестр_План_Факт!AG85</f>
        <v/>
      </c>
      <c r="AH85">
        <f>Реестр_План_Факт!AH85</f>
        <v>0</v>
      </c>
      <c r="AI85">
        <f>Реестр_План_Факт!AI85</f>
        <v>0</v>
      </c>
      <c r="AJ85" t="str">
        <f>Реестр_План_Факт!AJ85</f>
        <v/>
      </c>
      <c r="AK85">
        <f>Реестр_План_Факт!AK85</f>
        <v>0</v>
      </c>
      <c r="AL85">
        <f>Реестр_План_Факт!AL85</f>
        <v>0</v>
      </c>
      <c r="AM85" t="str">
        <f>Реестр_План_Факт!AM85</f>
        <v/>
      </c>
      <c r="AN85">
        <f>Реестр_План_Факт!AN85</f>
        <v>0</v>
      </c>
      <c r="AO85">
        <f>Реестр_План_Факт!AO85</f>
        <v>0</v>
      </c>
      <c r="AP85" t="str">
        <f>Реестр_План_Факт!AP85</f>
        <v/>
      </c>
      <c r="AQ85">
        <f>Реестр_План_Факт!AQ85</f>
        <v>0</v>
      </c>
    </row>
    <row r="86" spans="1:43" x14ac:dyDescent="0.2">
      <c r="A86" s="201">
        <f>Реестр_План_Факт!A86</f>
        <v>46107</v>
      </c>
      <c r="B86">
        <f>Реестр_План_Факт!B86</f>
        <v>13</v>
      </c>
      <c r="C86">
        <f>Реестр_План_Факт!C86</f>
        <v>3</v>
      </c>
      <c r="D86">
        <f>Реестр_План_Факт!D86</f>
        <v>0</v>
      </c>
      <c r="E86">
        <f>Реестр_План_Факт!E86</f>
        <v>0</v>
      </c>
      <c r="F86" t="str">
        <f>Реестр_План_Факт!F86</f>
        <v/>
      </c>
      <c r="G86">
        <f>Реестр_План_Факт!G86</f>
        <v>0</v>
      </c>
      <c r="H86">
        <f>Реестр_План_Факт!H86</f>
        <v>0</v>
      </c>
      <c r="I86" t="str">
        <f>Реестр_План_Факт!I86</f>
        <v/>
      </c>
      <c r="J86">
        <f>Реестр_План_Факт!J86</f>
        <v>0</v>
      </c>
      <c r="K86">
        <f>Реестр_План_Факт!K86</f>
        <v>0</v>
      </c>
      <c r="L86" t="str">
        <f>Реестр_План_Факт!L86</f>
        <v/>
      </c>
      <c r="M86">
        <f>Реестр_План_Факт!M86</f>
        <v>0</v>
      </c>
      <c r="N86">
        <f>Реестр_План_Факт!N86</f>
        <v>0</v>
      </c>
      <c r="O86" t="str">
        <f>Реестр_План_Факт!O86</f>
        <v/>
      </c>
      <c r="P86">
        <f>Реестр_План_Факт!P86</f>
        <v>0</v>
      </c>
      <c r="Q86">
        <f>Реестр_План_Факт!Q86</f>
        <v>0</v>
      </c>
      <c r="R86" t="str">
        <f>Реестр_План_Факт!R86</f>
        <v/>
      </c>
      <c r="S86">
        <f>Реестр_План_Факт!S86</f>
        <v>0</v>
      </c>
      <c r="T86">
        <f>Реестр_План_Факт!T86</f>
        <v>0</v>
      </c>
      <c r="U86" t="str">
        <f>Реестр_План_Факт!U86</f>
        <v/>
      </c>
      <c r="V86">
        <f>Реестр_План_Факт!V86</f>
        <v>0</v>
      </c>
      <c r="W86">
        <f>Реестр_План_Факт!W86</f>
        <v>0</v>
      </c>
      <c r="X86" t="str">
        <f>Реестр_План_Факт!X86</f>
        <v/>
      </c>
      <c r="Y86">
        <f>Реестр_План_Факт!Y86</f>
        <v>0</v>
      </c>
      <c r="Z86">
        <f>Реестр_План_Факт!Z86</f>
        <v>0</v>
      </c>
      <c r="AA86" t="str">
        <f>Реестр_План_Факт!AA86</f>
        <v/>
      </c>
      <c r="AB86">
        <f>Реестр_План_Факт!AB86</f>
        <v>0</v>
      </c>
      <c r="AC86">
        <f>Реестр_План_Факт!AC86</f>
        <v>0</v>
      </c>
      <c r="AD86" t="str">
        <f>Реестр_План_Факт!AD86</f>
        <v/>
      </c>
      <c r="AE86">
        <f>Реестр_План_Факт!AE86</f>
        <v>0</v>
      </c>
      <c r="AF86">
        <f>Реестр_План_Факт!AF86</f>
        <v>0</v>
      </c>
      <c r="AG86" t="str">
        <f>Реестр_План_Факт!AG86</f>
        <v/>
      </c>
      <c r="AH86">
        <f>Реестр_План_Факт!AH86</f>
        <v>0</v>
      </c>
      <c r="AI86">
        <f>Реестр_План_Факт!AI86</f>
        <v>0</v>
      </c>
      <c r="AJ86" t="str">
        <f>Реестр_План_Факт!AJ86</f>
        <v/>
      </c>
      <c r="AK86">
        <f>Реестр_План_Факт!AK86</f>
        <v>0</v>
      </c>
      <c r="AL86">
        <f>Реестр_План_Факт!AL86</f>
        <v>0</v>
      </c>
      <c r="AM86" t="str">
        <f>Реестр_План_Факт!AM86</f>
        <v/>
      </c>
      <c r="AN86">
        <f>Реестр_План_Факт!AN86</f>
        <v>0</v>
      </c>
      <c r="AO86">
        <f>Реестр_План_Факт!AO86</f>
        <v>0</v>
      </c>
      <c r="AP86" t="str">
        <f>Реестр_План_Факт!AP86</f>
        <v/>
      </c>
      <c r="AQ86">
        <f>Реестр_План_Факт!AQ86</f>
        <v>0</v>
      </c>
    </row>
    <row r="87" spans="1:43" x14ac:dyDescent="0.2">
      <c r="A87" s="201">
        <f>Реестр_План_Факт!A87</f>
        <v>46108</v>
      </c>
      <c r="B87">
        <f>Реестр_План_Факт!B87</f>
        <v>13</v>
      </c>
      <c r="C87">
        <f>Реестр_План_Факт!C87</f>
        <v>3</v>
      </c>
      <c r="D87">
        <f>Реестр_План_Факт!D87</f>
        <v>0</v>
      </c>
      <c r="E87">
        <f>Реестр_План_Факт!E87</f>
        <v>0</v>
      </c>
      <c r="F87" t="str">
        <f>Реестр_План_Факт!F87</f>
        <v/>
      </c>
      <c r="G87">
        <f>Реестр_План_Факт!G87</f>
        <v>0</v>
      </c>
      <c r="H87">
        <f>Реестр_План_Факт!H87</f>
        <v>0</v>
      </c>
      <c r="I87" t="str">
        <f>Реестр_План_Факт!I87</f>
        <v/>
      </c>
      <c r="J87">
        <f>Реестр_План_Факт!J87</f>
        <v>0</v>
      </c>
      <c r="K87">
        <f>Реестр_План_Факт!K87</f>
        <v>0</v>
      </c>
      <c r="L87" t="str">
        <f>Реестр_План_Факт!L87</f>
        <v/>
      </c>
      <c r="M87">
        <f>Реестр_План_Факт!M87</f>
        <v>0</v>
      </c>
      <c r="N87">
        <f>Реестр_План_Факт!N87</f>
        <v>0</v>
      </c>
      <c r="O87" t="str">
        <f>Реестр_План_Факт!O87</f>
        <v/>
      </c>
      <c r="P87">
        <f>Реестр_План_Факт!P87</f>
        <v>0</v>
      </c>
      <c r="Q87">
        <f>Реестр_План_Факт!Q87</f>
        <v>0</v>
      </c>
      <c r="R87" t="str">
        <f>Реестр_План_Факт!R87</f>
        <v/>
      </c>
      <c r="S87">
        <f>Реестр_План_Факт!S87</f>
        <v>0</v>
      </c>
      <c r="T87">
        <f>Реестр_План_Факт!T87</f>
        <v>0</v>
      </c>
      <c r="U87" t="str">
        <f>Реестр_План_Факт!U87</f>
        <v/>
      </c>
      <c r="V87">
        <f>Реестр_План_Факт!V87</f>
        <v>0</v>
      </c>
      <c r="W87">
        <f>Реестр_План_Факт!W87</f>
        <v>0</v>
      </c>
      <c r="X87" t="str">
        <f>Реестр_План_Факт!X87</f>
        <v/>
      </c>
      <c r="Y87">
        <f>Реестр_План_Факт!Y87</f>
        <v>0</v>
      </c>
      <c r="Z87">
        <f>Реестр_План_Факт!Z87</f>
        <v>0</v>
      </c>
      <c r="AA87" t="str">
        <f>Реестр_План_Факт!AA87</f>
        <v/>
      </c>
      <c r="AB87">
        <f>Реестр_План_Факт!AB87</f>
        <v>0</v>
      </c>
      <c r="AC87">
        <f>Реестр_План_Факт!AC87</f>
        <v>0</v>
      </c>
      <c r="AD87" t="str">
        <f>Реестр_План_Факт!AD87</f>
        <v/>
      </c>
      <c r="AE87">
        <f>Реестр_План_Факт!AE87</f>
        <v>0</v>
      </c>
      <c r="AF87">
        <f>Реестр_План_Факт!AF87</f>
        <v>0</v>
      </c>
      <c r="AG87" t="str">
        <f>Реестр_План_Факт!AG87</f>
        <v/>
      </c>
      <c r="AH87">
        <f>Реестр_План_Факт!AH87</f>
        <v>0</v>
      </c>
      <c r="AI87">
        <f>Реестр_План_Факт!AI87</f>
        <v>0</v>
      </c>
      <c r="AJ87" t="str">
        <f>Реестр_План_Факт!AJ87</f>
        <v/>
      </c>
      <c r="AK87">
        <f>Реестр_План_Факт!AK87</f>
        <v>0</v>
      </c>
      <c r="AL87">
        <f>Реестр_План_Факт!AL87</f>
        <v>0</v>
      </c>
      <c r="AM87" t="str">
        <f>Реестр_План_Факт!AM87</f>
        <v/>
      </c>
      <c r="AN87">
        <f>Реестр_План_Факт!AN87</f>
        <v>0</v>
      </c>
      <c r="AO87">
        <f>Реестр_План_Факт!AO87</f>
        <v>0</v>
      </c>
      <c r="AP87" t="str">
        <f>Реестр_План_Факт!AP87</f>
        <v/>
      </c>
      <c r="AQ87">
        <f>Реестр_План_Факт!AQ87</f>
        <v>0</v>
      </c>
    </row>
    <row r="88" spans="1:43" x14ac:dyDescent="0.2">
      <c r="A88" s="201">
        <f>Реестр_План_Факт!A88</f>
        <v>46109</v>
      </c>
      <c r="B88">
        <f>Реестр_План_Факт!B88</f>
        <v>13</v>
      </c>
      <c r="C88">
        <f>Реестр_План_Факт!C88</f>
        <v>3</v>
      </c>
      <c r="D88">
        <f>Реестр_План_Факт!D88</f>
        <v>0</v>
      </c>
      <c r="E88">
        <f>Реестр_План_Факт!E88</f>
        <v>0</v>
      </c>
      <c r="F88" t="str">
        <f>Реестр_План_Факт!F88</f>
        <v/>
      </c>
      <c r="G88">
        <f>Реестр_План_Факт!G88</f>
        <v>0</v>
      </c>
      <c r="H88">
        <f>Реестр_План_Факт!H88</f>
        <v>0</v>
      </c>
      <c r="I88" t="str">
        <f>Реестр_План_Факт!I88</f>
        <v/>
      </c>
      <c r="J88">
        <f>Реестр_План_Факт!J88</f>
        <v>0</v>
      </c>
      <c r="K88">
        <f>Реестр_План_Факт!K88</f>
        <v>0</v>
      </c>
      <c r="L88" t="str">
        <f>Реестр_План_Факт!L88</f>
        <v/>
      </c>
      <c r="M88">
        <f>Реестр_План_Факт!M88</f>
        <v>0</v>
      </c>
      <c r="N88">
        <f>Реестр_План_Факт!N88</f>
        <v>0</v>
      </c>
      <c r="O88" t="str">
        <f>Реестр_План_Факт!O88</f>
        <v/>
      </c>
      <c r="P88">
        <f>Реестр_План_Факт!P88</f>
        <v>0</v>
      </c>
      <c r="Q88">
        <f>Реестр_План_Факт!Q88</f>
        <v>0</v>
      </c>
      <c r="R88" t="str">
        <f>Реестр_План_Факт!R88</f>
        <v/>
      </c>
      <c r="S88">
        <f>Реестр_План_Факт!S88</f>
        <v>0</v>
      </c>
      <c r="T88">
        <f>Реестр_План_Факт!T88</f>
        <v>0</v>
      </c>
      <c r="U88" t="str">
        <f>Реестр_План_Факт!U88</f>
        <v/>
      </c>
      <c r="V88">
        <f>Реестр_План_Факт!V88</f>
        <v>0</v>
      </c>
      <c r="W88">
        <f>Реестр_План_Факт!W88</f>
        <v>0</v>
      </c>
      <c r="X88" t="str">
        <f>Реестр_План_Факт!X88</f>
        <v/>
      </c>
      <c r="Y88">
        <f>Реестр_План_Факт!Y88</f>
        <v>0</v>
      </c>
      <c r="Z88">
        <f>Реестр_План_Факт!Z88</f>
        <v>0</v>
      </c>
      <c r="AA88" t="str">
        <f>Реестр_План_Факт!AA88</f>
        <v/>
      </c>
      <c r="AB88">
        <f>Реестр_План_Факт!AB88</f>
        <v>0</v>
      </c>
      <c r="AC88">
        <f>Реестр_План_Факт!AC88</f>
        <v>0</v>
      </c>
      <c r="AD88" t="str">
        <f>Реестр_План_Факт!AD88</f>
        <v/>
      </c>
      <c r="AE88">
        <f>Реестр_План_Факт!AE88</f>
        <v>0</v>
      </c>
      <c r="AF88">
        <f>Реестр_План_Факт!AF88</f>
        <v>0</v>
      </c>
      <c r="AG88" t="str">
        <f>Реестр_План_Факт!AG88</f>
        <v/>
      </c>
      <c r="AH88">
        <f>Реестр_План_Факт!AH88</f>
        <v>0</v>
      </c>
      <c r="AI88">
        <f>Реестр_План_Факт!AI88</f>
        <v>0</v>
      </c>
      <c r="AJ88" t="str">
        <f>Реестр_План_Факт!AJ88</f>
        <v/>
      </c>
      <c r="AK88">
        <f>Реестр_План_Факт!AK88</f>
        <v>0</v>
      </c>
      <c r="AL88">
        <f>Реестр_План_Факт!AL88</f>
        <v>0</v>
      </c>
      <c r="AM88" t="str">
        <f>Реестр_План_Факт!AM88</f>
        <v/>
      </c>
      <c r="AN88">
        <f>Реестр_План_Факт!AN88</f>
        <v>0</v>
      </c>
      <c r="AO88">
        <f>Реестр_План_Факт!AO88</f>
        <v>0</v>
      </c>
      <c r="AP88" t="str">
        <f>Реестр_План_Факт!AP88</f>
        <v/>
      </c>
      <c r="AQ88">
        <f>Реестр_План_Факт!AQ88</f>
        <v>0</v>
      </c>
    </row>
    <row r="89" spans="1:43" x14ac:dyDescent="0.2">
      <c r="A89" s="201">
        <f>Реестр_План_Факт!A89</f>
        <v>46110</v>
      </c>
      <c r="B89">
        <f>Реестр_План_Факт!B89</f>
        <v>13</v>
      </c>
      <c r="C89">
        <f>Реестр_План_Факт!C89</f>
        <v>3</v>
      </c>
      <c r="D89">
        <f>Реестр_План_Факт!D89</f>
        <v>0</v>
      </c>
      <c r="E89">
        <f>Реестр_План_Факт!E89</f>
        <v>0</v>
      </c>
      <c r="F89" t="str">
        <f>Реестр_План_Факт!F89</f>
        <v/>
      </c>
      <c r="G89">
        <f>Реестр_План_Факт!G89</f>
        <v>0</v>
      </c>
      <c r="H89">
        <f>Реестр_План_Факт!H89</f>
        <v>0</v>
      </c>
      <c r="I89" t="str">
        <f>Реестр_План_Факт!I89</f>
        <v/>
      </c>
      <c r="J89">
        <f>Реестр_План_Факт!J89</f>
        <v>0</v>
      </c>
      <c r="K89">
        <f>Реестр_План_Факт!K89</f>
        <v>0</v>
      </c>
      <c r="L89" t="str">
        <f>Реестр_План_Факт!L89</f>
        <v/>
      </c>
      <c r="M89">
        <f>Реестр_План_Факт!M89</f>
        <v>0</v>
      </c>
      <c r="N89">
        <f>Реестр_План_Факт!N89</f>
        <v>0</v>
      </c>
      <c r="O89" t="str">
        <f>Реестр_План_Факт!O89</f>
        <v/>
      </c>
      <c r="P89">
        <f>Реестр_План_Факт!P89</f>
        <v>0</v>
      </c>
      <c r="Q89">
        <f>Реестр_План_Факт!Q89</f>
        <v>0</v>
      </c>
      <c r="R89" t="str">
        <f>Реестр_План_Факт!R89</f>
        <v/>
      </c>
      <c r="S89">
        <f>Реестр_План_Факт!S89</f>
        <v>0</v>
      </c>
      <c r="T89">
        <f>Реестр_План_Факт!T89</f>
        <v>0</v>
      </c>
      <c r="U89" t="str">
        <f>Реестр_План_Факт!U89</f>
        <v/>
      </c>
      <c r="V89">
        <f>Реестр_План_Факт!V89</f>
        <v>0</v>
      </c>
      <c r="W89">
        <f>Реестр_План_Факт!W89</f>
        <v>0</v>
      </c>
      <c r="X89" t="str">
        <f>Реестр_План_Факт!X89</f>
        <v/>
      </c>
      <c r="Y89">
        <f>Реестр_План_Факт!Y89</f>
        <v>0</v>
      </c>
      <c r="Z89">
        <f>Реестр_План_Факт!Z89</f>
        <v>0</v>
      </c>
      <c r="AA89" t="str">
        <f>Реестр_План_Факт!AA89</f>
        <v/>
      </c>
      <c r="AB89">
        <f>Реестр_План_Факт!AB89</f>
        <v>0</v>
      </c>
      <c r="AC89">
        <f>Реестр_План_Факт!AC89</f>
        <v>0</v>
      </c>
      <c r="AD89" t="str">
        <f>Реестр_План_Факт!AD89</f>
        <v/>
      </c>
      <c r="AE89">
        <f>Реестр_План_Факт!AE89</f>
        <v>0</v>
      </c>
      <c r="AF89">
        <f>Реестр_План_Факт!AF89</f>
        <v>0</v>
      </c>
      <c r="AG89" t="str">
        <f>Реестр_План_Факт!AG89</f>
        <v/>
      </c>
      <c r="AH89">
        <f>Реестр_План_Факт!AH89</f>
        <v>0</v>
      </c>
      <c r="AI89">
        <f>Реестр_План_Факт!AI89</f>
        <v>0</v>
      </c>
      <c r="AJ89" t="str">
        <f>Реестр_План_Факт!AJ89</f>
        <v/>
      </c>
      <c r="AK89">
        <f>Реестр_План_Факт!AK89</f>
        <v>0</v>
      </c>
      <c r="AL89">
        <f>Реестр_План_Факт!AL89</f>
        <v>0</v>
      </c>
      <c r="AM89" t="str">
        <f>Реестр_План_Факт!AM89</f>
        <v/>
      </c>
      <c r="AN89">
        <f>Реестр_План_Факт!AN89</f>
        <v>0</v>
      </c>
      <c r="AO89">
        <f>Реестр_План_Факт!AO89</f>
        <v>0</v>
      </c>
      <c r="AP89" t="str">
        <f>Реестр_План_Факт!AP89</f>
        <v/>
      </c>
      <c r="AQ89">
        <f>Реестр_План_Факт!AQ89</f>
        <v>0</v>
      </c>
    </row>
    <row r="90" spans="1:43" x14ac:dyDescent="0.2">
      <c r="A90" s="201">
        <f>Реестр_План_Факт!A90</f>
        <v>46111</v>
      </c>
      <c r="B90">
        <f>Реестр_План_Факт!B90</f>
        <v>14</v>
      </c>
      <c r="C90">
        <f>Реестр_План_Факт!C90</f>
        <v>3</v>
      </c>
      <c r="D90">
        <f>Реестр_План_Факт!D90</f>
        <v>0</v>
      </c>
      <c r="E90">
        <f>Реестр_План_Факт!E90</f>
        <v>0</v>
      </c>
      <c r="F90" t="str">
        <f>Реестр_План_Факт!F90</f>
        <v/>
      </c>
      <c r="G90">
        <f>Реестр_План_Факт!G90</f>
        <v>0</v>
      </c>
      <c r="H90">
        <f>Реестр_План_Факт!H90</f>
        <v>0</v>
      </c>
      <c r="I90" t="str">
        <f>Реестр_План_Факт!I90</f>
        <v/>
      </c>
      <c r="J90">
        <f>Реестр_План_Факт!J90</f>
        <v>0</v>
      </c>
      <c r="K90">
        <f>Реестр_План_Факт!K90</f>
        <v>0</v>
      </c>
      <c r="L90" t="str">
        <f>Реестр_План_Факт!L90</f>
        <v/>
      </c>
      <c r="M90">
        <f>Реестр_План_Факт!M90</f>
        <v>0</v>
      </c>
      <c r="N90">
        <f>Реестр_План_Факт!N90</f>
        <v>0</v>
      </c>
      <c r="O90" t="str">
        <f>Реестр_План_Факт!O90</f>
        <v/>
      </c>
      <c r="P90">
        <f>Реестр_План_Факт!P90</f>
        <v>0</v>
      </c>
      <c r="Q90">
        <f>Реестр_План_Факт!Q90</f>
        <v>0</v>
      </c>
      <c r="R90" t="str">
        <f>Реестр_План_Факт!R90</f>
        <v/>
      </c>
      <c r="S90">
        <f>Реестр_План_Факт!S90</f>
        <v>0</v>
      </c>
      <c r="T90">
        <f>Реестр_План_Факт!T90</f>
        <v>0</v>
      </c>
      <c r="U90" t="str">
        <f>Реестр_План_Факт!U90</f>
        <v/>
      </c>
      <c r="V90">
        <f>Реестр_План_Факт!V90</f>
        <v>0</v>
      </c>
      <c r="W90">
        <f>Реестр_План_Факт!W90</f>
        <v>0</v>
      </c>
      <c r="X90" t="str">
        <f>Реестр_План_Факт!X90</f>
        <v/>
      </c>
      <c r="Y90">
        <f>Реестр_План_Факт!Y90</f>
        <v>0</v>
      </c>
      <c r="Z90">
        <f>Реестр_План_Факт!Z90</f>
        <v>0</v>
      </c>
      <c r="AA90" t="str">
        <f>Реестр_План_Факт!AA90</f>
        <v/>
      </c>
      <c r="AB90">
        <f>Реестр_План_Факт!AB90</f>
        <v>0</v>
      </c>
      <c r="AC90">
        <f>Реестр_План_Факт!AC90</f>
        <v>0</v>
      </c>
      <c r="AD90" t="str">
        <f>Реестр_План_Факт!AD90</f>
        <v/>
      </c>
      <c r="AE90">
        <f>Реестр_План_Факт!AE90</f>
        <v>0</v>
      </c>
      <c r="AF90">
        <f>Реестр_План_Факт!AF90</f>
        <v>0</v>
      </c>
      <c r="AG90" t="str">
        <f>Реестр_План_Факт!AG90</f>
        <v/>
      </c>
      <c r="AH90">
        <f>Реестр_План_Факт!AH90</f>
        <v>0</v>
      </c>
      <c r="AI90">
        <f>Реестр_План_Факт!AI90</f>
        <v>0</v>
      </c>
      <c r="AJ90" t="str">
        <f>Реестр_План_Факт!AJ90</f>
        <v/>
      </c>
      <c r="AK90">
        <f>Реестр_План_Факт!AK90</f>
        <v>0</v>
      </c>
      <c r="AL90">
        <f>Реестр_План_Факт!AL90</f>
        <v>0</v>
      </c>
      <c r="AM90" t="str">
        <f>Реестр_План_Факт!AM90</f>
        <v/>
      </c>
      <c r="AN90">
        <f>Реестр_План_Факт!AN90</f>
        <v>0</v>
      </c>
      <c r="AO90">
        <f>Реестр_План_Факт!AO90</f>
        <v>0</v>
      </c>
      <c r="AP90" t="str">
        <f>Реестр_План_Факт!AP90</f>
        <v/>
      </c>
      <c r="AQ90">
        <f>Реестр_План_Факт!AQ90</f>
        <v>0</v>
      </c>
    </row>
    <row r="91" spans="1:43" x14ac:dyDescent="0.2">
      <c r="A91" s="201">
        <f>Реестр_План_Факт!A91</f>
        <v>46112</v>
      </c>
      <c r="B91">
        <f>Реестр_План_Факт!B91</f>
        <v>14</v>
      </c>
      <c r="C91">
        <f>Реестр_План_Факт!C91</f>
        <v>3</v>
      </c>
      <c r="D91">
        <f>Реестр_План_Факт!D91</f>
        <v>0</v>
      </c>
      <c r="E91">
        <f>Реестр_План_Факт!E91</f>
        <v>0</v>
      </c>
      <c r="F91" t="str">
        <f>Реестр_План_Факт!F91</f>
        <v/>
      </c>
      <c r="G91">
        <f>Реестр_План_Факт!G91</f>
        <v>0</v>
      </c>
      <c r="H91">
        <f>Реестр_План_Факт!H91</f>
        <v>0</v>
      </c>
      <c r="I91" t="str">
        <f>Реестр_План_Факт!I91</f>
        <v/>
      </c>
      <c r="J91">
        <f>Реестр_План_Факт!J91</f>
        <v>0</v>
      </c>
      <c r="K91">
        <f>Реестр_План_Факт!K91</f>
        <v>0</v>
      </c>
      <c r="L91" t="str">
        <f>Реестр_План_Факт!L91</f>
        <v/>
      </c>
      <c r="M91">
        <f>Реестр_План_Факт!M91</f>
        <v>0</v>
      </c>
      <c r="N91">
        <f>Реестр_План_Факт!N91</f>
        <v>0</v>
      </c>
      <c r="O91" t="str">
        <f>Реестр_План_Факт!O91</f>
        <v/>
      </c>
      <c r="P91">
        <f>Реестр_План_Факт!P91</f>
        <v>0</v>
      </c>
      <c r="Q91">
        <f>Реестр_План_Факт!Q91</f>
        <v>0</v>
      </c>
      <c r="R91" t="str">
        <f>Реестр_План_Факт!R91</f>
        <v/>
      </c>
      <c r="S91">
        <f>Реестр_План_Факт!S91</f>
        <v>0</v>
      </c>
      <c r="T91">
        <f>Реестр_План_Факт!T91</f>
        <v>0</v>
      </c>
      <c r="U91" t="str">
        <f>Реестр_План_Факт!U91</f>
        <v/>
      </c>
      <c r="V91">
        <f>Реестр_План_Факт!V91</f>
        <v>0</v>
      </c>
      <c r="W91">
        <f>Реестр_План_Факт!W91</f>
        <v>0</v>
      </c>
      <c r="X91" t="str">
        <f>Реестр_План_Факт!X91</f>
        <v/>
      </c>
      <c r="Y91">
        <f>Реестр_План_Факт!Y91</f>
        <v>0</v>
      </c>
      <c r="Z91">
        <f>Реестр_План_Факт!Z91</f>
        <v>0</v>
      </c>
      <c r="AA91" t="str">
        <f>Реестр_План_Факт!AA91</f>
        <v/>
      </c>
      <c r="AB91">
        <f>Реестр_План_Факт!AB91</f>
        <v>0</v>
      </c>
      <c r="AC91">
        <f>Реестр_План_Факт!AC91</f>
        <v>0</v>
      </c>
      <c r="AD91" t="str">
        <f>Реестр_План_Факт!AD91</f>
        <v/>
      </c>
      <c r="AE91">
        <f>Реестр_План_Факт!AE91</f>
        <v>0</v>
      </c>
      <c r="AF91">
        <f>Реестр_План_Факт!AF91</f>
        <v>0</v>
      </c>
      <c r="AG91" t="str">
        <f>Реестр_План_Факт!AG91</f>
        <v/>
      </c>
      <c r="AH91">
        <f>Реестр_План_Факт!AH91</f>
        <v>0</v>
      </c>
      <c r="AI91">
        <f>Реестр_План_Факт!AI91</f>
        <v>0</v>
      </c>
      <c r="AJ91" t="str">
        <f>Реестр_План_Факт!AJ91</f>
        <v/>
      </c>
      <c r="AK91">
        <f>Реестр_План_Факт!AK91</f>
        <v>0</v>
      </c>
      <c r="AL91">
        <f>Реестр_План_Факт!AL91</f>
        <v>0</v>
      </c>
      <c r="AM91" t="str">
        <f>Реестр_План_Факт!AM91</f>
        <v/>
      </c>
      <c r="AN91">
        <f>Реестр_План_Факт!AN91</f>
        <v>0</v>
      </c>
      <c r="AO91">
        <f>Реестр_План_Факт!AO91</f>
        <v>0</v>
      </c>
      <c r="AP91" t="str">
        <f>Реестр_План_Факт!AP91</f>
        <v/>
      </c>
      <c r="AQ91">
        <f>Реестр_План_Факт!AQ91</f>
        <v>0</v>
      </c>
    </row>
    <row r="92" spans="1:43" x14ac:dyDescent="0.2">
      <c r="A92" s="201">
        <f>Реестр_План_Факт!A92</f>
        <v>46113</v>
      </c>
      <c r="B92">
        <f>Реестр_План_Факт!B92</f>
        <v>14</v>
      </c>
      <c r="C92">
        <f>Реестр_План_Факт!C92</f>
        <v>4</v>
      </c>
      <c r="D92">
        <f>Реестр_План_Факт!D92</f>
        <v>0</v>
      </c>
      <c r="E92">
        <f>Реестр_План_Факт!E92</f>
        <v>0</v>
      </c>
      <c r="F92" t="str">
        <f>Реестр_План_Факт!F92</f>
        <v/>
      </c>
      <c r="G92">
        <f>Реестр_План_Факт!G92</f>
        <v>0</v>
      </c>
      <c r="H92">
        <f>Реестр_План_Факт!H92</f>
        <v>0</v>
      </c>
      <c r="I92" t="str">
        <f>Реестр_План_Факт!I92</f>
        <v/>
      </c>
      <c r="J92">
        <f>Реестр_План_Факт!J92</f>
        <v>0</v>
      </c>
      <c r="K92">
        <f>Реестр_План_Факт!K92</f>
        <v>0</v>
      </c>
      <c r="L92" t="str">
        <f>Реестр_План_Факт!L92</f>
        <v/>
      </c>
      <c r="M92">
        <f>Реестр_План_Факт!M92</f>
        <v>0</v>
      </c>
      <c r="N92">
        <f>Реестр_План_Факт!N92</f>
        <v>0</v>
      </c>
      <c r="O92" t="str">
        <f>Реестр_План_Факт!O92</f>
        <v/>
      </c>
      <c r="P92">
        <f>Реестр_План_Факт!P92</f>
        <v>0</v>
      </c>
      <c r="Q92">
        <f>Реестр_План_Факт!Q92</f>
        <v>0</v>
      </c>
      <c r="R92" t="str">
        <f>Реестр_План_Факт!R92</f>
        <v/>
      </c>
      <c r="S92">
        <f>Реестр_План_Факт!S92</f>
        <v>0</v>
      </c>
      <c r="T92">
        <f>Реестр_План_Факт!T92</f>
        <v>0</v>
      </c>
      <c r="U92" t="str">
        <f>Реестр_План_Факт!U92</f>
        <v/>
      </c>
      <c r="V92">
        <f>Реестр_План_Факт!V92</f>
        <v>0</v>
      </c>
      <c r="W92">
        <f>Реестр_План_Факт!W92</f>
        <v>0</v>
      </c>
      <c r="X92" t="str">
        <f>Реестр_План_Факт!X92</f>
        <v/>
      </c>
      <c r="Y92">
        <f>Реестр_План_Факт!Y92</f>
        <v>0</v>
      </c>
      <c r="Z92">
        <f>Реестр_План_Факт!Z92</f>
        <v>0</v>
      </c>
      <c r="AA92" t="str">
        <f>Реестр_План_Факт!AA92</f>
        <v/>
      </c>
      <c r="AB92">
        <f>Реестр_План_Факт!AB92</f>
        <v>0</v>
      </c>
      <c r="AC92">
        <f>Реестр_План_Факт!AC92</f>
        <v>0</v>
      </c>
      <c r="AD92" t="str">
        <f>Реестр_План_Факт!AD92</f>
        <v/>
      </c>
      <c r="AE92">
        <f>Реестр_План_Факт!AE92</f>
        <v>0</v>
      </c>
      <c r="AF92">
        <f>Реестр_План_Факт!AF92</f>
        <v>0</v>
      </c>
      <c r="AG92" t="str">
        <f>Реестр_План_Факт!AG92</f>
        <v/>
      </c>
      <c r="AH92">
        <f>Реестр_План_Факт!AH92</f>
        <v>0</v>
      </c>
      <c r="AI92">
        <f>Реестр_План_Факт!AI92</f>
        <v>0</v>
      </c>
      <c r="AJ92" t="str">
        <f>Реестр_План_Факт!AJ92</f>
        <v/>
      </c>
      <c r="AK92">
        <f>Реестр_План_Факт!AK92</f>
        <v>0</v>
      </c>
      <c r="AL92">
        <f>Реестр_План_Факт!AL92</f>
        <v>0</v>
      </c>
      <c r="AM92" t="str">
        <f>Реестр_План_Факт!AM92</f>
        <v/>
      </c>
      <c r="AN92">
        <f>Реестр_План_Факт!AN92</f>
        <v>0</v>
      </c>
      <c r="AO92">
        <f>Реестр_План_Факт!AO92</f>
        <v>0</v>
      </c>
      <c r="AP92" t="str">
        <f>Реестр_План_Факт!AP92</f>
        <v/>
      </c>
      <c r="AQ92">
        <f>Реестр_План_Факт!AQ92</f>
        <v>0</v>
      </c>
    </row>
    <row r="93" spans="1:43" x14ac:dyDescent="0.2">
      <c r="A93" s="201">
        <f>Реестр_План_Факт!A93</f>
        <v>46114</v>
      </c>
      <c r="B93">
        <f>Реестр_План_Факт!B93</f>
        <v>14</v>
      </c>
      <c r="C93">
        <f>Реестр_План_Факт!C93</f>
        <v>4</v>
      </c>
      <c r="D93">
        <f>Реестр_План_Факт!D93</f>
        <v>0</v>
      </c>
      <c r="E93">
        <f>Реестр_План_Факт!E93</f>
        <v>0</v>
      </c>
      <c r="F93" t="str">
        <f>Реестр_План_Факт!F93</f>
        <v/>
      </c>
      <c r="G93">
        <f>Реестр_План_Факт!G93</f>
        <v>0</v>
      </c>
      <c r="H93">
        <f>Реестр_План_Факт!H93</f>
        <v>0</v>
      </c>
      <c r="I93" t="str">
        <f>Реестр_План_Факт!I93</f>
        <v/>
      </c>
      <c r="J93">
        <f>Реестр_План_Факт!J93</f>
        <v>0</v>
      </c>
      <c r="K93">
        <f>Реестр_План_Факт!K93</f>
        <v>0</v>
      </c>
      <c r="L93" t="str">
        <f>Реестр_План_Факт!L93</f>
        <v/>
      </c>
      <c r="M93">
        <f>Реестр_План_Факт!M93</f>
        <v>0</v>
      </c>
      <c r="N93">
        <f>Реестр_План_Факт!N93</f>
        <v>0</v>
      </c>
      <c r="O93" t="str">
        <f>Реестр_План_Факт!O93</f>
        <v/>
      </c>
      <c r="P93">
        <f>Реестр_План_Факт!P93</f>
        <v>0</v>
      </c>
      <c r="Q93">
        <f>Реестр_План_Факт!Q93</f>
        <v>0</v>
      </c>
      <c r="R93" t="str">
        <f>Реестр_План_Факт!R93</f>
        <v/>
      </c>
      <c r="S93">
        <f>Реестр_План_Факт!S93</f>
        <v>0</v>
      </c>
      <c r="T93">
        <f>Реестр_План_Факт!T93</f>
        <v>0</v>
      </c>
      <c r="U93" t="str">
        <f>Реестр_План_Факт!U93</f>
        <v/>
      </c>
      <c r="V93">
        <f>Реестр_План_Факт!V93</f>
        <v>0</v>
      </c>
      <c r="W93">
        <f>Реестр_План_Факт!W93</f>
        <v>0</v>
      </c>
      <c r="X93" t="str">
        <f>Реестр_План_Факт!X93</f>
        <v/>
      </c>
      <c r="Y93">
        <f>Реестр_План_Факт!Y93</f>
        <v>0</v>
      </c>
      <c r="Z93">
        <f>Реестр_План_Факт!Z93</f>
        <v>0</v>
      </c>
      <c r="AA93" t="str">
        <f>Реестр_План_Факт!AA93</f>
        <v/>
      </c>
      <c r="AB93">
        <f>Реестр_План_Факт!AB93</f>
        <v>0</v>
      </c>
      <c r="AC93">
        <f>Реестр_План_Факт!AC93</f>
        <v>0</v>
      </c>
      <c r="AD93" t="str">
        <f>Реестр_План_Факт!AD93</f>
        <v/>
      </c>
      <c r="AE93">
        <f>Реестр_План_Факт!AE93</f>
        <v>0</v>
      </c>
      <c r="AF93">
        <f>Реестр_План_Факт!AF93</f>
        <v>0</v>
      </c>
      <c r="AG93" t="str">
        <f>Реестр_План_Факт!AG93</f>
        <v/>
      </c>
      <c r="AH93">
        <f>Реестр_План_Факт!AH93</f>
        <v>0</v>
      </c>
      <c r="AI93">
        <f>Реестр_План_Факт!AI93</f>
        <v>0</v>
      </c>
      <c r="AJ93" t="str">
        <f>Реестр_План_Факт!AJ93</f>
        <v/>
      </c>
      <c r="AK93">
        <f>Реестр_План_Факт!AK93</f>
        <v>0</v>
      </c>
      <c r="AL93">
        <f>Реестр_План_Факт!AL93</f>
        <v>0</v>
      </c>
      <c r="AM93" t="str">
        <f>Реестр_План_Факт!AM93</f>
        <v/>
      </c>
      <c r="AN93">
        <f>Реестр_План_Факт!AN93</f>
        <v>0</v>
      </c>
      <c r="AO93">
        <f>Реестр_План_Факт!AO93</f>
        <v>0</v>
      </c>
      <c r="AP93" t="str">
        <f>Реестр_План_Факт!AP93</f>
        <v/>
      </c>
      <c r="AQ93">
        <f>Реестр_План_Факт!AQ93</f>
        <v>0</v>
      </c>
    </row>
    <row r="94" spans="1:43" x14ac:dyDescent="0.2">
      <c r="A94" s="201">
        <f>Реестр_План_Факт!A94</f>
        <v>46115</v>
      </c>
      <c r="B94">
        <f>Реестр_План_Факт!B94</f>
        <v>14</v>
      </c>
      <c r="C94">
        <f>Реестр_План_Факт!C94</f>
        <v>4</v>
      </c>
      <c r="D94">
        <f>Реестр_План_Факт!D94</f>
        <v>0</v>
      </c>
      <c r="E94">
        <f>Реестр_План_Факт!E94</f>
        <v>0</v>
      </c>
      <c r="F94" t="str">
        <f>Реестр_План_Факт!F94</f>
        <v/>
      </c>
      <c r="G94">
        <f>Реестр_План_Факт!G94</f>
        <v>0</v>
      </c>
      <c r="H94">
        <f>Реестр_План_Факт!H94</f>
        <v>0</v>
      </c>
      <c r="I94" t="str">
        <f>Реестр_План_Факт!I94</f>
        <v/>
      </c>
      <c r="J94">
        <f>Реестр_План_Факт!J94</f>
        <v>0</v>
      </c>
      <c r="K94">
        <f>Реестр_План_Факт!K94</f>
        <v>0</v>
      </c>
      <c r="L94" t="str">
        <f>Реестр_План_Факт!L94</f>
        <v/>
      </c>
      <c r="M94">
        <f>Реестр_План_Факт!M94</f>
        <v>0</v>
      </c>
      <c r="N94">
        <f>Реестр_План_Факт!N94</f>
        <v>0</v>
      </c>
      <c r="O94" t="str">
        <f>Реестр_План_Факт!O94</f>
        <v/>
      </c>
      <c r="P94">
        <f>Реестр_План_Факт!P94</f>
        <v>0</v>
      </c>
      <c r="Q94">
        <f>Реестр_План_Факт!Q94</f>
        <v>0</v>
      </c>
      <c r="R94" t="str">
        <f>Реестр_План_Факт!R94</f>
        <v/>
      </c>
      <c r="S94">
        <f>Реестр_План_Факт!S94</f>
        <v>0</v>
      </c>
      <c r="T94">
        <f>Реестр_План_Факт!T94</f>
        <v>0</v>
      </c>
      <c r="U94" t="str">
        <f>Реестр_План_Факт!U94</f>
        <v/>
      </c>
      <c r="V94">
        <f>Реестр_План_Факт!V94</f>
        <v>0</v>
      </c>
      <c r="W94">
        <f>Реестр_План_Факт!W94</f>
        <v>0</v>
      </c>
      <c r="X94" t="str">
        <f>Реестр_План_Факт!X94</f>
        <v/>
      </c>
      <c r="Y94">
        <f>Реестр_План_Факт!Y94</f>
        <v>0</v>
      </c>
      <c r="Z94">
        <f>Реестр_План_Факт!Z94</f>
        <v>0</v>
      </c>
      <c r="AA94" t="str">
        <f>Реестр_План_Факт!AA94</f>
        <v/>
      </c>
      <c r="AB94">
        <f>Реестр_План_Факт!AB94</f>
        <v>0</v>
      </c>
      <c r="AC94">
        <f>Реестр_План_Факт!AC94</f>
        <v>0</v>
      </c>
      <c r="AD94" t="str">
        <f>Реестр_План_Факт!AD94</f>
        <v/>
      </c>
      <c r="AE94">
        <f>Реестр_План_Факт!AE94</f>
        <v>0</v>
      </c>
      <c r="AF94">
        <f>Реестр_План_Факт!AF94</f>
        <v>0</v>
      </c>
      <c r="AG94" t="str">
        <f>Реестр_План_Факт!AG94</f>
        <v/>
      </c>
      <c r="AH94">
        <f>Реестр_План_Факт!AH94</f>
        <v>0</v>
      </c>
      <c r="AI94">
        <f>Реестр_План_Факт!AI94</f>
        <v>0</v>
      </c>
      <c r="AJ94" t="str">
        <f>Реестр_План_Факт!AJ94</f>
        <v/>
      </c>
      <c r="AK94">
        <f>Реестр_План_Факт!AK94</f>
        <v>0</v>
      </c>
      <c r="AL94">
        <f>Реестр_План_Факт!AL94</f>
        <v>0</v>
      </c>
      <c r="AM94" t="str">
        <f>Реестр_План_Факт!AM94</f>
        <v/>
      </c>
      <c r="AN94">
        <f>Реестр_План_Факт!AN94</f>
        <v>0</v>
      </c>
      <c r="AO94">
        <f>Реестр_План_Факт!AO94</f>
        <v>0</v>
      </c>
      <c r="AP94" t="str">
        <f>Реестр_План_Факт!AP94</f>
        <v/>
      </c>
      <c r="AQ94">
        <f>Реестр_План_Факт!AQ94</f>
        <v>0</v>
      </c>
    </row>
    <row r="95" spans="1:43" x14ac:dyDescent="0.2">
      <c r="A95" s="201">
        <f>Реестр_План_Факт!A95</f>
        <v>46116</v>
      </c>
      <c r="B95">
        <f>Реестр_План_Факт!B95</f>
        <v>14</v>
      </c>
      <c r="C95">
        <f>Реестр_План_Факт!C95</f>
        <v>4</v>
      </c>
      <c r="D95">
        <f>Реестр_План_Факт!D95</f>
        <v>0</v>
      </c>
      <c r="E95">
        <f>Реестр_План_Факт!E95</f>
        <v>0</v>
      </c>
      <c r="F95" t="str">
        <f>Реестр_План_Факт!F95</f>
        <v/>
      </c>
      <c r="G95">
        <f>Реестр_План_Факт!G95</f>
        <v>0</v>
      </c>
      <c r="H95">
        <f>Реестр_План_Факт!H95</f>
        <v>0</v>
      </c>
      <c r="I95" t="str">
        <f>Реестр_План_Факт!I95</f>
        <v/>
      </c>
      <c r="J95">
        <f>Реестр_План_Факт!J95</f>
        <v>0</v>
      </c>
      <c r="K95">
        <f>Реестр_План_Факт!K95</f>
        <v>0</v>
      </c>
      <c r="L95" t="str">
        <f>Реестр_План_Факт!L95</f>
        <v/>
      </c>
      <c r="M95">
        <f>Реестр_План_Факт!M95</f>
        <v>0</v>
      </c>
      <c r="N95">
        <f>Реестр_План_Факт!N95</f>
        <v>0</v>
      </c>
      <c r="O95" t="str">
        <f>Реестр_План_Факт!O95</f>
        <v/>
      </c>
      <c r="P95">
        <f>Реестр_План_Факт!P95</f>
        <v>0</v>
      </c>
      <c r="Q95">
        <f>Реестр_План_Факт!Q95</f>
        <v>0</v>
      </c>
      <c r="R95" t="str">
        <f>Реестр_План_Факт!R95</f>
        <v/>
      </c>
      <c r="S95">
        <f>Реестр_План_Факт!S95</f>
        <v>0</v>
      </c>
      <c r="T95">
        <f>Реестр_План_Факт!T95</f>
        <v>0</v>
      </c>
      <c r="U95" t="str">
        <f>Реестр_План_Факт!U95</f>
        <v/>
      </c>
      <c r="V95">
        <f>Реестр_План_Факт!V95</f>
        <v>0</v>
      </c>
      <c r="W95">
        <f>Реестр_План_Факт!W95</f>
        <v>0</v>
      </c>
      <c r="X95" t="str">
        <f>Реестр_План_Факт!X95</f>
        <v/>
      </c>
      <c r="Y95">
        <f>Реестр_План_Факт!Y95</f>
        <v>0</v>
      </c>
      <c r="Z95">
        <f>Реестр_План_Факт!Z95</f>
        <v>0</v>
      </c>
      <c r="AA95" t="str">
        <f>Реестр_План_Факт!AA95</f>
        <v/>
      </c>
      <c r="AB95">
        <f>Реестр_План_Факт!AB95</f>
        <v>0</v>
      </c>
      <c r="AC95">
        <f>Реестр_План_Факт!AC95</f>
        <v>0</v>
      </c>
      <c r="AD95" t="str">
        <f>Реестр_План_Факт!AD95</f>
        <v/>
      </c>
      <c r="AE95">
        <f>Реестр_План_Факт!AE95</f>
        <v>0</v>
      </c>
      <c r="AF95">
        <f>Реестр_План_Факт!AF95</f>
        <v>0</v>
      </c>
      <c r="AG95" t="str">
        <f>Реестр_План_Факт!AG95</f>
        <v/>
      </c>
      <c r="AH95">
        <f>Реестр_План_Факт!AH95</f>
        <v>0</v>
      </c>
      <c r="AI95">
        <f>Реестр_План_Факт!AI95</f>
        <v>0</v>
      </c>
      <c r="AJ95" t="str">
        <f>Реестр_План_Факт!AJ95</f>
        <v/>
      </c>
      <c r="AK95">
        <f>Реестр_План_Факт!AK95</f>
        <v>0</v>
      </c>
      <c r="AL95">
        <f>Реестр_План_Факт!AL95</f>
        <v>0</v>
      </c>
      <c r="AM95" t="str">
        <f>Реестр_План_Факт!AM95</f>
        <v/>
      </c>
      <c r="AN95">
        <f>Реестр_План_Факт!AN95</f>
        <v>0</v>
      </c>
      <c r="AO95">
        <f>Реестр_План_Факт!AO95</f>
        <v>0</v>
      </c>
      <c r="AP95" t="str">
        <f>Реестр_План_Факт!AP95</f>
        <v/>
      </c>
      <c r="AQ95">
        <f>Реестр_План_Факт!AQ95</f>
        <v>0</v>
      </c>
    </row>
    <row r="96" spans="1:43" x14ac:dyDescent="0.2">
      <c r="A96" s="201">
        <f>Реестр_План_Факт!A96</f>
        <v>46117</v>
      </c>
      <c r="B96">
        <f>Реестр_План_Факт!B96</f>
        <v>14</v>
      </c>
      <c r="C96">
        <f>Реестр_План_Факт!C96</f>
        <v>4</v>
      </c>
      <c r="D96">
        <f>Реестр_План_Факт!D96</f>
        <v>0</v>
      </c>
      <c r="E96">
        <f>Реестр_План_Факт!E96</f>
        <v>0</v>
      </c>
      <c r="F96" t="str">
        <f>Реестр_План_Факт!F96</f>
        <v/>
      </c>
      <c r="G96">
        <f>Реестр_План_Факт!G96</f>
        <v>0</v>
      </c>
      <c r="H96">
        <f>Реестр_План_Факт!H96</f>
        <v>0</v>
      </c>
      <c r="I96" t="str">
        <f>Реестр_План_Факт!I96</f>
        <v/>
      </c>
      <c r="J96">
        <f>Реестр_План_Факт!J96</f>
        <v>0</v>
      </c>
      <c r="K96">
        <f>Реестр_План_Факт!K96</f>
        <v>0</v>
      </c>
      <c r="L96" t="str">
        <f>Реестр_План_Факт!L96</f>
        <v/>
      </c>
      <c r="M96">
        <f>Реестр_План_Факт!M96</f>
        <v>0</v>
      </c>
      <c r="N96">
        <f>Реестр_План_Факт!N96</f>
        <v>0</v>
      </c>
      <c r="O96" t="str">
        <f>Реестр_План_Факт!O96</f>
        <v/>
      </c>
      <c r="P96">
        <f>Реестр_План_Факт!P96</f>
        <v>0</v>
      </c>
      <c r="Q96">
        <f>Реестр_План_Факт!Q96</f>
        <v>0</v>
      </c>
      <c r="R96" t="str">
        <f>Реестр_План_Факт!R96</f>
        <v/>
      </c>
      <c r="S96">
        <f>Реестр_План_Факт!S96</f>
        <v>0</v>
      </c>
      <c r="T96">
        <f>Реестр_План_Факт!T96</f>
        <v>0</v>
      </c>
      <c r="U96" t="str">
        <f>Реестр_План_Факт!U96</f>
        <v/>
      </c>
      <c r="V96">
        <f>Реестр_План_Факт!V96</f>
        <v>0</v>
      </c>
      <c r="W96">
        <f>Реестр_План_Факт!W96</f>
        <v>0</v>
      </c>
      <c r="X96" t="str">
        <f>Реестр_План_Факт!X96</f>
        <v/>
      </c>
      <c r="Y96">
        <f>Реестр_План_Факт!Y96</f>
        <v>0</v>
      </c>
      <c r="Z96">
        <f>Реестр_План_Факт!Z96</f>
        <v>0</v>
      </c>
      <c r="AA96" t="str">
        <f>Реестр_План_Факт!AA96</f>
        <v/>
      </c>
      <c r="AB96">
        <f>Реестр_План_Факт!AB96</f>
        <v>0</v>
      </c>
      <c r="AC96">
        <f>Реестр_План_Факт!AC96</f>
        <v>0</v>
      </c>
      <c r="AD96" t="str">
        <f>Реестр_План_Факт!AD96</f>
        <v/>
      </c>
      <c r="AE96">
        <f>Реестр_План_Факт!AE96</f>
        <v>0</v>
      </c>
      <c r="AF96">
        <f>Реестр_План_Факт!AF96</f>
        <v>0</v>
      </c>
      <c r="AG96" t="str">
        <f>Реестр_План_Факт!AG96</f>
        <v/>
      </c>
      <c r="AH96">
        <f>Реестр_План_Факт!AH96</f>
        <v>0</v>
      </c>
      <c r="AI96">
        <f>Реестр_План_Факт!AI96</f>
        <v>0</v>
      </c>
      <c r="AJ96" t="str">
        <f>Реестр_План_Факт!AJ96</f>
        <v/>
      </c>
      <c r="AK96">
        <f>Реестр_План_Факт!AK96</f>
        <v>0</v>
      </c>
      <c r="AL96">
        <f>Реестр_План_Факт!AL96</f>
        <v>0</v>
      </c>
      <c r="AM96" t="str">
        <f>Реестр_План_Факт!AM96</f>
        <v/>
      </c>
      <c r="AN96">
        <f>Реестр_План_Факт!AN96</f>
        <v>0</v>
      </c>
      <c r="AO96">
        <f>Реестр_План_Факт!AO96</f>
        <v>0</v>
      </c>
      <c r="AP96" t="str">
        <f>Реестр_План_Факт!AP96</f>
        <v/>
      </c>
      <c r="AQ96">
        <f>Реестр_План_Факт!AQ96</f>
        <v>0</v>
      </c>
    </row>
    <row r="97" spans="1:43" x14ac:dyDescent="0.2">
      <c r="A97" s="201">
        <f>Реестр_План_Факт!A97</f>
        <v>46118</v>
      </c>
      <c r="B97">
        <f>Реестр_План_Факт!B97</f>
        <v>15</v>
      </c>
      <c r="C97">
        <f>Реестр_План_Факт!C97</f>
        <v>4</v>
      </c>
      <c r="D97">
        <f>Реестр_План_Факт!D97</f>
        <v>0</v>
      </c>
      <c r="E97">
        <f>Реестр_План_Факт!E97</f>
        <v>0</v>
      </c>
      <c r="F97" t="str">
        <f>Реестр_План_Факт!F97</f>
        <v/>
      </c>
      <c r="G97">
        <f>Реестр_План_Факт!G97</f>
        <v>0</v>
      </c>
      <c r="H97">
        <f>Реестр_План_Факт!H97</f>
        <v>0</v>
      </c>
      <c r="I97" t="str">
        <f>Реестр_План_Факт!I97</f>
        <v/>
      </c>
      <c r="J97">
        <f>Реестр_План_Факт!J97</f>
        <v>0</v>
      </c>
      <c r="K97">
        <f>Реестр_План_Факт!K97</f>
        <v>0</v>
      </c>
      <c r="L97" t="str">
        <f>Реестр_План_Факт!L97</f>
        <v/>
      </c>
      <c r="M97">
        <f>Реестр_План_Факт!M97</f>
        <v>0</v>
      </c>
      <c r="N97">
        <f>Реестр_План_Факт!N97</f>
        <v>0</v>
      </c>
      <c r="O97" t="str">
        <f>Реестр_План_Факт!O97</f>
        <v/>
      </c>
      <c r="P97">
        <f>Реестр_План_Факт!P97</f>
        <v>0</v>
      </c>
      <c r="Q97">
        <f>Реестр_План_Факт!Q97</f>
        <v>0</v>
      </c>
      <c r="R97" t="str">
        <f>Реестр_План_Факт!R97</f>
        <v/>
      </c>
      <c r="S97">
        <f>Реестр_План_Факт!S97</f>
        <v>0</v>
      </c>
      <c r="T97">
        <f>Реестр_План_Факт!T97</f>
        <v>0</v>
      </c>
      <c r="U97" t="str">
        <f>Реестр_План_Факт!U97</f>
        <v/>
      </c>
      <c r="V97">
        <f>Реестр_План_Факт!V97</f>
        <v>0</v>
      </c>
      <c r="W97">
        <f>Реестр_План_Факт!W97</f>
        <v>0</v>
      </c>
      <c r="X97" t="str">
        <f>Реестр_План_Факт!X97</f>
        <v/>
      </c>
      <c r="Y97">
        <f>Реестр_План_Факт!Y97</f>
        <v>0</v>
      </c>
      <c r="Z97">
        <f>Реестр_План_Факт!Z97</f>
        <v>0</v>
      </c>
      <c r="AA97" t="str">
        <f>Реестр_План_Факт!AA97</f>
        <v/>
      </c>
      <c r="AB97">
        <f>Реестр_План_Факт!AB97</f>
        <v>0</v>
      </c>
      <c r="AC97">
        <f>Реестр_План_Факт!AC97</f>
        <v>0</v>
      </c>
      <c r="AD97" t="str">
        <f>Реестр_План_Факт!AD97</f>
        <v/>
      </c>
      <c r="AE97">
        <f>Реестр_План_Факт!AE97</f>
        <v>0</v>
      </c>
      <c r="AF97">
        <f>Реестр_План_Факт!AF97</f>
        <v>0</v>
      </c>
      <c r="AG97" t="str">
        <f>Реестр_План_Факт!AG97</f>
        <v/>
      </c>
      <c r="AH97">
        <f>Реестр_План_Факт!AH97</f>
        <v>0</v>
      </c>
      <c r="AI97">
        <f>Реестр_План_Факт!AI97</f>
        <v>0</v>
      </c>
      <c r="AJ97" t="str">
        <f>Реестр_План_Факт!AJ97</f>
        <v/>
      </c>
      <c r="AK97">
        <f>Реестр_План_Факт!AK97</f>
        <v>0</v>
      </c>
      <c r="AL97">
        <f>Реестр_План_Факт!AL97</f>
        <v>0</v>
      </c>
      <c r="AM97" t="str">
        <f>Реестр_План_Факт!AM97</f>
        <v/>
      </c>
      <c r="AN97">
        <f>Реестр_План_Факт!AN97</f>
        <v>0</v>
      </c>
      <c r="AO97">
        <f>Реестр_План_Факт!AO97</f>
        <v>0</v>
      </c>
      <c r="AP97" t="str">
        <f>Реестр_План_Факт!AP97</f>
        <v/>
      </c>
      <c r="AQ97">
        <f>Реестр_План_Факт!AQ97</f>
        <v>0</v>
      </c>
    </row>
    <row r="98" spans="1:43" x14ac:dyDescent="0.2">
      <c r="A98" s="201">
        <f>Реестр_План_Факт!A98</f>
        <v>46119</v>
      </c>
      <c r="B98">
        <f>Реестр_План_Факт!B98</f>
        <v>15</v>
      </c>
      <c r="C98">
        <f>Реестр_План_Факт!C98</f>
        <v>4</v>
      </c>
      <c r="D98">
        <f>Реестр_План_Факт!D98</f>
        <v>0</v>
      </c>
      <c r="E98">
        <f>Реестр_План_Факт!E98</f>
        <v>0</v>
      </c>
      <c r="F98" t="str">
        <f>Реестр_План_Факт!F98</f>
        <v/>
      </c>
      <c r="G98">
        <f>Реестр_План_Факт!G98</f>
        <v>0</v>
      </c>
      <c r="H98">
        <f>Реестр_План_Факт!H98</f>
        <v>0</v>
      </c>
      <c r="I98" t="str">
        <f>Реестр_План_Факт!I98</f>
        <v/>
      </c>
      <c r="J98">
        <f>Реестр_План_Факт!J98</f>
        <v>0</v>
      </c>
      <c r="K98">
        <f>Реестр_План_Факт!K98</f>
        <v>0</v>
      </c>
      <c r="L98" t="str">
        <f>Реестр_План_Факт!L98</f>
        <v/>
      </c>
      <c r="M98">
        <f>Реестр_План_Факт!M98</f>
        <v>0</v>
      </c>
      <c r="N98">
        <f>Реестр_План_Факт!N98</f>
        <v>0</v>
      </c>
      <c r="O98" t="str">
        <f>Реестр_План_Факт!O98</f>
        <v/>
      </c>
      <c r="P98">
        <f>Реестр_План_Факт!P98</f>
        <v>0</v>
      </c>
      <c r="Q98">
        <f>Реестр_План_Факт!Q98</f>
        <v>0</v>
      </c>
      <c r="R98" t="str">
        <f>Реестр_План_Факт!R98</f>
        <v/>
      </c>
      <c r="S98">
        <f>Реестр_План_Факт!S98</f>
        <v>0</v>
      </c>
      <c r="T98">
        <f>Реестр_План_Факт!T98</f>
        <v>0</v>
      </c>
      <c r="U98" t="str">
        <f>Реестр_План_Факт!U98</f>
        <v/>
      </c>
      <c r="V98">
        <f>Реестр_План_Факт!V98</f>
        <v>0</v>
      </c>
      <c r="W98">
        <f>Реестр_План_Факт!W98</f>
        <v>0</v>
      </c>
      <c r="X98" t="str">
        <f>Реестр_План_Факт!X98</f>
        <v/>
      </c>
      <c r="Y98">
        <f>Реестр_План_Факт!Y98</f>
        <v>0</v>
      </c>
      <c r="Z98">
        <f>Реестр_План_Факт!Z98</f>
        <v>0</v>
      </c>
      <c r="AA98" t="str">
        <f>Реестр_План_Факт!AA98</f>
        <v/>
      </c>
      <c r="AB98">
        <f>Реестр_План_Факт!AB98</f>
        <v>0</v>
      </c>
      <c r="AC98">
        <f>Реестр_План_Факт!AC98</f>
        <v>0</v>
      </c>
      <c r="AD98" t="str">
        <f>Реестр_План_Факт!AD98</f>
        <v/>
      </c>
      <c r="AE98">
        <f>Реестр_План_Факт!AE98</f>
        <v>0</v>
      </c>
      <c r="AF98">
        <f>Реестр_План_Факт!AF98</f>
        <v>0</v>
      </c>
      <c r="AG98" t="str">
        <f>Реестр_План_Факт!AG98</f>
        <v/>
      </c>
      <c r="AH98">
        <f>Реестр_План_Факт!AH98</f>
        <v>0</v>
      </c>
      <c r="AI98">
        <f>Реестр_План_Факт!AI98</f>
        <v>0</v>
      </c>
      <c r="AJ98" t="str">
        <f>Реестр_План_Факт!AJ98</f>
        <v/>
      </c>
      <c r="AK98">
        <f>Реестр_План_Факт!AK98</f>
        <v>0</v>
      </c>
      <c r="AL98">
        <f>Реестр_План_Факт!AL98</f>
        <v>0</v>
      </c>
      <c r="AM98" t="str">
        <f>Реестр_План_Факт!AM98</f>
        <v/>
      </c>
      <c r="AN98">
        <f>Реестр_План_Факт!AN98</f>
        <v>0</v>
      </c>
      <c r="AO98">
        <f>Реестр_План_Факт!AO98</f>
        <v>0</v>
      </c>
      <c r="AP98" t="str">
        <f>Реестр_План_Факт!AP98</f>
        <v/>
      </c>
      <c r="AQ98">
        <f>Реестр_План_Факт!AQ98</f>
        <v>0</v>
      </c>
    </row>
    <row r="99" spans="1:43" x14ac:dyDescent="0.2">
      <c r="A99" s="201">
        <f>Реестр_План_Факт!A99</f>
        <v>46120</v>
      </c>
      <c r="B99">
        <f>Реестр_План_Факт!B99</f>
        <v>15</v>
      </c>
      <c r="C99">
        <f>Реестр_План_Факт!C99</f>
        <v>4</v>
      </c>
      <c r="D99">
        <f>Реестр_План_Факт!D99</f>
        <v>0</v>
      </c>
      <c r="E99">
        <f>Реестр_План_Факт!E99</f>
        <v>0</v>
      </c>
      <c r="F99" t="str">
        <f>Реестр_План_Факт!F99</f>
        <v/>
      </c>
      <c r="G99">
        <f>Реестр_План_Факт!G99</f>
        <v>0</v>
      </c>
      <c r="H99">
        <f>Реестр_План_Факт!H99</f>
        <v>0</v>
      </c>
      <c r="I99" t="str">
        <f>Реестр_План_Факт!I99</f>
        <v/>
      </c>
      <c r="J99">
        <f>Реестр_План_Факт!J99</f>
        <v>0</v>
      </c>
      <c r="K99">
        <f>Реестр_План_Факт!K99</f>
        <v>0</v>
      </c>
      <c r="L99" t="str">
        <f>Реестр_План_Факт!L99</f>
        <v/>
      </c>
      <c r="M99">
        <f>Реестр_План_Факт!M99</f>
        <v>0</v>
      </c>
      <c r="N99">
        <f>Реестр_План_Факт!N99</f>
        <v>0</v>
      </c>
      <c r="O99" t="str">
        <f>Реестр_План_Факт!O99</f>
        <v/>
      </c>
      <c r="P99">
        <f>Реестр_План_Факт!P99</f>
        <v>0</v>
      </c>
      <c r="Q99">
        <f>Реестр_План_Факт!Q99</f>
        <v>0</v>
      </c>
      <c r="R99" t="str">
        <f>Реестр_План_Факт!R99</f>
        <v/>
      </c>
      <c r="S99">
        <f>Реестр_План_Факт!S99</f>
        <v>0</v>
      </c>
      <c r="T99">
        <f>Реестр_План_Факт!T99</f>
        <v>0</v>
      </c>
      <c r="U99" t="str">
        <f>Реестр_План_Факт!U99</f>
        <v/>
      </c>
      <c r="V99">
        <f>Реестр_План_Факт!V99</f>
        <v>0</v>
      </c>
      <c r="W99">
        <f>Реестр_План_Факт!W99</f>
        <v>0</v>
      </c>
      <c r="X99" t="str">
        <f>Реестр_План_Факт!X99</f>
        <v/>
      </c>
      <c r="Y99">
        <f>Реестр_План_Факт!Y99</f>
        <v>0</v>
      </c>
      <c r="Z99">
        <f>Реестр_План_Факт!Z99</f>
        <v>0</v>
      </c>
      <c r="AA99" t="str">
        <f>Реестр_План_Факт!AA99</f>
        <v/>
      </c>
      <c r="AB99">
        <f>Реестр_План_Факт!AB99</f>
        <v>0</v>
      </c>
      <c r="AC99">
        <f>Реестр_План_Факт!AC99</f>
        <v>0</v>
      </c>
      <c r="AD99" t="str">
        <f>Реестр_План_Факт!AD99</f>
        <v/>
      </c>
      <c r="AE99">
        <f>Реестр_План_Факт!AE99</f>
        <v>0</v>
      </c>
      <c r="AF99">
        <f>Реестр_План_Факт!AF99</f>
        <v>0</v>
      </c>
      <c r="AG99" t="str">
        <f>Реестр_План_Факт!AG99</f>
        <v/>
      </c>
      <c r="AH99">
        <f>Реестр_План_Факт!AH99</f>
        <v>0</v>
      </c>
      <c r="AI99">
        <f>Реестр_План_Факт!AI99</f>
        <v>0</v>
      </c>
      <c r="AJ99" t="str">
        <f>Реестр_План_Факт!AJ99</f>
        <v/>
      </c>
      <c r="AK99">
        <f>Реестр_План_Факт!AK99</f>
        <v>0</v>
      </c>
      <c r="AL99">
        <f>Реестр_План_Факт!AL99</f>
        <v>0</v>
      </c>
      <c r="AM99" t="str">
        <f>Реестр_План_Факт!AM99</f>
        <v/>
      </c>
      <c r="AN99">
        <f>Реестр_План_Факт!AN99</f>
        <v>0</v>
      </c>
      <c r="AO99">
        <f>Реестр_План_Факт!AO99</f>
        <v>0</v>
      </c>
      <c r="AP99" t="str">
        <f>Реестр_План_Факт!AP99</f>
        <v/>
      </c>
      <c r="AQ99">
        <f>Реестр_План_Факт!AQ99</f>
        <v>0</v>
      </c>
    </row>
    <row r="100" spans="1:43" x14ac:dyDescent="0.2">
      <c r="A100" s="201">
        <f>Реестр_План_Факт!A100</f>
        <v>46121</v>
      </c>
      <c r="B100">
        <f>Реестр_План_Факт!B100</f>
        <v>15</v>
      </c>
      <c r="C100">
        <f>Реестр_План_Факт!C100</f>
        <v>4</v>
      </c>
      <c r="D100">
        <f>Реестр_План_Факт!D100</f>
        <v>0</v>
      </c>
      <c r="E100">
        <f>Реестр_План_Факт!E100</f>
        <v>0</v>
      </c>
      <c r="F100" t="str">
        <f>Реестр_План_Факт!F100</f>
        <v/>
      </c>
      <c r="G100">
        <f>Реестр_План_Факт!G100</f>
        <v>0</v>
      </c>
      <c r="H100">
        <f>Реестр_План_Факт!H100</f>
        <v>0</v>
      </c>
      <c r="I100" t="str">
        <f>Реестр_План_Факт!I100</f>
        <v/>
      </c>
      <c r="J100">
        <f>Реестр_План_Факт!J100</f>
        <v>0</v>
      </c>
      <c r="K100">
        <f>Реестр_План_Факт!K100</f>
        <v>0</v>
      </c>
      <c r="L100" t="str">
        <f>Реестр_План_Факт!L100</f>
        <v/>
      </c>
      <c r="M100">
        <f>Реестр_План_Факт!M100</f>
        <v>0</v>
      </c>
      <c r="N100">
        <f>Реестр_План_Факт!N100</f>
        <v>0</v>
      </c>
      <c r="O100" t="str">
        <f>Реестр_План_Факт!O100</f>
        <v/>
      </c>
      <c r="P100">
        <f>Реестр_План_Факт!P100</f>
        <v>0</v>
      </c>
      <c r="Q100">
        <f>Реестр_План_Факт!Q100</f>
        <v>0</v>
      </c>
      <c r="R100" t="str">
        <f>Реестр_План_Факт!R100</f>
        <v/>
      </c>
      <c r="S100">
        <f>Реестр_План_Факт!S100</f>
        <v>0</v>
      </c>
      <c r="T100">
        <f>Реестр_План_Факт!T100</f>
        <v>0</v>
      </c>
      <c r="U100" t="str">
        <f>Реестр_План_Факт!U100</f>
        <v/>
      </c>
      <c r="V100">
        <f>Реестр_План_Факт!V100</f>
        <v>0</v>
      </c>
      <c r="W100">
        <f>Реестр_План_Факт!W100</f>
        <v>0</v>
      </c>
      <c r="X100" t="str">
        <f>Реестр_План_Факт!X100</f>
        <v/>
      </c>
      <c r="Y100">
        <f>Реестр_План_Факт!Y100</f>
        <v>0</v>
      </c>
      <c r="Z100">
        <f>Реестр_План_Факт!Z100</f>
        <v>0</v>
      </c>
      <c r="AA100" t="str">
        <f>Реестр_План_Факт!AA100</f>
        <v/>
      </c>
      <c r="AB100">
        <f>Реестр_План_Факт!AB100</f>
        <v>0</v>
      </c>
      <c r="AC100">
        <f>Реестр_План_Факт!AC100</f>
        <v>0</v>
      </c>
      <c r="AD100" t="str">
        <f>Реестр_План_Факт!AD100</f>
        <v/>
      </c>
      <c r="AE100">
        <f>Реестр_План_Факт!AE100</f>
        <v>0</v>
      </c>
      <c r="AF100">
        <f>Реестр_План_Факт!AF100</f>
        <v>0</v>
      </c>
      <c r="AG100" t="str">
        <f>Реестр_План_Факт!AG100</f>
        <v/>
      </c>
      <c r="AH100">
        <f>Реестр_План_Факт!AH100</f>
        <v>0</v>
      </c>
      <c r="AI100">
        <f>Реестр_План_Факт!AI100</f>
        <v>0</v>
      </c>
      <c r="AJ100" t="str">
        <f>Реестр_План_Факт!AJ100</f>
        <v/>
      </c>
      <c r="AK100">
        <f>Реестр_План_Факт!AK100</f>
        <v>0</v>
      </c>
      <c r="AL100">
        <f>Реестр_План_Факт!AL100</f>
        <v>0</v>
      </c>
      <c r="AM100" t="str">
        <f>Реестр_План_Факт!AM100</f>
        <v/>
      </c>
      <c r="AN100">
        <f>Реестр_План_Факт!AN100</f>
        <v>0</v>
      </c>
      <c r="AO100">
        <f>Реестр_План_Факт!AO100</f>
        <v>0</v>
      </c>
      <c r="AP100" t="str">
        <f>Реестр_План_Факт!AP100</f>
        <v/>
      </c>
      <c r="AQ100">
        <f>Реестр_План_Факт!AQ100</f>
        <v>0</v>
      </c>
    </row>
    <row r="101" spans="1:43" x14ac:dyDescent="0.2">
      <c r="A101" s="201">
        <f>Реестр_План_Факт!A101</f>
        <v>46122</v>
      </c>
      <c r="B101">
        <f>Реестр_План_Факт!B101</f>
        <v>15</v>
      </c>
      <c r="C101">
        <f>Реестр_План_Факт!C101</f>
        <v>4</v>
      </c>
      <c r="D101">
        <f>Реестр_План_Факт!D101</f>
        <v>0</v>
      </c>
      <c r="E101">
        <f>Реестр_План_Факт!E101</f>
        <v>0</v>
      </c>
      <c r="F101" t="str">
        <f>Реестр_План_Факт!F101</f>
        <v/>
      </c>
      <c r="G101">
        <f>Реестр_План_Факт!G101</f>
        <v>0</v>
      </c>
      <c r="H101">
        <f>Реестр_План_Факт!H101</f>
        <v>0</v>
      </c>
      <c r="I101" t="str">
        <f>Реестр_План_Факт!I101</f>
        <v/>
      </c>
      <c r="J101">
        <f>Реестр_План_Факт!J101</f>
        <v>0</v>
      </c>
      <c r="K101">
        <f>Реестр_План_Факт!K101</f>
        <v>0</v>
      </c>
      <c r="L101" t="str">
        <f>Реестр_План_Факт!L101</f>
        <v/>
      </c>
      <c r="M101">
        <f>Реестр_План_Факт!M101</f>
        <v>0</v>
      </c>
      <c r="N101">
        <f>Реестр_План_Факт!N101</f>
        <v>0</v>
      </c>
      <c r="O101" t="str">
        <f>Реестр_План_Факт!O101</f>
        <v/>
      </c>
      <c r="P101">
        <f>Реестр_План_Факт!P101</f>
        <v>0</v>
      </c>
      <c r="Q101">
        <f>Реестр_План_Факт!Q101</f>
        <v>0</v>
      </c>
      <c r="R101" t="str">
        <f>Реестр_План_Факт!R101</f>
        <v/>
      </c>
      <c r="S101">
        <f>Реестр_План_Факт!S101</f>
        <v>0</v>
      </c>
      <c r="T101">
        <f>Реестр_План_Факт!T101</f>
        <v>0</v>
      </c>
      <c r="U101" t="str">
        <f>Реестр_План_Факт!U101</f>
        <v/>
      </c>
      <c r="V101">
        <f>Реестр_План_Факт!V101</f>
        <v>0</v>
      </c>
      <c r="W101">
        <f>Реестр_План_Факт!W101</f>
        <v>0</v>
      </c>
      <c r="X101" t="str">
        <f>Реестр_План_Факт!X101</f>
        <v/>
      </c>
      <c r="Y101">
        <f>Реестр_План_Факт!Y101</f>
        <v>0</v>
      </c>
      <c r="Z101">
        <f>Реестр_План_Факт!Z101</f>
        <v>0</v>
      </c>
      <c r="AA101" t="str">
        <f>Реестр_План_Факт!AA101</f>
        <v/>
      </c>
      <c r="AB101">
        <f>Реестр_План_Факт!AB101</f>
        <v>0</v>
      </c>
      <c r="AC101">
        <f>Реестр_План_Факт!AC101</f>
        <v>0</v>
      </c>
      <c r="AD101" t="str">
        <f>Реестр_План_Факт!AD101</f>
        <v/>
      </c>
      <c r="AE101">
        <f>Реестр_План_Факт!AE101</f>
        <v>0</v>
      </c>
      <c r="AF101">
        <f>Реестр_План_Факт!AF101</f>
        <v>0</v>
      </c>
      <c r="AG101" t="str">
        <f>Реестр_План_Факт!AG101</f>
        <v/>
      </c>
      <c r="AH101">
        <f>Реестр_План_Факт!AH101</f>
        <v>0</v>
      </c>
      <c r="AI101">
        <f>Реестр_План_Факт!AI101</f>
        <v>0</v>
      </c>
      <c r="AJ101" t="str">
        <f>Реестр_План_Факт!AJ101</f>
        <v/>
      </c>
      <c r="AK101">
        <f>Реестр_План_Факт!AK101</f>
        <v>0</v>
      </c>
      <c r="AL101">
        <f>Реестр_План_Факт!AL101</f>
        <v>0</v>
      </c>
      <c r="AM101" t="str">
        <f>Реестр_План_Факт!AM101</f>
        <v/>
      </c>
      <c r="AN101">
        <f>Реестр_План_Факт!AN101</f>
        <v>0</v>
      </c>
      <c r="AO101">
        <f>Реестр_План_Факт!AO101</f>
        <v>0</v>
      </c>
      <c r="AP101" t="str">
        <f>Реестр_План_Факт!AP101</f>
        <v/>
      </c>
      <c r="AQ101">
        <f>Реестр_План_Факт!AQ101</f>
        <v>0</v>
      </c>
    </row>
    <row r="102" spans="1:43" x14ac:dyDescent="0.2">
      <c r="A102" s="201">
        <f>Реестр_План_Факт!A102</f>
        <v>46123</v>
      </c>
      <c r="B102">
        <f>Реестр_План_Факт!B102</f>
        <v>15</v>
      </c>
      <c r="C102">
        <f>Реестр_План_Факт!C102</f>
        <v>4</v>
      </c>
      <c r="D102">
        <f>Реестр_План_Факт!D102</f>
        <v>0</v>
      </c>
      <c r="E102">
        <f>Реестр_План_Факт!E102</f>
        <v>0</v>
      </c>
      <c r="F102" t="str">
        <f>Реестр_План_Факт!F102</f>
        <v/>
      </c>
      <c r="G102">
        <f>Реестр_План_Факт!G102</f>
        <v>0</v>
      </c>
      <c r="H102">
        <f>Реестр_План_Факт!H102</f>
        <v>0</v>
      </c>
      <c r="I102" t="str">
        <f>Реестр_План_Факт!I102</f>
        <v/>
      </c>
      <c r="J102">
        <f>Реестр_План_Факт!J102</f>
        <v>0</v>
      </c>
      <c r="K102">
        <f>Реестр_План_Факт!K102</f>
        <v>0</v>
      </c>
      <c r="L102" t="str">
        <f>Реестр_План_Факт!L102</f>
        <v/>
      </c>
      <c r="M102">
        <f>Реестр_План_Факт!M102</f>
        <v>0</v>
      </c>
      <c r="N102">
        <f>Реестр_План_Факт!N102</f>
        <v>0</v>
      </c>
      <c r="O102" t="str">
        <f>Реестр_План_Факт!O102</f>
        <v/>
      </c>
      <c r="P102">
        <f>Реестр_План_Факт!P102</f>
        <v>0</v>
      </c>
      <c r="Q102">
        <f>Реестр_План_Факт!Q102</f>
        <v>0</v>
      </c>
      <c r="R102" t="str">
        <f>Реестр_План_Факт!R102</f>
        <v/>
      </c>
      <c r="S102">
        <f>Реестр_План_Факт!S102</f>
        <v>0</v>
      </c>
      <c r="T102">
        <f>Реестр_План_Факт!T102</f>
        <v>0</v>
      </c>
      <c r="U102" t="str">
        <f>Реестр_План_Факт!U102</f>
        <v/>
      </c>
      <c r="V102">
        <f>Реестр_План_Факт!V102</f>
        <v>0</v>
      </c>
      <c r="W102">
        <f>Реестр_План_Факт!W102</f>
        <v>0</v>
      </c>
      <c r="X102" t="str">
        <f>Реестр_План_Факт!X102</f>
        <v/>
      </c>
      <c r="Y102">
        <f>Реестр_План_Факт!Y102</f>
        <v>0</v>
      </c>
      <c r="Z102">
        <f>Реестр_План_Факт!Z102</f>
        <v>0</v>
      </c>
      <c r="AA102" t="str">
        <f>Реестр_План_Факт!AA102</f>
        <v/>
      </c>
      <c r="AB102">
        <f>Реестр_План_Факт!AB102</f>
        <v>0</v>
      </c>
      <c r="AC102">
        <f>Реестр_План_Факт!AC102</f>
        <v>0</v>
      </c>
      <c r="AD102" t="str">
        <f>Реестр_План_Факт!AD102</f>
        <v/>
      </c>
      <c r="AE102">
        <f>Реестр_План_Факт!AE102</f>
        <v>0</v>
      </c>
      <c r="AF102">
        <f>Реестр_План_Факт!AF102</f>
        <v>0</v>
      </c>
      <c r="AG102" t="str">
        <f>Реестр_План_Факт!AG102</f>
        <v/>
      </c>
      <c r="AH102">
        <f>Реестр_План_Факт!AH102</f>
        <v>0</v>
      </c>
      <c r="AI102">
        <f>Реестр_План_Факт!AI102</f>
        <v>0</v>
      </c>
      <c r="AJ102" t="str">
        <f>Реестр_План_Факт!AJ102</f>
        <v/>
      </c>
      <c r="AK102">
        <f>Реестр_План_Факт!AK102</f>
        <v>0</v>
      </c>
      <c r="AL102">
        <f>Реестр_План_Факт!AL102</f>
        <v>0</v>
      </c>
      <c r="AM102" t="str">
        <f>Реестр_План_Факт!AM102</f>
        <v/>
      </c>
      <c r="AN102">
        <f>Реестр_План_Факт!AN102</f>
        <v>0</v>
      </c>
      <c r="AO102">
        <f>Реестр_План_Факт!AO102</f>
        <v>0</v>
      </c>
      <c r="AP102" t="str">
        <f>Реестр_План_Факт!AP102</f>
        <v/>
      </c>
      <c r="AQ102">
        <f>Реестр_План_Факт!AQ102</f>
        <v>0</v>
      </c>
    </row>
    <row r="103" spans="1:43" x14ac:dyDescent="0.2">
      <c r="A103" s="201">
        <f>Реестр_План_Факт!A103</f>
        <v>46124</v>
      </c>
      <c r="B103">
        <f>Реестр_План_Факт!B103</f>
        <v>15</v>
      </c>
      <c r="C103">
        <f>Реестр_План_Факт!C103</f>
        <v>4</v>
      </c>
      <c r="D103">
        <f>Реестр_План_Факт!D103</f>
        <v>0</v>
      </c>
      <c r="E103">
        <f>Реестр_План_Факт!E103</f>
        <v>0</v>
      </c>
      <c r="F103" t="str">
        <f>Реестр_План_Факт!F103</f>
        <v/>
      </c>
      <c r="G103">
        <f>Реестр_План_Факт!G103</f>
        <v>0</v>
      </c>
      <c r="H103">
        <f>Реестр_План_Факт!H103</f>
        <v>0</v>
      </c>
      <c r="I103" t="str">
        <f>Реестр_План_Факт!I103</f>
        <v/>
      </c>
      <c r="J103">
        <f>Реестр_План_Факт!J103</f>
        <v>0</v>
      </c>
      <c r="K103">
        <f>Реестр_План_Факт!K103</f>
        <v>0</v>
      </c>
      <c r="L103" t="str">
        <f>Реестр_План_Факт!L103</f>
        <v/>
      </c>
      <c r="M103">
        <f>Реестр_План_Факт!M103</f>
        <v>0</v>
      </c>
      <c r="N103">
        <f>Реестр_План_Факт!N103</f>
        <v>0</v>
      </c>
      <c r="O103" t="str">
        <f>Реестр_План_Факт!O103</f>
        <v/>
      </c>
      <c r="P103">
        <f>Реестр_План_Факт!P103</f>
        <v>0</v>
      </c>
      <c r="Q103">
        <f>Реестр_План_Факт!Q103</f>
        <v>0</v>
      </c>
      <c r="R103" t="str">
        <f>Реестр_План_Факт!R103</f>
        <v/>
      </c>
      <c r="S103">
        <f>Реестр_План_Факт!S103</f>
        <v>0</v>
      </c>
      <c r="T103">
        <f>Реестр_План_Факт!T103</f>
        <v>0</v>
      </c>
      <c r="U103" t="str">
        <f>Реестр_План_Факт!U103</f>
        <v/>
      </c>
      <c r="V103">
        <f>Реестр_План_Факт!V103</f>
        <v>0</v>
      </c>
      <c r="W103">
        <f>Реестр_План_Факт!W103</f>
        <v>0</v>
      </c>
      <c r="X103" t="str">
        <f>Реестр_План_Факт!X103</f>
        <v/>
      </c>
      <c r="Y103">
        <f>Реестр_План_Факт!Y103</f>
        <v>0</v>
      </c>
      <c r="Z103">
        <f>Реестр_План_Факт!Z103</f>
        <v>0</v>
      </c>
      <c r="AA103" t="str">
        <f>Реестр_План_Факт!AA103</f>
        <v/>
      </c>
      <c r="AB103">
        <f>Реестр_План_Факт!AB103</f>
        <v>0</v>
      </c>
      <c r="AC103">
        <f>Реестр_План_Факт!AC103</f>
        <v>0</v>
      </c>
      <c r="AD103" t="str">
        <f>Реестр_План_Факт!AD103</f>
        <v/>
      </c>
      <c r="AE103">
        <f>Реестр_План_Факт!AE103</f>
        <v>0</v>
      </c>
      <c r="AF103">
        <f>Реестр_План_Факт!AF103</f>
        <v>0</v>
      </c>
      <c r="AG103" t="str">
        <f>Реестр_План_Факт!AG103</f>
        <v/>
      </c>
      <c r="AH103">
        <f>Реестр_План_Факт!AH103</f>
        <v>0</v>
      </c>
      <c r="AI103">
        <f>Реестр_План_Факт!AI103</f>
        <v>0</v>
      </c>
      <c r="AJ103" t="str">
        <f>Реестр_План_Факт!AJ103</f>
        <v/>
      </c>
      <c r="AK103">
        <f>Реестр_План_Факт!AK103</f>
        <v>0</v>
      </c>
      <c r="AL103">
        <f>Реестр_План_Факт!AL103</f>
        <v>0</v>
      </c>
      <c r="AM103" t="str">
        <f>Реестр_План_Факт!AM103</f>
        <v/>
      </c>
      <c r="AN103">
        <f>Реестр_План_Факт!AN103</f>
        <v>0</v>
      </c>
      <c r="AO103">
        <f>Реестр_План_Факт!AO103</f>
        <v>0</v>
      </c>
      <c r="AP103" t="str">
        <f>Реестр_План_Факт!AP103</f>
        <v/>
      </c>
      <c r="AQ103">
        <f>Реестр_План_Факт!AQ103</f>
        <v>0</v>
      </c>
    </row>
    <row r="104" spans="1:43" x14ac:dyDescent="0.2">
      <c r="A104" s="201">
        <f>Реестр_План_Факт!A104</f>
        <v>46125</v>
      </c>
      <c r="B104">
        <f>Реестр_План_Факт!B104</f>
        <v>16</v>
      </c>
      <c r="C104">
        <f>Реестр_План_Факт!C104</f>
        <v>4</v>
      </c>
      <c r="D104">
        <f>Реестр_План_Факт!D104</f>
        <v>0</v>
      </c>
      <c r="E104">
        <f>Реестр_План_Факт!E104</f>
        <v>0</v>
      </c>
      <c r="F104" t="str">
        <f>Реестр_План_Факт!F104</f>
        <v/>
      </c>
      <c r="G104">
        <f>Реестр_План_Факт!G104</f>
        <v>0</v>
      </c>
      <c r="H104">
        <f>Реестр_План_Факт!H104</f>
        <v>0</v>
      </c>
      <c r="I104" t="str">
        <f>Реестр_План_Факт!I104</f>
        <v/>
      </c>
      <c r="J104">
        <f>Реестр_План_Факт!J104</f>
        <v>0</v>
      </c>
      <c r="K104">
        <f>Реестр_План_Факт!K104</f>
        <v>0</v>
      </c>
      <c r="L104" t="str">
        <f>Реестр_План_Факт!L104</f>
        <v/>
      </c>
      <c r="M104">
        <f>Реестр_План_Факт!M104</f>
        <v>0</v>
      </c>
      <c r="N104">
        <f>Реестр_План_Факт!N104</f>
        <v>0</v>
      </c>
      <c r="O104" t="str">
        <f>Реестр_План_Факт!O104</f>
        <v/>
      </c>
      <c r="P104">
        <f>Реестр_План_Факт!P104</f>
        <v>0</v>
      </c>
      <c r="Q104">
        <f>Реестр_План_Факт!Q104</f>
        <v>0</v>
      </c>
      <c r="R104" t="str">
        <f>Реестр_План_Факт!R104</f>
        <v/>
      </c>
      <c r="S104">
        <f>Реестр_План_Факт!S104</f>
        <v>0</v>
      </c>
      <c r="T104">
        <f>Реестр_План_Факт!T104</f>
        <v>0</v>
      </c>
      <c r="U104" t="str">
        <f>Реестр_План_Факт!U104</f>
        <v/>
      </c>
      <c r="V104">
        <f>Реестр_План_Факт!V104</f>
        <v>0</v>
      </c>
      <c r="W104">
        <f>Реестр_План_Факт!W104</f>
        <v>0</v>
      </c>
      <c r="X104" t="str">
        <f>Реестр_План_Факт!X104</f>
        <v/>
      </c>
      <c r="Y104">
        <f>Реестр_План_Факт!Y104</f>
        <v>0</v>
      </c>
      <c r="Z104">
        <f>Реестр_План_Факт!Z104</f>
        <v>0</v>
      </c>
      <c r="AA104" t="str">
        <f>Реестр_План_Факт!AA104</f>
        <v/>
      </c>
      <c r="AB104">
        <f>Реестр_План_Факт!AB104</f>
        <v>0</v>
      </c>
      <c r="AC104">
        <f>Реестр_План_Факт!AC104</f>
        <v>0</v>
      </c>
      <c r="AD104" t="str">
        <f>Реестр_План_Факт!AD104</f>
        <v/>
      </c>
      <c r="AE104">
        <f>Реестр_План_Факт!AE104</f>
        <v>0</v>
      </c>
      <c r="AF104">
        <f>Реестр_План_Факт!AF104</f>
        <v>0</v>
      </c>
      <c r="AG104" t="str">
        <f>Реестр_План_Факт!AG104</f>
        <v/>
      </c>
      <c r="AH104">
        <f>Реестр_План_Факт!AH104</f>
        <v>0</v>
      </c>
      <c r="AI104">
        <f>Реестр_План_Факт!AI104</f>
        <v>0</v>
      </c>
      <c r="AJ104" t="str">
        <f>Реестр_План_Факт!AJ104</f>
        <v/>
      </c>
      <c r="AK104">
        <f>Реестр_План_Факт!AK104</f>
        <v>0</v>
      </c>
      <c r="AL104">
        <f>Реестр_План_Факт!AL104</f>
        <v>0</v>
      </c>
      <c r="AM104" t="str">
        <f>Реестр_План_Факт!AM104</f>
        <v/>
      </c>
      <c r="AN104">
        <f>Реестр_План_Факт!AN104</f>
        <v>0</v>
      </c>
      <c r="AO104">
        <f>Реестр_План_Факт!AO104</f>
        <v>0</v>
      </c>
      <c r="AP104" t="str">
        <f>Реестр_План_Факт!AP104</f>
        <v/>
      </c>
      <c r="AQ104">
        <f>Реестр_План_Факт!AQ104</f>
        <v>0</v>
      </c>
    </row>
    <row r="105" spans="1:43" x14ac:dyDescent="0.2">
      <c r="A105" s="201">
        <f>Реестр_План_Факт!A105</f>
        <v>46126</v>
      </c>
      <c r="B105">
        <f>Реестр_План_Факт!B105</f>
        <v>16</v>
      </c>
      <c r="C105">
        <f>Реестр_План_Факт!C105</f>
        <v>4</v>
      </c>
      <c r="D105">
        <f>Реестр_План_Факт!D105</f>
        <v>0</v>
      </c>
      <c r="E105">
        <f>Реестр_План_Факт!E105</f>
        <v>0</v>
      </c>
      <c r="F105" t="str">
        <f>Реестр_План_Факт!F105</f>
        <v/>
      </c>
      <c r="G105">
        <f>Реестр_План_Факт!G105</f>
        <v>0</v>
      </c>
      <c r="H105">
        <f>Реестр_План_Факт!H105</f>
        <v>0</v>
      </c>
      <c r="I105" t="str">
        <f>Реестр_План_Факт!I105</f>
        <v/>
      </c>
      <c r="J105">
        <f>Реестр_План_Факт!J105</f>
        <v>0</v>
      </c>
      <c r="K105">
        <f>Реестр_План_Факт!K105</f>
        <v>0</v>
      </c>
      <c r="L105" t="str">
        <f>Реестр_План_Факт!L105</f>
        <v/>
      </c>
      <c r="M105">
        <f>Реестр_План_Факт!M105</f>
        <v>0</v>
      </c>
      <c r="N105">
        <f>Реестр_План_Факт!N105</f>
        <v>0</v>
      </c>
      <c r="O105" t="str">
        <f>Реестр_План_Факт!O105</f>
        <v/>
      </c>
      <c r="P105">
        <f>Реестр_План_Факт!P105</f>
        <v>0</v>
      </c>
      <c r="Q105">
        <f>Реестр_План_Факт!Q105</f>
        <v>0</v>
      </c>
      <c r="R105" t="str">
        <f>Реестр_План_Факт!R105</f>
        <v/>
      </c>
      <c r="S105">
        <f>Реестр_План_Факт!S105</f>
        <v>0</v>
      </c>
      <c r="T105">
        <f>Реестр_План_Факт!T105</f>
        <v>0</v>
      </c>
      <c r="U105" t="str">
        <f>Реестр_План_Факт!U105</f>
        <v/>
      </c>
      <c r="V105">
        <f>Реестр_План_Факт!V105</f>
        <v>0</v>
      </c>
      <c r="W105">
        <f>Реестр_План_Факт!W105</f>
        <v>0</v>
      </c>
      <c r="X105" t="str">
        <f>Реестр_План_Факт!X105</f>
        <v/>
      </c>
      <c r="Y105">
        <f>Реестр_План_Факт!Y105</f>
        <v>0</v>
      </c>
      <c r="Z105">
        <f>Реестр_План_Факт!Z105</f>
        <v>0</v>
      </c>
      <c r="AA105" t="str">
        <f>Реестр_План_Факт!AA105</f>
        <v/>
      </c>
      <c r="AB105">
        <f>Реестр_План_Факт!AB105</f>
        <v>0</v>
      </c>
      <c r="AC105">
        <f>Реестр_План_Факт!AC105</f>
        <v>0</v>
      </c>
      <c r="AD105" t="str">
        <f>Реестр_План_Факт!AD105</f>
        <v/>
      </c>
      <c r="AE105">
        <f>Реестр_План_Факт!AE105</f>
        <v>0</v>
      </c>
      <c r="AF105">
        <f>Реестр_План_Факт!AF105</f>
        <v>0</v>
      </c>
      <c r="AG105" t="str">
        <f>Реестр_План_Факт!AG105</f>
        <v/>
      </c>
      <c r="AH105">
        <f>Реестр_План_Факт!AH105</f>
        <v>0</v>
      </c>
      <c r="AI105">
        <f>Реестр_План_Факт!AI105</f>
        <v>0</v>
      </c>
      <c r="AJ105" t="str">
        <f>Реестр_План_Факт!AJ105</f>
        <v/>
      </c>
      <c r="AK105">
        <f>Реестр_План_Факт!AK105</f>
        <v>0</v>
      </c>
      <c r="AL105">
        <f>Реестр_План_Факт!AL105</f>
        <v>0</v>
      </c>
      <c r="AM105" t="str">
        <f>Реестр_План_Факт!AM105</f>
        <v/>
      </c>
      <c r="AN105">
        <f>Реестр_План_Факт!AN105</f>
        <v>0</v>
      </c>
      <c r="AO105">
        <f>Реестр_План_Факт!AO105</f>
        <v>0</v>
      </c>
      <c r="AP105" t="str">
        <f>Реестр_План_Факт!AP105</f>
        <v/>
      </c>
      <c r="AQ105">
        <f>Реестр_План_Факт!AQ105</f>
        <v>0</v>
      </c>
    </row>
    <row r="106" spans="1:43" x14ac:dyDescent="0.2">
      <c r="A106" s="201">
        <f>Реестр_План_Факт!A106</f>
        <v>46127</v>
      </c>
      <c r="B106">
        <f>Реестр_План_Факт!B106</f>
        <v>16</v>
      </c>
      <c r="C106">
        <f>Реестр_План_Факт!C106</f>
        <v>4</v>
      </c>
      <c r="D106">
        <f>Реестр_План_Факт!D106</f>
        <v>0</v>
      </c>
      <c r="E106">
        <f>Реестр_План_Факт!E106</f>
        <v>0</v>
      </c>
      <c r="F106" t="str">
        <f>Реестр_План_Факт!F106</f>
        <v/>
      </c>
      <c r="G106">
        <f>Реестр_План_Факт!G106</f>
        <v>0</v>
      </c>
      <c r="H106">
        <f>Реестр_План_Факт!H106</f>
        <v>0</v>
      </c>
      <c r="I106" t="str">
        <f>Реестр_План_Факт!I106</f>
        <v/>
      </c>
      <c r="J106">
        <f>Реестр_План_Факт!J106</f>
        <v>0</v>
      </c>
      <c r="K106">
        <f>Реестр_План_Факт!K106</f>
        <v>0</v>
      </c>
      <c r="L106" t="str">
        <f>Реестр_План_Факт!L106</f>
        <v/>
      </c>
      <c r="M106">
        <f>Реестр_План_Факт!M106</f>
        <v>0</v>
      </c>
      <c r="N106">
        <f>Реестр_План_Факт!N106</f>
        <v>0</v>
      </c>
      <c r="O106" t="str">
        <f>Реестр_План_Факт!O106</f>
        <v/>
      </c>
      <c r="P106">
        <f>Реестр_План_Факт!P106</f>
        <v>0</v>
      </c>
      <c r="Q106">
        <f>Реестр_План_Факт!Q106</f>
        <v>0</v>
      </c>
      <c r="R106" t="str">
        <f>Реестр_План_Факт!R106</f>
        <v/>
      </c>
      <c r="S106">
        <f>Реестр_План_Факт!S106</f>
        <v>0</v>
      </c>
      <c r="T106">
        <f>Реестр_План_Факт!T106</f>
        <v>0</v>
      </c>
      <c r="U106" t="str">
        <f>Реестр_План_Факт!U106</f>
        <v/>
      </c>
      <c r="V106">
        <f>Реестр_План_Факт!V106</f>
        <v>0</v>
      </c>
      <c r="W106">
        <f>Реестр_План_Факт!W106</f>
        <v>0</v>
      </c>
      <c r="X106" t="str">
        <f>Реестр_План_Факт!X106</f>
        <v/>
      </c>
      <c r="Y106">
        <f>Реестр_План_Факт!Y106</f>
        <v>0</v>
      </c>
      <c r="Z106">
        <f>Реестр_План_Факт!Z106</f>
        <v>0</v>
      </c>
      <c r="AA106" t="str">
        <f>Реестр_План_Факт!AA106</f>
        <v/>
      </c>
      <c r="AB106">
        <f>Реестр_План_Факт!AB106</f>
        <v>0</v>
      </c>
      <c r="AC106">
        <f>Реестр_План_Факт!AC106</f>
        <v>0</v>
      </c>
      <c r="AD106" t="str">
        <f>Реестр_План_Факт!AD106</f>
        <v/>
      </c>
      <c r="AE106">
        <f>Реестр_План_Факт!AE106</f>
        <v>0</v>
      </c>
      <c r="AF106">
        <f>Реестр_План_Факт!AF106</f>
        <v>0</v>
      </c>
      <c r="AG106" t="str">
        <f>Реестр_План_Факт!AG106</f>
        <v/>
      </c>
      <c r="AH106">
        <f>Реестр_План_Факт!AH106</f>
        <v>0</v>
      </c>
      <c r="AI106">
        <f>Реестр_План_Факт!AI106</f>
        <v>0</v>
      </c>
      <c r="AJ106" t="str">
        <f>Реестр_План_Факт!AJ106</f>
        <v/>
      </c>
      <c r="AK106">
        <f>Реестр_План_Факт!AK106</f>
        <v>0</v>
      </c>
      <c r="AL106">
        <f>Реестр_План_Факт!AL106</f>
        <v>0</v>
      </c>
      <c r="AM106" t="str">
        <f>Реестр_План_Факт!AM106</f>
        <v/>
      </c>
      <c r="AN106">
        <f>Реестр_План_Факт!AN106</f>
        <v>0</v>
      </c>
      <c r="AO106">
        <f>Реестр_План_Факт!AO106</f>
        <v>0</v>
      </c>
      <c r="AP106" t="str">
        <f>Реестр_План_Факт!AP106</f>
        <v/>
      </c>
      <c r="AQ106">
        <f>Реестр_План_Факт!AQ106</f>
        <v>0</v>
      </c>
    </row>
    <row r="107" spans="1:43" x14ac:dyDescent="0.2">
      <c r="A107" s="201">
        <f>Реестр_План_Факт!A107</f>
        <v>46128</v>
      </c>
      <c r="B107">
        <f>Реестр_План_Факт!B107</f>
        <v>16</v>
      </c>
      <c r="C107">
        <f>Реестр_План_Факт!C107</f>
        <v>4</v>
      </c>
      <c r="D107">
        <f>Реестр_План_Факт!D107</f>
        <v>0</v>
      </c>
      <c r="E107">
        <f>Реестр_План_Факт!E107</f>
        <v>0</v>
      </c>
      <c r="F107" t="str">
        <f>Реестр_План_Факт!F107</f>
        <v/>
      </c>
      <c r="G107">
        <f>Реестр_План_Факт!G107</f>
        <v>0</v>
      </c>
      <c r="H107">
        <f>Реестр_План_Факт!H107</f>
        <v>0</v>
      </c>
      <c r="I107" t="str">
        <f>Реестр_План_Факт!I107</f>
        <v/>
      </c>
      <c r="J107">
        <f>Реестр_План_Факт!J107</f>
        <v>0</v>
      </c>
      <c r="K107">
        <f>Реестр_План_Факт!K107</f>
        <v>0</v>
      </c>
      <c r="L107" t="str">
        <f>Реестр_План_Факт!L107</f>
        <v/>
      </c>
      <c r="M107">
        <f>Реестр_План_Факт!M107</f>
        <v>0</v>
      </c>
      <c r="N107">
        <f>Реестр_План_Факт!N107</f>
        <v>0</v>
      </c>
      <c r="O107" t="str">
        <f>Реестр_План_Факт!O107</f>
        <v/>
      </c>
      <c r="P107">
        <f>Реестр_План_Факт!P107</f>
        <v>0</v>
      </c>
      <c r="Q107">
        <f>Реестр_План_Факт!Q107</f>
        <v>0</v>
      </c>
      <c r="R107" t="str">
        <f>Реестр_План_Факт!R107</f>
        <v/>
      </c>
      <c r="S107">
        <f>Реестр_План_Факт!S107</f>
        <v>0</v>
      </c>
      <c r="T107">
        <f>Реестр_План_Факт!T107</f>
        <v>0</v>
      </c>
      <c r="U107" t="str">
        <f>Реестр_План_Факт!U107</f>
        <v/>
      </c>
      <c r="V107">
        <f>Реестр_План_Факт!V107</f>
        <v>0</v>
      </c>
      <c r="W107">
        <f>Реестр_План_Факт!W107</f>
        <v>0</v>
      </c>
      <c r="X107" t="str">
        <f>Реестр_План_Факт!X107</f>
        <v/>
      </c>
      <c r="Y107">
        <f>Реестр_План_Факт!Y107</f>
        <v>0</v>
      </c>
      <c r="Z107">
        <f>Реестр_План_Факт!Z107</f>
        <v>0</v>
      </c>
      <c r="AA107" t="str">
        <f>Реестр_План_Факт!AA107</f>
        <v/>
      </c>
      <c r="AB107">
        <f>Реестр_План_Факт!AB107</f>
        <v>0</v>
      </c>
      <c r="AC107">
        <f>Реестр_План_Факт!AC107</f>
        <v>0</v>
      </c>
      <c r="AD107" t="str">
        <f>Реестр_План_Факт!AD107</f>
        <v/>
      </c>
      <c r="AE107">
        <f>Реестр_План_Факт!AE107</f>
        <v>0</v>
      </c>
      <c r="AF107">
        <f>Реестр_План_Факт!AF107</f>
        <v>0</v>
      </c>
      <c r="AG107" t="str">
        <f>Реестр_План_Факт!AG107</f>
        <v/>
      </c>
      <c r="AH107">
        <f>Реестр_План_Факт!AH107</f>
        <v>0</v>
      </c>
      <c r="AI107">
        <f>Реестр_План_Факт!AI107</f>
        <v>0</v>
      </c>
      <c r="AJ107" t="str">
        <f>Реестр_План_Факт!AJ107</f>
        <v/>
      </c>
      <c r="AK107">
        <f>Реестр_План_Факт!AK107</f>
        <v>0</v>
      </c>
      <c r="AL107">
        <f>Реестр_План_Факт!AL107</f>
        <v>0</v>
      </c>
      <c r="AM107" t="str">
        <f>Реестр_План_Факт!AM107</f>
        <v/>
      </c>
      <c r="AN107">
        <f>Реестр_План_Факт!AN107</f>
        <v>0</v>
      </c>
      <c r="AO107">
        <f>Реестр_План_Факт!AO107</f>
        <v>0</v>
      </c>
      <c r="AP107" t="str">
        <f>Реестр_План_Факт!AP107</f>
        <v/>
      </c>
      <c r="AQ107">
        <f>Реестр_План_Факт!AQ107</f>
        <v>0</v>
      </c>
    </row>
    <row r="108" spans="1:43" x14ac:dyDescent="0.2">
      <c r="A108" s="201">
        <f>Реестр_План_Факт!A108</f>
        <v>46129</v>
      </c>
      <c r="B108">
        <f>Реестр_План_Факт!B108</f>
        <v>16</v>
      </c>
      <c r="C108">
        <f>Реестр_План_Факт!C108</f>
        <v>4</v>
      </c>
      <c r="D108">
        <f>Реестр_План_Факт!D108</f>
        <v>0</v>
      </c>
      <c r="E108">
        <f>Реестр_План_Факт!E108</f>
        <v>0</v>
      </c>
      <c r="F108" t="str">
        <f>Реестр_План_Факт!F108</f>
        <v/>
      </c>
      <c r="G108">
        <f>Реестр_План_Факт!G108</f>
        <v>0</v>
      </c>
      <c r="H108">
        <f>Реестр_План_Факт!H108</f>
        <v>0</v>
      </c>
      <c r="I108" t="str">
        <f>Реестр_План_Факт!I108</f>
        <v/>
      </c>
      <c r="J108">
        <f>Реестр_План_Факт!J108</f>
        <v>0</v>
      </c>
      <c r="K108">
        <f>Реестр_План_Факт!K108</f>
        <v>0</v>
      </c>
      <c r="L108" t="str">
        <f>Реестр_План_Факт!L108</f>
        <v/>
      </c>
      <c r="M108">
        <f>Реестр_План_Факт!M108</f>
        <v>0</v>
      </c>
      <c r="N108">
        <f>Реестр_План_Факт!N108</f>
        <v>0</v>
      </c>
      <c r="O108" t="str">
        <f>Реестр_План_Факт!O108</f>
        <v/>
      </c>
      <c r="P108">
        <f>Реестр_План_Факт!P108</f>
        <v>0</v>
      </c>
      <c r="Q108">
        <f>Реестр_План_Факт!Q108</f>
        <v>0</v>
      </c>
      <c r="R108" t="str">
        <f>Реестр_План_Факт!R108</f>
        <v/>
      </c>
      <c r="S108">
        <f>Реестр_План_Факт!S108</f>
        <v>0</v>
      </c>
      <c r="T108">
        <f>Реестр_План_Факт!T108</f>
        <v>0</v>
      </c>
      <c r="U108" t="str">
        <f>Реестр_План_Факт!U108</f>
        <v/>
      </c>
      <c r="V108">
        <f>Реестр_План_Факт!V108</f>
        <v>0</v>
      </c>
      <c r="W108">
        <f>Реестр_План_Факт!W108</f>
        <v>0</v>
      </c>
      <c r="X108" t="str">
        <f>Реестр_План_Факт!X108</f>
        <v/>
      </c>
      <c r="Y108">
        <f>Реестр_План_Факт!Y108</f>
        <v>0</v>
      </c>
      <c r="Z108">
        <f>Реестр_План_Факт!Z108</f>
        <v>0</v>
      </c>
      <c r="AA108" t="str">
        <f>Реестр_План_Факт!AA108</f>
        <v/>
      </c>
      <c r="AB108">
        <f>Реестр_План_Факт!AB108</f>
        <v>0</v>
      </c>
      <c r="AC108">
        <f>Реестр_План_Факт!AC108</f>
        <v>0</v>
      </c>
      <c r="AD108" t="str">
        <f>Реестр_План_Факт!AD108</f>
        <v/>
      </c>
      <c r="AE108">
        <f>Реестр_План_Факт!AE108</f>
        <v>0</v>
      </c>
      <c r="AF108">
        <f>Реестр_План_Факт!AF108</f>
        <v>0</v>
      </c>
      <c r="AG108" t="str">
        <f>Реестр_План_Факт!AG108</f>
        <v/>
      </c>
      <c r="AH108">
        <f>Реестр_План_Факт!AH108</f>
        <v>0</v>
      </c>
      <c r="AI108">
        <f>Реестр_План_Факт!AI108</f>
        <v>0</v>
      </c>
      <c r="AJ108" t="str">
        <f>Реестр_План_Факт!AJ108</f>
        <v/>
      </c>
      <c r="AK108">
        <f>Реестр_План_Факт!AK108</f>
        <v>0</v>
      </c>
      <c r="AL108">
        <f>Реестр_План_Факт!AL108</f>
        <v>0</v>
      </c>
      <c r="AM108" t="str">
        <f>Реестр_План_Факт!AM108</f>
        <v/>
      </c>
      <c r="AN108">
        <f>Реестр_План_Факт!AN108</f>
        <v>0</v>
      </c>
      <c r="AO108">
        <f>Реестр_План_Факт!AO108</f>
        <v>0</v>
      </c>
      <c r="AP108" t="str">
        <f>Реестр_План_Факт!AP108</f>
        <v/>
      </c>
      <c r="AQ108">
        <f>Реестр_План_Факт!AQ108</f>
        <v>0</v>
      </c>
    </row>
    <row r="109" spans="1:43" x14ac:dyDescent="0.2">
      <c r="A109" s="201">
        <f>Реестр_План_Факт!A109</f>
        <v>46130</v>
      </c>
      <c r="B109">
        <f>Реестр_План_Факт!B109</f>
        <v>16</v>
      </c>
      <c r="C109">
        <f>Реестр_План_Факт!C109</f>
        <v>4</v>
      </c>
      <c r="D109">
        <f>Реестр_План_Факт!D109</f>
        <v>0</v>
      </c>
      <c r="E109">
        <f>Реестр_План_Факт!E109</f>
        <v>0</v>
      </c>
      <c r="F109" t="str">
        <f>Реестр_План_Факт!F109</f>
        <v/>
      </c>
      <c r="G109">
        <f>Реестр_План_Факт!G109</f>
        <v>0</v>
      </c>
      <c r="H109">
        <f>Реестр_План_Факт!H109</f>
        <v>0</v>
      </c>
      <c r="I109" t="str">
        <f>Реестр_План_Факт!I109</f>
        <v/>
      </c>
      <c r="J109">
        <f>Реестр_План_Факт!J109</f>
        <v>0</v>
      </c>
      <c r="K109">
        <f>Реестр_План_Факт!K109</f>
        <v>0</v>
      </c>
      <c r="L109" t="str">
        <f>Реестр_План_Факт!L109</f>
        <v/>
      </c>
      <c r="M109">
        <f>Реестр_План_Факт!M109</f>
        <v>0</v>
      </c>
      <c r="N109">
        <f>Реестр_План_Факт!N109</f>
        <v>0</v>
      </c>
      <c r="O109" t="str">
        <f>Реестр_План_Факт!O109</f>
        <v/>
      </c>
      <c r="P109">
        <f>Реестр_План_Факт!P109</f>
        <v>0</v>
      </c>
      <c r="Q109">
        <f>Реестр_План_Факт!Q109</f>
        <v>0</v>
      </c>
      <c r="R109" t="str">
        <f>Реестр_План_Факт!R109</f>
        <v/>
      </c>
      <c r="S109">
        <f>Реестр_План_Факт!S109</f>
        <v>0</v>
      </c>
      <c r="T109">
        <f>Реестр_План_Факт!T109</f>
        <v>0</v>
      </c>
      <c r="U109" t="str">
        <f>Реестр_План_Факт!U109</f>
        <v/>
      </c>
      <c r="V109">
        <f>Реестр_План_Факт!V109</f>
        <v>0</v>
      </c>
      <c r="W109">
        <f>Реестр_План_Факт!W109</f>
        <v>0</v>
      </c>
      <c r="X109" t="str">
        <f>Реестр_План_Факт!X109</f>
        <v/>
      </c>
      <c r="Y109">
        <f>Реестр_План_Факт!Y109</f>
        <v>0</v>
      </c>
      <c r="Z109">
        <f>Реестр_План_Факт!Z109</f>
        <v>0</v>
      </c>
      <c r="AA109" t="str">
        <f>Реестр_План_Факт!AA109</f>
        <v/>
      </c>
      <c r="AB109">
        <f>Реестр_План_Факт!AB109</f>
        <v>0</v>
      </c>
      <c r="AC109">
        <f>Реестр_План_Факт!AC109</f>
        <v>0</v>
      </c>
      <c r="AD109" t="str">
        <f>Реестр_План_Факт!AD109</f>
        <v/>
      </c>
      <c r="AE109">
        <f>Реестр_План_Факт!AE109</f>
        <v>0</v>
      </c>
      <c r="AF109">
        <f>Реестр_План_Факт!AF109</f>
        <v>0</v>
      </c>
      <c r="AG109" t="str">
        <f>Реестр_План_Факт!AG109</f>
        <v/>
      </c>
      <c r="AH109">
        <f>Реестр_План_Факт!AH109</f>
        <v>0</v>
      </c>
      <c r="AI109">
        <f>Реестр_План_Факт!AI109</f>
        <v>0</v>
      </c>
      <c r="AJ109" t="str">
        <f>Реестр_План_Факт!AJ109</f>
        <v/>
      </c>
      <c r="AK109">
        <f>Реестр_План_Факт!AK109</f>
        <v>0</v>
      </c>
      <c r="AL109">
        <f>Реестр_План_Факт!AL109</f>
        <v>0</v>
      </c>
      <c r="AM109" t="str">
        <f>Реестр_План_Факт!AM109</f>
        <v/>
      </c>
      <c r="AN109">
        <f>Реестр_План_Факт!AN109</f>
        <v>0</v>
      </c>
      <c r="AO109">
        <f>Реестр_План_Факт!AO109</f>
        <v>0</v>
      </c>
      <c r="AP109" t="str">
        <f>Реестр_План_Факт!AP109</f>
        <v/>
      </c>
      <c r="AQ109">
        <f>Реестр_План_Факт!AQ109</f>
        <v>0</v>
      </c>
    </row>
    <row r="110" spans="1:43" x14ac:dyDescent="0.2">
      <c r="A110" s="201">
        <f>Реестр_План_Факт!A110</f>
        <v>46131</v>
      </c>
      <c r="B110">
        <f>Реестр_План_Факт!B110</f>
        <v>16</v>
      </c>
      <c r="C110">
        <f>Реестр_План_Факт!C110</f>
        <v>4</v>
      </c>
      <c r="D110">
        <f>Реестр_План_Факт!D110</f>
        <v>0</v>
      </c>
      <c r="E110">
        <f>Реестр_План_Факт!E110</f>
        <v>0</v>
      </c>
      <c r="F110" t="str">
        <f>Реестр_План_Факт!F110</f>
        <v/>
      </c>
      <c r="G110">
        <f>Реестр_План_Факт!G110</f>
        <v>0</v>
      </c>
      <c r="H110">
        <f>Реестр_План_Факт!H110</f>
        <v>0</v>
      </c>
      <c r="I110" t="str">
        <f>Реестр_План_Факт!I110</f>
        <v/>
      </c>
      <c r="J110">
        <f>Реестр_План_Факт!J110</f>
        <v>0</v>
      </c>
      <c r="K110">
        <f>Реестр_План_Факт!K110</f>
        <v>0</v>
      </c>
      <c r="L110" t="str">
        <f>Реестр_План_Факт!L110</f>
        <v/>
      </c>
      <c r="M110">
        <f>Реестр_План_Факт!M110</f>
        <v>0</v>
      </c>
      <c r="N110">
        <f>Реестр_План_Факт!N110</f>
        <v>0</v>
      </c>
      <c r="O110" t="str">
        <f>Реестр_План_Факт!O110</f>
        <v/>
      </c>
      <c r="P110">
        <f>Реестр_План_Факт!P110</f>
        <v>0</v>
      </c>
      <c r="Q110">
        <f>Реестр_План_Факт!Q110</f>
        <v>0</v>
      </c>
      <c r="R110" t="str">
        <f>Реестр_План_Факт!R110</f>
        <v/>
      </c>
      <c r="S110">
        <f>Реестр_План_Факт!S110</f>
        <v>0</v>
      </c>
      <c r="T110">
        <f>Реестр_План_Факт!T110</f>
        <v>0</v>
      </c>
      <c r="U110" t="str">
        <f>Реестр_План_Факт!U110</f>
        <v/>
      </c>
      <c r="V110">
        <f>Реестр_План_Факт!V110</f>
        <v>0</v>
      </c>
      <c r="W110">
        <f>Реестр_План_Факт!W110</f>
        <v>0</v>
      </c>
      <c r="X110" t="str">
        <f>Реестр_План_Факт!X110</f>
        <v/>
      </c>
      <c r="Y110">
        <f>Реестр_План_Факт!Y110</f>
        <v>0</v>
      </c>
      <c r="Z110">
        <f>Реестр_План_Факт!Z110</f>
        <v>0</v>
      </c>
      <c r="AA110" t="str">
        <f>Реестр_План_Факт!AA110</f>
        <v/>
      </c>
      <c r="AB110">
        <f>Реестр_План_Факт!AB110</f>
        <v>0</v>
      </c>
      <c r="AC110">
        <f>Реестр_План_Факт!AC110</f>
        <v>0</v>
      </c>
      <c r="AD110" t="str">
        <f>Реестр_План_Факт!AD110</f>
        <v/>
      </c>
      <c r="AE110">
        <f>Реестр_План_Факт!AE110</f>
        <v>0</v>
      </c>
      <c r="AF110">
        <f>Реестр_План_Факт!AF110</f>
        <v>0</v>
      </c>
      <c r="AG110" t="str">
        <f>Реестр_План_Факт!AG110</f>
        <v/>
      </c>
      <c r="AH110">
        <f>Реестр_План_Факт!AH110</f>
        <v>0</v>
      </c>
      <c r="AI110">
        <f>Реестр_План_Факт!AI110</f>
        <v>0</v>
      </c>
      <c r="AJ110" t="str">
        <f>Реестр_План_Факт!AJ110</f>
        <v/>
      </c>
      <c r="AK110">
        <f>Реестр_План_Факт!AK110</f>
        <v>0</v>
      </c>
      <c r="AL110">
        <f>Реестр_План_Факт!AL110</f>
        <v>0</v>
      </c>
      <c r="AM110" t="str">
        <f>Реестр_План_Факт!AM110</f>
        <v/>
      </c>
      <c r="AN110">
        <f>Реестр_План_Факт!AN110</f>
        <v>0</v>
      </c>
      <c r="AO110">
        <f>Реестр_План_Факт!AO110</f>
        <v>0</v>
      </c>
      <c r="AP110" t="str">
        <f>Реестр_План_Факт!AP110</f>
        <v/>
      </c>
      <c r="AQ110">
        <f>Реестр_План_Факт!AQ110</f>
        <v>0</v>
      </c>
    </row>
    <row r="111" spans="1:43" x14ac:dyDescent="0.2">
      <c r="A111" s="201">
        <f>Реестр_План_Факт!A111</f>
        <v>46132</v>
      </c>
      <c r="B111">
        <f>Реестр_План_Факт!B111</f>
        <v>17</v>
      </c>
      <c r="C111">
        <f>Реестр_План_Факт!C111</f>
        <v>4</v>
      </c>
      <c r="D111">
        <f>Реестр_План_Факт!D111</f>
        <v>0</v>
      </c>
      <c r="E111">
        <f>Реестр_План_Факт!E111</f>
        <v>0</v>
      </c>
      <c r="F111" t="str">
        <f>Реестр_План_Факт!F111</f>
        <v/>
      </c>
      <c r="G111">
        <f>Реестр_План_Факт!G111</f>
        <v>0</v>
      </c>
      <c r="H111">
        <f>Реестр_План_Факт!H111</f>
        <v>0</v>
      </c>
      <c r="I111" t="str">
        <f>Реестр_План_Факт!I111</f>
        <v/>
      </c>
      <c r="J111">
        <f>Реестр_План_Факт!J111</f>
        <v>0</v>
      </c>
      <c r="K111">
        <f>Реестр_План_Факт!K111</f>
        <v>0</v>
      </c>
      <c r="L111" t="str">
        <f>Реестр_План_Факт!L111</f>
        <v/>
      </c>
      <c r="M111">
        <f>Реестр_План_Факт!M111</f>
        <v>0</v>
      </c>
      <c r="N111">
        <f>Реестр_План_Факт!N111</f>
        <v>0</v>
      </c>
      <c r="O111" t="str">
        <f>Реестр_План_Факт!O111</f>
        <v/>
      </c>
      <c r="P111">
        <f>Реестр_План_Факт!P111</f>
        <v>0</v>
      </c>
      <c r="Q111">
        <f>Реестр_План_Факт!Q111</f>
        <v>0</v>
      </c>
      <c r="R111" t="str">
        <f>Реестр_План_Факт!R111</f>
        <v/>
      </c>
      <c r="S111">
        <f>Реестр_План_Факт!S111</f>
        <v>0</v>
      </c>
      <c r="T111">
        <f>Реестр_План_Факт!T111</f>
        <v>0</v>
      </c>
      <c r="U111" t="str">
        <f>Реестр_План_Факт!U111</f>
        <v/>
      </c>
      <c r="V111">
        <f>Реестр_План_Факт!V111</f>
        <v>0</v>
      </c>
      <c r="W111">
        <f>Реестр_План_Факт!W111</f>
        <v>0</v>
      </c>
      <c r="X111" t="str">
        <f>Реестр_План_Факт!X111</f>
        <v/>
      </c>
      <c r="Y111">
        <f>Реестр_План_Факт!Y111</f>
        <v>0</v>
      </c>
      <c r="Z111">
        <f>Реестр_План_Факт!Z111</f>
        <v>0</v>
      </c>
      <c r="AA111" t="str">
        <f>Реестр_План_Факт!AA111</f>
        <v/>
      </c>
      <c r="AB111">
        <f>Реестр_План_Факт!AB111</f>
        <v>0</v>
      </c>
      <c r="AC111">
        <f>Реестр_План_Факт!AC111</f>
        <v>0</v>
      </c>
      <c r="AD111" t="str">
        <f>Реестр_План_Факт!AD111</f>
        <v/>
      </c>
      <c r="AE111">
        <f>Реестр_План_Факт!AE111</f>
        <v>0</v>
      </c>
      <c r="AF111">
        <f>Реестр_План_Факт!AF111</f>
        <v>0</v>
      </c>
      <c r="AG111" t="str">
        <f>Реестр_План_Факт!AG111</f>
        <v/>
      </c>
      <c r="AH111">
        <f>Реестр_План_Факт!AH111</f>
        <v>0</v>
      </c>
      <c r="AI111">
        <f>Реестр_План_Факт!AI111</f>
        <v>0</v>
      </c>
      <c r="AJ111" t="str">
        <f>Реестр_План_Факт!AJ111</f>
        <v/>
      </c>
      <c r="AK111">
        <f>Реестр_План_Факт!AK111</f>
        <v>0</v>
      </c>
      <c r="AL111">
        <f>Реестр_План_Факт!AL111</f>
        <v>0</v>
      </c>
      <c r="AM111" t="str">
        <f>Реестр_План_Факт!AM111</f>
        <v/>
      </c>
      <c r="AN111">
        <f>Реестр_План_Факт!AN111</f>
        <v>0</v>
      </c>
      <c r="AO111">
        <f>Реестр_План_Факт!AO111</f>
        <v>0</v>
      </c>
      <c r="AP111" t="str">
        <f>Реестр_План_Факт!AP111</f>
        <v/>
      </c>
      <c r="AQ111">
        <f>Реестр_План_Факт!AQ111</f>
        <v>0</v>
      </c>
    </row>
    <row r="112" spans="1:43" x14ac:dyDescent="0.2">
      <c r="A112" s="201">
        <f>Реестр_План_Факт!A112</f>
        <v>46133</v>
      </c>
      <c r="B112">
        <f>Реестр_План_Факт!B112</f>
        <v>17</v>
      </c>
      <c r="C112">
        <f>Реестр_План_Факт!C112</f>
        <v>4</v>
      </c>
      <c r="D112">
        <f>Реестр_План_Факт!D112</f>
        <v>0</v>
      </c>
      <c r="E112">
        <f>Реестр_План_Факт!E112</f>
        <v>0</v>
      </c>
      <c r="F112" t="str">
        <f>Реестр_План_Факт!F112</f>
        <v/>
      </c>
      <c r="G112">
        <f>Реестр_План_Факт!G112</f>
        <v>0</v>
      </c>
      <c r="H112">
        <f>Реестр_План_Факт!H112</f>
        <v>0</v>
      </c>
      <c r="I112" t="str">
        <f>Реестр_План_Факт!I112</f>
        <v/>
      </c>
      <c r="J112">
        <f>Реестр_План_Факт!J112</f>
        <v>0</v>
      </c>
      <c r="K112">
        <f>Реестр_План_Факт!K112</f>
        <v>0</v>
      </c>
      <c r="L112" t="str">
        <f>Реестр_План_Факт!L112</f>
        <v/>
      </c>
      <c r="M112">
        <f>Реестр_План_Факт!M112</f>
        <v>0</v>
      </c>
      <c r="N112">
        <f>Реестр_План_Факт!N112</f>
        <v>0</v>
      </c>
      <c r="O112" t="str">
        <f>Реестр_План_Факт!O112</f>
        <v/>
      </c>
      <c r="P112">
        <f>Реестр_План_Факт!P112</f>
        <v>0</v>
      </c>
      <c r="Q112">
        <f>Реестр_План_Факт!Q112</f>
        <v>0</v>
      </c>
      <c r="R112" t="str">
        <f>Реестр_План_Факт!R112</f>
        <v/>
      </c>
      <c r="S112">
        <f>Реестр_План_Факт!S112</f>
        <v>0</v>
      </c>
      <c r="T112">
        <f>Реестр_План_Факт!T112</f>
        <v>0</v>
      </c>
      <c r="U112" t="str">
        <f>Реестр_План_Факт!U112</f>
        <v/>
      </c>
      <c r="V112">
        <f>Реестр_План_Факт!V112</f>
        <v>0</v>
      </c>
      <c r="W112">
        <f>Реестр_План_Факт!W112</f>
        <v>0</v>
      </c>
      <c r="X112" t="str">
        <f>Реестр_План_Факт!X112</f>
        <v/>
      </c>
      <c r="Y112">
        <f>Реестр_План_Факт!Y112</f>
        <v>0</v>
      </c>
      <c r="Z112">
        <f>Реестр_План_Факт!Z112</f>
        <v>0</v>
      </c>
      <c r="AA112" t="str">
        <f>Реестр_План_Факт!AA112</f>
        <v/>
      </c>
      <c r="AB112">
        <f>Реестр_План_Факт!AB112</f>
        <v>0</v>
      </c>
      <c r="AC112">
        <f>Реестр_План_Факт!AC112</f>
        <v>0</v>
      </c>
      <c r="AD112" t="str">
        <f>Реестр_План_Факт!AD112</f>
        <v/>
      </c>
      <c r="AE112">
        <f>Реестр_План_Факт!AE112</f>
        <v>0</v>
      </c>
      <c r="AF112">
        <f>Реестр_План_Факт!AF112</f>
        <v>0</v>
      </c>
      <c r="AG112" t="str">
        <f>Реестр_План_Факт!AG112</f>
        <v/>
      </c>
      <c r="AH112">
        <f>Реестр_План_Факт!AH112</f>
        <v>0</v>
      </c>
      <c r="AI112">
        <f>Реестр_План_Факт!AI112</f>
        <v>0</v>
      </c>
      <c r="AJ112" t="str">
        <f>Реестр_План_Факт!AJ112</f>
        <v/>
      </c>
      <c r="AK112">
        <f>Реестр_План_Факт!AK112</f>
        <v>0</v>
      </c>
      <c r="AL112">
        <f>Реестр_План_Факт!AL112</f>
        <v>0</v>
      </c>
      <c r="AM112" t="str">
        <f>Реестр_План_Факт!AM112</f>
        <v/>
      </c>
      <c r="AN112">
        <f>Реестр_План_Факт!AN112</f>
        <v>0</v>
      </c>
      <c r="AO112">
        <f>Реестр_План_Факт!AO112</f>
        <v>0</v>
      </c>
      <c r="AP112" t="str">
        <f>Реестр_План_Факт!AP112</f>
        <v/>
      </c>
      <c r="AQ112">
        <f>Реестр_План_Факт!AQ112</f>
        <v>0</v>
      </c>
    </row>
    <row r="113" spans="1:43" x14ac:dyDescent="0.2">
      <c r="A113" s="201">
        <f>Реестр_План_Факт!A113</f>
        <v>46134</v>
      </c>
      <c r="B113">
        <f>Реестр_План_Факт!B113</f>
        <v>17</v>
      </c>
      <c r="C113">
        <f>Реестр_План_Факт!C113</f>
        <v>4</v>
      </c>
      <c r="D113">
        <f>Реестр_План_Факт!D113</f>
        <v>0</v>
      </c>
      <c r="E113">
        <f>Реестр_План_Факт!E113</f>
        <v>0</v>
      </c>
      <c r="F113" t="str">
        <f>Реестр_План_Факт!F113</f>
        <v/>
      </c>
      <c r="G113">
        <f>Реестр_План_Факт!G113</f>
        <v>0</v>
      </c>
      <c r="H113">
        <f>Реестр_План_Факт!H113</f>
        <v>0</v>
      </c>
      <c r="I113" t="str">
        <f>Реестр_План_Факт!I113</f>
        <v/>
      </c>
      <c r="J113">
        <f>Реестр_План_Факт!J113</f>
        <v>0</v>
      </c>
      <c r="K113">
        <f>Реестр_План_Факт!K113</f>
        <v>0</v>
      </c>
      <c r="L113" t="str">
        <f>Реестр_План_Факт!L113</f>
        <v/>
      </c>
      <c r="M113">
        <f>Реестр_План_Факт!M113</f>
        <v>0</v>
      </c>
      <c r="N113">
        <f>Реестр_План_Факт!N113</f>
        <v>0</v>
      </c>
      <c r="O113" t="str">
        <f>Реестр_План_Факт!O113</f>
        <v/>
      </c>
      <c r="P113">
        <f>Реестр_План_Факт!P113</f>
        <v>0</v>
      </c>
      <c r="Q113">
        <f>Реестр_План_Факт!Q113</f>
        <v>0</v>
      </c>
      <c r="R113" t="str">
        <f>Реестр_План_Факт!R113</f>
        <v/>
      </c>
      <c r="S113">
        <f>Реестр_План_Факт!S113</f>
        <v>0</v>
      </c>
      <c r="T113">
        <f>Реестр_План_Факт!T113</f>
        <v>0</v>
      </c>
      <c r="U113" t="str">
        <f>Реестр_План_Факт!U113</f>
        <v/>
      </c>
      <c r="V113">
        <f>Реестр_План_Факт!V113</f>
        <v>0</v>
      </c>
      <c r="W113">
        <f>Реестр_План_Факт!W113</f>
        <v>0</v>
      </c>
      <c r="X113" t="str">
        <f>Реестр_План_Факт!X113</f>
        <v/>
      </c>
      <c r="Y113">
        <f>Реестр_План_Факт!Y113</f>
        <v>0</v>
      </c>
      <c r="Z113">
        <f>Реестр_План_Факт!Z113</f>
        <v>0</v>
      </c>
      <c r="AA113" t="str">
        <f>Реестр_План_Факт!AA113</f>
        <v/>
      </c>
      <c r="AB113">
        <f>Реестр_План_Факт!AB113</f>
        <v>0</v>
      </c>
      <c r="AC113">
        <f>Реестр_План_Факт!AC113</f>
        <v>0</v>
      </c>
      <c r="AD113" t="str">
        <f>Реестр_План_Факт!AD113</f>
        <v/>
      </c>
      <c r="AE113">
        <f>Реестр_План_Факт!AE113</f>
        <v>0</v>
      </c>
      <c r="AF113">
        <f>Реестр_План_Факт!AF113</f>
        <v>0</v>
      </c>
      <c r="AG113" t="str">
        <f>Реестр_План_Факт!AG113</f>
        <v/>
      </c>
      <c r="AH113">
        <f>Реестр_План_Факт!AH113</f>
        <v>0</v>
      </c>
      <c r="AI113">
        <f>Реестр_План_Факт!AI113</f>
        <v>0</v>
      </c>
      <c r="AJ113" t="str">
        <f>Реестр_План_Факт!AJ113</f>
        <v/>
      </c>
      <c r="AK113">
        <f>Реестр_План_Факт!AK113</f>
        <v>0</v>
      </c>
      <c r="AL113">
        <f>Реестр_План_Факт!AL113</f>
        <v>0</v>
      </c>
      <c r="AM113" t="str">
        <f>Реестр_План_Факт!AM113</f>
        <v/>
      </c>
      <c r="AN113">
        <f>Реестр_План_Факт!AN113</f>
        <v>0</v>
      </c>
      <c r="AO113">
        <f>Реестр_План_Факт!AO113</f>
        <v>0</v>
      </c>
      <c r="AP113" t="str">
        <f>Реестр_План_Факт!AP113</f>
        <v/>
      </c>
      <c r="AQ113">
        <f>Реестр_План_Факт!AQ113</f>
        <v>0</v>
      </c>
    </row>
    <row r="114" spans="1:43" x14ac:dyDescent="0.2">
      <c r="A114" s="201">
        <f>Реестр_План_Факт!A114</f>
        <v>46135</v>
      </c>
      <c r="B114">
        <f>Реестр_План_Факт!B114</f>
        <v>17</v>
      </c>
      <c r="C114">
        <f>Реестр_План_Факт!C114</f>
        <v>4</v>
      </c>
      <c r="D114">
        <f>Реестр_План_Факт!D114</f>
        <v>0</v>
      </c>
      <c r="E114">
        <f>Реестр_План_Факт!E114</f>
        <v>0</v>
      </c>
      <c r="F114" t="str">
        <f>Реестр_План_Факт!F114</f>
        <v/>
      </c>
      <c r="G114">
        <f>Реестр_План_Факт!G114</f>
        <v>0</v>
      </c>
      <c r="H114">
        <f>Реестр_План_Факт!H114</f>
        <v>0</v>
      </c>
      <c r="I114" t="str">
        <f>Реестр_План_Факт!I114</f>
        <v/>
      </c>
      <c r="J114">
        <f>Реестр_План_Факт!J114</f>
        <v>0</v>
      </c>
      <c r="K114">
        <f>Реестр_План_Факт!K114</f>
        <v>0</v>
      </c>
      <c r="L114" t="str">
        <f>Реестр_План_Факт!L114</f>
        <v/>
      </c>
      <c r="M114">
        <f>Реестр_План_Факт!M114</f>
        <v>0</v>
      </c>
      <c r="N114">
        <f>Реестр_План_Факт!N114</f>
        <v>0</v>
      </c>
      <c r="O114" t="str">
        <f>Реестр_План_Факт!O114</f>
        <v/>
      </c>
      <c r="P114">
        <f>Реестр_План_Факт!P114</f>
        <v>0</v>
      </c>
      <c r="Q114">
        <f>Реестр_План_Факт!Q114</f>
        <v>0</v>
      </c>
      <c r="R114" t="str">
        <f>Реестр_План_Факт!R114</f>
        <v/>
      </c>
      <c r="S114">
        <f>Реестр_План_Факт!S114</f>
        <v>0</v>
      </c>
      <c r="T114">
        <f>Реестр_План_Факт!T114</f>
        <v>0</v>
      </c>
      <c r="U114" t="str">
        <f>Реестр_План_Факт!U114</f>
        <v/>
      </c>
      <c r="V114">
        <f>Реестр_План_Факт!V114</f>
        <v>0</v>
      </c>
      <c r="W114">
        <f>Реестр_План_Факт!W114</f>
        <v>0</v>
      </c>
      <c r="X114" t="str">
        <f>Реестр_План_Факт!X114</f>
        <v/>
      </c>
      <c r="Y114">
        <f>Реестр_План_Факт!Y114</f>
        <v>0</v>
      </c>
      <c r="Z114">
        <f>Реестр_План_Факт!Z114</f>
        <v>0</v>
      </c>
      <c r="AA114" t="str">
        <f>Реестр_План_Факт!AA114</f>
        <v/>
      </c>
      <c r="AB114">
        <f>Реестр_План_Факт!AB114</f>
        <v>0</v>
      </c>
      <c r="AC114">
        <f>Реестр_План_Факт!AC114</f>
        <v>0</v>
      </c>
      <c r="AD114" t="str">
        <f>Реестр_План_Факт!AD114</f>
        <v/>
      </c>
      <c r="AE114">
        <f>Реестр_План_Факт!AE114</f>
        <v>0</v>
      </c>
      <c r="AF114">
        <f>Реестр_План_Факт!AF114</f>
        <v>0</v>
      </c>
      <c r="AG114" t="str">
        <f>Реестр_План_Факт!AG114</f>
        <v/>
      </c>
      <c r="AH114">
        <f>Реестр_План_Факт!AH114</f>
        <v>0</v>
      </c>
      <c r="AI114">
        <f>Реестр_План_Факт!AI114</f>
        <v>0</v>
      </c>
      <c r="AJ114" t="str">
        <f>Реестр_План_Факт!AJ114</f>
        <v/>
      </c>
      <c r="AK114">
        <f>Реестр_План_Факт!AK114</f>
        <v>0</v>
      </c>
      <c r="AL114">
        <f>Реестр_План_Факт!AL114</f>
        <v>0</v>
      </c>
      <c r="AM114" t="str">
        <f>Реестр_План_Факт!AM114</f>
        <v/>
      </c>
      <c r="AN114">
        <f>Реестр_План_Факт!AN114</f>
        <v>0</v>
      </c>
      <c r="AO114">
        <f>Реестр_План_Факт!AO114</f>
        <v>0</v>
      </c>
      <c r="AP114" t="str">
        <f>Реестр_План_Факт!AP114</f>
        <v/>
      </c>
      <c r="AQ114">
        <f>Реестр_План_Факт!AQ114</f>
        <v>0</v>
      </c>
    </row>
    <row r="115" spans="1:43" x14ac:dyDescent="0.2">
      <c r="A115" s="201">
        <f>Реестр_План_Факт!A115</f>
        <v>46136</v>
      </c>
      <c r="B115">
        <f>Реестр_План_Факт!B115</f>
        <v>17</v>
      </c>
      <c r="C115">
        <f>Реестр_План_Факт!C115</f>
        <v>4</v>
      </c>
      <c r="D115">
        <f>Реестр_План_Факт!D115</f>
        <v>0</v>
      </c>
      <c r="E115">
        <f>Реестр_План_Факт!E115</f>
        <v>0</v>
      </c>
      <c r="F115" t="str">
        <f>Реестр_План_Факт!F115</f>
        <v/>
      </c>
      <c r="G115">
        <f>Реестр_План_Факт!G115</f>
        <v>0</v>
      </c>
      <c r="H115">
        <f>Реестр_План_Факт!H115</f>
        <v>0</v>
      </c>
      <c r="I115" t="str">
        <f>Реестр_План_Факт!I115</f>
        <v/>
      </c>
      <c r="J115">
        <f>Реестр_План_Факт!J115</f>
        <v>0</v>
      </c>
      <c r="K115">
        <f>Реестр_План_Факт!K115</f>
        <v>0</v>
      </c>
      <c r="L115" t="str">
        <f>Реестр_План_Факт!L115</f>
        <v/>
      </c>
      <c r="M115">
        <f>Реестр_План_Факт!M115</f>
        <v>0</v>
      </c>
      <c r="N115">
        <f>Реестр_План_Факт!N115</f>
        <v>0</v>
      </c>
      <c r="O115" t="str">
        <f>Реестр_План_Факт!O115</f>
        <v/>
      </c>
      <c r="P115">
        <f>Реестр_План_Факт!P115</f>
        <v>0</v>
      </c>
      <c r="Q115">
        <f>Реестр_План_Факт!Q115</f>
        <v>0</v>
      </c>
      <c r="R115" t="str">
        <f>Реестр_План_Факт!R115</f>
        <v/>
      </c>
      <c r="S115">
        <f>Реестр_План_Факт!S115</f>
        <v>0</v>
      </c>
      <c r="T115">
        <f>Реестр_План_Факт!T115</f>
        <v>0</v>
      </c>
      <c r="U115" t="str">
        <f>Реестр_План_Факт!U115</f>
        <v/>
      </c>
      <c r="V115">
        <f>Реестр_План_Факт!V115</f>
        <v>0</v>
      </c>
      <c r="W115">
        <f>Реестр_План_Факт!W115</f>
        <v>0</v>
      </c>
      <c r="X115" t="str">
        <f>Реестр_План_Факт!X115</f>
        <v/>
      </c>
      <c r="Y115">
        <f>Реестр_План_Факт!Y115</f>
        <v>0</v>
      </c>
      <c r="Z115">
        <f>Реестр_План_Факт!Z115</f>
        <v>0</v>
      </c>
      <c r="AA115" t="str">
        <f>Реестр_План_Факт!AA115</f>
        <v/>
      </c>
      <c r="AB115">
        <f>Реестр_План_Факт!AB115</f>
        <v>0</v>
      </c>
      <c r="AC115">
        <f>Реестр_План_Факт!AC115</f>
        <v>0</v>
      </c>
      <c r="AD115" t="str">
        <f>Реестр_План_Факт!AD115</f>
        <v/>
      </c>
      <c r="AE115">
        <f>Реестр_План_Факт!AE115</f>
        <v>0</v>
      </c>
      <c r="AF115">
        <f>Реестр_План_Факт!AF115</f>
        <v>0</v>
      </c>
      <c r="AG115" t="str">
        <f>Реестр_План_Факт!AG115</f>
        <v/>
      </c>
      <c r="AH115">
        <f>Реестр_План_Факт!AH115</f>
        <v>0</v>
      </c>
      <c r="AI115">
        <f>Реестр_План_Факт!AI115</f>
        <v>0</v>
      </c>
      <c r="AJ115" t="str">
        <f>Реестр_План_Факт!AJ115</f>
        <v/>
      </c>
      <c r="AK115">
        <f>Реестр_План_Факт!AK115</f>
        <v>0</v>
      </c>
      <c r="AL115">
        <f>Реестр_План_Факт!AL115</f>
        <v>0</v>
      </c>
      <c r="AM115" t="str">
        <f>Реестр_План_Факт!AM115</f>
        <v/>
      </c>
      <c r="AN115">
        <f>Реестр_План_Факт!AN115</f>
        <v>0</v>
      </c>
      <c r="AO115">
        <f>Реестр_План_Факт!AO115</f>
        <v>0</v>
      </c>
      <c r="AP115" t="str">
        <f>Реестр_План_Факт!AP115</f>
        <v/>
      </c>
      <c r="AQ115">
        <f>Реестр_План_Факт!AQ115</f>
        <v>0</v>
      </c>
    </row>
    <row r="116" spans="1:43" x14ac:dyDescent="0.2">
      <c r="A116" s="201">
        <f>Реестр_План_Факт!A116</f>
        <v>46137</v>
      </c>
      <c r="B116">
        <f>Реестр_План_Факт!B116</f>
        <v>17</v>
      </c>
      <c r="C116">
        <f>Реестр_План_Факт!C116</f>
        <v>4</v>
      </c>
      <c r="D116">
        <f>Реестр_План_Факт!D116</f>
        <v>0</v>
      </c>
      <c r="E116">
        <f>Реестр_План_Факт!E116</f>
        <v>0</v>
      </c>
      <c r="F116" t="str">
        <f>Реестр_План_Факт!F116</f>
        <v/>
      </c>
      <c r="G116">
        <f>Реестр_План_Факт!G116</f>
        <v>0</v>
      </c>
      <c r="H116">
        <f>Реестр_План_Факт!H116</f>
        <v>0</v>
      </c>
      <c r="I116" t="str">
        <f>Реестр_План_Факт!I116</f>
        <v/>
      </c>
      <c r="J116">
        <f>Реестр_План_Факт!J116</f>
        <v>0</v>
      </c>
      <c r="K116">
        <f>Реестр_План_Факт!K116</f>
        <v>0</v>
      </c>
      <c r="L116" t="str">
        <f>Реестр_План_Факт!L116</f>
        <v/>
      </c>
      <c r="M116">
        <f>Реестр_План_Факт!M116</f>
        <v>0</v>
      </c>
      <c r="N116">
        <f>Реестр_План_Факт!N116</f>
        <v>0</v>
      </c>
      <c r="O116" t="str">
        <f>Реестр_План_Факт!O116</f>
        <v/>
      </c>
      <c r="P116">
        <f>Реестр_План_Факт!P116</f>
        <v>0</v>
      </c>
      <c r="Q116">
        <f>Реестр_План_Факт!Q116</f>
        <v>0</v>
      </c>
      <c r="R116" t="str">
        <f>Реестр_План_Факт!R116</f>
        <v/>
      </c>
      <c r="S116">
        <f>Реестр_План_Факт!S116</f>
        <v>0</v>
      </c>
      <c r="T116">
        <f>Реестр_План_Факт!T116</f>
        <v>0</v>
      </c>
      <c r="U116" t="str">
        <f>Реестр_План_Факт!U116</f>
        <v/>
      </c>
      <c r="V116">
        <f>Реестр_План_Факт!V116</f>
        <v>0</v>
      </c>
      <c r="W116">
        <f>Реестр_План_Факт!W116</f>
        <v>0</v>
      </c>
      <c r="X116" t="str">
        <f>Реестр_План_Факт!X116</f>
        <v/>
      </c>
      <c r="Y116">
        <f>Реестр_План_Факт!Y116</f>
        <v>0</v>
      </c>
      <c r="Z116">
        <f>Реестр_План_Факт!Z116</f>
        <v>0</v>
      </c>
      <c r="AA116" t="str">
        <f>Реестр_План_Факт!AA116</f>
        <v/>
      </c>
      <c r="AB116">
        <f>Реестр_План_Факт!AB116</f>
        <v>0</v>
      </c>
      <c r="AC116">
        <f>Реестр_План_Факт!AC116</f>
        <v>0</v>
      </c>
      <c r="AD116" t="str">
        <f>Реестр_План_Факт!AD116</f>
        <v/>
      </c>
      <c r="AE116">
        <f>Реестр_План_Факт!AE116</f>
        <v>0</v>
      </c>
      <c r="AF116">
        <f>Реестр_План_Факт!AF116</f>
        <v>0</v>
      </c>
      <c r="AG116" t="str">
        <f>Реестр_План_Факт!AG116</f>
        <v/>
      </c>
      <c r="AH116">
        <f>Реестр_План_Факт!AH116</f>
        <v>0</v>
      </c>
      <c r="AI116">
        <f>Реестр_План_Факт!AI116</f>
        <v>0</v>
      </c>
      <c r="AJ116" t="str">
        <f>Реестр_План_Факт!AJ116</f>
        <v/>
      </c>
      <c r="AK116">
        <f>Реестр_План_Факт!AK116</f>
        <v>0</v>
      </c>
      <c r="AL116">
        <f>Реестр_План_Факт!AL116</f>
        <v>0</v>
      </c>
      <c r="AM116" t="str">
        <f>Реестр_План_Факт!AM116</f>
        <v/>
      </c>
      <c r="AN116">
        <f>Реестр_План_Факт!AN116</f>
        <v>0</v>
      </c>
      <c r="AO116">
        <f>Реестр_План_Факт!AO116</f>
        <v>0</v>
      </c>
      <c r="AP116" t="str">
        <f>Реестр_План_Факт!AP116</f>
        <v/>
      </c>
      <c r="AQ116">
        <f>Реестр_План_Факт!AQ116</f>
        <v>0</v>
      </c>
    </row>
    <row r="117" spans="1:43" x14ac:dyDescent="0.2">
      <c r="A117" s="201">
        <f>Реестр_План_Факт!A117</f>
        <v>46138</v>
      </c>
      <c r="B117">
        <f>Реестр_План_Факт!B117</f>
        <v>17</v>
      </c>
      <c r="C117">
        <f>Реестр_План_Факт!C117</f>
        <v>4</v>
      </c>
      <c r="D117">
        <f>Реестр_План_Факт!D117</f>
        <v>0</v>
      </c>
      <c r="E117">
        <f>Реестр_План_Факт!E117</f>
        <v>0</v>
      </c>
      <c r="F117" t="str">
        <f>Реестр_План_Факт!F117</f>
        <v/>
      </c>
      <c r="G117">
        <f>Реестр_План_Факт!G117</f>
        <v>0</v>
      </c>
      <c r="H117">
        <f>Реестр_План_Факт!H117</f>
        <v>0</v>
      </c>
      <c r="I117" t="str">
        <f>Реестр_План_Факт!I117</f>
        <v/>
      </c>
      <c r="J117">
        <f>Реестр_План_Факт!J117</f>
        <v>0</v>
      </c>
      <c r="K117">
        <f>Реестр_План_Факт!K117</f>
        <v>0</v>
      </c>
      <c r="L117" t="str">
        <f>Реестр_План_Факт!L117</f>
        <v/>
      </c>
      <c r="M117">
        <f>Реестр_План_Факт!M117</f>
        <v>0</v>
      </c>
      <c r="N117">
        <f>Реестр_План_Факт!N117</f>
        <v>0</v>
      </c>
      <c r="O117" t="str">
        <f>Реестр_План_Факт!O117</f>
        <v/>
      </c>
      <c r="P117">
        <f>Реестр_План_Факт!P117</f>
        <v>0</v>
      </c>
      <c r="Q117">
        <f>Реестр_План_Факт!Q117</f>
        <v>0</v>
      </c>
      <c r="R117" t="str">
        <f>Реестр_План_Факт!R117</f>
        <v/>
      </c>
      <c r="S117">
        <f>Реестр_План_Факт!S117</f>
        <v>0</v>
      </c>
      <c r="T117">
        <f>Реестр_План_Факт!T117</f>
        <v>0</v>
      </c>
      <c r="U117" t="str">
        <f>Реестр_План_Факт!U117</f>
        <v/>
      </c>
      <c r="V117">
        <f>Реестр_План_Факт!V117</f>
        <v>0</v>
      </c>
      <c r="W117">
        <f>Реестр_План_Факт!W117</f>
        <v>0</v>
      </c>
      <c r="X117" t="str">
        <f>Реестр_План_Факт!X117</f>
        <v/>
      </c>
      <c r="Y117">
        <f>Реестр_План_Факт!Y117</f>
        <v>0</v>
      </c>
      <c r="Z117">
        <f>Реестр_План_Факт!Z117</f>
        <v>0</v>
      </c>
      <c r="AA117" t="str">
        <f>Реестр_План_Факт!AA117</f>
        <v/>
      </c>
      <c r="AB117">
        <f>Реестр_План_Факт!AB117</f>
        <v>0</v>
      </c>
      <c r="AC117">
        <f>Реестр_План_Факт!AC117</f>
        <v>0</v>
      </c>
      <c r="AD117" t="str">
        <f>Реестр_План_Факт!AD117</f>
        <v/>
      </c>
      <c r="AE117">
        <f>Реестр_План_Факт!AE117</f>
        <v>0</v>
      </c>
      <c r="AF117">
        <f>Реестр_План_Факт!AF117</f>
        <v>0</v>
      </c>
      <c r="AG117" t="str">
        <f>Реестр_План_Факт!AG117</f>
        <v/>
      </c>
      <c r="AH117">
        <f>Реестр_План_Факт!AH117</f>
        <v>0</v>
      </c>
      <c r="AI117">
        <f>Реестр_План_Факт!AI117</f>
        <v>0</v>
      </c>
      <c r="AJ117" t="str">
        <f>Реестр_План_Факт!AJ117</f>
        <v/>
      </c>
      <c r="AK117">
        <f>Реестр_План_Факт!AK117</f>
        <v>0</v>
      </c>
      <c r="AL117">
        <f>Реестр_План_Факт!AL117</f>
        <v>0</v>
      </c>
      <c r="AM117" t="str">
        <f>Реестр_План_Факт!AM117</f>
        <v/>
      </c>
      <c r="AN117">
        <f>Реестр_План_Факт!AN117</f>
        <v>0</v>
      </c>
      <c r="AO117">
        <f>Реестр_План_Факт!AO117</f>
        <v>0</v>
      </c>
      <c r="AP117" t="str">
        <f>Реестр_План_Факт!AP117</f>
        <v/>
      </c>
      <c r="AQ117">
        <f>Реестр_План_Факт!AQ117</f>
        <v>0</v>
      </c>
    </row>
    <row r="118" spans="1:43" x14ac:dyDescent="0.2">
      <c r="A118" s="201">
        <f>Реестр_План_Факт!A118</f>
        <v>46139</v>
      </c>
      <c r="B118">
        <f>Реестр_План_Факт!B118</f>
        <v>18</v>
      </c>
      <c r="C118">
        <f>Реестр_План_Факт!C118</f>
        <v>4</v>
      </c>
      <c r="D118">
        <f>Реестр_План_Факт!D118</f>
        <v>0</v>
      </c>
      <c r="E118">
        <f>Реестр_План_Факт!E118</f>
        <v>0</v>
      </c>
      <c r="F118" t="str">
        <f>Реестр_План_Факт!F118</f>
        <v/>
      </c>
      <c r="G118">
        <f>Реестр_План_Факт!G118</f>
        <v>0</v>
      </c>
      <c r="H118">
        <f>Реестр_План_Факт!H118</f>
        <v>0</v>
      </c>
      <c r="I118" t="str">
        <f>Реестр_План_Факт!I118</f>
        <v/>
      </c>
      <c r="J118">
        <f>Реестр_План_Факт!J118</f>
        <v>0</v>
      </c>
      <c r="K118">
        <f>Реестр_План_Факт!K118</f>
        <v>0</v>
      </c>
      <c r="L118" t="str">
        <f>Реестр_План_Факт!L118</f>
        <v/>
      </c>
      <c r="M118">
        <f>Реестр_План_Факт!M118</f>
        <v>0</v>
      </c>
      <c r="N118">
        <f>Реестр_План_Факт!N118</f>
        <v>0</v>
      </c>
      <c r="O118" t="str">
        <f>Реестр_План_Факт!O118</f>
        <v/>
      </c>
      <c r="P118">
        <f>Реестр_План_Факт!P118</f>
        <v>0</v>
      </c>
      <c r="Q118">
        <f>Реестр_План_Факт!Q118</f>
        <v>0</v>
      </c>
      <c r="R118" t="str">
        <f>Реестр_План_Факт!R118</f>
        <v/>
      </c>
      <c r="S118">
        <f>Реестр_План_Факт!S118</f>
        <v>0</v>
      </c>
      <c r="T118">
        <f>Реестр_План_Факт!T118</f>
        <v>0</v>
      </c>
      <c r="U118" t="str">
        <f>Реестр_План_Факт!U118</f>
        <v/>
      </c>
      <c r="V118">
        <f>Реестр_План_Факт!V118</f>
        <v>0</v>
      </c>
      <c r="W118">
        <f>Реестр_План_Факт!W118</f>
        <v>0</v>
      </c>
      <c r="X118" t="str">
        <f>Реестр_План_Факт!X118</f>
        <v/>
      </c>
      <c r="Y118">
        <f>Реестр_План_Факт!Y118</f>
        <v>0</v>
      </c>
      <c r="Z118">
        <f>Реестр_План_Факт!Z118</f>
        <v>0</v>
      </c>
      <c r="AA118" t="str">
        <f>Реестр_План_Факт!AA118</f>
        <v/>
      </c>
      <c r="AB118">
        <f>Реестр_План_Факт!AB118</f>
        <v>0</v>
      </c>
      <c r="AC118">
        <f>Реестр_План_Факт!AC118</f>
        <v>0</v>
      </c>
      <c r="AD118" t="str">
        <f>Реестр_План_Факт!AD118</f>
        <v/>
      </c>
      <c r="AE118">
        <f>Реестр_План_Факт!AE118</f>
        <v>0</v>
      </c>
      <c r="AF118">
        <f>Реестр_План_Факт!AF118</f>
        <v>0</v>
      </c>
      <c r="AG118" t="str">
        <f>Реестр_План_Факт!AG118</f>
        <v/>
      </c>
      <c r="AH118">
        <f>Реестр_План_Факт!AH118</f>
        <v>0</v>
      </c>
      <c r="AI118">
        <f>Реестр_План_Факт!AI118</f>
        <v>0</v>
      </c>
      <c r="AJ118" t="str">
        <f>Реестр_План_Факт!AJ118</f>
        <v/>
      </c>
      <c r="AK118">
        <f>Реестр_План_Факт!AK118</f>
        <v>0</v>
      </c>
      <c r="AL118">
        <f>Реестр_План_Факт!AL118</f>
        <v>0</v>
      </c>
      <c r="AM118" t="str">
        <f>Реестр_План_Факт!AM118</f>
        <v/>
      </c>
      <c r="AN118">
        <f>Реестр_План_Факт!AN118</f>
        <v>0</v>
      </c>
      <c r="AO118">
        <f>Реестр_План_Факт!AO118</f>
        <v>0</v>
      </c>
      <c r="AP118" t="str">
        <f>Реестр_План_Факт!AP118</f>
        <v/>
      </c>
      <c r="AQ118">
        <f>Реестр_План_Факт!AQ118</f>
        <v>0</v>
      </c>
    </row>
    <row r="119" spans="1:43" x14ac:dyDescent="0.2">
      <c r="A119" s="201">
        <f>Реестр_План_Факт!A119</f>
        <v>46140</v>
      </c>
      <c r="B119">
        <f>Реестр_План_Факт!B119</f>
        <v>18</v>
      </c>
      <c r="C119">
        <f>Реестр_План_Факт!C119</f>
        <v>4</v>
      </c>
      <c r="D119">
        <f>Реестр_План_Факт!D119</f>
        <v>0</v>
      </c>
      <c r="E119">
        <f>Реестр_План_Факт!E119</f>
        <v>0</v>
      </c>
      <c r="F119" t="str">
        <f>Реестр_План_Факт!F119</f>
        <v/>
      </c>
      <c r="G119">
        <f>Реестр_План_Факт!G119</f>
        <v>0</v>
      </c>
      <c r="H119">
        <f>Реестр_План_Факт!H119</f>
        <v>0</v>
      </c>
      <c r="I119" t="str">
        <f>Реестр_План_Факт!I119</f>
        <v/>
      </c>
      <c r="J119">
        <f>Реестр_План_Факт!J119</f>
        <v>0</v>
      </c>
      <c r="K119">
        <f>Реестр_План_Факт!K119</f>
        <v>0</v>
      </c>
      <c r="L119" t="str">
        <f>Реестр_План_Факт!L119</f>
        <v/>
      </c>
      <c r="M119">
        <f>Реестр_План_Факт!M119</f>
        <v>0</v>
      </c>
      <c r="N119">
        <f>Реестр_План_Факт!N119</f>
        <v>0</v>
      </c>
      <c r="O119" t="str">
        <f>Реестр_План_Факт!O119</f>
        <v/>
      </c>
      <c r="P119">
        <f>Реестр_План_Факт!P119</f>
        <v>0</v>
      </c>
      <c r="Q119">
        <f>Реестр_План_Факт!Q119</f>
        <v>0</v>
      </c>
      <c r="R119" t="str">
        <f>Реестр_План_Факт!R119</f>
        <v/>
      </c>
      <c r="S119">
        <f>Реестр_План_Факт!S119</f>
        <v>0</v>
      </c>
      <c r="T119">
        <f>Реестр_План_Факт!T119</f>
        <v>0</v>
      </c>
      <c r="U119" t="str">
        <f>Реестр_План_Факт!U119</f>
        <v/>
      </c>
      <c r="V119">
        <f>Реестр_План_Факт!V119</f>
        <v>0</v>
      </c>
      <c r="W119">
        <f>Реестр_План_Факт!W119</f>
        <v>0</v>
      </c>
      <c r="X119" t="str">
        <f>Реестр_План_Факт!X119</f>
        <v/>
      </c>
      <c r="Y119">
        <f>Реестр_План_Факт!Y119</f>
        <v>0</v>
      </c>
      <c r="Z119">
        <f>Реестр_План_Факт!Z119</f>
        <v>0</v>
      </c>
      <c r="AA119" t="str">
        <f>Реестр_План_Факт!AA119</f>
        <v/>
      </c>
      <c r="AB119">
        <f>Реестр_План_Факт!AB119</f>
        <v>0</v>
      </c>
      <c r="AC119">
        <f>Реестр_План_Факт!AC119</f>
        <v>0</v>
      </c>
      <c r="AD119" t="str">
        <f>Реестр_План_Факт!AD119</f>
        <v/>
      </c>
      <c r="AE119">
        <f>Реестр_План_Факт!AE119</f>
        <v>0</v>
      </c>
      <c r="AF119">
        <f>Реестр_План_Факт!AF119</f>
        <v>0</v>
      </c>
      <c r="AG119" t="str">
        <f>Реестр_План_Факт!AG119</f>
        <v/>
      </c>
      <c r="AH119">
        <f>Реестр_План_Факт!AH119</f>
        <v>0</v>
      </c>
      <c r="AI119">
        <f>Реестр_План_Факт!AI119</f>
        <v>0</v>
      </c>
      <c r="AJ119" t="str">
        <f>Реестр_План_Факт!AJ119</f>
        <v/>
      </c>
      <c r="AK119">
        <f>Реестр_План_Факт!AK119</f>
        <v>0</v>
      </c>
      <c r="AL119">
        <f>Реестр_План_Факт!AL119</f>
        <v>0</v>
      </c>
      <c r="AM119" t="str">
        <f>Реестр_План_Факт!AM119</f>
        <v/>
      </c>
      <c r="AN119">
        <f>Реестр_План_Факт!AN119</f>
        <v>0</v>
      </c>
      <c r="AO119">
        <f>Реестр_План_Факт!AO119</f>
        <v>0</v>
      </c>
      <c r="AP119" t="str">
        <f>Реестр_План_Факт!AP119</f>
        <v/>
      </c>
      <c r="AQ119">
        <f>Реестр_План_Факт!AQ119</f>
        <v>0</v>
      </c>
    </row>
    <row r="120" spans="1:43" x14ac:dyDescent="0.2">
      <c r="A120" s="201">
        <f>Реестр_План_Факт!A120</f>
        <v>46141</v>
      </c>
      <c r="B120">
        <f>Реестр_План_Факт!B120</f>
        <v>18</v>
      </c>
      <c r="C120">
        <f>Реестр_План_Факт!C120</f>
        <v>4</v>
      </c>
      <c r="D120">
        <f>Реестр_План_Факт!D120</f>
        <v>0</v>
      </c>
      <c r="E120">
        <f>Реестр_План_Факт!E120</f>
        <v>0</v>
      </c>
      <c r="F120" t="str">
        <f>Реестр_План_Факт!F120</f>
        <v/>
      </c>
      <c r="G120">
        <f>Реестр_План_Факт!G120</f>
        <v>0</v>
      </c>
      <c r="H120">
        <f>Реестр_План_Факт!H120</f>
        <v>0</v>
      </c>
      <c r="I120" t="str">
        <f>Реестр_План_Факт!I120</f>
        <v/>
      </c>
      <c r="J120">
        <f>Реестр_План_Факт!J120</f>
        <v>0</v>
      </c>
      <c r="K120">
        <f>Реестр_План_Факт!K120</f>
        <v>0</v>
      </c>
      <c r="L120" t="str">
        <f>Реестр_План_Факт!L120</f>
        <v/>
      </c>
      <c r="M120">
        <f>Реестр_План_Факт!M120</f>
        <v>0</v>
      </c>
      <c r="N120">
        <f>Реестр_План_Факт!N120</f>
        <v>0</v>
      </c>
      <c r="O120" t="str">
        <f>Реестр_План_Факт!O120</f>
        <v/>
      </c>
      <c r="P120">
        <f>Реестр_План_Факт!P120</f>
        <v>0</v>
      </c>
      <c r="Q120">
        <f>Реестр_План_Факт!Q120</f>
        <v>0</v>
      </c>
      <c r="R120" t="str">
        <f>Реестр_План_Факт!R120</f>
        <v/>
      </c>
      <c r="S120">
        <f>Реестр_План_Факт!S120</f>
        <v>0</v>
      </c>
      <c r="T120">
        <f>Реестр_План_Факт!T120</f>
        <v>0</v>
      </c>
      <c r="U120" t="str">
        <f>Реестр_План_Факт!U120</f>
        <v/>
      </c>
      <c r="V120">
        <f>Реестр_План_Факт!V120</f>
        <v>0</v>
      </c>
      <c r="W120">
        <f>Реестр_План_Факт!W120</f>
        <v>0</v>
      </c>
      <c r="X120" t="str">
        <f>Реестр_План_Факт!X120</f>
        <v/>
      </c>
      <c r="Y120">
        <f>Реестр_План_Факт!Y120</f>
        <v>0</v>
      </c>
      <c r="Z120">
        <f>Реестр_План_Факт!Z120</f>
        <v>0</v>
      </c>
      <c r="AA120" t="str">
        <f>Реестр_План_Факт!AA120</f>
        <v/>
      </c>
      <c r="AB120">
        <f>Реестр_План_Факт!AB120</f>
        <v>0</v>
      </c>
      <c r="AC120">
        <f>Реестр_План_Факт!AC120</f>
        <v>0</v>
      </c>
      <c r="AD120" t="str">
        <f>Реестр_План_Факт!AD120</f>
        <v/>
      </c>
      <c r="AE120">
        <f>Реестр_План_Факт!AE120</f>
        <v>0</v>
      </c>
      <c r="AF120">
        <f>Реестр_План_Факт!AF120</f>
        <v>0</v>
      </c>
      <c r="AG120" t="str">
        <f>Реестр_План_Факт!AG120</f>
        <v/>
      </c>
      <c r="AH120">
        <f>Реестр_План_Факт!AH120</f>
        <v>0</v>
      </c>
      <c r="AI120">
        <f>Реестр_План_Факт!AI120</f>
        <v>0</v>
      </c>
      <c r="AJ120" t="str">
        <f>Реестр_План_Факт!AJ120</f>
        <v/>
      </c>
      <c r="AK120">
        <f>Реестр_План_Факт!AK120</f>
        <v>0</v>
      </c>
      <c r="AL120">
        <f>Реестр_План_Факт!AL120</f>
        <v>0</v>
      </c>
      <c r="AM120" t="str">
        <f>Реестр_План_Факт!AM120</f>
        <v/>
      </c>
      <c r="AN120">
        <f>Реестр_План_Факт!AN120</f>
        <v>0</v>
      </c>
      <c r="AO120">
        <f>Реестр_План_Факт!AO120</f>
        <v>0</v>
      </c>
      <c r="AP120" t="str">
        <f>Реестр_План_Факт!AP120</f>
        <v/>
      </c>
      <c r="AQ120">
        <f>Реестр_План_Факт!AQ120</f>
        <v>0</v>
      </c>
    </row>
    <row r="121" spans="1:43" x14ac:dyDescent="0.2">
      <c r="A121" s="201">
        <f>Реестр_План_Факт!A121</f>
        <v>46142</v>
      </c>
      <c r="B121">
        <f>Реестр_План_Факт!B121</f>
        <v>18</v>
      </c>
      <c r="C121">
        <f>Реестр_План_Факт!C121</f>
        <v>4</v>
      </c>
      <c r="D121">
        <f>Реестр_План_Факт!D121</f>
        <v>0</v>
      </c>
      <c r="E121">
        <f>Реестр_План_Факт!E121</f>
        <v>0</v>
      </c>
      <c r="F121" t="str">
        <f>Реестр_План_Факт!F121</f>
        <v/>
      </c>
      <c r="G121">
        <f>Реестр_План_Факт!G121</f>
        <v>0</v>
      </c>
      <c r="H121">
        <f>Реестр_План_Факт!H121</f>
        <v>0</v>
      </c>
      <c r="I121" t="str">
        <f>Реестр_План_Факт!I121</f>
        <v/>
      </c>
      <c r="J121">
        <f>Реестр_План_Факт!J121</f>
        <v>0</v>
      </c>
      <c r="K121">
        <f>Реестр_План_Факт!K121</f>
        <v>0</v>
      </c>
      <c r="L121" t="str">
        <f>Реестр_План_Факт!L121</f>
        <v/>
      </c>
      <c r="M121">
        <f>Реестр_План_Факт!M121</f>
        <v>0</v>
      </c>
      <c r="N121">
        <f>Реестр_План_Факт!N121</f>
        <v>0</v>
      </c>
      <c r="O121" t="str">
        <f>Реестр_План_Факт!O121</f>
        <v/>
      </c>
      <c r="P121">
        <f>Реестр_План_Факт!P121</f>
        <v>0</v>
      </c>
      <c r="Q121">
        <f>Реестр_План_Факт!Q121</f>
        <v>0</v>
      </c>
      <c r="R121" t="str">
        <f>Реестр_План_Факт!R121</f>
        <v/>
      </c>
      <c r="S121">
        <f>Реестр_План_Факт!S121</f>
        <v>0</v>
      </c>
      <c r="T121">
        <f>Реестр_План_Факт!T121</f>
        <v>0</v>
      </c>
      <c r="U121" t="str">
        <f>Реестр_План_Факт!U121</f>
        <v/>
      </c>
      <c r="V121">
        <f>Реестр_План_Факт!V121</f>
        <v>0</v>
      </c>
      <c r="W121">
        <f>Реестр_План_Факт!W121</f>
        <v>0</v>
      </c>
      <c r="X121" t="str">
        <f>Реестр_План_Факт!X121</f>
        <v/>
      </c>
      <c r="Y121">
        <f>Реестр_План_Факт!Y121</f>
        <v>0</v>
      </c>
      <c r="Z121">
        <f>Реестр_План_Факт!Z121</f>
        <v>0</v>
      </c>
      <c r="AA121" t="str">
        <f>Реестр_План_Факт!AA121</f>
        <v/>
      </c>
      <c r="AB121">
        <f>Реестр_План_Факт!AB121</f>
        <v>0</v>
      </c>
      <c r="AC121">
        <f>Реестр_План_Факт!AC121</f>
        <v>0</v>
      </c>
      <c r="AD121" t="str">
        <f>Реестр_План_Факт!AD121</f>
        <v/>
      </c>
      <c r="AE121">
        <f>Реестр_План_Факт!AE121</f>
        <v>0</v>
      </c>
      <c r="AF121">
        <f>Реестр_План_Факт!AF121</f>
        <v>0</v>
      </c>
      <c r="AG121" t="str">
        <f>Реестр_План_Факт!AG121</f>
        <v/>
      </c>
      <c r="AH121">
        <f>Реестр_План_Факт!AH121</f>
        <v>0</v>
      </c>
      <c r="AI121">
        <f>Реестр_План_Факт!AI121</f>
        <v>0</v>
      </c>
      <c r="AJ121" t="str">
        <f>Реестр_План_Факт!AJ121</f>
        <v/>
      </c>
      <c r="AK121">
        <f>Реестр_План_Факт!AK121</f>
        <v>0</v>
      </c>
      <c r="AL121">
        <f>Реестр_План_Факт!AL121</f>
        <v>0</v>
      </c>
      <c r="AM121" t="str">
        <f>Реестр_План_Факт!AM121</f>
        <v/>
      </c>
      <c r="AN121">
        <f>Реестр_План_Факт!AN121</f>
        <v>0</v>
      </c>
      <c r="AO121">
        <f>Реестр_План_Факт!AO121</f>
        <v>0</v>
      </c>
      <c r="AP121" t="str">
        <f>Реестр_План_Факт!AP121</f>
        <v/>
      </c>
      <c r="AQ121">
        <f>Реестр_План_Факт!AQ121</f>
        <v>0</v>
      </c>
    </row>
    <row r="122" spans="1:43" x14ac:dyDescent="0.2">
      <c r="A122" s="201">
        <f>Реестр_План_Факт!A122</f>
        <v>46143</v>
      </c>
      <c r="B122">
        <f>Реестр_План_Факт!B122</f>
        <v>18</v>
      </c>
      <c r="C122">
        <f>Реестр_План_Факт!C122</f>
        <v>5</v>
      </c>
      <c r="D122">
        <f>Реестр_План_Факт!D122</f>
        <v>0</v>
      </c>
      <c r="E122">
        <f>Реестр_План_Факт!E122</f>
        <v>0</v>
      </c>
      <c r="F122" t="str">
        <f>Реестр_План_Факт!F122</f>
        <v/>
      </c>
      <c r="G122">
        <f>Реестр_План_Факт!G122</f>
        <v>0</v>
      </c>
      <c r="H122">
        <f>Реестр_План_Факт!H122</f>
        <v>0</v>
      </c>
      <c r="I122" t="str">
        <f>Реестр_План_Факт!I122</f>
        <v/>
      </c>
      <c r="J122">
        <f>Реестр_План_Факт!J122</f>
        <v>0</v>
      </c>
      <c r="K122">
        <f>Реестр_План_Факт!K122</f>
        <v>0</v>
      </c>
      <c r="L122" t="str">
        <f>Реестр_План_Факт!L122</f>
        <v/>
      </c>
      <c r="M122">
        <f>Реестр_План_Факт!M122</f>
        <v>0</v>
      </c>
      <c r="N122">
        <f>Реестр_План_Факт!N122</f>
        <v>0</v>
      </c>
      <c r="O122" t="str">
        <f>Реестр_План_Факт!O122</f>
        <v/>
      </c>
      <c r="P122">
        <f>Реестр_План_Факт!P122</f>
        <v>0</v>
      </c>
      <c r="Q122">
        <f>Реестр_План_Факт!Q122</f>
        <v>0</v>
      </c>
      <c r="R122" t="str">
        <f>Реестр_План_Факт!R122</f>
        <v/>
      </c>
      <c r="S122">
        <f>Реестр_План_Факт!S122</f>
        <v>0</v>
      </c>
      <c r="T122">
        <f>Реестр_План_Факт!T122</f>
        <v>0</v>
      </c>
      <c r="U122" t="str">
        <f>Реестр_План_Факт!U122</f>
        <v/>
      </c>
      <c r="V122">
        <f>Реестр_План_Факт!V122</f>
        <v>0</v>
      </c>
      <c r="W122">
        <f>Реестр_План_Факт!W122</f>
        <v>0</v>
      </c>
      <c r="X122" t="str">
        <f>Реестр_План_Факт!X122</f>
        <v/>
      </c>
      <c r="Y122">
        <f>Реестр_План_Факт!Y122</f>
        <v>0</v>
      </c>
      <c r="Z122">
        <f>Реестр_План_Факт!Z122</f>
        <v>0</v>
      </c>
      <c r="AA122" t="str">
        <f>Реестр_План_Факт!AA122</f>
        <v/>
      </c>
      <c r="AB122">
        <f>Реестр_План_Факт!AB122</f>
        <v>0</v>
      </c>
      <c r="AC122">
        <f>Реестр_План_Факт!AC122</f>
        <v>0</v>
      </c>
      <c r="AD122" t="str">
        <f>Реестр_План_Факт!AD122</f>
        <v/>
      </c>
      <c r="AE122">
        <f>Реестр_План_Факт!AE122</f>
        <v>0</v>
      </c>
      <c r="AF122">
        <f>Реестр_План_Факт!AF122</f>
        <v>0</v>
      </c>
      <c r="AG122" t="str">
        <f>Реестр_План_Факт!AG122</f>
        <v/>
      </c>
      <c r="AH122">
        <f>Реестр_План_Факт!AH122</f>
        <v>0</v>
      </c>
      <c r="AI122">
        <f>Реестр_План_Факт!AI122</f>
        <v>0</v>
      </c>
      <c r="AJ122" t="str">
        <f>Реестр_План_Факт!AJ122</f>
        <v/>
      </c>
      <c r="AK122">
        <f>Реестр_План_Факт!AK122</f>
        <v>0</v>
      </c>
      <c r="AL122">
        <f>Реестр_План_Факт!AL122</f>
        <v>0</v>
      </c>
      <c r="AM122" t="str">
        <f>Реестр_План_Факт!AM122</f>
        <v/>
      </c>
      <c r="AN122">
        <f>Реестр_План_Факт!AN122</f>
        <v>0</v>
      </c>
      <c r="AO122">
        <f>Реестр_План_Факт!AO122</f>
        <v>0</v>
      </c>
      <c r="AP122" t="str">
        <f>Реестр_План_Факт!AP122</f>
        <v/>
      </c>
      <c r="AQ122">
        <f>Реестр_План_Факт!AQ122</f>
        <v>0</v>
      </c>
    </row>
    <row r="123" spans="1:43" x14ac:dyDescent="0.2">
      <c r="A123" s="201">
        <f>Реестр_План_Факт!A123</f>
        <v>46144</v>
      </c>
      <c r="B123">
        <f>Реестр_План_Факт!B123</f>
        <v>18</v>
      </c>
      <c r="C123">
        <f>Реестр_План_Факт!C123</f>
        <v>5</v>
      </c>
      <c r="D123">
        <f>Реестр_План_Факт!D123</f>
        <v>0</v>
      </c>
      <c r="E123">
        <f>Реестр_План_Факт!E123</f>
        <v>0</v>
      </c>
      <c r="F123" t="str">
        <f>Реестр_План_Факт!F123</f>
        <v/>
      </c>
      <c r="G123">
        <f>Реестр_План_Факт!G123</f>
        <v>0</v>
      </c>
      <c r="H123">
        <f>Реестр_План_Факт!H123</f>
        <v>0</v>
      </c>
      <c r="I123" t="str">
        <f>Реестр_План_Факт!I123</f>
        <v/>
      </c>
      <c r="J123">
        <f>Реестр_План_Факт!J123</f>
        <v>0</v>
      </c>
      <c r="K123">
        <f>Реестр_План_Факт!K123</f>
        <v>0</v>
      </c>
      <c r="L123" t="str">
        <f>Реестр_План_Факт!L123</f>
        <v/>
      </c>
      <c r="M123">
        <f>Реестр_План_Факт!M123</f>
        <v>0</v>
      </c>
      <c r="N123">
        <f>Реестр_План_Факт!N123</f>
        <v>0</v>
      </c>
      <c r="O123" t="str">
        <f>Реестр_План_Факт!O123</f>
        <v/>
      </c>
      <c r="P123">
        <f>Реестр_План_Факт!P123</f>
        <v>0</v>
      </c>
      <c r="Q123">
        <f>Реестр_План_Факт!Q123</f>
        <v>0</v>
      </c>
      <c r="R123" t="str">
        <f>Реестр_План_Факт!R123</f>
        <v/>
      </c>
      <c r="S123">
        <f>Реестр_План_Факт!S123</f>
        <v>0</v>
      </c>
      <c r="T123">
        <f>Реестр_План_Факт!T123</f>
        <v>0</v>
      </c>
      <c r="U123" t="str">
        <f>Реестр_План_Факт!U123</f>
        <v/>
      </c>
      <c r="V123">
        <f>Реестр_План_Факт!V123</f>
        <v>0</v>
      </c>
      <c r="W123">
        <f>Реестр_План_Факт!W123</f>
        <v>0</v>
      </c>
      <c r="X123" t="str">
        <f>Реестр_План_Факт!X123</f>
        <v/>
      </c>
      <c r="Y123">
        <f>Реестр_План_Факт!Y123</f>
        <v>0</v>
      </c>
      <c r="Z123">
        <f>Реестр_План_Факт!Z123</f>
        <v>0</v>
      </c>
      <c r="AA123" t="str">
        <f>Реестр_План_Факт!AA123</f>
        <v/>
      </c>
      <c r="AB123">
        <f>Реестр_План_Факт!AB123</f>
        <v>0</v>
      </c>
      <c r="AC123">
        <f>Реестр_План_Факт!AC123</f>
        <v>0</v>
      </c>
      <c r="AD123" t="str">
        <f>Реестр_План_Факт!AD123</f>
        <v/>
      </c>
      <c r="AE123">
        <f>Реестр_План_Факт!AE123</f>
        <v>0</v>
      </c>
      <c r="AF123">
        <f>Реестр_План_Факт!AF123</f>
        <v>0</v>
      </c>
      <c r="AG123" t="str">
        <f>Реестр_План_Факт!AG123</f>
        <v/>
      </c>
      <c r="AH123">
        <f>Реестр_План_Факт!AH123</f>
        <v>0</v>
      </c>
      <c r="AI123">
        <f>Реестр_План_Факт!AI123</f>
        <v>0</v>
      </c>
      <c r="AJ123" t="str">
        <f>Реестр_План_Факт!AJ123</f>
        <v/>
      </c>
      <c r="AK123">
        <f>Реестр_План_Факт!AK123</f>
        <v>0</v>
      </c>
      <c r="AL123">
        <f>Реестр_План_Факт!AL123</f>
        <v>0</v>
      </c>
      <c r="AM123" t="str">
        <f>Реестр_План_Факт!AM123</f>
        <v/>
      </c>
      <c r="AN123">
        <f>Реестр_План_Факт!AN123</f>
        <v>0</v>
      </c>
      <c r="AO123">
        <f>Реестр_План_Факт!AO123</f>
        <v>0</v>
      </c>
      <c r="AP123" t="str">
        <f>Реестр_План_Факт!AP123</f>
        <v/>
      </c>
      <c r="AQ123">
        <f>Реестр_План_Факт!AQ123</f>
        <v>0</v>
      </c>
    </row>
    <row r="124" spans="1:43" x14ac:dyDescent="0.2">
      <c r="A124" s="201">
        <f>Реестр_План_Факт!A124</f>
        <v>46145</v>
      </c>
      <c r="B124">
        <f>Реестр_План_Факт!B124</f>
        <v>18</v>
      </c>
      <c r="C124">
        <f>Реестр_План_Факт!C124</f>
        <v>5</v>
      </c>
      <c r="D124">
        <f>Реестр_План_Факт!D124</f>
        <v>0</v>
      </c>
      <c r="E124">
        <f>Реестр_План_Факт!E124</f>
        <v>0</v>
      </c>
      <c r="F124" t="str">
        <f>Реестр_План_Факт!F124</f>
        <v/>
      </c>
      <c r="G124">
        <f>Реестр_План_Факт!G124</f>
        <v>0</v>
      </c>
      <c r="H124">
        <f>Реестр_План_Факт!H124</f>
        <v>0</v>
      </c>
      <c r="I124" t="str">
        <f>Реестр_План_Факт!I124</f>
        <v/>
      </c>
      <c r="J124">
        <f>Реестр_План_Факт!J124</f>
        <v>0</v>
      </c>
      <c r="K124">
        <f>Реестр_План_Факт!K124</f>
        <v>0</v>
      </c>
      <c r="L124" t="str">
        <f>Реестр_План_Факт!L124</f>
        <v/>
      </c>
      <c r="M124">
        <f>Реестр_План_Факт!M124</f>
        <v>0</v>
      </c>
      <c r="N124">
        <f>Реестр_План_Факт!N124</f>
        <v>0</v>
      </c>
      <c r="O124" t="str">
        <f>Реестр_План_Факт!O124</f>
        <v/>
      </c>
      <c r="P124">
        <f>Реестр_План_Факт!P124</f>
        <v>0</v>
      </c>
      <c r="Q124">
        <f>Реестр_План_Факт!Q124</f>
        <v>0</v>
      </c>
      <c r="R124" t="str">
        <f>Реестр_План_Факт!R124</f>
        <v/>
      </c>
      <c r="S124">
        <f>Реестр_План_Факт!S124</f>
        <v>0</v>
      </c>
      <c r="T124">
        <f>Реестр_План_Факт!T124</f>
        <v>0</v>
      </c>
      <c r="U124" t="str">
        <f>Реестр_План_Факт!U124</f>
        <v/>
      </c>
      <c r="V124">
        <f>Реестр_План_Факт!V124</f>
        <v>0</v>
      </c>
      <c r="W124">
        <f>Реестр_План_Факт!W124</f>
        <v>0</v>
      </c>
      <c r="X124" t="str">
        <f>Реестр_План_Факт!X124</f>
        <v/>
      </c>
      <c r="Y124">
        <f>Реестр_План_Факт!Y124</f>
        <v>0</v>
      </c>
      <c r="Z124">
        <f>Реестр_План_Факт!Z124</f>
        <v>0</v>
      </c>
      <c r="AA124" t="str">
        <f>Реестр_План_Факт!AA124</f>
        <v/>
      </c>
      <c r="AB124">
        <f>Реестр_План_Факт!AB124</f>
        <v>0</v>
      </c>
      <c r="AC124">
        <f>Реестр_План_Факт!AC124</f>
        <v>0</v>
      </c>
      <c r="AD124" t="str">
        <f>Реестр_План_Факт!AD124</f>
        <v/>
      </c>
      <c r="AE124">
        <f>Реестр_План_Факт!AE124</f>
        <v>0</v>
      </c>
      <c r="AF124">
        <f>Реестр_План_Факт!AF124</f>
        <v>0</v>
      </c>
      <c r="AG124" t="str">
        <f>Реестр_План_Факт!AG124</f>
        <v/>
      </c>
      <c r="AH124">
        <f>Реестр_План_Факт!AH124</f>
        <v>0</v>
      </c>
      <c r="AI124">
        <f>Реестр_План_Факт!AI124</f>
        <v>0</v>
      </c>
      <c r="AJ124" t="str">
        <f>Реестр_План_Факт!AJ124</f>
        <v/>
      </c>
      <c r="AK124">
        <f>Реестр_План_Факт!AK124</f>
        <v>0</v>
      </c>
      <c r="AL124">
        <f>Реестр_План_Факт!AL124</f>
        <v>0</v>
      </c>
      <c r="AM124" t="str">
        <f>Реестр_План_Факт!AM124</f>
        <v/>
      </c>
      <c r="AN124">
        <f>Реестр_План_Факт!AN124</f>
        <v>0</v>
      </c>
      <c r="AO124">
        <f>Реестр_План_Факт!AO124</f>
        <v>0</v>
      </c>
      <c r="AP124" t="str">
        <f>Реестр_План_Факт!AP124</f>
        <v/>
      </c>
      <c r="AQ124">
        <f>Реестр_План_Факт!AQ124</f>
        <v>0</v>
      </c>
    </row>
    <row r="125" spans="1:43" x14ac:dyDescent="0.2">
      <c r="A125" s="201">
        <f>Реестр_План_Факт!A125</f>
        <v>46146</v>
      </c>
      <c r="B125">
        <f>Реестр_План_Факт!B125</f>
        <v>19</v>
      </c>
      <c r="C125">
        <f>Реестр_План_Факт!C125</f>
        <v>5</v>
      </c>
      <c r="D125">
        <f>Реестр_План_Факт!D125</f>
        <v>0</v>
      </c>
      <c r="E125">
        <f>Реестр_План_Факт!E125</f>
        <v>0</v>
      </c>
      <c r="F125" t="str">
        <f>Реестр_План_Факт!F125</f>
        <v/>
      </c>
      <c r="G125">
        <f>Реестр_План_Факт!G125</f>
        <v>0</v>
      </c>
      <c r="H125">
        <f>Реестр_План_Факт!H125</f>
        <v>0</v>
      </c>
      <c r="I125" t="str">
        <f>Реестр_План_Факт!I125</f>
        <v/>
      </c>
      <c r="J125">
        <f>Реестр_План_Факт!J125</f>
        <v>0</v>
      </c>
      <c r="K125">
        <f>Реестр_План_Факт!K125</f>
        <v>0</v>
      </c>
      <c r="L125" t="str">
        <f>Реестр_План_Факт!L125</f>
        <v/>
      </c>
      <c r="M125">
        <f>Реестр_План_Факт!M125</f>
        <v>0</v>
      </c>
      <c r="N125">
        <f>Реестр_План_Факт!N125</f>
        <v>0</v>
      </c>
      <c r="O125" t="str">
        <f>Реестр_План_Факт!O125</f>
        <v/>
      </c>
      <c r="P125">
        <f>Реестр_План_Факт!P125</f>
        <v>0</v>
      </c>
      <c r="Q125">
        <f>Реестр_План_Факт!Q125</f>
        <v>0</v>
      </c>
      <c r="R125" t="str">
        <f>Реестр_План_Факт!R125</f>
        <v/>
      </c>
      <c r="S125">
        <f>Реестр_План_Факт!S125</f>
        <v>0</v>
      </c>
      <c r="T125">
        <f>Реестр_План_Факт!T125</f>
        <v>0</v>
      </c>
      <c r="U125" t="str">
        <f>Реестр_План_Факт!U125</f>
        <v/>
      </c>
      <c r="V125">
        <f>Реестр_План_Факт!V125</f>
        <v>0</v>
      </c>
      <c r="W125">
        <f>Реестр_План_Факт!W125</f>
        <v>0</v>
      </c>
      <c r="X125" t="str">
        <f>Реестр_План_Факт!X125</f>
        <v/>
      </c>
      <c r="Y125">
        <f>Реестр_План_Факт!Y125</f>
        <v>0</v>
      </c>
      <c r="Z125">
        <f>Реестр_План_Факт!Z125</f>
        <v>0</v>
      </c>
      <c r="AA125" t="str">
        <f>Реестр_План_Факт!AA125</f>
        <v/>
      </c>
      <c r="AB125">
        <f>Реестр_План_Факт!AB125</f>
        <v>0</v>
      </c>
      <c r="AC125">
        <f>Реестр_План_Факт!AC125</f>
        <v>0</v>
      </c>
      <c r="AD125" t="str">
        <f>Реестр_План_Факт!AD125</f>
        <v/>
      </c>
      <c r="AE125">
        <f>Реестр_План_Факт!AE125</f>
        <v>0</v>
      </c>
      <c r="AF125">
        <f>Реестр_План_Факт!AF125</f>
        <v>0</v>
      </c>
      <c r="AG125" t="str">
        <f>Реестр_План_Факт!AG125</f>
        <v/>
      </c>
      <c r="AH125">
        <f>Реестр_План_Факт!AH125</f>
        <v>0</v>
      </c>
      <c r="AI125">
        <f>Реестр_План_Факт!AI125</f>
        <v>0</v>
      </c>
      <c r="AJ125" t="str">
        <f>Реестр_План_Факт!AJ125</f>
        <v/>
      </c>
      <c r="AK125">
        <f>Реестр_План_Факт!AK125</f>
        <v>0</v>
      </c>
      <c r="AL125">
        <f>Реестр_План_Факт!AL125</f>
        <v>0</v>
      </c>
      <c r="AM125" t="str">
        <f>Реестр_План_Факт!AM125</f>
        <v/>
      </c>
      <c r="AN125">
        <f>Реестр_План_Факт!AN125</f>
        <v>0</v>
      </c>
      <c r="AO125">
        <f>Реестр_План_Факт!AO125</f>
        <v>0</v>
      </c>
      <c r="AP125" t="str">
        <f>Реестр_План_Факт!AP125</f>
        <v/>
      </c>
      <c r="AQ125">
        <f>Реестр_План_Факт!AQ125</f>
        <v>0</v>
      </c>
    </row>
    <row r="126" spans="1:43" x14ac:dyDescent="0.2">
      <c r="A126" s="201">
        <f>Реестр_План_Факт!A126</f>
        <v>46147</v>
      </c>
      <c r="B126">
        <f>Реестр_План_Факт!B126</f>
        <v>19</v>
      </c>
      <c r="C126">
        <f>Реестр_План_Факт!C126</f>
        <v>5</v>
      </c>
      <c r="D126">
        <f>Реестр_План_Факт!D126</f>
        <v>0</v>
      </c>
      <c r="E126">
        <f>Реестр_План_Факт!E126</f>
        <v>0</v>
      </c>
      <c r="F126" t="str">
        <f>Реестр_План_Факт!F126</f>
        <v/>
      </c>
      <c r="G126">
        <f>Реестр_План_Факт!G126</f>
        <v>0</v>
      </c>
      <c r="H126">
        <f>Реестр_План_Факт!H126</f>
        <v>0</v>
      </c>
      <c r="I126" t="str">
        <f>Реестр_План_Факт!I126</f>
        <v/>
      </c>
      <c r="J126">
        <f>Реестр_План_Факт!J126</f>
        <v>0</v>
      </c>
      <c r="K126">
        <f>Реестр_План_Факт!K126</f>
        <v>0</v>
      </c>
      <c r="L126" t="str">
        <f>Реестр_План_Факт!L126</f>
        <v/>
      </c>
      <c r="M126">
        <f>Реестр_План_Факт!M126</f>
        <v>0</v>
      </c>
      <c r="N126">
        <f>Реестр_План_Факт!N126</f>
        <v>0</v>
      </c>
      <c r="O126" t="str">
        <f>Реестр_План_Факт!O126</f>
        <v/>
      </c>
      <c r="P126">
        <f>Реестр_План_Факт!P126</f>
        <v>0</v>
      </c>
      <c r="Q126">
        <f>Реестр_План_Факт!Q126</f>
        <v>0</v>
      </c>
      <c r="R126" t="str">
        <f>Реестр_План_Факт!R126</f>
        <v/>
      </c>
      <c r="S126">
        <f>Реестр_План_Факт!S126</f>
        <v>0</v>
      </c>
      <c r="T126">
        <f>Реестр_План_Факт!T126</f>
        <v>0</v>
      </c>
      <c r="U126" t="str">
        <f>Реестр_План_Факт!U126</f>
        <v/>
      </c>
      <c r="V126">
        <f>Реестр_План_Факт!V126</f>
        <v>0</v>
      </c>
      <c r="W126">
        <f>Реестр_План_Факт!W126</f>
        <v>0</v>
      </c>
      <c r="X126" t="str">
        <f>Реестр_План_Факт!X126</f>
        <v/>
      </c>
      <c r="Y126">
        <f>Реестр_План_Факт!Y126</f>
        <v>0</v>
      </c>
      <c r="Z126">
        <f>Реестр_План_Факт!Z126</f>
        <v>0</v>
      </c>
      <c r="AA126" t="str">
        <f>Реестр_План_Факт!AA126</f>
        <v/>
      </c>
      <c r="AB126">
        <f>Реестр_План_Факт!AB126</f>
        <v>0</v>
      </c>
      <c r="AC126">
        <f>Реестр_План_Факт!AC126</f>
        <v>0</v>
      </c>
      <c r="AD126" t="str">
        <f>Реестр_План_Факт!AD126</f>
        <v/>
      </c>
      <c r="AE126">
        <f>Реестр_План_Факт!AE126</f>
        <v>0</v>
      </c>
      <c r="AF126">
        <f>Реестр_План_Факт!AF126</f>
        <v>0</v>
      </c>
      <c r="AG126" t="str">
        <f>Реестр_План_Факт!AG126</f>
        <v/>
      </c>
      <c r="AH126">
        <f>Реестр_План_Факт!AH126</f>
        <v>0</v>
      </c>
      <c r="AI126">
        <f>Реестр_План_Факт!AI126</f>
        <v>0</v>
      </c>
      <c r="AJ126" t="str">
        <f>Реестр_План_Факт!AJ126</f>
        <v/>
      </c>
      <c r="AK126">
        <f>Реестр_План_Факт!AK126</f>
        <v>0</v>
      </c>
      <c r="AL126">
        <f>Реестр_План_Факт!AL126</f>
        <v>0</v>
      </c>
      <c r="AM126" t="str">
        <f>Реестр_План_Факт!AM126</f>
        <v/>
      </c>
      <c r="AN126">
        <f>Реестр_План_Факт!AN126</f>
        <v>0</v>
      </c>
      <c r="AO126">
        <f>Реестр_План_Факт!AO126</f>
        <v>0</v>
      </c>
      <c r="AP126" t="str">
        <f>Реестр_План_Факт!AP126</f>
        <v/>
      </c>
      <c r="AQ126">
        <f>Реестр_План_Факт!AQ126</f>
        <v>0</v>
      </c>
    </row>
    <row r="127" spans="1:43" x14ac:dyDescent="0.2">
      <c r="A127" s="201">
        <f>Реестр_План_Факт!A127</f>
        <v>46148</v>
      </c>
      <c r="B127">
        <f>Реестр_План_Факт!B127</f>
        <v>19</v>
      </c>
      <c r="C127">
        <f>Реестр_План_Факт!C127</f>
        <v>5</v>
      </c>
      <c r="D127">
        <f>Реестр_План_Факт!D127</f>
        <v>0</v>
      </c>
      <c r="E127">
        <f>Реестр_План_Факт!E127</f>
        <v>0</v>
      </c>
      <c r="F127" t="str">
        <f>Реестр_План_Факт!F127</f>
        <v/>
      </c>
      <c r="G127">
        <f>Реестр_План_Факт!G127</f>
        <v>0</v>
      </c>
      <c r="H127">
        <f>Реестр_План_Факт!H127</f>
        <v>0</v>
      </c>
      <c r="I127" t="str">
        <f>Реестр_План_Факт!I127</f>
        <v/>
      </c>
      <c r="J127">
        <f>Реестр_План_Факт!J127</f>
        <v>0</v>
      </c>
      <c r="K127">
        <f>Реестр_План_Факт!K127</f>
        <v>0</v>
      </c>
      <c r="L127" t="str">
        <f>Реестр_План_Факт!L127</f>
        <v/>
      </c>
      <c r="M127">
        <f>Реестр_План_Факт!M127</f>
        <v>0</v>
      </c>
      <c r="N127">
        <f>Реестр_План_Факт!N127</f>
        <v>0</v>
      </c>
      <c r="O127" t="str">
        <f>Реестр_План_Факт!O127</f>
        <v/>
      </c>
      <c r="P127">
        <f>Реестр_План_Факт!P127</f>
        <v>0</v>
      </c>
      <c r="Q127">
        <f>Реестр_План_Факт!Q127</f>
        <v>0</v>
      </c>
      <c r="R127" t="str">
        <f>Реестр_План_Факт!R127</f>
        <v/>
      </c>
      <c r="S127">
        <f>Реестр_План_Факт!S127</f>
        <v>0</v>
      </c>
      <c r="T127">
        <f>Реестр_План_Факт!T127</f>
        <v>0</v>
      </c>
      <c r="U127" t="str">
        <f>Реестр_План_Факт!U127</f>
        <v/>
      </c>
      <c r="V127">
        <f>Реестр_План_Факт!V127</f>
        <v>0</v>
      </c>
      <c r="W127">
        <f>Реестр_План_Факт!W127</f>
        <v>0</v>
      </c>
      <c r="X127" t="str">
        <f>Реестр_План_Факт!X127</f>
        <v/>
      </c>
      <c r="Y127">
        <f>Реестр_План_Факт!Y127</f>
        <v>0</v>
      </c>
      <c r="Z127">
        <f>Реестр_План_Факт!Z127</f>
        <v>0</v>
      </c>
      <c r="AA127" t="str">
        <f>Реестр_План_Факт!AA127</f>
        <v/>
      </c>
      <c r="AB127">
        <f>Реестр_План_Факт!AB127</f>
        <v>0</v>
      </c>
      <c r="AC127">
        <f>Реестр_План_Факт!AC127</f>
        <v>0</v>
      </c>
      <c r="AD127" t="str">
        <f>Реестр_План_Факт!AD127</f>
        <v/>
      </c>
      <c r="AE127">
        <f>Реестр_План_Факт!AE127</f>
        <v>0</v>
      </c>
      <c r="AF127">
        <f>Реестр_План_Факт!AF127</f>
        <v>0</v>
      </c>
      <c r="AG127" t="str">
        <f>Реестр_План_Факт!AG127</f>
        <v/>
      </c>
      <c r="AH127">
        <f>Реестр_План_Факт!AH127</f>
        <v>0</v>
      </c>
      <c r="AI127">
        <f>Реестр_План_Факт!AI127</f>
        <v>0</v>
      </c>
      <c r="AJ127" t="str">
        <f>Реестр_План_Факт!AJ127</f>
        <v/>
      </c>
      <c r="AK127">
        <f>Реестр_План_Факт!AK127</f>
        <v>0</v>
      </c>
      <c r="AL127">
        <f>Реестр_План_Факт!AL127</f>
        <v>0</v>
      </c>
      <c r="AM127" t="str">
        <f>Реестр_План_Факт!AM127</f>
        <v/>
      </c>
      <c r="AN127">
        <f>Реестр_План_Факт!AN127</f>
        <v>0</v>
      </c>
      <c r="AO127">
        <f>Реестр_План_Факт!AO127</f>
        <v>0</v>
      </c>
      <c r="AP127" t="str">
        <f>Реестр_План_Факт!AP127</f>
        <v/>
      </c>
      <c r="AQ127">
        <f>Реестр_План_Факт!AQ127</f>
        <v>0</v>
      </c>
    </row>
    <row r="128" spans="1:43" x14ac:dyDescent="0.2">
      <c r="A128" s="201">
        <f>Реестр_План_Факт!A128</f>
        <v>46149</v>
      </c>
      <c r="B128">
        <f>Реестр_План_Факт!B128</f>
        <v>19</v>
      </c>
      <c r="C128">
        <f>Реестр_План_Факт!C128</f>
        <v>5</v>
      </c>
      <c r="D128">
        <f>Реестр_План_Факт!D128</f>
        <v>0</v>
      </c>
      <c r="E128">
        <f>Реестр_План_Факт!E128</f>
        <v>0</v>
      </c>
      <c r="F128" t="str">
        <f>Реестр_План_Факт!F128</f>
        <v/>
      </c>
      <c r="G128">
        <f>Реестр_План_Факт!G128</f>
        <v>0</v>
      </c>
      <c r="H128">
        <f>Реестр_План_Факт!H128</f>
        <v>0</v>
      </c>
      <c r="I128" t="str">
        <f>Реестр_План_Факт!I128</f>
        <v/>
      </c>
      <c r="J128">
        <f>Реестр_План_Факт!J128</f>
        <v>0</v>
      </c>
      <c r="K128">
        <f>Реестр_План_Факт!K128</f>
        <v>0</v>
      </c>
      <c r="L128" t="str">
        <f>Реестр_План_Факт!L128</f>
        <v/>
      </c>
      <c r="M128">
        <f>Реестр_План_Факт!M128</f>
        <v>0</v>
      </c>
      <c r="N128">
        <f>Реестр_План_Факт!N128</f>
        <v>0</v>
      </c>
      <c r="O128" t="str">
        <f>Реестр_План_Факт!O128</f>
        <v/>
      </c>
      <c r="P128">
        <f>Реестр_План_Факт!P128</f>
        <v>0</v>
      </c>
      <c r="Q128">
        <f>Реестр_План_Факт!Q128</f>
        <v>0</v>
      </c>
      <c r="R128" t="str">
        <f>Реестр_План_Факт!R128</f>
        <v/>
      </c>
      <c r="S128">
        <f>Реестр_План_Факт!S128</f>
        <v>0</v>
      </c>
      <c r="T128">
        <f>Реестр_План_Факт!T128</f>
        <v>0</v>
      </c>
      <c r="U128" t="str">
        <f>Реестр_План_Факт!U128</f>
        <v/>
      </c>
      <c r="V128">
        <f>Реестр_План_Факт!V128</f>
        <v>0</v>
      </c>
      <c r="W128">
        <f>Реестр_План_Факт!W128</f>
        <v>0</v>
      </c>
      <c r="X128" t="str">
        <f>Реестр_План_Факт!X128</f>
        <v/>
      </c>
      <c r="Y128">
        <f>Реестр_План_Факт!Y128</f>
        <v>0</v>
      </c>
      <c r="Z128">
        <f>Реестр_План_Факт!Z128</f>
        <v>0</v>
      </c>
      <c r="AA128" t="str">
        <f>Реестр_План_Факт!AA128</f>
        <v/>
      </c>
      <c r="AB128">
        <f>Реестр_План_Факт!AB128</f>
        <v>0</v>
      </c>
      <c r="AC128">
        <f>Реестр_План_Факт!AC128</f>
        <v>0</v>
      </c>
      <c r="AD128" t="str">
        <f>Реестр_План_Факт!AD128</f>
        <v/>
      </c>
      <c r="AE128">
        <f>Реестр_План_Факт!AE128</f>
        <v>0</v>
      </c>
      <c r="AF128">
        <f>Реестр_План_Факт!AF128</f>
        <v>0</v>
      </c>
      <c r="AG128" t="str">
        <f>Реестр_План_Факт!AG128</f>
        <v/>
      </c>
      <c r="AH128">
        <f>Реестр_План_Факт!AH128</f>
        <v>0</v>
      </c>
      <c r="AI128">
        <f>Реестр_План_Факт!AI128</f>
        <v>0</v>
      </c>
      <c r="AJ128" t="str">
        <f>Реестр_План_Факт!AJ128</f>
        <v/>
      </c>
      <c r="AK128">
        <f>Реестр_План_Факт!AK128</f>
        <v>0</v>
      </c>
      <c r="AL128">
        <f>Реестр_План_Факт!AL128</f>
        <v>0</v>
      </c>
      <c r="AM128" t="str">
        <f>Реестр_План_Факт!AM128</f>
        <v/>
      </c>
      <c r="AN128">
        <f>Реестр_План_Факт!AN128</f>
        <v>0</v>
      </c>
      <c r="AO128">
        <f>Реестр_План_Факт!AO128</f>
        <v>0</v>
      </c>
      <c r="AP128" t="str">
        <f>Реестр_План_Факт!AP128</f>
        <v/>
      </c>
      <c r="AQ128">
        <f>Реестр_План_Факт!AQ128</f>
        <v>0</v>
      </c>
    </row>
    <row r="129" spans="1:43" x14ac:dyDescent="0.2">
      <c r="A129" s="201">
        <f>Реестр_План_Факт!A129</f>
        <v>46150</v>
      </c>
      <c r="B129">
        <f>Реестр_План_Факт!B129</f>
        <v>19</v>
      </c>
      <c r="C129">
        <f>Реестр_План_Факт!C129</f>
        <v>5</v>
      </c>
      <c r="D129">
        <f>Реестр_План_Факт!D129</f>
        <v>0</v>
      </c>
      <c r="E129">
        <f>Реестр_План_Факт!E129</f>
        <v>0</v>
      </c>
      <c r="F129" t="str">
        <f>Реестр_План_Факт!F129</f>
        <v/>
      </c>
      <c r="G129">
        <f>Реестр_План_Факт!G129</f>
        <v>0</v>
      </c>
      <c r="H129">
        <f>Реестр_План_Факт!H129</f>
        <v>0</v>
      </c>
      <c r="I129" t="str">
        <f>Реестр_План_Факт!I129</f>
        <v/>
      </c>
      <c r="J129">
        <f>Реестр_План_Факт!J129</f>
        <v>0</v>
      </c>
      <c r="K129">
        <f>Реестр_План_Факт!K129</f>
        <v>0</v>
      </c>
      <c r="L129" t="str">
        <f>Реестр_План_Факт!L129</f>
        <v/>
      </c>
      <c r="M129">
        <f>Реестр_План_Факт!M129</f>
        <v>0</v>
      </c>
      <c r="N129">
        <f>Реестр_План_Факт!N129</f>
        <v>0</v>
      </c>
      <c r="O129" t="str">
        <f>Реестр_План_Факт!O129</f>
        <v/>
      </c>
      <c r="P129">
        <f>Реестр_План_Факт!P129</f>
        <v>0</v>
      </c>
      <c r="Q129">
        <f>Реестр_План_Факт!Q129</f>
        <v>0</v>
      </c>
      <c r="R129" t="str">
        <f>Реестр_План_Факт!R129</f>
        <v/>
      </c>
      <c r="S129">
        <f>Реестр_План_Факт!S129</f>
        <v>0</v>
      </c>
      <c r="T129">
        <f>Реестр_План_Факт!T129</f>
        <v>0</v>
      </c>
      <c r="U129" t="str">
        <f>Реестр_План_Факт!U129</f>
        <v/>
      </c>
      <c r="V129">
        <f>Реестр_План_Факт!V129</f>
        <v>0</v>
      </c>
      <c r="W129">
        <f>Реестр_План_Факт!W129</f>
        <v>0</v>
      </c>
      <c r="X129" t="str">
        <f>Реестр_План_Факт!X129</f>
        <v/>
      </c>
      <c r="Y129">
        <f>Реестр_План_Факт!Y129</f>
        <v>0</v>
      </c>
      <c r="Z129">
        <f>Реестр_План_Факт!Z129</f>
        <v>0</v>
      </c>
      <c r="AA129" t="str">
        <f>Реестр_План_Факт!AA129</f>
        <v/>
      </c>
      <c r="AB129">
        <f>Реестр_План_Факт!AB129</f>
        <v>0</v>
      </c>
      <c r="AC129">
        <f>Реестр_План_Факт!AC129</f>
        <v>0</v>
      </c>
      <c r="AD129" t="str">
        <f>Реестр_План_Факт!AD129</f>
        <v/>
      </c>
      <c r="AE129">
        <f>Реестр_План_Факт!AE129</f>
        <v>0</v>
      </c>
      <c r="AF129">
        <f>Реестр_План_Факт!AF129</f>
        <v>0</v>
      </c>
      <c r="AG129" t="str">
        <f>Реестр_План_Факт!AG129</f>
        <v/>
      </c>
      <c r="AH129">
        <f>Реестр_План_Факт!AH129</f>
        <v>0</v>
      </c>
      <c r="AI129">
        <f>Реестр_План_Факт!AI129</f>
        <v>0</v>
      </c>
      <c r="AJ129" t="str">
        <f>Реестр_План_Факт!AJ129</f>
        <v/>
      </c>
      <c r="AK129">
        <f>Реестр_План_Факт!AK129</f>
        <v>0</v>
      </c>
      <c r="AL129">
        <f>Реестр_План_Факт!AL129</f>
        <v>0</v>
      </c>
      <c r="AM129" t="str">
        <f>Реестр_План_Факт!AM129</f>
        <v/>
      </c>
      <c r="AN129">
        <f>Реестр_План_Факт!AN129</f>
        <v>0</v>
      </c>
      <c r="AO129">
        <f>Реестр_План_Факт!AO129</f>
        <v>0</v>
      </c>
      <c r="AP129" t="str">
        <f>Реестр_План_Факт!AP129</f>
        <v/>
      </c>
      <c r="AQ129">
        <f>Реестр_План_Факт!AQ129</f>
        <v>0</v>
      </c>
    </row>
    <row r="130" spans="1:43" x14ac:dyDescent="0.2">
      <c r="A130" s="201">
        <f>Реестр_План_Факт!A130</f>
        <v>46151</v>
      </c>
      <c r="B130">
        <f>Реестр_План_Факт!B130</f>
        <v>19</v>
      </c>
      <c r="C130">
        <f>Реестр_План_Факт!C130</f>
        <v>5</v>
      </c>
      <c r="D130">
        <f>Реестр_План_Факт!D130</f>
        <v>0</v>
      </c>
      <c r="E130">
        <f>Реестр_План_Факт!E130</f>
        <v>0</v>
      </c>
      <c r="F130" t="str">
        <f>Реестр_План_Факт!F130</f>
        <v/>
      </c>
      <c r="G130">
        <f>Реестр_План_Факт!G130</f>
        <v>0</v>
      </c>
      <c r="H130">
        <f>Реестр_План_Факт!H130</f>
        <v>0</v>
      </c>
      <c r="I130" t="str">
        <f>Реестр_План_Факт!I130</f>
        <v/>
      </c>
      <c r="J130">
        <f>Реестр_План_Факт!J130</f>
        <v>0</v>
      </c>
      <c r="K130">
        <f>Реестр_План_Факт!K130</f>
        <v>0</v>
      </c>
      <c r="L130" t="str">
        <f>Реестр_План_Факт!L130</f>
        <v/>
      </c>
      <c r="M130">
        <f>Реестр_План_Факт!M130</f>
        <v>0</v>
      </c>
      <c r="N130">
        <f>Реестр_План_Факт!N130</f>
        <v>0</v>
      </c>
      <c r="O130" t="str">
        <f>Реестр_План_Факт!O130</f>
        <v/>
      </c>
      <c r="P130">
        <f>Реестр_План_Факт!P130</f>
        <v>0</v>
      </c>
      <c r="Q130">
        <f>Реестр_План_Факт!Q130</f>
        <v>0</v>
      </c>
      <c r="R130" t="str">
        <f>Реестр_План_Факт!R130</f>
        <v/>
      </c>
      <c r="S130">
        <f>Реестр_План_Факт!S130</f>
        <v>0</v>
      </c>
      <c r="T130">
        <f>Реестр_План_Факт!T130</f>
        <v>0</v>
      </c>
      <c r="U130" t="str">
        <f>Реестр_План_Факт!U130</f>
        <v/>
      </c>
      <c r="V130">
        <f>Реестр_План_Факт!V130</f>
        <v>0</v>
      </c>
      <c r="W130">
        <f>Реестр_План_Факт!W130</f>
        <v>0</v>
      </c>
      <c r="X130" t="str">
        <f>Реестр_План_Факт!X130</f>
        <v/>
      </c>
      <c r="Y130">
        <f>Реестр_План_Факт!Y130</f>
        <v>0</v>
      </c>
      <c r="Z130">
        <f>Реестр_План_Факт!Z130</f>
        <v>0</v>
      </c>
      <c r="AA130" t="str">
        <f>Реестр_План_Факт!AA130</f>
        <v/>
      </c>
      <c r="AB130">
        <f>Реестр_План_Факт!AB130</f>
        <v>0</v>
      </c>
      <c r="AC130">
        <f>Реестр_План_Факт!AC130</f>
        <v>0</v>
      </c>
      <c r="AD130" t="str">
        <f>Реестр_План_Факт!AD130</f>
        <v/>
      </c>
      <c r="AE130">
        <f>Реестр_План_Факт!AE130</f>
        <v>0</v>
      </c>
      <c r="AF130">
        <f>Реестр_План_Факт!AF130</f>
        <v>0</v>
      </c>
      <c r="AG130" t="str">
        <f>Реестр_План_Факт!AG130</f>
        <v/>
      </c>
      <c r="AH130">
        <f>Реестр_План_Факт!AH130</f>
        <v>0</v>
      </c>
      <c r="AI130">
        <f>Реестр_План_Факт!AI130</f>
        <v>0</v>
      </c>
      <c r="AJ130" t="str">
        <f>Реестр_План_Факт!AJ130</f>
        <v/>
      </c>
      <c r="AK130">
        <f>Реестр_План_Факт!AK130</f>
        <v>0</v>
      </c>
      <c r="AL130">
        <f>Реестр_План_Факт!AL130</f>
        <v>0</v>
      </c>
      <c r="AM130" t="str">
        <f>Реестр_План_Факт!AM130</f>
        <v/>
      </c>
      <c r="AN130">
        <f>Реестр_План_Факт!AN130</f>
        <v>0</v>
      </c>
      <c r="AO130">
        <f>Реестр_План_Факт!AO130</f>
        <v>0</v>
      </c>
      <c r="AP130" t="str">
        <f>Реестр_План_Факт!AP130</f>
        <v/>
      </c>
      <c r="AQ130">
        <f>Реестр_План_Факт!AQ130</f>
        <v>0</v>
      </c>
    </row>
    <row r="131" spans="1:43" x14ac:dyDescent="0.2">
      <c r="A131" s="201">
        <f>Реестр_План_Факт!A131</f>
        <v>46152</v>
      </c>
      <c r="B131">
        <f>Реестр_План_Факт!B131</f>
        <v>19</v>
      </c>
      <c r="C131">
        <f>Реестр_План_Факт!C131</f>
        <v>5</v>
      </c>
      <c r="D131">
        <f>Реестр_План_Факт!D131</f>
        <v>0</v>
      </c>
      <c r="E131">
        <f>Реестр_План_Факт!E131</f>
        <v>0</v>
      </c>
      <c r="F131" t="str">
        <f>Реестр_План_Факт!F131</f>
        <v/>
      </c>
      <c r="G131">
        <f>Реестр_План_Факт!G131</f>
        <v>0</v>
      </c>
      <c r="H131">
        <f>Реестр_План_Факт!H131</f>
        <v>0</v>
      </c>
      <c r="I131" t="str">
        <f>Реестр_План_Факт!I131</f>
        <v/>
      </c>
      <c r="J131">
        <f>Реестр_План_Факт!J131</f>
        <v>0</v>
      </c>
      <c r="K131">
        <f>Реестр_План_Факт!K131</f>
        <v>0</v>
      </c>
      <c r="L131" t="str">
        <f>Реестр_План_Факт!L131</f>
        <v/>
      </c>
      <c r="M131">
        <f>Реестр_План_Факт!M131</f>
        <v>0</v>
      </c>
      <c r="N131">
        <f>Реестр_План_Факт!N131</f>
        <v>0</v>
      </c>
      <c r="O131" t="str">
        <f>Реестр_План_Факт!O131</f>
        <v/>
      </c>
      <c r="P131">
        <f>Реестр_План_Факт!P131</f>
        <v>0</v>
      </c>
      <c r="Q131">
        <f>Реестр_План_Факт!Q131</f>
        <v>0</v>
      </c>
      <c r="R131" t="str">
        <f>Реестр_План_Факт!R131</f>
        <v/>
      </c>
      <c r="S131">
        <f>Реестр_План_Факт!S131</f>
        <v>0</v>
      </c>
      <c r="T131">
        <f>Реестр_План_Факт!T131</f>
        <v>0</v>
      </c>
      <c r="U131" t="str">
        <f>Реестр_План_Факт!U131</f>
        <v/>
      </c>
      <c r="V131">
        <f>Реестр_План_Факт!V131</f>
        <v>0</v>
      </c>
      <c r="W131">
        <f>Реестр_План_Факт!W131</f>
        <v>0</v>
      </c>
      <c r="X131" t="str">
        <f>Реестр_План_Факт!X131</f>
        <v/>
      </c>
      <c r="Y131">
        <f>Реестр_План_Факт!Y131</f>
        <v>0</v>
      </c>
      <c r="Z131">
        <f>Реестр_План_Факт!Z131</f>
        <v>0</v>
      </c>
      <c r="AA131" t="str">
        <f>Реестр_План_Факт!AA131</f>
        <v/>
      </c>
      <c r="AB131">
        <f>Реестр_План_Факт!AB131</f>
        <v>0</v>
      </c>
      <c r="AC131">
        <f>Реестр_План_Факт!AC131</f>
        <v>0</v>
      </c>
      <c r="AD131" t="str">
        <f>Реестр_План_Факт!AD131</f>
        <v/>
      </c>
      <c r="AE131">
        <f>Реестр_План_Факт!AE131</f>
        <v>0</v>
      </c>
      <c r="AF131">
        <f>Реестр_План_Факт!AF131</f>
        <v>0</v>
      </c>
      <c r="AG131" t="str">
        <f>Реестр_План_Факт!AG131</f>
        <v/>
      </c>
      <c r="AH131">
        <f>Реестр_План_Факт!AH131</f>
        <v>0</v>
      </c>
      <c r="AI131">
        <f>Реестр_План_Факт!AI131</f>
        <v>0</v>
      </c>
      <c r="AJ131" t="str">
        <f>Реестр_План_Факт!AJ131</f>
        <v/>
      </c>
      <c r="AK131">
        <f>Реестр_План_Факт!AK131</f>
        <v>0</v>
      </c>
      <c r="AL131">
        <f>Реестр_План_Факт!AL131</f>
        <v>0</v>
      </c>
      <c r="AM131" t="str">
        <f>Реестр_План_Факт!AM131</f>
        <v/>
      </c>
      <c r="AN131">
        <f>Реестр_План_Факт!AN131</f>
        <v>0</v>
      </c>
      <c r="AO131">
        <f>Реестр_План_Факт!AO131</f>
        <v>0</v>
      </c>
      <c r="AP131" t="str">
        <f>Реестр_План_Факт!AP131</f>
        <v/>
      </c>
      <c r="AQ131">
        <f>Реестр_План_Факт!AQ131</f>
        <v>0</v>
      </c>
    </row>
    <row r="132" spans="1:43" x14ac:dyDescent="0.2">
      <c r="A132" s="201">
        <f>Реестр_План_Факт!A132</f>
        <v>46153</v>
      </c>
      <c r="B132">
        <f>Реестр_План_Факт!B132</f>
        <v>20</v>
      </c>
      <c r="C132">
        <f>Реестр_План_Факт!C132</f>
        <v>5</v>
      </c>
      <c r="D132">
        <f>Реестр_План_Факт!D132</f>
        <v>0</v>
      </c>
      <c r="E132">
        <f>Реестр_План_Факт!E132</f>
        <v>0</v>
      </c>
      <c r="F132" t="str">
        <f>Реестр_План_Факт!F132</f>
        <v/>
      </c>
      <c r="G132">
        <f>Реестр_План_Факт!G132</f>
        <v>0</v>
      </c>
      <c r="H132">
        <f>Реестр_План_Факт!H132</f>
        <v>0</v>
      </c>
      <c r="I132" t="str">
        <f>Реестр_План_Факт!I132</f>
        <v/>
      </c>
      <c r="J132">
        <f>Реестр_План_Факт!J132</f>
        <v>0</v>
      </c>
      <c r="K132">
        <f>Реестр_План_Факт!K132</f>
        <v>0</v>
      </c>
      <c r="L132" t="str">
        <f>Реестр_План_Факт!L132</f>
        <v/>
      </c>
      <c r="M132">
        <f>Реестр_План_Факт!M132</f>
        <v>0</v>
      </c>
      <c r="N132">
        <f>Реестр_План_Факт!N132</f>
        <v>0</v>
      </c>
      <c r="O132" t="str">
        <f>Реестр_План_Факт!O132</f>
        <v/>
      </c>
      <c r="P132">
        <f>Реестр_План_Факт!P132</f>
        <v>0</v>
      </c>
      <c r="Q132">
        <f>Реестр_План_Факт!Q132</f>
        <v>0</v>
      </c>
      <c r="R132" t="str">
        <f>Реестр_План_Факт!R132</f>
        <v/>
      </c>
      <c r="S132">
        <f>Реестр_План_Факт!S132</f>
        <v>0</v>
      </c>
      <c r="T132">
        <f>Реестр_План_Факт!T132</f>
        <v>0</v>
      </c>
      <c r="U132" t="str">
        <f>Реестр_План_Факт!U132</f>
        <v/>
      </c>
      <c r="V132">
        <f>Реестр_План_Факт!V132</f>
        <v>0</v>
      </c>
      <c r="W132">
        <f>Реестр_План_Факт!W132</f>
        <v>0</v>
      </c>
      <c r="X132" t="str">
        <f>Реестр_План_Факт!X132</f>
        <v/>
      </c>
      <c r="Y132">
        <f>Реестр_План_Факт!Y132</f>
        <v>0</v>
      </c>
      <c r="Z132">
        <f>Реестр_План_Факт!Z132</f>
        <v>0</v>
      </c>
      <c r="AA132" t="str">
        <f>Реестр_План_Факт!AA132</f>
        <v/>
      </c>
      <c r="AB132">
        <f>Реестр_План_Факт!AB132</f>
        <v>0</v>
      </c>
      <c r="AC132">
        <f>Реестр_План_Факт!AC132</f>
        <v>0</v>
      </c>
      <c r="AD132" t="str">
        <f>Реестр_План_Факт!AD132</f>
        <v/>
      </c>
      <c r="AE132">
        <f>Реестр_План_Факт!AE132</f>
        <v>0</v>
      </c>
      <c r="AF132">
        <f>Реестр_План_Факт!AF132</f>
        <v>0</v>
      </c>
      <c r="AG132" t="str">
        <f>Реестр_План_Факт!AG132</f>
        <v/>
      </c>
      <c r="AH132">
        <f>Реестр_План_Факт!AH132</f>
        <v>0</v>
      </c>
      <c r="AI132">
        <f>Реестр_План_Факт!AI132</f>
        <v>0</v>
      </c>
      <c r="AJ132" t="str">
        <f>Реестр_План_Факт!AJ132</f>
        <v/>
      </c>
      <c r="AK132">
        <f>Реестр_План_Факт!AK132</f>
        <v>0</v>
      </c>
      <c r="AL132">
        <f>Реестр_План_Факт!AL132</f>
        <v>0</v>
      </c>
      <c r="AM132" t="str">
        <f>Реестр_План_Факт!AM132</f>
        <v/>
      </c>
      <c r="AN132">
        <f>Реестр_План_Факт!AN132</f>
        <v>0</v>
      </c>
      <c r="AO132">
        <f>Реестр_План_Факт!AO132</f>
        <v>0</v>
      </c>
      <c r="AP132" t="str">
        <f>Реестр_План_Факт!AP132</f>
        <v/>
      </c>
      <c r="AQ132">
        <f>Реестр_План_Факт!AQ132</f>
        <v>0</v>
      </c>
    </row>
    <row r="133" spans="1:43" x14ac:dyDescent="0.2">
      <c r="A133" s="201">
        <f>Реестр_План_Факт!A133</f>
        <v>46154</v>
      </c>
      <c r="B133">
        <f>Реестр_План_Факт!B133</f>
        <v>20</v>
      </c>
      <c r="C133">
        <f>Реестр_План_Факт!C133</f>
        <v>5</v>
      </c>
      <c r="D133">
        <f>Реестр_План_Факт!D133</f>
        <v>0</v>
      </c>
      <c r="E133">
        <f>Реестр_План_Факт!E133</f>
        <v>0</v>
      </c>
      <c r="F133" t="str">
        <f>Реестр_План_Факт!F133</f>
        <v/>
      </c>
      <c r="G133">
        <f>Реестр_План_Факт!G133</f>
        <v>0</v>
      </c>
      <c r="H133">
        <f>Реестр_План_Факт!H133</f>
        <v>0</v>
      </c>
      <c r="I133" t="str">
        <f>Реестр_План_Факт!I133</f>
        <v/>
      </c>
      <c r="J133">
        <f>Реестр_План_Факт!J133</f>
        <v>0</v>
      </c>
      <c r="K133">
        <f>Реестр_План_Факт!K133</f>
        <v>0</v>
      </c>
      <c r="L133" t="str">
        <f>Реестр_План_Факт!L133</f>
        <v/>
      </c>
      <c r="M133">
        <f>Реестр_План_Факт!M133</f>
        <v>0</v>
      </c>
      <c r="N133">
        <f>Реестр_План_Факт!N133</f>
        <v>0</v>
      </c>
      <c r="O133" t="str">
        <f>Реестр_План_Факт!O133</f>
        <v/>
      </c>
      <c r="P133">
        <f>Реестр_План_Факт!P133</f>
        <v>0</v>
      </c>
      <c r="Q133">
        <f>Реестр_План_Факт!Q133</f>
        <v>0</v>
      </c>
      <c r="R133" t="str">
        <f>Реестр_План_Факт!R133</f>
        <v/>
      </c>
      <c r="S133">
        <f>Реестр_План_Факт!S133</f>
        <v>0</v>
      </c>
      <c r="T133">
        <f>Реестр_План_Факт!T133</f>
        <v>0</v>
      </c>
      <c r="U133" t="str">
        <f>Реестр_План_Факт!U133</f>
        <v/>
      </c>
      <c r="V133">
        <f>Реестр_План_Факт!V133</f>
        <v>0</v>
      </c>
      <c r="W133">
        <f>Реестр_План_Факт!W133</f>
        <v>0</v>
      </c>
      <c r="X133" t="str">
        <f>Реестр_План_Факт!X133</f>
        <v/>
      </c>
      <c r="Y133">
        <f>Реестр_План_Факт!Y133</f>
        <v>0</v>
      </c>
      <c r="Z133">
        <f>Реестр_План_Факт!Z133</f>
        <v>0</v>
      </c>
      <c r="AA133" t="str">
        <f>Реестр_План_Факт!AA133</f>
        <v/>
      </c>
      <c r="AB133">
        <f>Реестр_План_Факт!AB133</f>
        <v>0</v>
      </c>
      <c r="AC133">
        <f>Реестр_План_Факт!AC133</f>
        <v>0</v>
      </c>
      <c r="AD133" t="str">
        <f>Реестр_План_Факт!AD133</f>
        <v/>
      </c>
      <c r="AE133">
        <f>Реестр_План_Факт!AE133</f>
        <v>0</v>
      </c>
      <c r="AF133">
        <f>Реестр_План_Факт!AF133</f>
        <v>0</v>
      </c>
      <c r="AG133" t="str">
        <f>Реестр_План_Факт!AG133</f>
        <v/>
      </c>
      <c r="AH133">
        <f>Реестр_План_Факт!AH133</f>
        <v>0</v>
      </c>
      <c r="AI133">
        <f>Реестр_План_Факт!AI133</f>
        <v>0</v>
      </c>
      <c r="AJ133" t="str">
        <f>Реестр_План_Факт!AJ133</f>
        <v/>
      </c>
      <c r="AK133">
        <f>Реестр_План_Факт!AK133</f>
        <v>0</v>
      </c>
      <c r="AL133">
        <f>Реестр_План_Факт!AL133</f>
        <v>0</v>
      </c>
      <c r="AM133" t="str">
        <f>Реестр_План_Факт!AM133</f>
        <v/>
      </c>
      <c r="AN133">
        <f>Реестр_План_Факт!AN133</f>
        <v>0</v>
      </c>
      <c r="AO133">
        <f>Реестр_План_Факт!AO133</f>
        <v>0</v>
      </c>
      <c r="AP133" t="str">
        <f>Реестр_План_Факт!AP133</f>
        <v/>
      </c>
      <c r="AQ133">
        <f>Реестр_План_Факт!AQ133</f>
        <v>0</v>
      </c>
    </row>
    <row r="134" spans="1:43" x14ac:dyDescent="0.2">
      <c r="A134" s="201">
        <f>Реестр_План_Факт!A134</f>
        <v>46155</v>
      </c>
      <c r="B134">
        <f>Реестр_План_Факт!B134</f>
        <v>20</v>
      </c>
      <c r="C134">
        <f>Реестр_План_Факт!C134</f>
        <v>5</v>
      </c>
      <c r="D134">
        <f>Реестр_План_Факт!D134</f>
        <v>0</v>
      </c>
      <c r="E134">
        <f>Реестр_План_Факт!E134</f>
        <v>0</v>
      </c>
      <c r="F134" t="str">
        <f>Реестр_План_Факт!F134</f>
        <v/>
      </c>
      <c r="G134">
        <f>Реестр_План_Факт!G134</f>
        <v>0</v>
      </c>
      <c r="H134">
        <f>Реестр_План_Факт!H134</f>
        <v>0</v>
      </c>
      <c r="I134" t="str">
        <f>Реестр_План_Факт!I134</f>
        <v/>
      </c>
      <c r="J134">
        <f>Реестр_План_Факт!J134</f>
        <v>0</v>
      </c>
      <c r="K134">
        <f>Реестр_План_Факт!K134</f>
        <v>0</v>
      </c>
      <c r="L134" t="str">
        <f>Реестр_План_Факт!L134</f>
        <v/>
      </c>
      <c r="M134">
        <f>Реестр_План_Факт!M134</f>
        <v>0</v>
      </c>
      <c r="N134">
        <f>Реестр_План_Факт!N134</f>
        <v>0</v>
      </c>
      <c r="O134" t="str">
        <f>Реестр_План_Факт!O134</f>
        <v/>
      </c>
      <c r="P134">
        <f>Реестр_План_Факт!P134</f>
        <v>0</v>
      </c>
      <c r="Q134">
        <f>Реестр_План_Факт!Q134</f>
        <v>0</v>
      </c>
      <c r="R134" t="str">
        <f>Реестр_План_Факт!R134</f>
        <v/>
      </c>
      <c r="S134">
        <f>Реестр_План_Факт!S134</f>
        <v>0</v>
      </c>
      <c r="T134">
        <f>Реестр_План_Факт!T134</f>
        <v>0</v>
      </c>
      <c r="U134" t="str">
        <f>Реестр_План_Факт!U134</f>
        <v/>
      </c>
      <c r="V134">
        <f>Реестр_План_Факт!V134</f>
        <v>0</v>
      </c>
      <c r="W134">
        <f>Реестр_План_Факт!W134</f>
        <v>0</v>
      </c>
      <c r="X134" t="str">
        <f>Реестр_План_Факт!X134</f>
        <v/>
      </c>
      <c r="Y134">
        <f>Реестр_План_Факт!Y134</f>
        <v>0</v>
      </c>
      <c r="Z134">
        <f>Реестр_План_Факт!Z134</f>
        <v>0</v>
      </c>
      <c r="AA134" t="str">
        <f>Реестр_План_Факт!AA134</f>
        <v/>
      </c>
      <c r="AB134">
        <f>Реестр_План_Факт!AB134</f>
        <v>0</v>
      </c>
      <c r="AC134">
        <f>Реестр_План_Факт!AC134</f>
        <v>0</v>
      </c>
      <c r="AD134" t="str">
        <f>Реестр_План_Факт!AD134</f>
        <v/>
      </c>
      <c r="AE134">
        <f>Реестр_План_Факт!AE134</f>
        <v>0</v>
      </c>
      <c r="AF134">
        <f>Реестр_План_Факт!AF134</f>
        <v>0</v>
      </c>
      <c r="AG134" t="str">
        <f>Реестр_План_Факт!AG134</f>
        <v/>
      </c>
      <c r="AH134">
        <f>Реестр_План_Факт!AH134</f>
        <v>0</v>
      </c>
      <c r="AI134">
        <f>Реестр_План_Факт!AI134</f>
        <v>0</v>
      </c>
      <c r="AJ134" t="str">
        <f>Реестр_План_Факт!AJ134</f>
        <v/>
      </c>
      <c r="AK134">
        <f>Реестр_План_Факт!AK134</f>
        <v>0</v>
      </c>
      <c r="AL134">
        <f>Реестр_План_Факт!AL134</f>
        <v>0</v>
      </c>
      <c r="AM134" t="str">
        <f>Реестр_План_Факт!AM134</f>
        <v/>
      </c>
      <c r="AN134">
        <f>Реестр_План_Факт!AN134</f>
        <v>0</v>
      </c>
      <c r="AO134">
        <f>Реестр_План_Факт!AO134</f>
        <v>0</v>
      </c>
      <c r="AP134" t="str">
        <f>Реестр_План_Факт!AP134</f>
        <v/>
      </c>
      <c r="AQ134">
        <f>Реестр_План_Факт!AQ134</f>
        <v>0</v>
      </c>
    </row>
    <row r="135" spans="1:43" x14ac:dyDescent="0.2">
      <c r="A135" s="201">
        <f>Реестр_План_Факт!A135</f>
        <v>46156</v>
      </c>
      <c r="B135">
        <f>Реестр_План_Факт!B135</f>
        <v>20</v>
      </c>
      <c r="C135">
        <f>Реестр_План_Факт!C135</f>
        <v>5</v>
      </c>
      <c r="D135">
        <f>Реестр_План_Факт!D135</f>
        <v>0</v>
      </c>
      <c r="E135">
        <f>Реестр_План_Факт!E135</f>
        <v>0</v>
      </c>
      <c r="F135" t="str">
        <f>Реестр_План_Факт!F135</f>
        <v/>
      </c>
      <c r="G135">
        <f>Реестр_План_Факт!G135</f>
        <v>0</v>
      </c>
      <c r="H135">
        <f>Реестр_План_Факт!H135</f>
        <v>0</v>
      </c>
      <c r="I135" t="str">
        <f>Реестр_План_Факт!I135</f>
        <v/>
      </c>
      <c r="J135">
        <f>Реестр_План_Факт!J135</f>
        <v>0</v>
      </c>
      <c r="K135">
        <f>Реестр_План_Факт!K135</f>
        <v>0</v>
      </c>
      <c r="L135" t="str">
        <f>Реестр_План_Факт!L135</f>
        <v/>
      </c>
      <c r="M135">
        <f>Реестр_План_Факт!M135</f>
        <v>0</v>
      </c>
      <c r="N135">
        <f>Реестр_План_Факт!N135</f>
        <v>0</v>
      </c>
      <c r="O135" t="str">
        <f>Реестр_План_Факт!O135</f>
        <v/>
      </c>
      <c r="P135">
        <f>Реестр_План_Факт!P135</f>
        <v>0</v>
      </c>
      <c r="Q135">
        <f>Реестр_План_Факт!Q135</f>
        <v>0</v>
      </c>
      <c r="R135" t="str">
        <f>Реестр_План_Факт!R135</f>
        <v/>
      </c>
      <c r="S135">
        <f>Реестр_План_Факт!S135</f>
        <v>0</v>
      </c>
      <c r="T135">
        <f>Реестр_План_Факт!T135</f>
        <v>0</v>
      </c>
      <c r="U135" t="str">
        <f>Реестр_План_Факт!U135</f>
        <v/>
      </c>
      <c r="V135">
        <f>Реестр_План_Факт!V135</f>
        <v>0</v>
      </c>
      <c r="W135">
        <f>Реестр_План_Факт!W135</f>
        <v>0</v>
      </c>
      <c r="X135" t="str">
        <f>Реестр_План_Факт!X135</f>
        <v/>
      </c>
      <c r="Y135">
        <f>Реестр_План_Факт!Y135</f>
        <v>0</v>
      </c>
      <c r="Z135">
        <f>Реестр_План_Факт!Z135</f>
        <v>0</v>
      </c>
      <c r="AA135" t="str">
        <f>Реестр_План_Факт!AA135</f>
        <v/>
      </c>
      <c r="AB135">
        <f>Реестр_План_Факт!AB135</f>
        <v>0</v>
      </c>
      <c r="AC135">
        <f>Реестр_План_Факт!AC135</f>
        <v>0</v>
      </c>
      <c r="AD135" t="str">
        <f>Реестр_План_Факт!AD135</f>
        <v/>
      </c>
      <c r="AE135">
        <f>Реестр_План_Факт!AE135</f>
        <v>0</v>
      </c>
      <c r="AF135">
        <f>Реестр_План_Факт!AF135</f>
        <v>0</v>
      </c>
      <c r="AG135" t="str">
        <f>Реестр_План_Факт!AG135</f>
        <v/>
      </c>
      <c r="AH135">
        <f>Реестр_План_Факт!AH135</f>
        <v>0</v>
      </c>
      <c r="AI135">
        <f>Реестр_План_Факт!AI135</f>
        <v>0</v>
      </c>
      <c r="AJ135" t="str">
        <f>Реестр_План_Факт!AJ135</f>
        <v/>
      </c>
      <c r="AK135">
        <f>Реестр_План_Факт!AK135</f>
        <v>0</v>
      </c>
      <c r="AL135">
        <f>Реестр_План_Факт!AL135</f>
        <v>0</v>
      </c>
      <c r="AM135" t="str">
        <f>Реестр_План_Факт!AM135</f>
        <v/>
      </c>
      <c r="AN135">
        <f>Реестр_План_Факт!AN135</f>
        <v>0</v>
      </c>
      <c r="AO135">
        <f>Реестр_План_Факт!AO135</f>
        <v>0</v>
      </c>
      <c r="AP135" t="str">
        <f>Реестр_План_Факт!AP135</f>
        <v/>
      </c>
      <c r="AQ135">
        <f>Реестр_План_Факт!AQ135</f>
        <v>0</v>
      </c>
    </row>
    <row r="136" spans="1:43" x14ac:dyDescent="0.2">
      <c r="A136" s="201">
        <f>Реестр_План_Факт!A136</f>
        <v>46157</v>
      </c>
      <c r="B136">
        <f>Реестр_План_Факт!B136</f>
        <v>20</v>
      </c>
      <c r="C136">
        <f>Реестр_План_Факт!C136</f>
        <v>5</v>
      </c>
      <c r="D136">
        <f>Реестр_План_Факт!D136</f>
        <v>0</v>
      </c>
      <c r="E136">
        <f>Реестр_План_Факт!E136</f>
        <v>0</v>
      </c>
      <c r="F136" t="str">
        <f>Реестр_План_Факт!F136</f>
        <v/>
      </c>
      <c r="G136">
        <f>Реестр_План_Факт!G136</f>
        <v>0</v>
      </c>
      <c r="H136">
        <f>Реестр_План_Факт!H136</f>
        <v>0</v>
      </c>
      <c r="I136" t="str">
        <f>Реестр_План_Факт!I136</f>
        <v/>
      </c>
      <c r="J136">
        <f>Реестр_План_Факт!J136</f>
        <v>0</v>
      </c>
      <c r="K136">
        <f>Реестр_План_Факт!K136</f>
        <v>0</v>
      </c>
      <c r="L136" t="str">
        <f>Реестр_План_Факт!L136</f>
        <v/>
      </c>
      <c r="M136">
        <f>Реестр_План_Факт!M136</f>
        <v>0</v>
      </c>
      <c r="N136">
        <f>Реестр_План_Факт!N136</f>
        <v>0</v>
      </c>
      <c r="O136" t="str">
        <f>Реестр_План_Факт!O136</f>
        <v/>
      </c>
      <c r="P136">
        <f>Реестр_План_Факт!P136</f>
        <v>0</v>
      </c>
      <c r="Q136">
        <f>Реестр_План_Факт!Q136</f>
        <v>0</v>
      </c>
      <c r="R136" t="str">
        <f>Реестр_План_Факт!R136</f>
        <v/>
      </c>
      <c r="S136">
        <f>Реестр_План_Факт!S136</f>
        <v>0</v>
      </c>
      <c r="T136">
        <f>Реестр_План_Факт!T136</f>
        <v>0</v>
      </c>
      <c r="U136" t="str">
        <f>Реестр_План_Факт!U136</f>
        <v/>
      </c>
      <c r="V136">
        <f>Реестр_План_Факт!V136</f>
        <v>0</v>
      </c>
      <c r="W136">
        <f>Реестр_План_Факт!W136</f>
        <v>0</v>
      </c>
      <c r="X136" t="str">
        <f>Реестр_План_Факт!X136</f>
        <v/>
      </c>
      <c r="Y136">
        <f>Реестр_План_Факт!Y136</f>
        <v>0</v>
      </c>
      <c r="Z136">
        <f>Реестр_План_Факт!Z136</f>
        <v>0</v>
      </c>
      <c r="AA136" t="str">
        <f>Реестр_План_Факт!AA136</f>
        <v/>
      </c>
      <c r="AB136">
        <f>Реестр_План_Факт!AB136</f>
        <v>0</v>
      </c>
      <c r="AC136">
        <f>Реестр_План_Факт!AC136</f>
        <v>0</v>
      </c>
      <c r="AD136" t="str">
        <f>Реестр_План_Факт!AD136</f>
        <v/>
      </c>
      <c r="AE136">
        <f>Реестр_План_Факт!AE136</f>
        <v>0</v>
      </c>
      <c r="AF136">
        <f>Реестр_План_Факт!AF136</f>
        <v>0</v>
      </c>
      <c r="AG136" t="str">
        <f>Реестр_План_Факт!AG136</f>
        <v/>
      </c>
      <c r="AH136">
        <f>Реестр_План_Факт!AH136</f>
        <v>0</v>
      </c>
      <c r="AI136">
        <f>Реестр_План_Факт!AI136</f>
        <v>0</v>
      </c>
      <c r="AJ136" t="str">
        <f>Реестр_План_Факт!AJ136</f>
        <v/>
      </c>
      <c r="AK136">
        <f>Реестр_План_Факт!AK136</f>
        <v>0</v>
      </c>
      <c r="AL136">
        <f>Реестр_План_Факт!AL136</f>
        <v>0</v>
      </c>
      <c r="AM136" t="str">
        <f>Реестр_План_Факт!AM136</f>
        <v/>
      </c>
      <c r="AN136">
        <f>Реестр_План_Факт!AN136</f>
        <v>0</v>
      </c>
      <c r="AO136">
        <f>Реестр_План_Факт!AO136</f>
        <v>0</v>
      </c>
      <c r="AP136" t="str">
        <f>Реестр_План_Факт!AP136</f>
        <v/>
      </c>
      <c r="AQ136">
        <f>Реестр_План_Факт!AQ136</f>
        <v>0</v>
      </c>
    </row>
    <row r="137" spans="1:43" x14ac:dyDescent="0.2">
      <c r="A137" s="201">
        <f>Реестр_План_Факт!A137</f>
        <v>46158</v>
      </c>
      <c r="B137">
        <f>Реестр_План_Факт!B137</f>
        <v>20</v>
      </c>
      <c r="C137">
        <f>Реестр_План_Факт!C137</f>
        <v>5</v>
      </c>
      <c r="D137">
        <f>Реестр_План_Факт!D137</f>
        <v>0</v>
      </c>
      <c r="E137">
        <f>Реестр_План_Факт!E137</f>
        <v>0</v>
      </c>
      <c r="F137" t="str">
        <f>Реестр_План_Факт!F137</f>
        <v/>
      </c>
      <c r="G137">
        <f>Реестр_План_Факт!G137</f>
        <v>0</v>
      </c>
      <c r="H137">
        <f>Реестр_План_Факт!H137</f>
        <v>0</v>
      </c>
      <c r="I137" t="str">
        <f>Реестр_План_Факт!I137</f>
        <v/>
      </c>
      <c r="J137">
        <f>Реестр_План_Факт!J137</f>
        <v>0</v>
      </c>
      <c r="K137">
        <f>Реестр_План_Факт!K137</f>
        <v>0</v>
      </c>
      <c r="L137" t="str">
        <f>Реестр_План_Факт!L137</f>
        <v/>
      </c>
      <c r="M137">
        <f>Реестр_План_Факт!M137</f>
        <v>0</v>
      </c>
      <c r="N137">
        <f>Реестр_План_Факт!N137</f>
        <v>0</v>
      </c>
      <c r="O137" t="str">
        <f>Реестр_План_Факт!O137</f>
        <v/>
      </c>
      <c r="P137">
        <f>Реестр_План_Факт!P137</f>
        <v>0</v>
      </c>
      <c r="Q137">
        <f>Реестр_План_Факт!Q137</f>
        <v>0</v>
      </c>
      <c r="R137" t="str">
        <f>Реестр_План_Факт!R137</f>
        <v/>
      </c>
      <c r="S137">
        <f>Реестр_План_Факт!S137</f>
        <v>0</v>
      </c>
      <c r="T137">
        <f>Реестр_План_Факт!T137</f>
        <v>0</v>
      </c>
      <c r="U137" t="str">
        <f>Реестр_План_Факт!U137</f>
        <v/>
      </c>
      <c r="V137">
        <f>Реестр_План_Факт!V137</f>
        <v>0</v>
      </c>
      <c r="W137">
        <f>Реестр_План_Факт!W137</f>
        <v>0</v>
      </c>
      <c r="X137" t="str">
        <f>Реестр_План_Факт!X137</f>
        <v/>
      </c>
      <c r="Y137">
        <f>Реестр_План_Факт!Y137</f>
        <v>0</v>
      </c>
      <c r="Z137">
        <f>Реестр_План_Факт!Z137</f>
        <v>0</v>
      </c>
      <c r="AA137" t="str">
        <f>Реестр_План_Факт!AA137</f>
        <v/>
      </c>
      <c r="AB137">
        <f>Реестр_План_Факт!AB137</f>
        <v>0</v>
      </c>
      <c r="AC137">
        <f>Реестр_План_Факт!AC137</f>
        <v>0</v>
      </c>
      <c r="AD137" t="str">
        <f>Реестр_План_Факт!AD137</f>
        <v/>
      </c>
      <c r="AE137">
        <f>Реестр_План_Факт!AE137</f>
        <v>0</v>
      </c>
      <c r="AF137">
        <f>Реестр_План_Факт!AF137</f>
        <v>0</v>
      </c>
      <c r="AG137" t="str">
        <f>Реестр_План_Факт!AG137</f>
        <v/>
      </c>
      <c r="AH137">
        <f>Реестр_План_Факт!AH137</f>
        <v>0</v>
      </c>
      <c r="AI137">
        <f>Реестр_План_Факт!AI137</f>
        <v>0</v>
      </c>
      <c r="AJ137" t="str">
        <f>Реестр_План_Факт!AJ137</f>
        <v/>
      </c>
      <c r="AK137">
        <f>Реестр_План_Факт!AK137</f>
        <v>0</v>
      </c>
      <c r="AL137">
        <f>Реестр_План_Факт!AL137</f>
        <v>0</v>
      </c>
      <c r="AM137" t="str">
        <f>Реестр_План_Факт!AM137</f>
        <v/>
      </c>
      <c r="AN137">
        <f>Реестр_План_Факт!AN137</f>
        <v>0</v>
      </c>
      <c r="AO137">
        <f>Реестр_План_Факт!AO137</f>
        <v>0</v>
      </c>
      <c r="AP137" t="str">
        <f>Реестр_План_Факт!AP137</f>
        <v/>
      </c>
      <c r="AQ137">
        <f>Реестр_План_Факт!AQ137</f>
        <v>0</v>
      </c>
    </row>
    <row r="138" spans="1:43" x14ac:dyDescent="0.2">
      <c r="A138" s="201">
        <f>Реестр_План_Факт!A138</f>
        <v>46159</v>
      </c>
      <c r="B138">
        <f>Реестр_План_Факт!B138</f>
        <v>20</v>
      </c>
      <c r="C138">
        <f>Реестр_План_Факт!C138</f>
        <v>5</v>
      </c>
      <c r="D138">
        <f>Реестр_План_Факт!D138</f>
        <v>0</v>
      </c>
      <c r="E138">
        <f>Реестр_План_Факт!E138</f>
        <v>0</v>
      </c>
      <c r="F138" t="str">
        <f>Реестр_План_Факт!F138</f>
        <v/>
      </c>
      <c r="G138">
        <f>Реестр_План_Факт!G138</f>
        <v>0</v>
      </c>
      <c r="H138">
        <f>Реестр_План_Факт!H138</f>
        <v>0</v>
      </c>
      <c r="I138" t="str">
        <f>Реестр_План_Факт!I138</f>
        <v/>
      </c>
      <c r="J138">
        <f>Реестр_План_Факт!J138</f>
        <v>0</v>
      </c>
      <c r="K138">
        <f>Реестр_План_Факт!K138</f>
        <v>0</v>
      </c>
      <c r="L138" t="str">
        <f>Реестр_План_Факт!L138</f>
        <v/>
      </c>
      <c r="M138">
        <f>Реестр_План_Факт!M138</f>
        <v>0</v>
      </c>
      <c r="N138">
        <f>Реестр_План_Факт!N138</f>
        <v>0</v>
      </c>
      <c r="O138" t="str">
        <f>Реестр_План_Факт!O138</f>
        <v/>
      </c>
      <c r="P138">
        <f>Реестр_План_Факт!P138</f>
        <v>0</v>
      </c>
      <c r="Q138">
        <f>Реестр_План_Факт!Q138</f>
        <v>0</v>
      </c>
      <c r="R138" t="str">
        <f>Реестр_План_Факт!R138</f>
        <v/>
      </c>
      <c r="S138">
        <f>Реестр_План_Факт!S138</f>
        <v>0</v>
      </c>
      <c r="T138">
        <f>Реестр_План_Факт!T138</f>
        <v>0</v>
      </c>
      <c r="U138" t="str">
        <f>Реестр_План_Факт!U138</f>
        <v/>
      </c>
      <c r="V138">
        <f>Реестр_План_Факт!V138</f>
        <v>0</v>
      </c>
      <c r="W138">
        <f>Реестр_План_Факт!W138</f>
        <v>0</v>
      </c>
      <c r="X138" t="str">
        <f>Реестр_План_Факт!X138</f>
        <v/>
      </c>
      <c r="Y138">
        <f>Реестр_План_Факт!Y138</f>
        <v>0</v>
      </c>
      <c r="Z138">
        <f>Реестр_План_Факт!Z138</f>
        <v>0</v>
      </c>
      <c r="AA138" t="str">
        <f>Реестр_План_Факт!AA138</f>
        <v/>
      </c>
      <c r="AB138">
        <f>Реестр_План_Факт!AB138</f>
        <v>0</v>
      </c>
      <c r="AC138">
        <f>Реестр_План_Факт!AC138</f>
        <v>0</v>
      </c>
      <c r="AD138" t="str">
        <f>Реестр_План_Факт!AD138</f>
        <v/>
      </c>
      <c r="AE138">
        <f>Реестр_План_Факт!AE138</f>
        <v>0</v>
      </c>
      <c r="AF138">
        <f>Реестр_План_Факт!AF138</f>
        <v>0</v>
      </c>
      <c r="AG138" t="str">
        <f>Реестр_План_Факт!AG138</f>
        <v/>
      </c>
      <c r="AH138">
        <f>Реестр_План_Факт!AH138</f>
        <v>0</v>
      </c>
      <c r="AI138">
        <f>Реестр_План_Факт!AI138</f>
        <v>0</v>
      </c>
      <c r="AJ138" t="str">
        <f>Реестр_План_Факт!AJ138</f>
        <v/>
      </c>
      <c r="AK138">
        <f>Реестр_План_Факт!AK138</f>
        <v>0</v>
      </c>
      <c r="AL138">
        <f>Реестр_План_Факт!AL138</f>
        <v>0</v>
      </c>
      <c r="AM138" t="str">
        <f>Реестр_План_Факт!AM138</f>
        <v/>
      </c>
      <c r="AN138">
        <f>Реестр_План_Факт!AN138</f>
        <v>0</v>
      </c>
      <c r="AO138">
        <f>Реестр_План_Факт!AO138</f>
        <v>0</v>
      </c>
      <c r="AP138" t="str">
        <f>Реестр_План_Факт!AP138</f>
        <v/>
      </c>
      <c r="AQ138">
        <f>Реестр_План_Факт!AQ138</f>
        <v>0</v>
      </c>
    </row>
    <row r="139" spans="1:43" x14ac:dyDescent="0.2">
      <c r="A139" s="201">
        <f>Реестр_План_Факт!A139</f>
        <v>46160</v>
      </c>
      <c r="B139">
        <f>Реестр_План_Факт!B139</f>
        <v>21</v>
      </c>
      <c r="C139">
        <f>Реестр_План_Факт!C139</f>
        <v>5</v>
      </c>
      <c r="D139">
        <f>Реестр_План_Факт!D139</f>
        <v>0</v>
      </c>
      <c r="E139">
        <f>Реестр_План_Факт!E139</f>
        <v>0</v>
      </c>
      <c r="F139" t="str">
        <f>Реестр_План_Факт!F139</f>
        <v/>
      </c>
      <c r="G139">
        <f>Реестр_План_Факт!G139</f>
        <v>0</v>
      </c>
      <c r="H139">
        <f>Реестр_План_Факт!H139</f>
        <v>0</v>
      </c>
      <c r="I139" t="str">
        <f>Реестр_План_Факт!I139</f>
        <v/>
      </c>
      <c r="J139">
        <f>Реестр_План_Факт!J139</f>
        <v>0</v>
      </c>
      <c r="K139">
        <f>Реестр_План_Факт!K139</f>
        <v>0</v>
      </c>
      <c r="L139" t="str">
        <f>Реестр_План_Факт!L139</f>
        <v/>
      </c>
      <c r="M139">
        <f>Реестр_План_Факт!M139</f>
        <v>0</v>
      </c>
      <c r="N139">
        <f>Реестр_План_Факт!N139</f>
        <v>0</v>
      </c>
      <c r="O139" t="str">
        <f>Реестр_План_Факт!O139</f>
        <v/>
      </c>
      <c r="P139">
        <f>Реестр_План_Факт!P139</f>
        <v>0</v>
      </c>
      <c r="Q139">
        <f>Реестр_План_Факт!Q139</f>
        <v>0</v>
      </c>
      <c r="R139" t="str">
        <f>Реестр_План_Факт!R139</f>
        <v/>
      </c>
      <c r="S139">
        <f>Реестр_План_Факт!S139</f>
        <v>0</v>
      </c>
      <c r="T139">
        <f>Реестр_План_Факт!T139</f>
        <v>0</v>
      </c>
      <c r="U139" t="str">
        <f>Реестр_План_Факт!U139</f>
        <v/>
      </c>
      <c r="V139">
        <f>Реестр_План_Факт!V139</f>
        <v>0</v>
      </c>
      <c r="W139">
        <f>Реестр_План_Факт!W139</f>
        <v>0</v>
      </c>
      <c r="X139" t="str">
        <f>Реестр_План_Факт!X139</f>
        <v/>
      </c>
      <c r="Y139">
        <f>Реестр_План_Факт!Y139</f>
        <v>0</v>
      </c>
      <c r="Z139">
        <f>Реестр_План_Факт!Z139</f>
        <v>0</v>
      </c>
      <c r="AA139" t="str">
        <f>Реестр_План_Факт!AA139</f>
        <v/>
      </c>
      <c r="AB139">
        <f>Реестр_План_Факт!AB139</f>
        <v>0</v>
      </c>
      <c r="AC139">
        <f>Реестр_План_Факт!AC139</f>
        <v>0</v>
      </c>
      <c r="AD139" t="str">
        <f>Реестр_План_Факт!AD139</f>
        <v/>
      </c>
      <c r="AE139">
        <f>Реестр_План_Факт!AE139</f>
        <v>0</v>
      </c>
      <c r="AF139">
        <f>Реестр_План_Факт!AF139</f>
        <v>0</v>
      </c>
      <c r="AG139" t="str">
        <f>Реестр_План_Факт!AG139</f>
        <v/>
      </c>
      <c r="AH139">
        <f>Реестр_План_Факт!AH139</f>
        <v>0</v>
      </c>
      <c r="AI139">
        <f>Реестр_План_Факт!AI139</f>
        <v>0</v>
      </c>
      <c r="AJ139" t="str">
        <f>Реестр_План_Факт!AJ139</f>
        <v/>
      </c>
      <c r="AK139">
        <f>Реестр_План_Факт!AK139</f>
        <v>0</v>
      </c>
      <c r="AL139">
        <f>Реестр_План_Факт!AL139</f>
        <v>0</v>
      </c>
      <c r="AM139" t="str">
        <f>Реестр_План_Факт!AM139</f>
        <v/>
      </c>
      <c r="AN139">
        <f>Реестр_План_Факт!AN139</f>
        <v>0</v>
      </c>
      <c r="AO139">
        <f>Реестр_План_Факт!AO139</f>
        <v>0</v>
      </c>
      <c r="AP139" t="str">
        <f>Реестр_План_Факт!AP139</f>
        <v/>
      </c>
      <c r="AQ139">
        <f>Реестр_План_Факт!AQ139</f>
        <v>0</v>
      </c>
    </row>
    <row r="140" spans="1:43" x14ac:dyDescent="0.2">
      <c r="A140" s="201">
        <f>Реестр_План_Факт!A140</f>
        <v>46161</v>
      </c>
      <c r="B140">
        <f>Реестр_План_Факт!B140</f>
        <v>21</v>
      </c>
      <c r="C140">
        <f>Реестр_План_Факт!C140</f>
        <v>5</v>
      </c>
      <c r="D140">
        <f>Реестр_План_Факт!D140</f>
        <v>0</v>
      </c>
      <c r="E140">
        <f>Реестр_План_Факт!E140</f>
        <v>0</v>
      </c>
      <c r="F140" t="str">
        <f>Реестр_План_Факт!F140</f>
        <v/>
      </c>
      <c r="G140">
        <f>Реестр_План_Факт!G140</f>
        <v>0</v>
      </c>
      <c r="H140">
        <f>Реестр_План_Факт!H140</f>
        <v>0</v>
      </c>
      <c r="I140" t="str">
        <f>Реестр_План_Факт!I140</f>
        <v/>
      </c>
      <c r="J140">
        <f>Реестр_План_Факт!J140</f>
        <v>0</v>
      </c>
      <c r="K140">
        <f>Реестр_План_Факт!K140</f>
        <v>0</v>
      </c>
      <c r="L140" t="str">
        <f>Реестр_План_Факт!L140</f>
        <v/>
      </c>
      <c r="M140">
        <f>Реестр_План_Факт!M140</f>
        <v>0</v>
      </c>
      <c r="N140">
        <f>Реестр_План_Факт!N140</f>
        <v>0</v>
      </c>
      <c r="O140" t="str">
        <f>Реестр_План_Факт!O140</f>
        <v/>
      </c>
      <c r="P140">
        <f>Реестр_План_Факт!P140</f>
        <v>0</v>
      </c>
      <c r="Q140">
        <f>Реестр_План_Факт!Q140</f>
        <v>0</v>
      </c>
      <c r="R140" t="str">
        <f>Реестр_План_Факт!R140</f>
        <v/>
      </c>
      <c r="S140">
        <f>Реестр_План_Факт!S140</f>
        <v>0</v>
      </c>
      <c r="T140">
        <f>Реестр_План_Факт!T140</f>
        <v>0</v>
      </c>
      <c r="U140" t="str">
        <f>Реестр_План_Факт!U140</f>
        <v/>
      </c>
      <c r="V140">
        <f>Реестр_План_Факт!V140</f>
        <v>0</v>
      </c>
      <c r="W140">
        <f>Реестр_План_Факт!W140</f>
        <v>0</v>
      </c>
      <c r="X140" t="str">
        <f>Реестр_План_Факт!X140</f>
        <v/>
      </c>
      <c r="Y140">
        <f>Реестр_План_Факт!Y140</f>
        <v>0</v>
      </c>
      <c r="Z140">
        <f>Реестр_План_Факт!Z140</f>
        <v>0</v>
      </c>
      <c r="AA140" t="str">
        <f>Реестр_План_Факт!AA140</f>
        <v/>
      </c>
      <c r="AB140">
        <f>Реестр_План_Факт!AB140</f>
        <v>0</v>
      </c>
      <c r="AC140">
        <f>Реестр_План_Факт!AC140</f>
        <v>0</v>
      </c>
      <c r="AD140" t="str">
        <f>Реестр_План_Факт!AD140</f>
        <v/>
      </c>
      <c r="AE140">
        <f>Реестр_План_Факт!AE140</f>
        <v>0</v>
      </c>
      <c r="AF140">
        <f>Реестр_План_Факт!AF140</f>
        <v>0</v>
      </c>
      <c r="AG140" t="str">
        <f>Реестр_План_Факт!AG140</f>
        <v/>
      </c>
      <c r="AH140">
        <f>Реестр_План_Факт!AH140</f>
        <v>0</v>
      </c>
      <c r="AI140">
        <f>Реестр_План_Факт!AI140</f>
        <v>0</v>
      </c>
      <c r="AJ140" t="str">
        <f>Реестр_План_Факт!AJ140</f>
        <v/>
      </c>
      <c r="AK140">
        <f>Реестр_План_Факт!AK140</f>
        <v>0</v>
      </c>
      <c r="AL140">
        <f>Реестр_План_Факт!AL140</f>
        <v>0</v>
      </c>
      <c r="AM140" t="str">
        <f>Реестр_План_Факт!AM140</f>
        <v/>
      </c>
      <c r="AN140">
        <f>Реестр_План_Факт!AN140</f>
        <v>0</v>
      </c>
      <c r="AO140">
        <f>Реестр_План_Факт!AO140</f>
        <v>0</v>
      </c>
      <c r="AP140" t="str">
        <f>Реестр_План_Факт!AP140</f>
        <v/>
      </c>
      <c r="AQ140">
        <f>Реестр_План_Факт!AQ140</f>
        <v>0</v>
      </c>
    </row>
    <row r="141" spans="1:43" x14ac:dyDescent="0.2">
      <c r="A141" s="201">
        <f>Реестр_План_Факт!A141</f>
        <v>46162</v>
      </c>
      <c r="B141">
        <f>Реестр_План_Факт!B141</f>
        <v>21</v>
      </c>
      <c r="C141">
        <f>Реестр_План_Факт!C141</f>
        <v>5</v>
      </c>
      <c r="D141">
        <f>Реестр_План_Факт!D141</f>
        <v>0</v>
      </c>
      <c r="E141">
        <f>Реестр_План_Факт!E141</f>
        <v>0</v>
      </c>
      <c r="F141" t="str">
        <f>Реестр_План_Факт!F141</f>
        <v/>
      </c>
      <c r="G141">
        <f>Реестр_План_Факт!G141</f>
        <v>0</v>
      </c>
      <c r="H141">
        <f>Реестр_План_Факт!H141</f>
        <v>0</v>
      </c>
      <c r="I141" t="str">
        <f>Реестр_План_Факт!I141</f>
        <v/>
      </c>
      <c r="J141">
        <f>Реестр_План_Факт!J141</f>
        <v>0</v>
      </c>
      <c r="K141">
        <f>Реестр_План_Факт!K141</f>
        <v>0</v>
      </c>
      <c r="L141" t="str">
        <f>Реестр_План_Факт!L141</f>
        <v/>
      </c>
      <c r="M141">
        <f>Реестр_План_Факт!M141</f>
        <v>0</v>
      </c>
      <c r="N141">
        <f>Реестр_План_Факт!N141</f>
        <v>0</v>
      </c>
      <c r="O141" t="str">
        <f>Реестр_План_Факт!O141</f>
        <v/>
      </c>
      <c r="P141">
        <f>Реестр_План_Факт!P141</f>
        <v>0</v>
      </c>
      <c r="Q141">
        <f>Реестр_План_Факт!Q141</f>
        <v>0</v>
      </c>
      <c r="R141" t="str">
        <f>Реестр_План_Факт!R141</f>
        <v/>
      </c>
      <c r="S141">
        <f>Реестр_План_Факт!S141</f>
        <v>0</v>
      </c>
      <c r="T141">
        <f>Реестр_План_Факт!T141</f>
        <v>0</v>
      </c>
      <c r="U141" t="str">
        <f>Реестр_План_Факт!U141</f>
        <v/>
      </c>
      <c r="V141">
        <f>Реестр_План_Факт!V141</f>
        <v>0</v>
      </c>
      <c r="W141">
        <f>Реестр_План_Факт!W141</f>
        <v>0</v>
      </c>
      <c r="X141" t="str">
        <f>Реестр_План_Факт!X141</f>
        <v/>
      </c>
      <c r="Y141">
        <f>Реестр_План_Факт!Y141</f>
        <v>0</v>
      </c>
      <c r="Z141">
        <f>Реестр_План_Факт!Z141</f>
        <v>0</v>
      </c>
      <c r="AA141" t="str">
        <f>Реестр_План_Факт!AA141</f>
        <v/>
      </c>
      <c r="AB141">
        <f>Реестр_План_Факт!AB141</f>
        <v>0</v>
      </c>
      <c r="AC141">
        <f>Реестр_План_Факт!AC141</f>
        <v>0</v>
      </c>
      <c r="AD141" t="str">
        <f>Реестр_План_Факт!AD141</f>
        <v/>
      </c>
      <c r="AE141">
        <f>Реестр_План_Факт!AE141</f>
        <v>0</v>
      </c>
      <c r="AF141">
        <f>Реестр_План_Факт!AF141</f>
        <v>0</v>
      </c>
      <c r="AG141" t="str">
        <f>Реестр_План_Факт!AG141</f>
        <v/>
      </c>
      <c r="AH141">
        <f>Реестр_План_Факт!AH141</f>
        <v>0</v>
      </c>
      <c r="AI141">
        <f>Реестр_План_Факт!AI141</f>
        <v>0</v>
      </c>
      <c r="AJ141" t="str">
        <f>Реестр_План_Факт!AJ141</f>
        <v/>
      </c>
      <c r="AK141">
        <f>Реестр_План_Факт!AK141</f>
        <v>0</v>
      </c>
      <c r="AL141">
        <f>Реестр_План_Факт!AL141</f>
        <v>0</v>
      </c>
      <c r="AM141" t="str">
        <f>Реестр_План_Факт!AM141</f>
        <v/>
      </c>
      <c r="AN141">
        <f>Реестр_План_Факт!AN141</f>
        <v>0</v>
      </c>
      <c r="AO141">
        <f>Реестр_План_Факт!AO141</f>
        <v>0</v>
      </c>
      <c r="AP141" t="str">
        <f>Реестр_План_Факт!AP141</f>
        <v/>
      </c>
      <c r="AQ141">
        <f>Реестр_План_Факт!AQ141</f>
        <v>0</v>
      </c>
    </row>
    <row r="142" spans="1:43" x14ac:dyDescent="0.2">
      <c r="A142" s="201">
        <f>Реестр_План_Факт!A142</f>
        <v>46163</v>
      </c>
      <c r="B142">
        <f>Реестр_План_Факт!B142</f>
        <v>21</v>
      </c>
      <c r="C142">
        <f>Реестр_План_Факт!C142</f>
        <v>5</v>
      </c>
      <c r="D142">
        <f>Реестр_План_Факт!D142</f>
        <v>0</v>
      </c>
      <c r="E142">
        <f>Реестр_План_Факт!E142</f>
        <v>0</v>
      </c>
      <c r="F142" t="str">
        <f>Реестр_План_Факт!F142</f>
        <v/>
      </c>
      <c r="G142">
        <f>Реестр_План_Факт!G142</f>
        <v>0</v>
      </c>
      <c r="H142">
        <f>Реестр_План_Факт!H142</f>
        <v>0</v>
      </c>
      <c r="I142" t="str">
        <f>Реестр_План_Факт!I142</f>
        <v/>
      </c>
      <c r="J142">
        <f>Реестр_План_Факт!J142</f>
        <v>0</v>
      </c>
      <c r="K142">
        <f>Реестр_План_Факт!K142</f>
        <v>0</v>
      </c>
      <c r="L142" t="str">
        <f>Реестр_План_Факт!L142</f>
        <v/>
      </c>
      <c r="M142">
        <f>Реестр_План_Факт!M142</f>
        <v>0</v>
      </c>
      <c r="N142">
        <f>Реестр_План_Факт!N142</f>
        <v>0</v>
      </c>
      <c r="O142" t="str">
        <f>Реестр_План_Факт!O142</f>
        <v/>
      </c>
      <c r="P142">
        <f>Реестр_План_Факт!P142</f>
        <v>0</v>
      </c>
      <c r="Q142">
        <f>Реестр_План_Факт!Q142</f>
        <v>0</v>
      </c>
      <c r="R142" t="str">
        <f>Реестр_План_Факт!R142</f>
        <v/>
      </c>
      <c r="S142">
        <f>Реестр_План_Факт!S142</f>
        <v>0</v>
      </c>
      <c r="T142">
        <f>Реестр_План_Факт!T142</f>
        <v>0</v>
      </c>
      <c r="U142" t="str">
        <f>Реестр_План_Факт!U142</f>
        <v/>
      </c>
      <c r="V142">
        <f>Реестр_План_Факт!V142</f>
        <v>0</v>
      </c>
      <c r="W142">
        <f>Реестр_План_Факт!W142</f>
        <v>0</v>
      </c>
      <c r="X142" t="str">
        <f>Реестр_План_Факт!X142</f>
        <v/>
      </c>
      <c r="Y142">
        <f>Реестр_План_Факт!Y142</f>
        <v>0</v>
      </c>
      <c r="Z142">
        <f>Реестр_План_Факт!Z142</f>
        <v>0</v>
      </c>
      <c r="AA142" t="str">
        <f>Реестр_План_Факт!AA142</f>
        <v/>
      </c>
      <c r="AB142">
        <f>Реестр_План_Факт!AB142</f>
        <v>0</v>
      </c>
      <c r="AC142">
        <f>Реестр_План_Факт!AC142</f>
        <v>0</v>
      </c>
      <c r="AD142" t="str">
        <f>Реестр_План_Факт!AD142</f>
        <v/>
      </c>
      <c r="AE142">
        <f>Реестр_План_Факт!AE142</f>
        <v>0</v>
      </c>
      <c r="AF142">
        <f>Реестр_План_Факт!AF142</f>
        <v>0</v>
      </c>
      <c r="AG142" t="str">
        <f>Реестр_План_Факт!AG142</f>
        <v/>
      </c>
      <c r="AH142">
        <f>Реестр_План_Факт!AH142</f>
        <v>0</v>
      </c>
      <c r="AI142">
        <f>Реестр_План_Факт!AI142</f>
        <v>0</v>
      </c>
      <c r="AJ142" t="str">
        <f>Реестр_План_Факт!AJ142</f>
        <v/>
      </c>
      <c r="AK142">
        <f>Реестр_План_Факт!AK142</f>
        <v>0</v>
      </c>
      <c r="AL142">
        <f>Реестр_План_Факт!AL142</f>
        <v>0</v>
      </c>
      <c r="AM142" t="str">
        <f>Реестр_План_Факт!AM142</f>
        <v/>
      </c>
      <c r="AN142">
        <f>Реестр_План_Факт!AN142</f>
        <v>0</v>
      </c>
      <c r="AO142">
        <f>Реестр_План_Факт!AO142</f>
        <v>0</v>
      </c>
      <c r="AP142" t="str">
        <f>Реестр_План_Факт!AP142</f>
        <v/>
      </c>
      <c r="AQ142">
        <f>Реестр_План_Факт!AQ142</f>
        <v>0</v>
      </c>
    </row>
    <row r="143" spans="1:43" x14ac:dyDescent="0.2">
      <c r="A143" s="201">
        <f>Реестр_План_Факт!A143</f>
        <v>46164</v>
      </c>
      <c r="B143">
        <f>Реестр_План_Факт!B143</f>
        <v>21</v>
      </c>
      <c r="C143">
        <f>Реестр_План_Факт!C143</f>
        <v>5</v>
      </c>
      <c r="D143">
        <f>Реестр_План_Факт!D143</f>
        <v>0</v>
      </c>
      <c r="E143">
        <f>Реестр_План_Факт!E143</f>
        <v>0</v>
      </c>
      <c r="F143" t="str">
        <f>Реестр_План_Факт!F143</f>
        <v/>
      </c>
      <c r="G143">
        <f>Реестр_План_Факт!G143</f>
        <v>0</v>
      </c>
      <c r="H143">
        <f>Реестр_План_Факт!H143</f>
        <v>0</v>
      </c>
      <c r="I143" t="str">
        <f>Реестр_План_Факт!I143</f>
        <v/>
      </c>
      <c r="J143">
        <f>Реестр_План_Факт!J143</f>
        <v>0</v>
      </c>
      <c r="K143">
        <f>Реестр_План_Факт!K143</f>
        <v>0</v>
      </c>
      <c r="L143" t="str">
        <f>Реестр_План_Факт!L143</f>
        <v/>
      </c>
      <c r="M143">
        <f>Реестр_План_Факт!M143</f>
        <v>0</v>
      </c>
      <c r="N143">
        <f>Реестр_План_Факт!N143</f>
        <v>0</v>
      </c>
      <c r="O143" t="str">
        <f>Реестр_План_Факт!O143</f>
        <v/>
      </c>
      <c r="P143">
        <f>Реестр_План_Факт!P143</f>
        <v>0</v>
      </c>
      <c r="Q143">
        <f>Реестр_План_Факт!Q143</f>
        <v>0</v>
      </c>
      <c r="R143" t="str">
        <f>Реестр_План_Факт!R143</f>
        <v/>
      </c>
      <c r="S143">
        <f>Реестр_План_Факт!S143</f>
        <v>0</v>
      </c>
      <c r="T143">
        <f>Реестр_План_Факт!T143</f>
        <v>0</v>
      </c>
      <c r="U143" t="str">
        <f>Реестр_План_Факт!U143</f>
        <v/>
      </c>
      <c r="V143">
        <f>Реестр_План_Факт!V143</f>
        <v>0</v>
      </c>
      <c r="W143">
        <f>Реестр_План_Факт!W143</f>
        <v>0</v>
      </c>
      <c r="X143" t="str">
        <f>Реестр_План_Факт!X143</f>
        <v/>
      </c>
      <c r="Y143">
        <f>Реестр_План_Факт!Y143</f>
        <v>0</v>
      </c>
      <c r="Z143">
        <f>Реестр_План_Факт!Z143</f>
        <v>0</v>
      </c>
      <c r="AA143" t="str">
        <f>Реестр_План_Факт!AA143</f>
        <v/>
      </c>
      <c r="AB143">
        <f>Реестр_План_Факт!AB143</f>
        <v>0</v>
      </c>
      <c r="AC143">
        <f>Реестр_План_Факт!AC143</f>
        <v>0</v>
      </c>
      <c r="AD143" t="str">
        <f>Реестр_План_Факт!AD143</f>
        <v/>
      </c>
      <c r="AE143">
        <f>Реестр_План_Факт!AE143</f>
        <v>0</v>
      </c>
      <c r="AF143">
        <f>Реестр_План_Факт!AF143</f>
        <v>0</v>
      </c>
      <c r="AG143" t="str">
        <f>Реестр_План_Факт!AG143</f>
        <v/>
      </c>
      <c r="AH143">
        <f>Реестр_План_Факт!AH143</f>
        <v>0</v>
      </c>
      <c r="AI143">
        <f>Реестр_План_Факт!AI143</f>
        <v>0</v>
      </c>
      <c r="AJ143" t="str">
        <f>Реестр_План_Факт!AJ143</f>
        <v/>
      </c>
      <c r="AK143">
        <f>Реестр_План_Факт!AK143</f>
        <v>0</v>
      </c>
      <c r="AL143">
        <f>Реестр_План_Факт!AL143</f>
        <v>0</v>
      </c>
      <c r="AM143" t="str">
        <f>Реестр_План_Факт!AM143</f>
        <v/>
      </c>
      <c r="AN143">
        <f>Реестр_План_Факт!AN143</f>
        <v>0</v>
      </c>
      <c r="AO143">
        <f>Реестр_План_Факт!AO143</f>
        <v>0</v>
      </c>
      <c r="AP143" t="str">
        <f>Реестр_План_Факт!AP143</f>
        <v/>
      </c>
      <c r="AQ143">
        <f>Реестр_План_Факт!AQ143</f>
        <v>0</v>
      </c>
    </row>
    <row r="144" spans="1:43" x14ac:dyDescent="0.2">
      <c r="A144" s="201">
        <f>Реестр_План_Факт!A144</f>
        <v>46165</v>
      </c>
      <c r="B144">
        <f>Реестр_План_Факт!B144</f>
        <v>21</v>
      </c>
      <c r="C144">
        <f>Реестр_План_Факт!C144</f>
        <v>5</v>
      </c>
      <c r="D144">
        <f>Реестр_План_Факт!D144</f>
        <v>0</v>
      </c>
      <c r="E144">
        <f>Реестр_План_Факт!E144</f>
        <v>0</v>
      </c>
      <c r="F144" t="str">
        <f>Реестр_План_Факт!F144</f>
        <v/>
      </c>
      <c r="G144">
        <f>Реестр_План_Факт!G144</f>
        <v>0</v>
      </c>
      <c r="H144">
        <f>Реестр_План_Факт!H144</f>
        <v>0</v>
      </c>
      <c r="I144" t="str">
        <f>Реестр_План_Факт!I144</f>
        <v/>
      </c>
      <c r="J144">
        <f>Реестр_План_Факт!J144</f>
        <v>0</v>
      </c>
      <c r="K144">
        <f>Реестр_План_Факт!K144</f>
        <v>0</v>
      </c>
      <c r="L144" t="str">
        <f>Реестр_План_Факт!L144</f>
        <v/>
      </c>
      <c r="M144">
        <f>Реестр_План_Факт!M144</f>
        <v>0</v>
      </c>
      <c r="N144">
        <f>Реестр_План_Факт!N144</f>
        <v>0</v>
      </c>
      <c r="O144" t="str">
        <f>Реестр_План_Факт!O144</f>
        <v/>
      </c>
      <c r="P144">
        <f>Реестр_План_Факт!P144</f>
        <v>0</v>
      </c>
      <c r="Q144">
        <f>Реестр_План_Факт!Q144</f>
        <v>0</v>
      </c>
      <c r="R144" t="str">
        <f>Реестр_План_Факт!R144</f>
        <v/>
      </c>
      <c r="S144">
        <f>Реестр_План_Факт!S144</f>
        <v>0</v>
      </c>
      <c r="T144">
        <f>Реестр_План_Факт!T144</f>
        <v>0</v>
      </c>
      <c r="U144" t="str">
        <f>Реестр_План_Факт!U144</f>
        <v/>
      </c>
      <c r="V144">
        <f>Реестр_План_Факт!V144</f>
        <v>0</v>
      </c>
      <c r="W144">
        <f>Реестр_План_Факт!W144</f>
        <v>0</v>
      </c>
      <c r="X144" t="str">
        <f>Реестр_План_Факт!X144</f>
        <v/>
      </c>
      <c r="Y144">
        <f>Реестр_План_Факт!Y144</f>
        <v>0</v>
      </c>
      <c r="Z144">
        <f>Реестр_План_Факт!Z144</f>
        <v>0</v>
      </c>
      <c r="AA144" t="str">
        <f>Реестр_План_Факт!AA144</f>
        <v/>
      </c>
      <c r="AB144">
        <f>Реестр_План_Факт!AB144</f>
        <v>0</v>
      </c>
      <c r="AC144">
        <f>Реестр_План_Факт!AC144</f>
        <v>0</v>
      </c>
      <c r="AD144" t="str">
        <f>Реестр_План_Факт!AD144</f>
        <v/>
      </c>
      <c r="AE144">
        <f>Реестр_План_Факт!AE144</f>
        <v>0</v>
      </c>
      <c r="AF144">
        <f>Реестр_План_Факт!AF144</f>
        <v>0</v>
      </c>
      <c r="AG144" t="str">
        <f>Реестр_План_Факт!AG144</f>
        <v/>
      </c>
      <c r="AH144">
        <f>Реестр_План_Факт!AH144</f>
        <v>0</v>
      </c>
      <c r="AI144">
        <f>Реестр_План_Факт!AI144</f>
        <v>0</v>
      </c>
      <c r="AJ144" t="str">
        <f>Реестр_План_Факт!AJ144</f>
        <v/>
      </c>
      <c r="AK144">
        <f>Реестр_План_Факт!AK144</f>
        <v>0</v>
      </c>
      <c r="AL144">
        <f>Реестр_План_Факт!AL144</f>
        <v>0</v>
      </c>
      <c r="AM144" t="str">
        <f>Реестр_План_Факт!AM144</f>
        <v/>
      </c>
      <c r="AN144">
        <f>Реестр_План_Факт!AN144</f>
        <v>0</v>
      </c>
      <c r="AO144">
        <f>Реестр_План_Факт!AO144</f>
        <v>0</v>
      </c>
      <c r="AP144" t="str">
        <f>Реестр_План_Факт!AP144</f>
        <v/>
      </c>
      <c r="AQ144">
        <f>Реестр_План_Факт!AQ144</f>
        <v>0</v>
      </c>
    </row>
    <row r="145" spans="1:43" x14ac:dyDescent="0.2">
      <c r="A145" s="201">
        <f>Реестр_План_Факт!A145</f>
        <v>46166</v>
      </c>
      <c r="B145">
        <f>Реестр_План_Факт!B145</f>
        <v>21</v>
      </c>
      <c r="C145">
        <f>Реестр_План_Факт!C145</f>
        <v>5</v>
      </c>
      <c r="D145">
        <f>Реестр_План_Факт!D145</f>
        <v>0</v>
      </c>
      <c r="E145">
        <f>Реестр_План_Факт!E145</f>
        <v>0</v>
      </c>
      <c r="F145" t="str">
        <f>Реестр_План_Факт!F145</f>
        <v/>
      </c>
      <c r="G145">
        <f>Реестр_План_Факт!G145</f>
        <v>0</v>
      </c>
      <c r="H145">
        <f>Реестр_План_Факт!H145</f>
        <v>0</v>
      </c>
      <c r="I145" t="str">
        <f>Реестр_План_Факт!I145</f>
        <v/>
      </c>
      <c r="J145">
        <f>Реестр_План_Факт!J145</f>
        <v>0</v>
      </c>
      <c r="K145">
        <f>Реестр_План_Факт!K145</f>
        <v>0</v>
      </c>
      <c r="L145" t="str">
        <f>Реестр_План_Факт!L145</f>
        <v/>
      </c>
      <c r="M145">
        <f>Реестр_План_Факт!M145</f>
        <v>0</v>
      </c>
      <c r="N145">
        <f>Реестр_План_Факт!N145</f>
        <v>0</v>
      </c>
      <c r="O145" t="str">
        <f>Реестр_План_Факт!O145</f>
        <v/>
      </c>
      <c r="P145">
        <f>Реестр_План_Факт!P145</f>
        <v>0</v>
      </c>
      <c r="Q145">
        <f>Реестр_План_Факт!Q145</f>
        <v>0</v>
      </c>
      <c r="R145" t="str">
        <f>Реестр_План_Факт!R145</f>
        <v/>
      </c>
      <c r="S145">
        <f>Реестр_План_Факт!S145</f>
        <v>0</v>
      </c>
      <c r="T145">
        <f>Реестр_План_Факт!T145</f>
        <v>0</v>
      </c>
      <c r="U145" t="str">
        <f>Реестр_План_Факт!U145</f>
        <v/>
      </c>
      <c r="V145">
        <f>Реестр_План_Факт!V145</f>
        <v>0</v>
      </c>
      <c r="W145">
        <f>Реестр_План_Факт!W145</f>
        <v>0</v>
      </c>
      <c r="X145" t="str">
        <f>Реестр_План_Факт!X145</f>
        <v/>
      </c>
      <c r="Y145">
        <f>Реестр_План_Факт!Y145</f>
        <v>0</v>
      </c>
      <c r="Z145">
        <f>Реестр_План_Факт!Z145</f>
        <v>0</v>
      </c>
      <c r="AA145" t="str">
        <f>Реестр_План_Факт!AA145</f>
        <v/>
      </c>
      <c r="AB145">
        <f>Реестр_План_Факт!AB145</f>
        <v>0</v>
      </c>
      <c r="AC145">
        <f>Реестр_План_Факт!AC145</f>
        <v>0</v>
      </c>
      <c r="AD145" t="str">
        <f>Реестр_План_Факт!AD145</f>
        <v/>
      </c>
      <c r="AE145">
        <f>Реестр_План_Факт!AE145</f>
        <v>0</v>
      </c>
      <c r="AF145">
        <f>Реестр_План_Факт!AF145</f>
        <v>0</v>
      </c>
      <c r="AG145" t="str">
        <f>Реестр_План_Факт!AG145</f>
        <v/>
      </c>
      <c r="AH145">
        <f>Реестр_План_Факт!AH145</f>
        <v>0</v>
      </c>
      <c r="AI145">
        <f>Реестр_План_Факт!AI145</f>
        <v>0</v>
      </c>
      <c r="AJ145" t="str">
        <f>Реестр_План_Факт!AJ145</f>
        <v/>
      </c>
      <c r="AK145">
        <f>Реестр_План_Факт!AK145</f>
        <v>0</v>
      </c>
      <c r="AL145">
        <f>Реестр_План_Факт!AL145</f>
        <v>0</v>
      </c>
      <c r="AM145" t="str">
        <f>Реестр_План_Факт!AM145</f>
        <v/>
      </c>
      <c r="AN145">
        <f>Реестр_План_Факт!AN145</f>
        <v>0</v>
      </c>
      <c r="AO145">
        <f>Реестр_План_Факт!AO145</f>
        <v>0</v>
      </c>
      <c r="AP145" t="str">
        <f>Реестр_План_Факт!AP145</f>
        <v/>
      </c>
      <c r="AQ145">
        <f>Реестр_План_Факт!AQ145</f>
        <v>0</v>
      </c>
    </row>
    <row r="146" spans="1:43" x14ac:dyDescent="0.2">
      <c r="A146" s="201">
        <f>Реестр_План_Факт!A146</f>
        <v>46167</v>
      </c>
      <c r="B146">
        <f>Реестр_План_Факт!B146</f>
        <v>22</v>
      </c>
      <c r="C146">
        <f>Реестр_План_Факт!C146</f>
        <v>5</v>
      </c>
      <c r="D146">
        <f>Реестр_План_Факт!D146</f>
        <v>0</v>
      </c>
      <c r="E146">
        <f>Реестр_План_Факт!E146</f>
        <v>0</v>
      </c>
      <c r="F146" t="str">
        <f>Реестр_План_Факт!F146</f>
        <v/>
      </c>
      <c r="G146">
        <f>Реестр_План_Факт!G146</f>
        <v>0</v>
      </c>
      <c r="H146">
        <f>Реестр_План_Факт!H146</f>
        <v>0</v>
      </c>
      <c r="I146" t="str">
        <f>Реестр_План_Факт!I146</f>
        <v/>
      </c>
      <c r="J146">
        <f>Реестр_План_Факт!J146</f>
        <v>0</v>
      </c>
      <c r="K146">
        <f>Реестр_План_Факт!K146</f>
        <v>0</v>
      </c>
      <c r="L146" t="str">
        <f>Реестр_План_Факт!L146</f>
        <v/>
      </c>
      <c r="M146">
        <f>Реестр_План_Факт!M146</f>
        <v>0</v>
      </c>
      <c r="N146">
        <f>Реестр_План_Факт!N146</f>
        <v>0</v>
      </c>
      <c r="O146" t="str">
        <f>Реестр_План_Факт!O146</f>
        <v/>
      </c>
      <c r="P146">
        <f>Реестр_План_Факт!P146</f>
        <v>0</v>
      </c>
      <c r="Q146">
        <f>Реестр_План_Факт!Q146</f>
        <v>0</v>
      </c>
      <c r="R146" t="str">
        <f>Реестр_План_Факт!R146</f>
        <v/>
      </c>
      <c r="S146">
        <f>Реестр_План_Факт!S146</f>
        <v>0</v>
      </c>
      <c r="T146">
        <f>Реестр_План_Факт!T146</f>
        <v>0</v>
      </c>
      <c r="U146" t="str">
        <f>Реестр_План_Факт!U146</f>
        <v/>
      </c>
      <c r="V146">
        <f>Реестр_План_Факт!V146</f>
        <v>0</v>
      </c>
      <c r="W146">
        <f>Реестр_План_Факт!W146</f>
        <v>0</v>
      </c>
      <c r="X146" t="str">
        <f>Реестр_План_Факт!X146</f>
        <v/>
      </c>
      <c r="Y146">
        <f>Реестр_План_Факт!Y146</f>
        <v>0</v>
      </c>
      <c r="Z146">
        <f>Реестр_План_Факт!Z146</f>
        <v>0</v>
      </c>
      <c r="AA146" t="str">
        <f>Реестр_План_Факт!AA146</f>
        <v/>
      </c>
      <c r="AB146">
        <f>Реестр_План_Факт!AB146</f>
        <v>0</v>
      </c>
      <c r="AC146">
        <f>Реестр_План_Факт!AC146</f>
        <v>0</v>
      </c>
      <c r="AD146" t="str">
        <f>Реестр_План_Факт!AD146</f>
        <v/>
      </c>
      <c r="AE146">
        <f>Реестр_План_Факт!AE146</f>
        <v>0</v>
      </c>
      <c r="AF146">
        <f>Реестр_План_Факт!AF146</f>
        <v>0</v>
      </c>
      <c r="AG146" t="str">
        <f>Реестр_План_Факт!AG146</f>
        <v/>
      </c>
      <c r="AH146">
        <f>Реестр_План_Факт!AH146</f>
        <v>0</v>
      </c>
      <c r="AI146">
        <f>Реестр_План_Факт!AI146</f>
        <v>0</v>
      </c>
      <c r="AJ146" t="str">
        <f>Реестр_План_Факт!AJ146</f>
        <v/>
      </c>
      <c r="AK146">
        <f>Реестр_План_Факт!AK146</f>
        <v>0</v>
      </c>
      <c r="AL146">
        <f>Реестр_План_Факт!AL146</f>
        <v>0</v>
      </c>
      <c r="AM146" t="str">
        <f>Реестр_План_Факт!AM146</f>
        <v/>
      </c>
      <c r="AN146">
        <f>Реестр_План_Факт!AN146</f>
        <v>0</v>
      </c>
      <c r="AO146">
        <f>Реестр_План_Факт!AO146</f>
        <v>0</v>
      </c>
      <c r="AP146" t="str">
        <f>Реестр_План_Факт!AP146</f>
        <v/>
      </c>
      <c r="AQ146">
        <f>Реестр_План_Факт!AQ146</f>
        <v>0</v>
      </c>
    </row>
    <row r="147" spans="1:43" x14ac:dyDescent="0.2">
      <c r="A147" s="201">
        <f>Реестр_План_Факт!A147</f>
        <v>46168</v>
      </c>
      <c r="B147">
        <f>Реестр_План_Факт!B147</f>
        <v>22</v>
      </c>
      <c r="C147">
        <f>Реестр_План_Факт!C147</f>
        <v>5</v>
      </c>
      <c r="D147">
        <f>Реестр_План_Факт!D147</f>
        <v>0</v>
      </c>
      <c r="E147">
        <f>Реестр_План_Факт!E147</f>
        <v>0</v>
      </c>
      <c r="F147" t="str">
        <f>Реестр_План_Факт!F147</f>
        <v/>
      </c>
      <c r="G147">
        <f>Реестр_План_Факт!G147</f>
        <v>0</v>
      </c>
      <c r="H147">
        <f>Реестр_План_Факт!H147</f>
        <v>0</v>
      </c>
      <c r="I147" t="str">
        <f>Реестр_План_Факт!I147</f>
        <v/>
      </c>
      <c r="J147">
        <f>Реестр_План_Факт!J147</f>
        <v>0</v>
      </c>
      <c r="K147">
        <f>Реестр_План_Факт!K147</f>
        <v>0</v>
      </c>
      <c r="L147" t="str">
        <f>Реестр_План_Факт!L147</f>
        <v/>
      </c>
      <c r="M147">
        <f>Реестр_План_Факт!M147</f>
        <v>0</v>
      </c>
      <c r="N147">
        <f>Реестр_План_Факт!N147</f>
        <v>0</v>
      </c>
      <c r="O147" t="str">
        <f>Реестр_План_Факт!O147</f>
        <v/>
      </c>
      <c r="P147">
        <f>Реестр_План_Факт!P147</f>
        <v>0</v>
      </c>
      <c r="Q147">
        <f>Реестр_План_Факт!Q147</f>
        <v>0</v>
      </c>
      <c r="R147" t="str">
        <f>Реестр_План_Факт!R147</f>
        <v/>
      </c>
      <c r="S147">
        <f>Реестр_План_Факт!S147</f>
        <v>0</v>
      </c>
      <c r="T147">
        <f>Реестр_План_Факт!T147</f>
        <v>0</v>
      </c>
      <c r="U147" t="str">
        <f>Реестр_План_Факт!U147</f>
        <v/>
      </c>
      <c r="V147">
        <f>Реестр_План_Факт!V147</f>
        <v>0</v>
      </c>
      <c r="W147">
        <f>Реестр_План_Факт!W147</f>
        <v>0</v>
      </c>
      <c r="X147" t="str">
        <f>Реестр_План_Факт!X147</f>
        <v/>
      </c>
      <c r="Y147">
        <f>Реестр_План_Факт!Y147</f>
        <v>0</v>
      </c>
      <c r="Z147">
        <f>Реестр_План_Факт!Z147</f>
        <v>0</v>
      </c>
      <c r="AA147" t="str">
        <f>Реестр_План_Факт!AA147</f>
        <v/>
      </c>
      <c r="AB147">
        <f>Реестр_План_Факт!AB147</f>
        <v>0</v>
      </c>
      <c r="AC147">
        <f>Реестр_План_Факт!AC147</f>
        <v>0</v>
      </c>
      <c r="AD147" t="str">
        <f>Реестр_План_Факт!AD147</f>
        <v/>
      </c>
      <c r="AE147">
        <f>Реестр_План_Факт!AE147</f>
        <v>0</v>
      </c>
      <c r="AF147">
        <f>Реестр_План_Факт!AF147</f>
        <v>0</v>
      </c>
      <c r="AG147" t="str">
        <f>Реестр_План_Факт!AG147</f>
        <v/>
      </c>
      <c r="AH147">
        <f>Реестр_План_Факт!AH147</f>
        <v>0</v>
      </c>
      <c r="AI147">
        <f>Реестр_План_Факт!AI147</f>
        <v>0</v>
      </c>
      <c r="AJ147" t="str">
        <f>Реестр_План_Факт!AJ147</f>
        <v/>
      </c>
      <c r="AK147">
        <f>Реестр_План_Факт!AK147</f>
        <v>0</v>
      </c>
      <c r="AL147">
        <f>Реестр_План_Факт!AL147</f>
        <v>0</v>
      </c>
      <c r="AM147" t="str">
        <f>Реестр_План_Факт!AM147</f>
        <v/>
      </c>
      <c r="AN147">
        <f>Реестр_План_Факт!AN147</f>
        <v>0</v>
      </c>
      <c r="AO147">
        <f>Реестр_План_Факт!AO147</f>
        <v>0</v>
      </c>
      <c r="AP147" t="str">
        <f>Реестр_План_Факт!AP147</f>
        <v/>
      </c>
      <c r="AQ147">
        <f>Реестр_План_Факт!AQ147</f>
        <v>0</v>
      </c>
    </row>
    <row r="148" spans="1:43" x14ac:dyDescent="0.2">
      <c r="A148" s="201">
        <f>Реестр_План_Факт!A148</f>
        <v>46169</v>
      </c>
      <c r="B148">
        <f>Реестр_План_Факт!B148</f>
        <v>22</v>
      </c>
      <c r="C148">
        <f>Реестр_План_Факт!C148</f>
        <v>5</v>
      </c>
      <c r="D148">
        <f>Реестр_План_Факт!D148</f>
        <v>0</v>
      </c>
      <c r="E148">
        <f>Реестр_План_Факт!E148</f>
        <v>0</v>
      </c>
      <c r="F148" t="str">
        <f>Реестр_План_Факт!F148</f>
        <v/>
      </c>
      <c r="G148">
        <f>Реестр_План_Факт!G148</f>
        <v>0</v>
      </c>
      <c r="H148">
        <f>Реестр_План_Факт!H148</f>
        <v>0</v>
      </c>
      <c r="I148" t="str">
        <f>Реестр_План_Факт!I148</f>
        <v/>
      </c>
      <c r="J148">
        <f>Реестр_План_Факт!J148</f>
        <v>0</v>
      </c>
      <c r="K148">
        <f>Реестр_План_Факт!K148</f>
        <v>0</v>
      </c>
      <c r="L148" t="str">
        <f>Реестр_План_Факт!L148</f>
        <v/>
      </c>
      <c r="M148">
        <f>Реестр_План_Факт!M148</f>
        <v>0</v>
      </c>
      <c r="N148">
        <f>Реестр_План_Факт!N148</f>
        <v>0</v>
      </c>
      <c r="O148" t="str">
        <f>Реестр_План_Факт!O148</f>
        <v/>
      </c>
      <c r="P148">
        <f>Реестр_План_Факт!P148</f>
        <v>0</v>
      </c>
      <c r="Q148">
        <f>Реестр_План_Факт!Q148</f>
        <v>0</v>
      </c>
      <c r="R148" t="str">
        <f>Реестр_План_Факт!R148</f>
        <v/>
      </c>
      <c r="S148">
        <f>Реестр_План_Факт!S148</f>
        <v>0</v>
      </c>
      <c r="T148">
        <f>Реестр_План_Факт!T148</f>
        <v>0</v>
      </c>
      <c r="U148" t="str">
        <f>Реестр_План_Факт!U148</f>
        <v/>
      </c>
      <c r="V148">
        <f>Реестр_План_Факт!V148</f>
        <v>0</v>
      </c>
      <c r="W148">
        <f>Реестр_План_Факт!W148</f>
        <v>0</v>
      </c>
      <c r="X148" t="str">
        <f>Реестр_План_Факт!X148</f>
        <v/>
      </c>
      <c r="Y148">
        <f>Реестр_План_Факт!Y148</f>
        <v>0</v>
      </c>
      <c r="Z148">
        <f>Реестр_План_Факт!Z148</f>
        <v>0</v>
      </c>
      <c r="AA148" t="str">
        <f>Реестр_План_Факт!AA148</f>
        <v/>
      </c>
      <c r="AB148">
        <f>Реестр_План_Факт!AB148</f>
        <v>0</v>
      </c>
      <c r="AC148">
        <f>Реестр_План_Факт!AC148</f>
        <v>0</v>
      </c>
      <c r="AD148" t="str">
        <f>Реестр_План_Факт!AD148</f>
        <v/>
      </c>
      <c r="AE148">
        <f>Реестр_План_Факт!AE148</f>
        <v>0</v>
      </c>
      <c r="AF148">
        <f>Реестр_План_Факт!AF148</f>
        <v>0</v>
      </c>
      <c r="AG148" t="str">
        <f>Реестр_План_Факт!AG148</f>
        <v/>
      </c>
      <c r="AH148">
        <f>Реестр_План_Факт!AH148</f>
        <v>0</v>
      </c>
      <c r="AI148">
        <f>Реестр_План_Факт!AI148</f>
        <v>0</v>
      </c>
      <c r="AJ148" t="str">
        <f>Реестр_План_Факт!AJ148</f>
        <v/>
      </c>
      <c r="AK148">
        <f>Реестр_План_Факт!AK148</f>
        <v>0</v>
      </c>
      <c r="AL148">
        <f>Реестр_План_Факт!AL148</f>
        <v>0</v>
      </c>
      <c r="AM148" t="str">
        <f>Реестр_План_Факт!AM148</f>
        <v/>
      </c>
      <c r="AN148">
        <f>Реестр_План_Факт!AN148</f>
        <v>0</v>
      </c>
      <c r="AO148">
        <f>Реестр_План_Факт!AO148</f>
        <v>0</v>
      </c>
      <c r="AP148" t="str">
        <f>Реестр_План_Факт!AP148</f>
        <v/>
      </c>
      <c r="AQ148">
        <f>Реестр_План_Факт!AQ148</f>
        <v>0</v>
      </c>
    </row>
    <row r="149" spans="1:43" x14ac:dyDescent="0.2">
      <c r="A149" s="201">
        <f>Реестр_План_Факт!A149</f>
        <v>46170</v>
      </c>
      <c r="B149">
        <f>Реестр_План_Факт!B149</f>
        <v>22</v>
      </c>
      <c r="C149">
        <f>Реестр_План_Факт!C149</f>
        <v>5</v>
      </c>
      <c r="D149">
        <f>Реестр_План_Факт!D149</f>
        <v>0</v>
      </c>
      <c r="E149">
        <f>Реестр_План_Факт!E149</f>
        <v>0</v>
      </c>
      <c r="F149" t="str">
        <f>Реестр_План_Факт!F149</f>
        <v/>
      </c>
      <c r="G149">
        <f>Реестр_План_Факт!G149</f>
        <v>0</v>
      </c>
      <c r="H149">
        <f>Реестр_План_Факт!H149</f>
        <v>0</v>
      </c>
      <c r="I149" t="str">
        <f>Реестр_План_Факт!I149</f>
        <v/>
      </c>
      <c r="J149">
        <f>Реестр_План_Факт!J149</f>
        <v>0</v>
      </c>
      <c r="K149">
        <f>Реестр_План_Факт!K149</f>
        <v>0</v>
      </c>
      <c r="L149" t="str">
        <f>Реестр_План_Факт!L149</f>
        <v/>
      </c>
      <c r="M149">
        <f>Реестр_План_Факт!M149</f>
        <v>0</v>
      </c>
      <c r="N149">
        <f>Реестр_План_Факт!N149</f>
        <v>0</v>
      </c>
      <c r="O149" t="str">
        <f>Реестр_План_Факт!O149</f>
        <v/>
      </c>
      <c r="P149">
        <f>Реестр_План_Факт!P149</f>
        <v>0</v>
      </c>
      <c r="Q149">
        <f>Реестр_План_Факт!Q149</f>
        <v>0</v>
      </c>
      <c r="R149" t="str">
        <f>Реестр_План_Факт!R149</f>
        <v/>
      </c>
      <c r="S149">
        <f>Реестр_План_Факт!S149</f>
        <v>0</v>
      </c>
      <c r="T149">
        <f>Реестр_План_Факт!T149</f>
        <v>0</v>
      </c>
      <c r="U149" t="str">
        <f>Реестр_План_Факт!U149</f>
        <v/>
      </c>
      <c r="V149">
        <f>Реестр_План_Факт!V149</f>
        <v>0</v>
      </c>
      <c r="W149">
        <f>Реестр_План_Факт!W149</f>
        <v>0</v>
      </c>
      <c r="X149" t="str">
        <f>Реестр_План_Факт!X149</f>
        <v/>
      </c>
      <c r="Y149">
        <f>Реестр_План_Факт!Y149</f>
        <v>0</v>
      </c>
      <c r="Z149">
        <f>Реестр_План_Факт!Z149</f>
        <v>0</v>
      </c>
      <c r="AA149" t="str">
        <f>Реестр_План_Факт!AA149</f>
        <v/>
      </c>
      <c r="AB149">
        <f>Реестр_План_Факт!AB149</f>
        <v>0</v>
      </c>
      <c r="AC149">
        <f>Реестр_План_Факт!AC149</f>
        <v>0</v>
      </c>
      <c r="AD149" t="str">
        <f>Реестр_План_Факт!AD149</f>
        <v/>
      </c>
      <c r="AE149">
        <f>Реестр_План_Факт!AE149</f>
        <v>0</v>
      </c>
      <c r="AF149">
        <f>Реестр_План_Факт!AF149</f>
        <v>0</v>
      </c>
      <c r="AG149" t="str">
        <f>Реестр_План_Факт!AG149</f>
        <v/>
      </c>
      <c r="AH149">
        <f>Реестр_План_Факт!AH149</f>
        <v>0</v>
      </c>
      <c r="AI149">
        <f>Реестр_План_Факт!AI149</f>
        <v>0</v>
      </c>
      <c r="AJ149" t="str">
        <f>Реестр_План_Факт!AJ149</f>
        <v/>
      </c>
      <c r="AK149">
        <f>Реестр_План_Факт!AK149</f>
        <v>0</v>
      </c>
      <c r="AL149">
        <f>Реестр_План_Факт!AL149</f>
        <v>0</v>
      </c>
      <c r="AM149" t="str">
        <f>Реестр_План_Факт!AM149</f>
        <v/>
      </c>
      <c r="AN149">
        <f>Реестр_План_Факт!AN149</f>
        <v>0</v>
      </c>
      <c r="AO149">
        <f>Реестр_План_Факт!AO149</f>
        <v>0</v>
      </c>
      <c r="AP149" t="str">
        <f>Реестр_План_Факт!AP149</f>
        <v/>
      </c>
      <c r="AQ149">
        <f>Реестр_План_Факт!AQ149</f>
        <v>0</v>
      </c>
    </row>
    <row r="150" spans="1:43" x14ac:dyDescent="0.2">
      <c r="A150" s="201">
        <f>Реестр_План_Факт!A150</f>
        <v>46171</v>
      </c>
      <c r="B150">
        <f>Реестр_План_Факт!B150</f>
        <v>22</v>
      </c>
      <c r="C150">
        <f>Реестр_План_Факт!C150</f>
        <v>5</v>
      </c>
      <c r="D150">
        <f>Реестр_План_Факт!D150</f>
        <v>0</v>
      </c>
      <c r="E150">
        <f>Реестр_План_Факт!E150</f>
        <v>0</v>
      </c>
      <c r="F150" t="str">
        <f>Реестр_План_Факт!F150</f>
        <v/>
      </c>
      <c r="G150">
        <f>Реестр_План_Факт!G150</f>
        <v>0</v>
      </c>
      <c r="H150">
        <f>Реестр_План_Факт!H150</f>
        <v>0</v>
      </c>
      <c r="I150" t="str">
        <f>Реестр_План_Факт!I150</f>
        <v/>
      </c>
      <c r="J150">
        <f>Реестр_План_Факт!J150</f>
        <v>0</v>
      </c>
      <c r="K150">
        <f>Реестр_План_Факт!K150</f>
        <v>0</v>
      </c>
      <c r="L150" t="str">
        <f>Реестр_План_Факт!L150</f>
        <v/>
      </c>
      <c r="M150">
        <f>Реестр_План_Факт!M150</f>
        <v>0</v>
      </c>
      <c r="N150">
        <f>Реестр_План_Факт!N150</f>
        <v>0</v>
      </c>
      <c r="O150" t="str">
        <f>Реестр_План_Факт!O150</f>
        <v/>
      </c>
      <c r="P150">
        <f>Реестр_План_Факт!P150</f>
        <v>0</v>
      </c>
      <c r="Q150">
        <f>Реестр_План_Факт!Q150</f>
        <v>0</v>
      </c>
      <c r="R150" t="str">
        <f>Реестр_План_Факт!R150</f>
        <v/>
      </c>
      <c r="S150">
        <f>Реестр_План_Факт!S150</f>
        <v>0</v>
      </c>
      <c r="T150">
        <f>Реестр_План_Факт!T150</f>
        <v>0</v>
      </c>
      <c r="U150" t="str">
        <f>Реестр_План_Факт!U150</f>
        <v/>
      </c>
      <c r="V150">
        <f>Реестр_План_Факт!V150</f>
        <v>0</v>
      </c>
      <c r="W150">
        <f>Реестр_План_Факт!W150</f>
        <v>0</v>
      </c>
      <c r="X150" t="str">
        <f>Реестр_План_Факт!X150</f>
        <v/>
      </c>
      <c r="Y150">
        <f>Реестр_План_Факт!Y150</f>
        <v>0</v>
      </c>
      <c r="Z150">
        <f>Реестр_План_Факт!Z150</f>
        <v>0</v>
      </c>
      <c r="AA150" t="str">
        <f>Реестр_План_Факт!AA150</f>
        <v/>
      </c>
      <c r="AB150">
        <f>Реестр_План_Факт!AB150</f>
        <v>0</v>
      </c>
      <c r="AC150">
        <f>Реестр_План_Факт!AC150</f>
        <v>0</v>
      </c>
      <c r="AD150" t="str">
        <f>Реестр_План_Факт!AD150</f>
        <v/>
      </c>
      <c r="AE150">
        <f>Реестр_План_Факт!AE150</f>
        <v>0</v>
      </c>
      <c r="AF150">
        <f>Реестр_План_Факт!AF150</f>
        <v>0</v>
      </c>
      <c r="AG150" t="str">
        <f>Реестр_План_Факт!AG150</f>
        <v/>
      </c>
      <c r="AH150">
        <f>Реестр_План_Факт!AH150</f>
        <v>0</v>
      </c>
      <c r="AI150">
        <f>Реестр_План_Факт!AI150</f>
        <v>0</v>
      </c>
      <c r="AJ150" t="str">
        <f>Реестр_План_Факт!AJ150</f>
        <v/>
      </c>
      <c r="AK150">
        <f>Реестр_План_Факт!AK150</f>
        <v>0</v>
      </c>
      <c r="AL150">
        <f>Реестр_План_Факт!AL150</f>
        <v>0</v>
      </c>
      <c r="AM150" t="str">
        <f>Реестр_План_Факт!AM150</f>
        <v/>
      </c>
      <c r="AN150">
        <f>Реестр_План_Факт!AN150</f>
        <v>0</v>
      </c>
      <c r="AO150">
        <f>Реестр_План_Факт!AO150</f>
        <v>0</v>
      </c>
      <c r="AP150" t="str">
        <f>Реестр_План_Факт!AP150</f>
        <v/>
      </c>
      <c r="AQ150">
        <f>Реестр_План_Факт!AQ150</f>
        <v>0</v>
      </c>
    </row>
    <row r="151" spans="1:43" x14ac:dyDescent="0.2">
      <c r="A151" s="201">
        <f>Реестр_План_Факт!A151</f>
        <v>46172</v>
      </c>
      <c r="B151">
        <f>Реестр_План_Факт!B151</f>
        <v>22</v>
      </c>
      <c r="C151">
        <f>Реестр_План_Факт!C151</f>
        <v>5</v>
      </c>
      <c r="D151">
        <f>Реестр_План_Факт!D151</f>
        <v>0</v>
      </c>
      <c r="E151">
        <f>Реестр_План_Факт!E151</f>
        <v>0</v>
      </c>
      <c r="F151" t="str">
        <f>Реестр_План_Факт!F151</f>
        <v/>
      </c>
      <c r="G151">
        <f>Реестр_План_Факт!G151</f>
        <v>0</v>
      </c>
      <c r="H151">
        <f>Реестр_План_Факт!H151</f>
        <v>0</v>
      </c>
      <c r="I151" t="str">
        <f>Реестр_План_Факт!I151</f>
        <v/>
      </c>
      <c r="J151">
        <f>Реестр_План_Факт!J151</f>
        <v>0</v>
      </c>
      <c r="K151">
        <f>Реестр_План_Факт!K151</f>
        <v>0</v>
      </c>
      <c r="L151" t="str">
        <f>Реестр_План_Факт!L151</f>
        <v/>
      </c>
      <c r="M151">
        <f>Реестр_План_Факт!M151</f>
        <v>0</v>
      </c>
      <c r="N151">
        <f>Реестр_План_Факт!N151</f>
        <v>0</v>
      </c>
      <c r="O151" t="str">
        <f>Реестр_План_Факт!O151</f>
        <v/>
      </c>
      <c r="P151">
        <f>Реестр_План_Факт!P151</f>
        <v>0</v>
      </c>
      <c r="Q151">
        <f>Реестр_План_Факт!Q151</f>
        <v>0</v>
      </c>
      <c r="R151" t="str">
        <f>Реестр_План_Факт!R151</f>
        <v/>
      </c>
      <c r="S151">
        <f>Реестр_План_Факт!S151</f>
        <v>0</v>
      </c>
      <c r="T151">
        <f>Реестр_План_Факт!T151</f>
        <v>0</v>
      </c>
      <c r="U151" t="str">
        <f>Реестр_План_Факт!U151</f>
        <v/>
      </c>
      <c r="V151">
        <f>Реестр_План_Факт!V151</f>
        <v>0</v>
      </c>
      <c r="W151">
        <f>Реестр_План_Факт!W151</f>
        <v>0</v>
      </c>
      <c r="X151" t="str">
        <f>Реестр_План_Факт!X151</f>
        <v/>
      </c>
      <c r="Y151">
        <f>Реестр_План_Факт!Y151</f>
        <v>0</v>
      </c>
      <c r="Z151">
        <f>Реестр_План_Факт!Z151</f>
        <v>0</v>
      </c>
      <c r="AA151" t="str">
        <f>Реестр_План_Факт!AA151</f>
        <v/>
      </c>
      <c r="AB151">
        <f>Реестр_План_Факт!AB151</f>
        <v>0</v>
      </c>
      <c r="AC151">
        <f>Реестр_План_Факт!AC151</f>
        <v>0</v>
      </c>
      <c r="AD151" t="str">
        <f>Реестр_План_Факт!AD151</f>
        <v/>
      </c>
      <c r="AE151">
        <f>Реестр_План_Факт!AE151</f>
        <v>0</v>
      </c>
      <c r="AF151">
        <f>Реестр_План_Факт!AF151</f>
        <v>0</v>
      </c>
      <c r="AG151" t="str">
        <f>Реестр_План_Факт!AG151</f>
        <v/>
      </c>
      <c r="AH151">
        <f>Реестр_План_Факт!AH151</f>
        <v>0</v>
      </c>
      <c r="AI151">
        <f>Реестр_План_Факт!AI151</f>
        <v>0</v>
      </c>
      <c r="AJ151" t="str">
        <f>Реестр_План_Факт!AJ151</f>
        <v/>
      </c>
      <c r="AK151">
        <f>Реестр_План_Факт!AK151</f>
        <v>0</v>
      </c>
      <c r="AL151">
        <f>Реестр_План_Факт!AL151</f>
        <v>0</v>
      </c>
      <c r="AM151" t="str">
        <f>Реестр_План_Факт!AM151</f>
        <v/>
      </c>
      <c r="AN151">
        <f>Реестр_План_Факт!AN151</f>
        <v>0</v>
      </c>
      <c r="AO151">
        <f>Реестр_План_Факт!AO151</f>
        <v>0</v>
      </c>
      <c r="AP151" t="str">
        <f>Реестр_План_Факт!AP151</f>
        <v/>
      </c>
      <c r="AQ151">
        <f>Реестр_План_Факт!AQ151</f>
        <v>0</v>
      </c>
    </row>
    <row r="152" spans="1:43" x14ac:dyDescent="0.2">
      <c r="A152" s="201">
        <f>Реестр_План_Факт!A152</f>
        <v>46173</v>
      </c>
      <c r="B152">
        <f>Реестр_План_Факт!B152</f>
        <v>22</v>
      </c>
      <c r="C152">
        <f>Реестр_План_Факт!C152</f>
        <v>5</v>
      </c>
      <c r="D152">
        <f>Реестр_План_Факт!D152</f>
        <v>0</v>
      </c>
      <c r="E152">
        <f>Реестр_План_Факт!E152</f>
        <v>0</v>
      </c>
      <c r="F152" t="str">
        <f>Реестр_План_Факт!F152</f>
        <v/>
      </c>
      <c r="G152">
        <f>Реестр_План_Факт!G152</f>
        <v>0</v>
      </c>
      <c r="H152">
        <f>Реестр_План_Факт!H152</f>
        <v>0</v>
      </c>
      <c r="I152" t="str">
        <f>Реестр_План_Факт!I152</f>
        <v/>
      </c>
      <c r="J152">
        <f>Реестр_План_Факт!J152</f>
        <v>0</v>
      </c>
      <c r="K152">
        <f>Реестр_План_Факт!K152</f>
        <v>0</v>
      </c>
      <c r="L152" t="str">
        <f>Реестр_План_Факт!L152</f>
        <v/>
      </c>
      <c r="M152">
        <f>Реестр_План_Факт!M152</f>
        <v>0</v>
      </c>
      <c r="N152">
        <f>Реестр_План_Факт!N152</f>
        <v>0</v>
      </c>
      <c r="O152" t="str">
        <f>Реестр_План_Факт!O152</f>
        <v/>
      </c>
      <c r="P152">
        <f>Реестр_План_Факт!P152</f>
        <v>0</v>
      </c>
      <c r="Q152">
        <f>Реестр_План_Факт!Q152</f>
        <v>0</v>
      </c>
      <c r="R152" t="str">
        <f>Реестр_План_Факт!R152</f>
        <v/>
      </c>
      <c r="S152">
        <f>Реестр_План_Факт!S152</f>
        <v>0</v>
      </c>
      <c r="T152">
        <f>Реестр_План_Факт!T152</f>
        <v>0</v>
      </c>
      <c r="U152" t="str">
        <f>Реестр_План_Факт!U152</f>
        <v/>
      </c>
      <c r="V152">
        <f>Реестр_План_Факт!V152</f>
        <v>0</v>
      </c>
      <c r="W152">
        <f>Реестр_План_Факт!W152</f>
        <v>0</v>
      </c>
      <c r="X152" t="str">
        <f>Реестр_План_Факт!X152</f>
        <v/>
      </c>
      <c r="Y152">
        <f>Реестр_План_Факт!Y152</f>
        <v>0</v>
      </c>
      <c r="Z152">
        <f>Реестр_План_Факт!Z152</f>
        <v>0</v>
      </c>
      <c r="AA152" t="str">
        <f>Реестр_План_Факт!AA152</f>
        <v/>
      </c>
      <c r="AB152">
        <f>Реестр_План_Факт!AB152</f>
        <v>0</v>
      </c>
      <c r="AC152">
        <f>Реестр_План_Факт!AC152</f>
        <v>0</v>
      </c>
      <c r="AD152" t="str">
        <f>Реестр_План_Факт!AD152</f>
        <v/>
      </c>
      <c r="AE152">
        <f>Реестр_План_Факт!AE152</f>
        <v>0</v>
      </c>
      <c r="AF152">
        <f>Реестр_План_Факт!AF152</f>
        <v>0</v>
      </c>
      <c r="AG152" t="str">
        <f>Реестр_План_Факт!AG152</f>
        <v/>
      </c>
      <c r="AH152">
        <f>Реестр_План_Факт!AH152</f>
        <v>0</v>
      </c>
      <c r="AI152">
        <f>Реестр_План_Факт!AI152</f>
        <v>0</v>
      </c>
      <c r="AJ152" t="str">
        <f>Реестр_План_Факт!AJ152</f>
        <v/>
      </c>
      <c r="AK152">
        <f>Реестр_План_Факт!AK152</f>
        <v>0</v>
      </c>
      <c r="AL152">
        <f>Реестр_План_Факт!AL152</f>
        <v>0</v>
      </c>
      <c r="AM152" t="str">
        <f>Реестр_План_Факт!AM152</f>
        <v/>
      </c>
      <c r="AN152">
        <f>Реестр_План_Факт!AN152</f>
        <v>0</v>
      </c>
      <c r="AO152">
        <f>Реестр_План_Факт!AO152</f>
        <v>0</v>
      </c>
      <c r="AP152" t="str">
        <f>Реестр_План_Факт!AP152</f>
        <v/>
      </c>
      <c r="AQ152">
        <f>Реестр_План_Факт!AQ152</f>
        <v>0</v>
      </c>
    </row>
    <row r="153" spans="1:43" x14ac:dyDescent="0.2">
      <c r="A153" s="201">
        <f>Реестр_План_Факт!A153</f>
        <v>46174</v>
      </c>
      <c r="B153">
        <f>Реестр_План_Факт!B153</f>
        <v>23</v>
      </c>
      <c r="C153">
        <f>Реестр_План_Факт!C153</f>
        <v>6</v>
      </c>
      <c r="D153">
        <f>Реестр_План_Факт!D153</f>
        <v>0</v>
      </c>
      <c r="E153">
        <f>Реестр_План_Факт!E153</f>
        <v>0</v>
      </c>
      <c r="F153" t="str">
        <f>Реестр_План_Факт!F153</f>
        <v/>
      </c>
      <c r="G153">
        <f>Реестр_План_Факт!G153</f>
        <v>0</v>
      </c>
      <c r="H153">
        <f>Реестр_План_Факт!H153</f>
        <v>0</v>
      </c>
      <c r="I153" t="str">
        <f>Реестр_План_Факт!I153</f>
        <v/>
      </c>
      <c r="J153">
        <f>Реестр_План_Факт!J153</f>
        <v>0</v>
      </c>
      <c r="K153">
        <f>Реестр_План_Факт!K153</f>
        <v>0</v>
      </c>
      <c r="L153" t="str">
        <f>Реестр_План_Факт!L153</f>
        <v/>
      </c>
      <c r="M153">
        <f>Реестр_План_Факт!M153</f>
        <v>0</v>
      </c>
      <c r="N153">
        <f>Реестр_План_Факт!N153</f>
        <v>0</v>
      </c>
      <c r="O153" t="str">
        <f>Реестр_План_Факт!O153</f>
        <v/>
      </c>
      <c r="P153">
        <f>Реестр_План_Факт!P153</f>
        <v>0</v>
      </c>
      <c r="Q153">
        <f>Реестр_План_Факт!Q153</f>
        <v>0</v>
      </c>
      <c r="R153" t="str">
        <f>Реестр_План_Факт!R153</f>
        <v/>
      </c>
      <c r="S153">
        <f>Реестр_План_Факт!S153</f>
        <v>0</v>
      </c>
      <c r="T153">
        <f>Реестр_План_Факт!T153</f>
        <v>0</v>
      </c>
      <c r="U153" t="str">
        <f>Реестр_План_Факт!U153</f>
        <v/>
      </c>
      <c r="V153">
        <f>Реестр_План_Факт!V153</f>
        <v>0</v>
      </c>
      <c r="W153">
        <f>Реестр_План_Факт!W153</f>
        <v>0</v>
      </c>
      <c r="X153" t="str">
        <f>Реестр_План_Факт!X153</f>
        <v/>
      </c>
      <c r="Y153">
        <f>Реестр_План_Факт!Y153</f>
        <v>0</v>
      </c>
      <c r="Z153">
        <f>Реестр_План_Факт!Z153</f>
        <v>0</v>
      </c>
      <c r="AA153" t="str">
        <f>Реестр_План_Факт!AA153</f>
        <v/>
      </c>
      <c r="AB153">
        <f>Реестр_План_Факт!AB153</f>
        <v>0</v>
      </c>
      <c r="AC153">
        <f>Реестр_План_Факт!AC153</f>
        <v>0</v>
      </c>
      <c r="AD153" t="str">
        <f>Реестр_План_Факт!AD153</f>
        <v/>
      </c>
      <c r="AE153">
        <f>Реестр_План_Факт!AE153</f>
        <v>0</v>
      </c>
      <c r="AF153">
        <f>Реестр_План_Факт!AF153</f>
        <v>0</v>
      </c>
      <c r="AG153" t="str">
        <f>Реестр_План_Факт!AG153</f>
        <v/>
      </c>
      <c r="AH153">
        <f>Реестр_План_Факт!AH153</f>
        <v>0</v>
      </c>
      <c r="AI153">
        <f>Реестр_План_Факт!AI153</f>
        <v>0</v>
      </c>
      <c r="AJ153" t="str">
        <f>Реестр_План_Факт!AJ153</f>
        <v/>
      </c>
      <c r="AK153">
        <f>Реестр_План_Факт!AK153</f>
        <v>0</v>
      </c>
      <c r="AL153">
        <f>Реестр_План_Факт!AL153</f>
        <v>0</v>
      </c>
      <c r="AM153" t="str">
        <f>Реестр_План_Факт!AM153</f>
        <v/>
      </c>
      <c r="AN153">
        <f>Реестр_План_Факт!AN153</f>
        <v>0</v>
      </c>
      <c r="AO153">
        <f>Реестр_План_Факт!AO153</f>
        <v>0</v>
      </c>
      <c r="AP153" t="str">
        <f>Реестр_План_Факт!AP153</f>
        <v/>
      </c>
      <c r="AQ153">
        <f>Реестр_План_Факт!AQ153</f>
        <v>0</v>
      </c>
    </row>
    <row r="154" spans="1:43" x14ac:dyDescent="0.2">
      <c r="A154" s="201">
        <f>Реестр_План_Факт!A154</f>
        <v>46175</v>
      </c>
      <c r="B154">
        <f>Реестр_План_Факт!B154</f>
        <v>23</v>
      </c>
      <c r="C154">
        <f>Реестр_План_Факт!C154</f>
        <v>6</v>
      </c>
      <c r="D154">
        <f>Реестр_План_Факт!D154</f>
        <v>0</v>
      </c>
      <c r="E154">
        <f>Реестр_План_Факт!E154</f>
        <v>0</v>
      </c>
      <c r="F154" t="str">
        <f>Реестр_План_Факт!F154</f>
        <v/>
      </c>
      <c r="G154">
        <f>Реестр_План_Факт!G154</f>
        <v>0</v>
      </c>
      <c r="H154">
        <f>Реестр_План_Факт!H154</f>
        <v>0</v>
      </c>
      <c r="I154" t="str">
        <f>Реестр_План_Факт!I154</f>
        <v/>
      </c>
      <c r="J154">
        <f>Реестр_План_Факт!J154</f>
        <v>0</v>
      </c>
      <c r="K154">
        <f>Реестр_План_Факт!K154</f>
        <v>0</v>
      </c>
      <c r="L154" t="str">
        <f>Реестр_План_Факт!L154</f>
        <v/>
      </c>
      <c r="M154">
        <f>Реестр_План_Факт!M154</f>
        <v>0</v>
      </c>
      <c r="N154">
        <f>Реестр_План_Факт!N154</f>
        <v>0</v>
      </c>
      <c r="O154" t="str">
        <f>Реестр_План_Факт!O154</f>
        <v/>
      </c>
      <c r="P154">
        <f>Реестр_План_Факт!P154</f>
        <v>0</v>
      </c>
      <c r="Q154">
        <f>Реестр_План_Факт!Q154</f>
        <v>0</v>
      </c>
      <c r="R154" t="str">
        <f>Реестр_План_Факт!R154</f>
        <v/>
      </c>
      <c r="S154">
        <f>Реестр_План_Факт!S154</f>
        <v>0</v>
      </c>
      <c r="T154">
        <f>Реестр_План_Факт!T154</f>
        <v>0</v>
      </c>
      <c r="U154" t="str">
        <f>Реестр_План_Факт!U154</f>
        <v/>
      </c>
      <c r="V154">
        <f>Реестр_План_Факт!V154</f>
        <v>0</v>
      </c>
      <c r="W154">
        <f>Реестр_План_Факт!W154</f>
        <v>0</v>
      </c>
      <c r="X154" t="str">
        <f>Реестр_План_Факт!X154</f>
        <v/>
      </c>
      <c r="Y154">
        <f>Реестр_План_Факт!Y154</f>
        <v>0</v>
      </c>
      <c r="Z154">
        <f>Реестр_План_Факт!Z154</f>
        <v>0</v>
      </c>
      <c r="AA154" t="str">
        <f>Реестр_План_Факт!AA154</f>
        <v/>
      </c>
      <c r="AB154">
        <f>Реестр_План_Факт!AB154</f>
        <v>0</v>
      </c>
      <c r="AC154">
        <f>Реестр_План_Факт!AC154</f>
        <v>0</v>
      </c>
      <c r="AD154" t="str">
        <f>Реестр_План_Факт!AD154</f>
        <v/>
      </c>
      <c r="AE154">
        <f>Реестр_План_Факт!AE154</f>
        <v>0</v>
      </c>
      <c r="AF154">
        <f>Реестр_План_Факт!AF154</f>
        <v>0</v>
      </c>
      <c r="AG154" t="str">
        <f>Реестр_План_Факт!AG154</f>
        <v/>
      </c>
      <c r="AH154">
        <f>Реестр_План_Факт!AH154</f>
        <v>0</v>
      </c>
      <c r="AI154">
        <f>Реестр_План_Факт!AI154</f>
        <v>0</v>
      </c>
      <c r="AJ154" t="str">
        <f>Реестр_План_Факт!AJ154</f>
        <v/>
      </c>
      <c r="AK154">
        <f>Реестр_План_Факт!AK154</f>
        <v>0</v>
      </c>
      <c r="AL154">
        <f>Реестр_План_Факт!AL154</f>
        <v>0</v>
      </c>
      <c r="AM154" t="str">
        <f>Реестр_План_Факт!AM154</f>
        <v/>
      </c>
      <c r="AN154">
        <f>Реестр_План_Факт!AN154</f>
        <v>0</v>
      </c>
      <c r="AO154">
        <f>Реестр_План_Факт!AO154</f>
        <v>0</v>
      </c>
      <c r="AP154" t="str">
        <f>Реестр_План_Факт!AP154</f>
        <v/>
      </c>
      <c r="AQ154">
        <f>Реестр_План_Факт!AQ154</f>
        <v>0</v>
      </c>
    </row>
    <row r="155" spans="1:43" x14ac:dyDescent="0.2">
      <c r="A155" s="201">
        <f>Реестр_План_Факт!A155</f>
        <v>46176</v>
      </c>
      <c r="B155">
        <f>Реестр_План_Факт!B155</f>
        <v>23</v>
      </c>
      <c r="C155">
        <f>Реестр_План_Факт!C155</f>
        <v>6</v>
      </c>
      <c r="D155">
        <f>Реестр_План_Факт!D155</f>
        <v>0</v>
      </c>
      <c r="E155">
        <f>Реестр_План_Факт!E155</f>
        <v>0</v>
      </c>
      <c r="F155" t="str">
        <f>Реестр_План_Факт!F155</f>
        <v/>
      </c>
      <c r="G155">
        <f>Реестр_План_Факт!G155</f>
        <v>0</v>
      </c>
      <c r="H155">
        <f>Реестр_План_Факт!H155</f>
        <v>0</v>
      </c>
      <c r="I155" t="str">
        <f>Реестр_План_Факт!I155</f>
        <v/>
      </c>
      <c r="J155">
        <f>Реестр_План_Факт!J155</f>
        <v>0</v>
      </c>
      <c r="K155">
        <f>Реестр_План_Факт!K155</f>
        <v>0</v>
      </c>
      <c r="L155" t="str">
        <f>Реестр_План_Факт!L155</f>
        <v/>
      </c>
      <c r="M155">
        <f>Реестр_План_Факт!M155</f>
        <v>0</v>
      </c>
      <c r="N155">
        <f>Реестр_План_Факт!N155</f>
        <v>0</v>
      </c>
      <c r="O155" t="str">
        <f>Реестр_План_Факт!O155</f>
        <v/>
      </c>
      <c r="P155">
        <f>Реестр_План_Факт!P155</f>
        <v>0</v>
      </c>
      <c r="Q155">
        <f>Реестр_План_Факт!Q155</f>
        <v>0</v>
      </c>
      <c r="R155" t="str">
        <f>Реестр_План_Факт!R155</f>
        <v/>
      </c>
      <c r="S155">
        <f>Реестр_План_Факт!S155</f>
        <v>0</v>
      </c>
      <c r="T155">
        <f>Реестр_План_Факт!T155</f>
        <v>0</v>
      </c>
      <c r="U155" t="str">
        <f>Реестр_План_Факт!U155</f>
        <v/>
      </c>
      <c r="V155">
        <f>Реестр_План_Факт!V155</f>
        <v>0</v>
      </c>
      <c r="W155">
        <f>Реестр_План_Факт!W155</f>
        <v>0</v>
      </c>
      <c r="X155" t="str">
        <f>Реестр_План_Факт!X155</f>
        <v/>
      </c>
      <c r="Y155">
        <f>Реестр_План_Факт!Y155</f>
        <v>0</v>
      </c>
      <c r="Z155">
        <f>Реестр_План_Факт!Z155</f>
        <v>0</v>
      </c>
      <c r="AA155" t="str">
        <f>Реестр_План_Факт!AA155</f>
        <v/>
      </c>
      <c r="AB155">
        <f>Реестр_План_Факт!AB155</f>
        <v>0</v>
      </c>
      <c r="AC155">
        <f>Реестр_План_Факт!AC155</f>
        <v>0</v>
      </c>
      <c r="AD155" t="str">
        <f>Реестр_План_Факт!AD155</f>
        <v/>
      </c>
      <c r="AE155">
        <f>Реестр_План_Факт!AE155</f>
        <v>0</v>
      </c>
      <c r="AF155">
        <f>Реестр_План_Факт!AF155</f>
        <v>0</v>
      </c>
      <c r="AG155" t="str">
        <f>Реестр_План_Факт!AG155</f>
        <v/>
      </c>
      <c r="AH155">
        <f>Реестр_План_Факт!AH155</f>
        <v>0</v>
      </c>
      <c r="AI155">
        <f>Реестр_План_Факт!AI155</f>
        <v>0</v>
      </c>
      <c r="AJ155" t="str">
        <f>Реестр_План_Факт!AJ155</f>
        <v/>
      </c>
      <c r="AK155">
        <f>Реестр_План_Факт!AK155</f>
        <v>0</v>
      </c>
      <c r="AL155">
        <f>Реестр_План_Факт!AL155</f>
        <v>0</v>
      </c>
      <c r="AM155" t="str">
        <f>Реестр_План_Факт!AM155</f>
        <v/>
      </c>
      <c r="AN155">
        <f>Реестр_План_Факт!AN155</f>
        <v>0</v>
      </c>
      <c r="AO155">
        <f>Реестр_План_Факт!AO155</f>
        <v>0</v>
      </c>
      <c r="AP155" t="str">
        <f>Реестр_План_Факт!AP155</f>
        <v/>
      </c>
      <c r="AQ155">
        <f>Реестр_План_Факт!AQ155</f>
        <v>0</v>
      </c>
    </row>
    <row r="156" spans="1:43" x14ac:dyDescent="0.2">
      <c r="A156" s="201">
        <f>Реестр_План_Факт!A156</f>
        <v>46177</v>
      </c>
      <c r="B156">
        <f>Реестр_План_Факт!B156</f>
        <v>23</v>
      </c>
      <c r="C156">
        <f>Реестр_План_Факт!C156</f>
        <v>6</v>
      </c>
      <c r="D156">
        <f>Реестр_План_Факт!D156</f>
        <v>0</v>
      </c>
      <c r="E156">
        <f>Реестр_План_Факт!E156</f>
        <v>0</v>
      </c>
      <c r="F156" t="str">
        <f>Реестр_План_Факт!F156</f>
        <v/>
      </c>
      <c r="G156">
        <f>Реестр_План_Факт!G156</f>
        <v>0</v>
      </c>
      <c r="H156">
        <f>Реестр_План_Факт!H156</f>
        <v>0</v>
      </c>
      <c r="I156" t="str">
        <f>Реестр_План_Факт!I156</f>
        <v/>
      </c>
      <c r="J156">
        <f>Реестр_План_Факт!J156</f>
        <v>0</v>
      </c>
      <c r="K156">
        <f>Реестр_План_Факт!K156</f>
        <v>0</v>
      </c>
      <c r="L156" t="str">
        <f>Реестр_План_Факт!L156</f>
        <v/>
      </c>
      <c r="M156">
        <f>Реестр_План_Факт!M156</f>
        <v>0</v>
      </c>
      <c r="N156">
        <f>Реестр_План_Факт!N156</f>
        <v>0</v>
      </c>
      <c r="O156" t="str">
        <f>Реестр_План_Факт!O156</f>
        <v/>
      </c>
      <c r="P156">
        <f>Реестр_План_Факт!P156</f>
        <v>0</v>
      </c>
      <c r="Q156">
        <f>Реестр_План_Факт!Q156</f>
        <v>0</v>
      </c>
      <c r="R156" t="str">
        <f>Реестр_План_Факт!R156</f>
        <v/>
      </c>
      <c r="S156">
        <f>Реестр_План_Факт!S156</f>
        <v>0</v>
      </c>
      <c r="T156">
        <f>Реестр_План_Факт!T156</f>
        <v>0</v>
      </c>
      <c r="U156" t="str">
        <f>Реестр_План_Факт!U156</f>
        <v/>
      </c>
      <c r="V156">
        <f>Реестр_План_Факт!V156</f>
        <v>0</v>
      </c>
      <c r="W156">
        <f>Реестр_План_Факт!W156</f>
        <v>0</v>
      </c>
      <c r="X156" t="str">
        <f>Реестр_План_Факт!X156</f>
        <v/>
      </c>
      <c r="Y156">
        <f>Реестр_План_Факт!Y156</f>
        <v>0</v>
      </c>
      <c r="Z156">
        <f>Реестр_План_Факт!Z156</f>
        <v>0</v>
      </c>
      <c r="AA156" t="str">
        <f>Реестр_План_Факт!AA156</f>
        <v/>
      </c>
      <c r="AB156">
        <f>Реестр_План_Факт!AB156</f>
        <v>0</v>
      </c>
      <c r="AC156">
        <f>Реестр_План_Факт!AC156</f>
        <v>0</v>
      </c>
      <c r="AD156" t="str">
        <f>Реестр_План_Факт!AD156</f>
        <v/>
      </c>
      <c r="AE156">
        <f>Реестр_План_Факт!AE156</f>
        <v>0</v>
      </c>
      <c r="AF156">
        <f>Реестр_План_Факт!AF156</f>
        <v>0</v>
      </c>
      <c r="AG156" t="str">
        <f>Реестр_План_Факт!AG156</f>
        <v/>
      </c>
      <c r="AH156">
        <f>Реестр_План_Факт!AH156</f>
        <v>0</v>
      </c>
      <c r="AI156">
        <f>Реестр_План_Факт!AI156</f>
        <v>0</v>
      </c>
      <c r="AJ156" t="str">
        <f>Реестр_План_Факт!AJ156</f>
        <v/>
      </c>
      <c r="AK156">
        <f>Реестр_План_Факт!AK156</f>
        <v>0</v>
      </c>
      <c r="AL156">
        <f>Реестр_План_Факт!AL156</f>
        <v>0</v>
      </c>
      <c r="AM156" t="str">
        <f>Реестр_План_Факт!AM156</f>
        <v/>
      </c>
      <c r="AN156">
        <f>Реестр_План_Факт!AN156</f>
        <v>0</v>
      </c>
      <c r="AO156">
        <f>Реестр_План_Факт!AO156</f>
        <v>0</v>
      </c>
      <c r="AP156" t="str">
        <f>Реестр_План_Факт!AP156</f>
        <v/>
      </c>
      <c r="AQ156">
        <f>Реестр_План_Факт!AQ156</f>
        <v>0</v>
      </c>
    </row>
    <row r="157" spans="1:43" x14ac:dyDescent="0.2">
      <c r="A157" s="201">
        <f>Реестр_План_Факт!A157</f>
        <v>46178</v>
      </c>
      <c r="B157">
        <f>Реестр_План_Факт!B157</f>
        <v>23</v>
      </c>
      <c r="C157">
        <f>Реестр_План_Факт!C157</f>
        <v>6</v>
      </c>
      <c r="D157">
        <f>Реестр_План_Факт!D157</f>
        <v>0</v>
      </c>
      <c r="E157">
        <f>Реестр_План_Факт!E157</f>
        <v>0</v>
      </c>
      <c r="F157" t="str">
        <f>Реестр_План_Факт!F157</f>
        <v/>
      </c>
      <c r="G157">
        <f>Реестр_План_Факт!G157</f>
        <v>0</v>
      </c>
      <c r="H157">
        <f>Реестр_План_Факт!H157</f>
        <v>0</v>
      </c>
      <c r="I157" t="str">
        <f>Реестр_План_Факт!I157</f>
        <v/>
      </c>
      <c r="J157">
        <f>Реестр_План_Факт!J157</f>
        <v>0</v>
      </c>
      <c r="K157">
        <f>Реестр_План_Факт!K157</f>
        <v>0</v>
      </c>
      <c r="L157" t="str">
        <f>Реестр_План_Факт!L157</f>
        <v/>
      </c>
      <c r="M157">
        <f>Реестр_План_Факт!M157</f>
        <v>0</v>
      </c>
      <c r="N157">
        <f>Реестр_План_Факт!N157</f>
        <v>0</v>
      </c>
      <c r="O157" t="str">
        <f>Реестр_План_Факт!O157</f>
        <v/>
      </c>
      <c r="P157">
        <f>Реестр_План_Факт!P157</f>
        <v>0</v>
      </c>
      <c r="Q157">
        <f>Реестр_План_Факт!Q157</f>
        <v>0</v>
      </c>
      <c r="R157" t="str">
        <f>Реестр_План_Факт!R157</f>
        <v/>
      </c>
      <c r="S157">
        <f>Реестр_План_Факт!S157</f>
        <v>0</v>
      </c>
      <c r="T157">
        <f>Реестр_План_Факт!T157</f>
        <v>0</v>
      </c>
      <c r="U157" t="str">
        <f>Реестр_План_Факт!U157</f>
        <v/>
      </c>
      <c r="V157">
        <f>Реестр_План_Факт!V157</f>
        <v>0</v>
      </c>
      <c r="W157">
        <f>Реестр_План_Факт!W157</f>
        <v>0</v>
      </c>
      <c r="X157" t="str">
        <f>Реестр_План_Факт!X157</f>
        <v/>
      </c>
      <c r="Y157">
        <f>Реестр_План_Факт!Y157</f>
        <v>0</v>
      </c>
      <c r="Z157">
        <f>Реестр_План_Факт!Z157</f>
        <v>0</v>
      </c>
      <c r="AA157" t="str">
        <f>Реестр_План_Факт!AA157</f>
        <v/>
      </c>
      <c r="AB157">
        <f>Реестр_План_Факт!AB157</f>
        <v>0</v>
      </c>
      <c r="AC157">
        <f>Реестр_План_Факт!AC157</f>
        <v>0</v>
      </c>
      <c r="AD157" t="str">
        <f>Реестр_План_Факт!AD157</f>
        <v/>
      </c>
      <c r="AE157">
        <f>Реестр_План_Факт!AE157</f>
        <v>0</v>
      </c>
      <c r="AF157">
        <f>Реестр_План_Факт!AF157</f>
        <v>0</v>
      </c>
      <c r="AG157" t="str">
        <f>Реестр_План_Факт!AG157</f>
        <v/>
      </c>
      <c r="AH157">
        <f>Реестр_План_Факт!AH157</f>
        <v>0</v>
      </c>
      <c r="AI157">
        <f>Реестр_План_Факт!AI157</f>
        <v>0</v>
      </c>
      <c r="AJ157" t="str">
        <f>Реестр_План_Факт!AJ157</f>
        <v/>
      </c>
      <c r="AK157">
        <f>Реестр_План_Факт!AK157</f>
        <v>0</v>
      </c>
      <c r="AL157">
        <f>Реестр_План_Факт!AL157</f>
        <v>0</v>
      </c>
      <c r="AM157" t="str">
        <f>Реестр_План_Факт!AM157</f>
        <v/>
      </c>
      <c r="AN157">
        <f>Реестр_План_Факт!AN157</f>
        <v>0</v>
      </c>
      <c r="AO157">
        <f>Реестр_План_Факт!AO157</f>
        <v>0</v>
      </c>
      <c r="AP157" t="str">
        <f>Реестр_План_Факт!AP157</f>
        <v/>
      </c>
      <c r="AQ157">
        <f>Реестр_План_Факт!AQ157</f>
        <v>0</v>
      </c>
    </row>
    <row r="158" spans="1:43" x14ac:dyDescent="0.2">
      <c r="A158" s="201">
        <f>Реестр_План_Факт!A158</f>
        <v>46179</v>
      </c>
      <c r="B158">
        <f>Реестр_План_Факт!B158</f>
        <v>23</v>
      </c>
      <c r="C158">
        <f>Реестр_План_Факт!C158</f>
        <v>6</v>
      </c>
      <c r="D158">
        <f>Реестр_План_Факт!D158</f>
        <v>0</v>
      </c>
      <c r="E158">
        <f>Реестр_План_Факт!E158</f>
        <v>0</v>
      </c>
      <c r="F158" t="str">
        <f>Реестр_План_Факт!F158</f>
        <v/>
      </c>
      <c r="G158">
        <f>Реестр_План_Факт!G158</f>
        <v>0</v>
      </c>
      <c r="H158">
        <f>Реестр_План_Факт!H158</f>
        <v>0</v>
      </c>
      <c r="I158" t="str">
        <f>Реестр_План_Факт!I158</f>
        <v/>
      </c>
      <c r="J158">
        <f>Реестр_План_Факт!J158</f>
        <v>0</v>
      </c>
      <c r="K158">
        <f>Реестр_План_Факт!K158</f>
        <v>0</v>
      </c>
      <c r="L158" t="str">
        <f>Реестр_План_Факт!L158</f>
        <v/>
      </c>
      <c r="M158">
        <f>Реестр_План_Факт!M158</f>
        <v>0</v>
      </c>
      <c r="N158">
        <f>Реестр_План_Факт!N158</f>
        <v>0</v>
      </c>
      <c r="O158" t="str">
        <f>Реестр_План_Факт!O158</f>
        <v/>
      </c>
      <c r="P158">
        <f>Реестр_План_Факт!P158</f>
        <v>0</v>
      </c>
      <c r="Q158">
        <f>Реестр_План_Факт!Q158</f>
        <v>0</v>
      </c>
      <c r="R158" t="str">
        <f>Реестр_План_Факт!R158</f>
        <v/>
      </c>
      <c r="S158">
        <f>Реестр_План_Факт!S158</f>
        <v>0</v>
      </c>
      <c r="T158">
        <f>Реестр_План_Факт!T158</f>
        <v>0</v>
      </c>
      <c r="U158" t="str">
        <f>Реестр_План_Факт!U158</f>
        <v/>
      </c>
      <c r="V158">
        <f>Реестр_План_Факт!V158</f>
        <v>0</v>
      </c>
      <c r="W158">
        <f>Реестр_План_Факт!W158</f>
        <v>0</v>
      </c>
      <c r="X158" t="str">
        <f>Реестр_План_Факт!X158</f>
        <v/>
      </c>
      <c r="Y158">
        <f>Реестр_План_Факт!Y158</f>
        <v>0</v>
      </c>
      <c r="Z158">
        <f>Реестр_План_Факт!Z158</f>
        <v>0</v>
      </c>
      <c r="AA158" t="str">
        <f>Реестр_План_Факт!AA158</f>
        <v/>
      </c>
      <c r="AB158">
        <f>Реестр_План_Факт!AB158</f>
        <v>0</v>
      </c>
      <c r="AC158">
        <f>Реестр_План_Факт!AC158</f>
        <v>0</v>
      </c>
      <c r="AD158" t="str">
        <f>Реестр_План_Факт!AD158</f>
        <v/>
      </c>
      <c r="AE158">
        <f>Реестр_План_Факт!AE158</f>
        <v>0</v>
      </c>
      <c r="AF158">
        <f>Реестр_План_Факт!AF158</f>
        <v>0</v>
      </c>
      <c r="AG158" t="str">
        <f>Реестр_План_Факт!AG158</f>
        <v/>
      </c>
      <c r="AH158">
        <f>Реестр_План_Факт!AH158</f>
        <v>0</v>
      </c>
      <c r="AI158">
        <f>Реестр_План_Факт!AI158</f>
        <v>0</v>
      </c>
      <c r="AJ158" t="str">
        <f>Реестр_План_Факт!AJ158</f>
        <v/>
      </c>
      <c r="AK158">
        <f>Реестр_План_Факт!AK158</f>
        <v>0</v>
      </c>
      <c r="AL158">
        <f>Реестр_План_Факт!AL158</f>
        <v>0</v>
      </c>
      <c r="AM158" t="str">
        <f>Реестр_План_Факт!AM158</f>
        <v/>
      </c>
      <c r="AN158">
        <f>Реестр_План_Факт!AN158</f>
        <v>0</v>
      </c>
      <c r="AO158">
        <f>Реестр_План_Факт!AO158</f>
        <v>0</v>
      </c>
      <c r="AP158" t="str">
        <f>Реестр_План_Факт!AP158</f>
        <v/>
      </c>
      <c r="AQ158">
        <f>Реестр_План_Факт!AQ158</f>
        <v>0</v>
      </c>
    </row>
    <row r="159" spans="1:43" x14ac:dyDescent="0.2">
      <c r="A159" s="201">
        <f>Реестр_План_Факт!A159</f>
        <v>46180</v>
      </c>
      <c r="B159">
        <f>Реестр_План_Факт!B159</f>
        <v>23</v>
      </c>
      <c r="C159">
        <f>Реестр_План_Факт!C159</f>
        <v>6</v>
      </c>
      <c r="D159">
        <f>Реестр_План_Факт!D159</f>
        <v>0</v>
      </c>
      <c r="E159">
        <f>Реестр_План_Факт!E159</f>
        <v>0</v>
      </c>
      <c r="F159" t="str">
        <f>Реестр_План_Факт!F159</f>
        <v/>
      </c>
      <c r="G159">
        <f>Реестр_План_Факт!G159</f>
        <v>0</v>
      </c>
      <c r="H159">
        <f>Реестр_План_Факт!H159</f>
        <v>0</v>
      </c>
      <c r="I159" t="str">
        <f>Реестр_План_Факт!I159</f>
        <v/>
      </c>
      <c r="J159">
        <f>Реестр_План_Факт!J159</f>
        <v>0</v>
      </c>
      <c r="K159">
        <f>Реестр_План_Факт!K159</f>
        <v>0</v>
      </c>
      <c r="L159" t="str">
        <f>Реестр_План_Факт!L159</f>
        <v/>
      </c>
      <c r="M159">
        <f>Реестр_План_Факт!M159</f>
        <v>0</v>
      </c>
      <c r="N159">
        <f>Реестр_План_Факт!N159</f>
        <v>0</v>
      </c>
      <c r="O159" t="str">
        <f>Реестр_План_Факт!O159</f>
        <v/>
      </c>
      <c r="P159">
        <f>Реестр_План_Факт!P159</f>
        <v>0</v>
      </c>
      <c r="Q159">
        <f>Реестр_План_Факт!Q159</f>
        <v>0</v>
      </c>
      <c r="R159" t="str">
        <f>Реестр_План_Факт!R159</f>
        <v/>
      </c>
      <c r="S159">
        <f>Реестр_План_Факт!S159</f>
        <v>0</v>
      </c>
      <c r="T159">
        <f>Реестр_План_Факт!T159</f>
        <v>0</v>
      </c>
      <c r="U159" t="str">
        <f>Реестр_План_Факт!U159</f>
        <v/>
      </c>
      <c r="V159">
        <f>Реестр_План_Факт!V159</f>
        <v>0</v>
      </c>
      <c r="W159">
        <f>Реестр_План_Факт!W159</f>
        <v>0</v>
      </c>
      <c r="X159" t="str">
        <f>Реестр_План_Факт!X159</f>
        <v/>
      </c>
      <c r="Y159">
        <f>Реестр_План_Факт!Y159</f>
        <v>0</v>
      </c>
      <c r="Z159">
        <f>Реестр_План_Факт!Z159</f>
        <v>0</v>
      </c>
      <c r="AA159" t="str">
        <f>Реестр_План_Факт!AA159</f>
        <v/>
      </c>
      <c r="AB159">
        <f>Реестр_План_Факт!AB159</f>
        <v>0</v>
      </c>
      <c r="AC159">
        <f>Реестр_План_Факт!AC159</f>
        <v>0</v>
      </c>
      <c r="AD159" t="str">
        <f>Реестр_План_Факт!AD159</f>
        <v/>
      </c>
      <c r="AE159">
        <f>Реестр_План_Факт!AE159</f>
        <v>0</v>
      </c>
      <c r="AF159">
        <f>Реестр_План_Факт!AF159</f>
        <v>0</v>
      </c>
      <c r="AG159" t="str">
        <f>Реестр_План_Факт!AG159</f>
        <v/>
      </c>
      <c r="AH159">
        <f>Реестр_План_Факт!AH159</f>
        <v>0</v>
      </c>
      <c r="AI159">
        <f>Реестр_План_Факт!AI159</f>
        <v>0</v>
      </c>
      <c r="AJ159" t="str">
        <f>Реестр_План_Факт!AJ159</f>
        <v/>
      </c>
      <c r="AK159">
        <f>Реестр_План_Факт!AK159</f>
        <v>0</v>
      </c>
      <c r="AL159">
        <f>Реестр_План_Факт!AL159</f>
        <v>0</v>
      </c>
      <c r="AM159" t="str">
        <f>Реестр_План_Факт!AM159</f>
        <v/>
      </c>
      <c r="AN159">
        <f>Реестр_План_Факт!AN159</f>
        <v>0</v>
      </c>
      <c r="AO159">
        <f>Реестр_План_Факт!AO159</f>
        <v>0</v>
      </c>
      <c r="AP159" t="str">
        <f>Реестр_План_Факт!AP159</f>
        <v/>
      </c>
      <c r="AQ159">
        <f>Реестр_План_Факт!AQ159</f>
        <v>0</v>
      </c>
    </row>
    <row r="160" spans="1:43" x14ac:dyDescent="0.2">
      <c r="A160" s="201">
        <f>Реестр_План_Факт!A160</f>
        <v>46181</v>
      </c>
      <c r="B160">
        <f>Реестр_План_Факт!B160</f>
        <v>24</v>
      </c>
      <c r="C160">
        <f>Реестр_План_Факт!C160</f>
        <v>6</v>
      </c>
      <c r="D160">
        <f>Реестр_План_Факт!D160</f>
        <v>0</v>
      </c>
      <c r="E160">
        <f>Реестр_План_Факт!E160</f>
        <v>0</v>
      </c>
      <c r="F160" t="str">
        <f>Реестр_План_Факт!F160</f>
        <v/>
      </c>
      <c r="G160">
        <f>Реестр_План_Факт!G160</f>
        <v>0</v>
      </c>
      <c r="H160">
        <f>Реестр_План_Факт!H160</f>
        <v>0</v>
      </c>
      <c r="I160" t="str">
        <f>Реестр_План_Факт!I160</f>
        <v/>
      </c>
      <c r="J160">
        <f>Реестр_План_Факт!J160</f>
        <v>0</v>
      </c>
      <c r="K160">
        <f>Реестр_План_Факт!K160</f>
        <v>0</v>
      </c>
      <c r="L160" t="str">
        <f>Реестр_План_Факт!L160</f>
        <v/>
      </c>
      <c r="M160">
        <f>Реестр_План_Факт!M160</f>
        <v>0</v>
      </c>
      <c r="N160">
        <f>Реестр_План_Факт!N160</f>
        <v>0</v>
      </c>
      <c r="O160" t="str">
        <f>Реестр_План_Факт!O160</f>
        <v/>
      </c>
      <c r="P160">
        <f>Реестр_План_Факт!P160</f>
        <v>0</v>
      </c>
      <c r="Q160">
        <f>Реестр_План_Факт!Q160</f>
        <v>0</v>
      </c>
      <c r="R160" t="str">
        <f>Реестр_План_Факт!R160</f>
        <v/>
      </c>
      <c r="S160">
        <f>Реестр_План_Факт!S160</f>
        <v>0</v>
      </c>
      <c r="T160">
        <f>Реестр_План_Факт!T160</f>
        <v>0</v>
      </c>
      <c r="U160" t="str">
        <f>Реестр_План_Факт!U160</f>
        <v/>
      </c>
      <c r="V160">
        <f>Реестр_План_Факт!V160</f>
        <v>0</v>
      </c>
      <c r="W160">
        <f>Реестр_План_Факт!W160</f>
        <v>0</v>
      </c>
      <c r="X160" t="str">
        <f>Реестр_План_Факт!X160</f>
        <v/>
      </c>
      <c r="Y160">
        <f>Реестр_План_Факт!Y160</f>
        <v>0</v>
      </c>
      <c r="Z160">
        <f>Реестр_План_Факт!Z160</f>
        <v>0</v>
      </c>
      <c r="AA160" t="str">
        <f>Реестр_План_Факт!AA160</f>
        <v/>
      </c>
      <c r="AB160">
        <f>Реестр_План_Факт!AB160</f>
        <v>0</v>
      </c>
      <c r="AC160">
        <f>Реестр_План_Факт!AC160</f>
        <v>0</v>
      </c>
      <c r="AD160" t="str">
        <f>Реестр_План_Факт!AD160</f>
        <v/>
      </c>
      <c r="AE160">
        <f>Реестр_План_Факт!AE160</f>
        <v>0</v>
      </c>
      <c r="AF160">
        <f>Реестр_План_Факт!AF160</f>
        <v>0</v>
      </c>
      <c r="AG160" t="str">
        <f>Реестр_План_Факт!AG160</f>
        <v/>
      </c>
      <c r="AH160">
        <f>Реестр_План_Факт!AH160</f>
        <v>0</v>
      </c>
      <c r="AI160">
        <f>Реестр_План_Факт!AI160</f>
        <v>0</v>
      </c>
      <c r="AJ160" t="str">
        <f>Реестр_План_Факт!AJ160</f>
        <v/>
      </c>
      <c r="AK160">
        <f>Реестр_План_Факт!AK160</f>
        <v>0</v>
      </c>
      <c r="AL160">
        <f>Реестр_План_Факт!AL160</f>
        <v>0</v>
      </c>
      <c r="AM160" t="str">
        <f>Реестр_План_Факт!AM160</f>
        <v/>
      </c>
      <c r="AN160">
        <f>Реестр_План_Факт!AN160</f>
        <v>0</v>
      </c>
      <c r="AO160">
        <f>Реестр_План_Факт!AO160</f>
        <v>0</v>
      </c>
      <c r="AP160" t="str">
        <f>Реестр_План_Факт!AP160</f>
        <v/>
      </c>
      <c r="AQ160">
        <f>Реестр_План_Факт!AQ160</f>
        <v>0</v>
      </c>
    </row>
    <row r="161" spans="1:43" x14ac:dyDescent="0.2">
      <c r="A161" s="201">
        <f>Реестр_План_Факт!A161</f>
        <v>46182</v>
      </c>
      <c r="B161">
        <f>Реестр_План_Факт!B161</f>
        <v>24</v>
      </c>
      <c r="C161">
        <f>Реестр_План_Факт!C161</f>
        <v>6</v>
      </c>
      <c r="D161">
        <f>Реестр_План_Факт!D161</f>
        <v>0</v>
      </c>
      <c r="E161">
        <f>Реестр_План_Факт!E161</f>
        <v>0</v>
      </c>
      <c r="F161" t="str">
        <f>Реестр_План_Факт!F161</f>
        <v/>
      </c>
      <c r="G161">
        <f>Реестр_План_Факт!G161</f>
        <v>0</v>
      </c>
      <c r="H161">
        <f>Реестр_План_Факт!H161</f>
        <v>0</v>
      </c>
      <c r="I161" t="str">
        <f>Реестр_План_Факт!I161</f>
        <v/>
      </c>
      <c r="J161">
        <f>Реестр_План_Факт!J161</f>
        <v>0</v>
      </c>
      <c r="K161">
        <f>Реестр_План_Факт!K161</f>
        <v>0</v>
      </c>
      <c r="L161" t="str">
        <f>Реестр_План_Факт!L161</f>
        <v/>
      </c>
      <c r="M161">
        <f>Реестр_План_Факт!M161</f>
        <v>0</v>
      </c>
      <c r="N161">
        <f>Реестр_План_Факт!N161</f>
        <v>0</v>
      </c>
      <c r="O161" t="str">
        <f>Реестр_План_Факт!O161</f>
        <v/>
      </c>
      <c r="P161">
        <f>Реестр_План_Факт!P161</f>
        <v>0</v>
      </c>
      <c r="Q161">
        <f>Реестр_План_Факт!Q161</f>
        <v>0</v>
      </c>
      <c r="R161" t="str">
        <f>Реестр_План_Факт!R161</f>
        <v/>
      </c>
      <c r="S161">
        <f>Реестр_План_Факт!S161</f>
        <v>0</v>
      </c>
      <c r="T161">
        <f>Реестр_План_Факт!T161</f>
        <v>0</v>
      </c>
      <c r="U161" t="str">
        <f>Реестр_План_Факт!U161</f>
        <v/>
      </c>
      <c r="V161">
        <f>Реестр_План_Факт!V161</f>
        <v>0</v>
      </c>
      <c r="W161">
        <f>Реестр_План_Факт!W161</f>
        <v>0</v>
      </c>
      <c r="X161" t="str">
        <f>Реестр_План_Факт!X161</f>
        <v/>
      </c>
      <c r="Y161">
        <f>Реестр_План_Факт!Y161</f>
        <v>0</v>
      </c>
      <c r="Z161">
        <f>Реестр_План_Факт!Z161</f>
        <v>0</v>
      </c>
      <c r="AA161" t="str">
        <f>Реестр_План_Факт!AA161</f>
        <v/>
      </c>
      <c r="AB161">
        <f>Реестр_План_Факт!AB161</f>
        <v>0</v>
      </c>
      <c r="AC161">
        <f>Реестр_План_Факт!AC161</f>
        <v>0</v>
      </c>
      <c r="AD161" t="str">
        <f>Реестр_План_Факт!AD161</f>
        <v/>
      </c>
      <c r="AE161">
        <f>Реестр_План_Факт!AE161</f>
        <v>0</v>
      </c>
      <c r="AF161">
        <f>Реестр_План_Факт!AF161</f>
        <v>0</v>
      </c>
      <c r="AG161" t="str">
        <f>Реестр_План_Факт!AG161</f>
        <v/>
      </c>
      <c r="AH161">
        <f>Реестр_План_Факт!AH161</f>
        <v>0</v>
      </c>
      <c r="AI161">
        <f>Реестр_План_Факт!AI161</f>
        <v>0</v>
      </c>
      <c r="AJ161" t="str">
        <f>Реестр_План_Факт!AJ161</f>
        <v/>
      </c>
      <c r="AK161">
        <f>Реестр_План_Факт!AK161</f>
        <v>0</v>
      </c>
      <c r="AL161">
        <f>Реестр_План_Факт!AL161</f>
        <v>0</v>
      </c>
      <c r="AM161" t="str">
        <f>Реестр_План_Факт!AM161</f>
        <v/>
      </c>
      <c r="AN161">
        <f>Реестр_План_Факт!AN161</f>
        <v>0</v>
      </c>
      <c r="AO161">
        <f>Реестр_План_Факт!AO161</f>
        <v>0</v>
      </c>
      <c r="AP161" t="str">
        <f>Реестр_План_Факт!AP161</f>
        <v/>
      </c>
      <c r="AQ161">
        <f>Реестр_План_Факт!AQ161</f>
        <v>0</v>
      </c>
    </row>
    <row r="162" spans="1:43" x14ac:dyDescent="0.2">
      <c r="A162" s="201">
        <f>Реестр_План_Факт!A162</f>
        <v>46183</v>
      </c>
      <c r="B162">
        <f>Реестр_План_Факт!B162</f>
        <v>24</v>
      </c>
      <c r="C162">
        <f>Реестр_План_Факт!C162</f>
        <v>6</v>
      </c>
      <c r="D162">
        <f>Реестр_План_Факт!D162</f>
        <v>0</v>
      </c>
      <c r="E162">
        <f>Реестр_План_Факт!E162</f>
        <v>0</v>
      </c>
      <c r="F162" t="str">
        <f>Реестр_План_Факт!F162</f>
        <v/>
      </c>
      <c r="G162">
        <f>Реестр_План_Факт!G162</f>
        <v>0</v>
      </c>
      <c r="H162">
        <f>Реестр_План_Факт!H162</f>
        <v>0</v>
      </c>
      <c r="I162" t="str">
        <f>Реестр_План_Факт!I162</f>
        <v/>
      </c>
      <c r="J162">
        <f>Реестр_План_Факт!J162</f>
        <v>0</v>
      </c>
      <c r="K162">
        <f>Реестр_План_Факт!K162</f>
        <v>0</v>
      </c>
      <c r="L162" t="str">
        <f>Реестр_План_Факт!L162</f>
        <v/>
      </c>
      <c r="M162">
        <f>Реестр_План_Факт!M162</f>
        <v>0</v>
      </c>
      <c r="N162">
        <f>Реестр_План_Факт!N162</f>
        <v>0</v>
      </c>
      <c r="O162" t="str">
        <f>Реестр_План_Факт!O162</f>
        <v/>
      </c>
      <c r="P162">
        <f>Реестр_План_Факт!P162</f>
        <v>0</v>
      </c>
      <c r="Q162">
        <f>Реестр_План_Факт!Q162</f>
        <v>0</v>
      </c>
      <c r="R162" t="str">
        <f>Реестр_План_Факт!R162</f>
        <v/>
      </c>
      <c r="S162">
        <f>Реестр_План_Факт!S162</f>
        <v>0</v>
      </c>
      <c r="T162">
        <f>Реестр_План_Факт!T162</f>
        <v>0</v>
      </c>
      <c r="U162" t="str">
        <f>Реестр_План_Факт!U162</f>
        <v/>
      </c>
      <c r="V162">
        <f>Реестр_План_Факт!V162</f>
        <v>0</v>
      </c>
      <c r="W162">
        <f>Реестр_План_Факт!W162</f>
        <v>0</v>
      </c>
      <c r="X162" t="str">
        <f>Реестр_План_Факт!X162</f>
        <v/>
      </c>
      <c r="Y162">
        <f>Реестр_План_Факт!Y162</f>
        <v>0</v>
      </c>
      <c r="Z162">
        <f>Реестр_План_Факт!Z162</f>
        <v>0</v>
      </c>
      <c r="AA162" t="str">
        <f>Реестр_План_Факт!AA162</f>
        <v/>
      </c>
      <c r="AB162">
        <f>Реестр_План_Факт!AB162</f>
        <v>0</v>
      </c>
      <c r="AC162">
        <f>Реестр_План_Факт!AC162</f>
        <v>0</v>
      </c>
      <c r="AD162" t="str">
        <f>Реестр_План_Факт!AD162</f>
        <v/>
      </c>
      <c r="AE162">
        <f>Реестр_План_Факт!AE162</f>
        <v>0</v>
      </c>
      <c r="AF162">
        <f>Реестр_План_Факт!AF162</f>
        <v>0</v>
      </c>
      <c r="AG162" t="str">
        <f>Реестр_План_Факт!AG162</f>
        <v/>
      </c>
      <c r="AH162">
        <f>Реестр_План_Факт!AH162</f>
        <v>0</v>
      </c>
      <c r="AI162">
        <f>Реестр_План_Факт!AI162</f>
        <v>0</v>
      </c>
      <c r="AJ162" t="str">
        <f>Реестр_План_Факт!AJ162</f>
        <v/>
      </c>
      <c r="AK162">
        <f>Реестр_План_Факт!AK162</f>
        <v>0</v>
      </c>
      <c r="AL162">
        <f>Реестр_План_Факт!AL162</f>
        <v>0</v>
      </c>
      <c r="AM162" t="str">
        <f>Реестр_План_Факт!AM162</f>
        <v/>
      </c>
      <c r="AN162">
        <f>Реестр_План_Факт!AN162</f>
        <v>0</v>
      </c>
      <c r="AO162">
        <f>Реестр_План_Факт!AO162</f>
        <v>0</v>
      </c>
      <c r="AP162" t="str">
        <f>Реестр_План_Факт!AP162</f>
        <v/>
      </c>
      <c r="AQ162">
        <f>Реестр_План_Факт!AQ162</f>
        <v>0</v>
      </c>
    </row>
    <row r="163" spans="1:43" x14ac:dyDescent="0.2">
      <c r="A163" s="201">
        <f>Реестр_План_Факт!A163</f>
        <v>46184</v>
      </c>
      <c r="B163">
        <f>Реестр_План_Факт!B163</f>
        <v>24</v>
      </c>
      <c r="C163">
        <f>Реестр_План_Факт!C163</f>
        <v>6</v>
      </c>
      <c r="D163">
        <f>Реестр_План_Факт!D163</f>
        <v>0</v>
      </c>
      <c r="E163">
        <f>Реестр_План_Факт!E163</f>
        <v>0</v>
      </c>
      <c r="F163" t="str">
        <f>Реестр_План_Факт!F163</f>
        <v/>
      </c>
      <c r="G163">
        <f>Реестр_План_Факт!G163</f>
        <v>0</v>
      </c>
      <c r="H163">
        <f>Реестр_План_Факт!H163</f>
        <v>0</v>
      </c>
      <c r="I163" t="str">
        <f>Реестр_План_Факт!I163</f>
        <v/>
      </c>
      <c r="J163">
        <f>Реестр_План_Факт!J163</f>
        <v>0</v>
      </c>
      <c r="K163">
        <f>Реестр_План_Факт!K163</f>
        <v>0</v>
      </c>
      <c r="L163" t="str">
        <f>Реестр_План_Факт!L163</f>
        <v/>
      </c>
      <c r="M163">
        <f>Реестр_План_Факт!M163</f>
        <v>0</v>
      </c>
      <c r="N163">
        <f>Реестр_План_Факт!N163</f>
        <v>0</v>
      </c>
      <c r="O163" t="str">
        <f>Реестр_План_Факт!O163</f>
        <v/>
      </c>
      <c r="P163">
        <f>Реестр_План_Факт!P163</f>
        <v>0</v>
      </c>
      <c r="Q163">
        <f>Реестр_План_Факт!Q163</f>
        <v>0</v>
      </c>
      <c r="R163" t="str">
        <f>Реестр_План_Факт!R163</f>
        <v/>
      </c>
      <c r="S163">
        <f>Реестр_План_Факт!S163</f>
        <v>0</v>
      </c>
      <c r="T163">
        <f>Реестр_План_Факт!T163</f>
        <v>0</v>
      </c>
      <c r="U163" t="str">
        <f>Реестр_План_Факт!U163</f>
        <v/>
      </c>
      <c r="V163">
        <f>Реестр_План_Факт!V163</f>
        <v>0</v>
      </c>
      <c r="W163">
        <f>Реестр_План_Факт!W163</f>
        <v>0</v>
      </c>
      <c r="X163" t="str">
        <f>Реестр_План_Факт!X163</f>
        <v/>
      </c>
      <c r="Y163">
        <f>Реестр_План_Факт!Y163</f>
        <v>0</v>
      </c>
      <c r="Z163">
        <f>Реестр_План_Факт!Z163</f>
        <v>0</v>
      </c>
      <c r="AA163" t="str">
        <f>Реестр_План_Факт!AA163</f>
        <v/>
      </c>
      <c r="AB163">
        <f>Реестр_План_Факт!AB163</f>
        <v>0</v>
      </c>
      <c r="AC163">
        <f>Реестр_План_Факт!AC163</f>
        <v>0</v>
      </c>
      <c r="AD163" t="str">
        <f>Реестр_План_Факт!AD163</f>
        <v/>
      </c>
      <c r="AE163">
        <f>Реестр_План_Факт!AE163</f>
        <v>0</v>
      </c>
      <c r="AF163">
        <f>Реестр_План_Факт!AF163</f>
        <v>0</v>
      </c>
      <c r="AG163" t="str">
        <f>Реестр_План_Факт!AG163</f>
        <v/>
      </c>
      <c r="AH163">
        <f>Реестр_План_Факт!AH163</f>
        <v>0</v>
      </c>
      <c r="AI163">
        <f>Реестр_План_Факт!AI163</f>
        <v>0</v>
      </c>
      <c r="AJ163" t="str">
        <f>Реестр_План_Факт!AJ163</f>
        <v/>
      </c>
      <c r="AK163">
        <f>Реестр_План_Факт!AK163</f>
        <v>0</v>
      </c>
      <c r="AL163">
        <f>Реестр_План_Факт!AL163</f>
        <v>0</v>
      </c>
      <c r="AM163" t="str">
        <f>Реестр_План_Факт!AM163</f>
        <v/>
      </c>
      <c r="AN163">
        <f>Реестр_План_Факт!AN163</f>
        <v>0</v>
      </c>
      <c r="AO163">
        <f>Реестр_План_Факт!AO163</f>
        <v>0</v>
      </c>
      <c r="AP163" t="str">
        <f>Реестр_План_Факт!AP163</f>
        <v/>
      </c>
      <c r="AQ163">
        <f>Реестр_План_Факт!AQ163</f>
        <v>0</v>
      </c>
    </row>
    <row r="164" spans="1:43" x14ac:dyDescent="0.2">
      <c r="A164" s="201">
        <f>Реестр_План_Факт!A164</f>
        <v>46185</v>
      </c>
      <c r="B164">
        <f>Реестр_План_Факт!B164</f>
        <v>24</v>
      </c>
      <c r="C164">
        <f>Реестр_План_Факт!C164</f>
        <v>6</v>
      </c>
      <c r="D164">
        <f>Реестр_План_Факт!D164</f>
        <v>0</v>
      </c>
      <c r="E164">
        <f>Реестр_План_Факт!E164</f>
        <v>0</v>
      </c>
      <c r="F164" t="str">
        <f>Реестр_План_Факт!F164</f>
        <v/>
      </c>
      <c r="G164">
        <f>Реестр_План_Факт!G164</f>
        <v>0</v>
      </c>
      <c r="H164">
        <f>Реестр_План_Факт!H164</f>
        <v>0</v>
      </c>
      <c r="I164" t="str">
        <f>Реестр_План_Факт!I164</f>
        <v/>
      </c>
      <c r="J164">
        <f>Реестр_План_Факт!J164</f>
        <v>0</v>
      </c>
      <c r="K164">
        <f>Реестр_План_Факт!K164</f>
        <v>0</v>
      </c>
      <c r="L164" t="str">
        <f>Реестр_План_Факт!L164</f>
        <v/>
      </c>
      <c r="M164">
        <f>Реестр_План_Факт!M164</f>
        <v>0</v>
      </c>
      <c r="N164">
        <f>Реестр_План_Факт!N164</f>
        <v>0</v>
      </c>
      <c r="O164" t="str">
        <f>Реестр_План_Факт!O164</f>
        <v/>
      </c>
      <c r="P164">
        <f>Реестр_План_Факт!P164</f>
        <v>0</v>
      </c>
      <c r="Q164">
        <f>Реестр_План_Факт!Q164</f>
        <v>0</v>
      </c>
      <c r="R164" t="str">
        <f>Реестр_План_Факт!R164</f>
        <v/>
      </c>
      <c r="S164">
        <f>Реестр_План_Факт!S164</f>
        <v>0</v>
      </c>
      <c r="T164">
        <f>Реестр_План_Факт!T164</f>
        <v>0</v>
      </c>
      <c r="U164" t="str">
        <f>Реестр_План_Факт!U164</f>
        <v/>
      </c>
      <c r="V164">
        <f>Реестр_План_Факт!V164</f>
        <v>0</v>
      </c>
      <c r="W164">
        <f>Реестр_План_Факт!W164</f>
        <v>0</v>
      </c>
      <c r="X164" t="str">
        <f>Реестр_План_Факт!X164</f>
        <v/>
      </c>
      <c r="Y164">
        <f>Реестр_План_Факт!Y164</f>
        <v>0</v>
      </c>
      <c r="Z164">
        <f>Реестр_План_Факт!Z164</f>
        <v>0</v>
      </c>
      <c r="AA164" t="str">
        <f>Реестр_План_Факт!AA164</f>
        <v/>
      </c>
      <c r="AB164">
        <f>Реестр_План_Факт!AB164</f>
        <v>0</v>
      </c>
      <c r="AC164">
        <f>Реестр_План_Факт!AC164</f>
        <v>0</v>
      </c>
      <c r="AD164" t="str">
        <f>Реестр_План_Факт!AD164</f>
        <v/>
      </c>
      <c r="AE164">
        <f>Реестр_План_Факт!AE164</f>
        <v>0</v>
      </c>
      <c r="AF164">
        <f>Реестр_План_Факт!AF164</f>
        <v>0</v>
      </c>
      <c r="AG164" t="str">
        <f>Реестр_План_Факт!AG164</f>
        <v/>
      </c>
      <c r="AH164">
        <f>Реестр_План_Факт!AH164</f>
        <v>0</v>
      </c>
      <c r="AI164">
        <f>Реестр_План_Факт!AI164</f>
        <v>0</v>
      </c>
      <c r="AJ164" t="str">
        <f>Реестр_План_Факт!AJ164</f>
        <v/>
      </c>
      <c r="AK164">
        <f>Реестр_План_Факт!AK164</f>
        <v>0</v>
      </c>
      <c r="AL164">
        <f>Реестр_План_Факт!AL164</f>
        <v>0</v>
      </c>
      <c r="AM164" t="str">
        <f>Реестр_План_Факт!AM164</f>
        <v/>
      </c>
      <c r="AN164">
        <f>Реестр_План_Факт!AN164</f>
        <v>0</v>
      </c>
      <c r="AO164">
        <f>Реестр_План_Факт!AO164</f>
        <v>0</v>
      </c>
      <c r="AP164" t="str">
        <f>Реестр_План_Факт!AP164</f>
        <v/>
      </c>
      <c r="AQ164">
        <f>Реестр_План_Факт!AQ164</f>
        <v>0</v>
      </c>
    </row>
    <row r="165" spans="1:43" x14ac:dyDescent="0.2">
      <c r="A165" s="201">
        <f>Реестр_План_Факт!A165</f>
        <v>46186</v>
      </c>
      <c r="B165">
        <f>Реестр_План_Факт!B165</f>
        <v>24</v>
      </c>
      <c r="C165">
        <f>Реестр_План_Факт!C165</f>
        <v>6</v>
      </c>
      <c r="D165">
        <f>Реестр_План_Факт!D165</f>
        <v>0</v>
      </c>
      <c r="E165">
        <f>Реестр_План_Факт!E165</f>
        <v>0</v>
      </c>
      <c r="F165" t="str">
        <f>Реестр_План_Факт!F165</f>
        <v/>
      </c>
      <c r="G165">
        <f>Реестр_План_Факт!G165</f>
        <v>0</v>
      </c>
      <c r="H165">
        <f>Реестр_План_Факт!H165</f>
        <v>0</v>
      </c>
      <c r="I165" t="str">
        <f>Реестр_План_Факт!I165</f>
        <v/>
      </c>
      <c r="J165">
        <f>Реестр_План_Факт!J165</f>
        <v>0</v>
      </c>
      <c r="K165">
        <f>Реестр_План_Факт!K165</f>
        <v>0</v>
      </c>
      <c r="L165" t="str">
        <f>Реестр_План_Факт!L165</f>
        <v/>
      </c>
      <c r="M165">
        <f>Реестр_План_Факт!M165</f>
        <v>0</v>
      </c>
      <c r="N165">
        <f>Реестр_План_Факт!N165</f>
        <v>0</v>
      </c>
      <c r="O165" t="str">
        <f>Реестр_План_Факт!O165</f>
        <v/>
      </c>
      <c r="P165">
        <f>Реестр_План_Факт!P165</f>
        <v>0</v>
      </c>
      <c r="Q165">
        <f>Реестр_План_Факт!Q165</f>
        <v>0</v>
      </c>
      <c r="R165" t="str">
        <f>Реестр_План_Факт!R165</f>
        <v/>
      </c>
      <c r="S165">
        <f>Реестр_План_Факт!S165</f>
        <v>0</v>
      </c>
      <c r="T165">
        <f>Реестр_План_Факт!T165</f>
        <v>0</v>
      </c>
      <c r="U165" t="str">
        <f>Реестр_План_Факт!U165</f>
        <v/>
      </c>
      <c r="V165">
        <f>Реестр_План_Факт!V165</f>
        <v>0</v>
      </c>
      <c r="W165">
        <f>Реестр_План_Факт!W165</f>
        <v>0</v>
      </c>
      <c r="X165" t="str">
        <f>Реестр_План_Факт!X165</f>
        <v/>
      </c>
      <c r="Y165">
        <f>Реестр_План_Факт!Y165</f>
        <v>0</v>
      </c>
      <c r="Z165">
        <f>Реестр_План_Факт!Z165</f>
        <v>0</v>
      </c>
      <c r="AA165" t="str">
        <f>Реестр_План_Факт!AA165</f>
        <v/>
      </c>
      <c r="AB165">
        <f>Реестр_План_Факт!AB165</f>
        <v>0</v>
      </c>
      <c r="AC165">
        <f>Реестр_План_Факт!AC165</f>
        <v>0</v>
      </c>
      <c r="AD165" t="str">
        <f>Реестр_План_Факт!AD165</f>
        <v/>
      </c>
      <c r="AE165">
        <f>Реестр_План_Факт!AE165</f>
        <v>0</v>
      </c>
      <c r="AF165">
        <f>Реестр_План_Факт!AF165</f>
        <v>0</v>
      </c>
      <c r="AG165" t="str">
        <f>Реестр_План_Факт!AG165</f>
        <v/>
      </c>
      <c r="AH165">
        <f>Реестр_План_Факт!AH165</f>
        <v>0</v>
      </c>
      <c r="AI165">
        <f>Реестр_План_Факт!AI165</f>
        <v>0</v>
      </c>
      <c r="AJ165" t="str">
        <f>Реестр_План_Факт!AJ165</f>
        <v/>
      </c>
      <c r="AK165">
        <f>Реестр_План_Факт!AK165</f>
        <v>0</v>
      </c>
      <c r="AL165">
        <f>Реестр_План_Факт!AL165</f>
        <v>0</v>
      </c>
      <c r="AM165" t="str">
        <f>Реестр_План_Факт!AM165</f>
        <v/>
      </c>
      <c r="AN165">
        <f>Реестр_План_Факт!AN165</f>
        <v>0</v>
      </c>
      <c r="AO165">
        <f>Реестр_План_Факт!AO165</f>
        <v>0</v>
      </c>
      <c r="AP165" t="str">
        <f>Реестр_План_Факт!AP165</f>
        <v/>
      </c>
      <c r="AQ165">
        <f>Реестр_План_Факт!AQ165</f>
        <v>0</v>
      </c>
    </row>
    <row r="166" spans="1:43" x14ac:dyDescent="0.2">
      <c r="A166" s="201">
        <f>Реестр_План_Факт!A166</f>
        <v>46187</v>
      </c>
      <c r="B166">
        <f>Реестр_План_Факт!B166</f>
        <v>24</v>
      </c>
      <c r="C166">
        <f>Реестр_План_Факт!C166</f>
        <v>6</v>
      </c>
      <c r="D166">
        <f>Реестр_План_Факт!D166</f>
        <v>0</v>
      </c>
      <c r="E166">
        <f>Реестр_План_Факт!E166</f>
        <v>0</v>
      </c>
      <c r="F166" t="str">
        <f>Реестр_План_Факт!F166</f>
        <v/>
      </c>
      <c r="G166">
        <f>Реестр_План_Факт!G166</f>
        <v>0</v>
      </c>
      <c r="H166">
        <f>Реестр_План_Факт!H166</f>
        <v>0</v>
      </c>
      <c r="I166" t="str">
        <f>Реестр_План_Факт!I166</f>
        <v/>
      </c>
      <c r="J166">
        <f>Реестр_План_Факт!J166</f>
        <v>0</v>
      </c>
      <c r="K166">
        <f>Реестр_План_Факт!K166</f>
        <v>0</v>
      </c>
      <c r="L166" t="str">
        <f>Реестр_План_Факт!L166</f>
        <v/>
      </c>
      <c r="M166">
        <f>Реестр_План_Факт!M166</f>
        <v>0</v>
      </c>
      <c r="N166">
        <f>Реестр_План_Факт!N166</f>
        <v>0</v>
      </c>
      <c r="O166" t="str">
        <f>Реестр_План_Факт!O166</f>
        <v/>
      </c>
      <c r="P166">
        <f>Реестр_План_Факт!P166</f>
        <v>0</v>
      </c>
      <c r="Q166">
        <f>Реестр_План_Факт!Q166</f>
        <v>0</v>
      </c>
      <c r="R166" t="str">
        <f>Реестр_План_Факт!R166</f>
        <v/>
      </c>
      <c r="S166">
        <f>Реестр_План_Факт!S166</f>
        <v>0</v>
      </c>
      <c r="T166">
        <f>Реестр_План_Факт!T166</f>
        <v>0</v>
      </c>
      <c r="U166" t="str">
        <f>Реестр_План_Факт!U166</f>
        <v/>
      </c>
      <c r="V166">
        <f>Реестр_План_Факт!V166</f>
        <v>0</v>
      </c>
      <c r="W166">
        <f>Реестр_План_Факт!W166</f>
        <v>0</v>
      </c>
      <c r="X166" t="str">
        <f>Реестр_План_Факт!X166</f>
        <v/>
      </c>
      <c r="Y166">
        <f>Реестр_План_Факт!Y166</f>
        <v>0</v>
      </c>
      <c r="Z166">
        <f>Реестр_План_Факт!Z166</f>
        <v>0</v>
      </c>
      <c r="AA166" t="str">
        <f>Реестр_План_Факт!AA166</f>
        <v/>
      </c>
      <c r="AB166">
        <f>Реестр_План_Факт!AB166</f>
        <v>0</v>
      </c>
      <c r="AC166">
        <f>Реестр_План_Факт!AC166</f>
        <v>0</v>
      </c>
      <c r="AD166" t="str">
        <f>Реестр_План_Факт!AD166</f>
        <v/>
      </c>
      <c r="AE166">
        <f>Реестр_План_Факт!AE166</f>
        <v>0</v>
      </c>
      <c r="AF166">
        <f>Реестр_План_Факт!AF166</f>
        <v>0</v>
      </c>
      <c r="AG166" t="str">
        <f>Реестр_План_Факт!AG166</f>
        <v/>
      </c>
      <c r="AH166">
        <f>Реестр_План_Факт!AH166</f>
        <v>0</v>
      </c>
      <c r="AI166">
        <f>Реестр_План_Факт!AI166</f>
        <v>0</v>
      </c>
      <c r="AJ166" t="str">
        <f>Реестр_План_Факт!AJ166</f>
        <v/>
      </c>
      <c r="AK166">
        <f>Реестр_План_Факт!AK166</f>
        <v>0</v>
      </c>
      <c r="AL166">
        <f>Реестр_План_Факт!AL166</f>
        <v>0</v>
      </c>
      <c r="AM166" t="str">
        <f>Реестр_План_Факт!AM166</f>
        <v/>
      </c>
      <c r="AN166">
        <f>Реестр_План_Факт!AN166</f>
        <v>0</v>
      </c>
      <c r="AO166">
        <f>Реестр_План_Факт!AO166</f>
        <v>0</v>
      </c>
      <c r="AP166" t="str">
        <f>Реестр_План_Факт!AP166</f>
        <v/>
      </c>
      <c r="AQ166">
        <f>Реестр_План_Факт!AQ166</f>
        <v>0</v>
      </c>
    </row>
    <row r="167" spans="1:43" x14ac:dyDescent="0.2">
      <c r="A167" s="201">
        <f>Реестр_План_Факт!A167</f>
        <v>46188</v>
      </c>
      <c r="B167">
        <f>Реестр_План_Факт!B167</f>
        <v>25</v>
      </c>
      <c r="C167">
        <f>Реестр_План_Факт!C167</f>
        <v>6</v>
      </c>
      <c r="D167">
        <f>Реестр_План_Факт!D167</f>
        <v>0</v>
      </c>
      <c r="E167">
        <f>Реестр_План_Факт!E167</f>
        <v>0</v>
      </c>
      <c r="F167" t="str">
        <f>Реестр_План_Факт!F167</f>
        <v/>
      </c>
      <c r="G167">
        <f>Реестр_План_Факт!G167</f>
        <v>0</v>
      </c>
      <c r="H167">
        <f>Реестр_План_Факт!H167</f>
        <v>0</v>
      </c>
      <c r="I167" t="str">
        <f>Реестр_План_Факт!I167</f>
        <v/>
      </c>
      <c r="J167">
        <f>Реестр_План_Факт!J167</f>
        <v>0</v>
      </c>
      <c r="K167">
        <f>Реестр_План_Факт!K167</f>
        <v>0</v>
      </c>
      <c r="L167" t="str">
        <f>Реестр_План_Факт!L167</f>
        <v/>
      </c>
      <c r="M167">
        <f>Реестр_План_Факт!M167</f>
        <v>0</v>
      </c>
      <c r="N167">
        <f>Реестр_План_Факт!N167</f>
        <v>0</v>
      </c>
      <c r="O167" t="str">
        <f>Реестр_План_Факт!O167</f>
        <v/>
      </c>
      <c r="P167">
        <f>Реестр_План_Факт!P167</f>
        <v>0</v>
      </c>
      <c r="Q167">
        <f>Реестр_План_Факт!Q167</f>
        <v>0</v>
      </c>
      <c r="R167" t="str">
        <f>Реестр_План_Факт!R167</f>
        <v/>
      </c>
      <c r="S167">
        <f>Реестр_План_Факт!S167</f>
        <v>0</v>
      </c>
      <c r="T167">
        <f>Реестр_План_Факт!T167</f>
        <v>0</v>
      </c>
      <c r="U167" t="str">
        <f>Реестр_План_Факт!U167</f>
        <v/>
      </c>
      <c r="V167">
        <f>Реестр_План_Факт!V167</f>
        <v>0</v>
      </c>
      <c r="W167">
        <f>Реестр_План_Факт!W167</f>
        <v>0</v>
      </c>
      <c r="X167" t="str">
        <f>Реестр_План_Факт!X167</f>
        <v/>
      </c>
      <c r="Y167">
        <f>Реестр_План_Факт!Y167</f>
        <v>0</v>
      </c>
      <c r="Z167">
        <f>Реестр_План_Факт!Z167</f>
        <v>0</v>
      </c>
      <c r="AA167" t="str">
        <f>Реестр_План_Факт!AA167</f>
        <v/>
      </c>
      <c r="AB167">
        <f>Реестр_План_Факт!AB167</f>
        <v>0</v>
      </c>
      <c r="AC167">
        <f>Реестр_План_Факт!AC167</f>
        <v>0</v>
      </c>
      <c r="AD167" t="str">
        <f>Реестр_План_Факт!AD167</f>
        <v/>
      </c>
      <c r="AE167">
        <f>Реестр_План_Факт!AE167</f>
        <v>0</v>
      </c>
      <c r="AF167">
        <f>Реестр_План_Факт!AF167</f>
        <v>0</v>
      </c>
      <c r="AG167" t="str">
        <f>Реестр_План_Факт!AG167</f>
        <v/>
      </c>
      <c r="AH167">
        <f>Реестр_План_Факт!AH167</f>
        <v>0</v>
      </c>
      <c r="AI167">
        <f>Реестр_План_Факт!AI167</f>
        <v>0</v>
      </c>
      <c r="AJ167" t="str">
        <f>Реестр_План_Факт!AJ167</f>
        <v/>
      </c>
      <c r="AK167">
        <f>Реестр_План_Факт!AK167</f>
        <v>0</v>
      </c>
      <c r="AL167">
        <f>Реестр_План_Факт!AL167</f>
        <v>0</v>
      </c>
      <c r="AM167" t="str">
        <f>Реестр_План_Факт!AM167</f>
        <v/>
      </c>
      <c r="AN167">
        <f>Реестр_План_Факт!AN167</f>
        <v>0</v>
      </c>
      <c r="AO167">
        <f>Реестр_План_Факт!AO167</f>
        <v>0</v>
      </c>
      <c r="AP167" t="str">
        <f>Реестр_План_Факт!AP167</f>
        <v/>
      </c>
      <c r="AQ167">
        <f>Реестр_План_Факт!AQ167</f>
        <v>0</v>
      </c>
    </row>
    <row r="168" spans="1:43" x14ac:dyDescent="0.2">
      <c r="A168" s="201">
        <f>Реестр_План_Факт!A168</f>
        <v>46189</v>
      </c>
      <c r="B168">
        <f>Реестр_План_Факт!B168</f>
        <v>25</v>
      </c>
      <c r="C168">
        <f>Реестр_План_Факт!C168</f>
        <v>6</v>
      </c>
      <c r="D168">
        <f>Реестр_План_Факт!D168</f>
        <v>0</v>
      </c>
      <c r="E168">
        <f>Реестр_План_Факт!E168</f>
        <v>0</v>
      </c>
      <c r="F168" t="str">
        <f>Реестр_План_Факт!F168</f>
        <v/>
      </c>
      <c r="G168">
        <f>Реестр_План_Факт!G168</f>
        <v>0</v>
      </c>
      <c r="H168">
        <f>Реестр_План_Факт!H168</f>
        <v>0</v>
      </c>
      <c r="I168" t="str">
        <f>Реестр_План_Факт!I168</f>
        <v/>
      </c>
      <c r="J168">
        <f>Реестр_План_Факт!J168</f>
        <v>0</v>
      </c>
      <c r="K168">
        <f>Реестр_План_Факт!K168</f>
        <v>0</v>
      </c>
      <c r="L168" t="str">
        <f>Реестр_План_Факт!L168</f>
        <v/>
      </c>
      <c r="M168">
        <f>Реестр_План_Факт!M168</f>
        <v>0</v>
      </c>
      <c r="N168">
        <f>Реестр_План_Факт!N168</f>
        <v>0</v>
      </c>
      <c r="O168" t="str">
        <f>Реестр_План_Факт!O168</f>
        <v/>
      </c>
      <c r="P168">
        <f>Реестр_План_Факт!P168</f>
        <v>0</v>
      </c>
      <c r="Q168">
        <f>Реестр_План_Факт!Q168</f>
        <v>0</v>
      </c>
      <c r="R168" t="str">
        <f>Реестр_План_Факт!R168</f>
        <v/>
      </c>
      <c r="S168">
        <f>Реестр_План_Факт!S168</f>
        <v>0</v>
      </c>
      <c r="T168">
        <f>Реестр_План_Факт!T168</f>
        <v>0</v>
      </c>
      <c r="U168" t="str">
        <f>Реестр_План_Факт!U168</f>
        <v/>
      </c>
      <c r="V168">
        <f>Реестр_План_Факт!V168</f>
        <v>0</v>
      </c>
      <c r="W168">
        <f>Реестр_План_Факт!W168</f>
        <v>0</v>
      </c>
      <c r="X168" t="str">
        <f>Реестр_План_Факт!X168</f>
        <v/>
      </c>
      <c r="Y168">
        <f>Реестр_План_Факт!Y168</f>
        <v>0</v>
      </c>
      <c r="Z168">
        <f>Реестр_План_Факт!Z168</f>
        <v>0</v>
      </c>
      <c r="AA168" t="str">
        <f>Реестр_План_Факт!AA168</f>
        <v/>
      </c>
      <c r="AB168">
        <f>Реестр_План_Факт!AB168</f>
        <v>0</v>
      </c>
      <c r="AC168">
        <f>Реестр_План_Факт!AC168</f>
        <v>0</v>
      </c>
      <c r="AD168" t="str">
        <f>Реестр_План_Факт!AD168</f>
        <v/>
      </c>
      <c r="AE168">
        <f>Реестр_План_Факт!AE168</f>
        <v>0</v>
      </c>
      <c r="AF168">
        <f>Реестр_План_Факт!AF168</f>
        <v>0</v>
      </c>
      <c r="AG168" t="str">
        <f>Реестр_План_Факт!AG168</f>
        <v/>
      </c>
      <c r="AH168">
        <f>Реестр_План_Факт!AH168</f>
        <v>0</v>
      </c>
      <c r="AI168">
        <f>Реестр_План_Факт!AI168</f>
        <v>0</v>
      </c>
      <c r="AJ168" t="str">
        <f>Реестр_План_Факт!AJ168</f>
        <v/>
      </c>
      <c r="AK168">
        <f>Реестр_План_Факт!AK168</f>
        <v>0</v>
      </c>
      <c r="AL168">
        <f>Реестр_План_Факт!AL168</f>
        <v>0</v>
      </c>
      <c r="AM168" t="str">
        <f>Реестр_План_Факт!AM168</f>
        <v/>
      </c>
      <c r="AN168">
        <f>Реестр_План_Факт!AN168</f>
        <v>0</v>
      </c>
      <c r="AO168">
        <f>Реестр_План_Факт!AO168</f>
        <v>0</v>
      </c>
      <c r="AP168" t="str">
        <f>Реестр_План_Факт!AP168</f>
        <v/>
      </c>
      <c r="AQ168">
        <f>Реестр_План_Факт!AQ168</f>
        <v>0</v>
      </c>
    </row>
    <row r="169" spans="1:43" x14ac:dyDescent="0.2">
      <c r="A169" s="201">
        <f>Реестр_План_Факт!A169</f>
        <v>46190</v>
      </c>
      <c r="B169">
        <f>Реестр_План_Факт!B169</f>
        <v>25</v>
      </c>
      <c r="C169">
        <f>Реестр_План_Факт!C169</f>
        <v>6</v>
      </c>
      <c r="D169">
        <f>Реестр_План_Факт!D169</f>
        <v>0</v>
      </c>
      <c r="E169">
        <f>Реестр_План_Факт!E169</f>
        <v>0</v>
      </c>
      <c r="F169" t="str">
        <f>Реестр_План_Факт!F169</f>
        <v/>
      </c>
      <c r="G169">
        <f>Реестр_План_Факт!G169</f>
        <v>0</v>
      </c>
      <c r="H169">
        <f>Реестр_План_Факт!H169</f>
        <v>0</v>
      </c>
      <c r="I169" t="str">
        <f>Реестр_План_Факт!I169</f>
        <v/>
      </c>
      <c r="J169">
        <f>Реестр_План_Факт!J169</f>
        <v>0</v>
      </c>
      <c r="K169">
        <f>Реестр_План_Факт!K169</f>
        <v>0</v>
      </c>
      <c r="L169" t="str">
        <f>Реестр_План_Факт!L169</f>
        <v/>
      </c>
      <c r="M169">
        <f>Реестр_План_Факт!M169</f>
        <v>0</v>
      </c>
      <c r="N169">
        <f>Реестр_План_Факт!N169</f>
        <v>0</v>
      </c>
      <c r="O169" t="str">
        <f>Реестр_План_Факт!O169</f>
        <v/>
      </c>
      <c r="P169">
        <f>Реестр_План_Факт!P169</f>
        <v>0</v>
      </c>
      <c r="Q169">
        <f>Реестр_План_Факт!Q169</f>
        <v>0</v>
      </c>
      <c r="R169" t="str">
        <f>Реестр_План_Факт!R169</f>
        <v/>
      </c>
      <c r="S169">
        <f>Реестр_План_Факт!S169</f>
        <v>0</v>
      </c>
      <c r="T169">
        <f>Реестр_План_Факт!T169</f>
        <v>0</v>
      </c>
      <c r="U169" t="str">
        <f>Реестр_План_Факт!U169</f>
        <v/>
      </c>
      <c r="V169">
        <f>Реестр_План_Факт!V169</f>
        <v>0</v>
      </c>
      <c r="W169">
        <f>Реестр_План_Факт!W169</f>
        <v>0</v>
      </c>
      <c r="X169" t="str">
        <f>Реестр_План_Факт!X169</f>
        <v/>
      </c>
      <c r="Y169">
        <f>Реестр_План_Факт!Y169</f>
        <v>0</v>
      </c>
      <c r="Z169">
        <f>Реестр_План_Факт!Z169</f>
        <v>0</v>
      </c>
      <c r="AA169" t="str">
        <f>Реестр_План_Факт!AA169</f>
        <v/>
      </c>
      <c r="AB169">
        <f>Реестр_План_Факт!AB169</f>
        <v>0</v>
      </c>
      <c r="AC169">
        <f>Реестр_План_Факт!AC169</f>
        <v>0</v>
      </c>
      <c r="AD169" t="str">
        <f>Реестр_План_Факт!AD169</f>
        <v/>
      </c>
      <c r="AE169">
        <f>Реестр_План_Факт!AE169</f>
        <v>0</v>
      </c>
      <c r="AF169">
        <f>Реестр_План_Факт!AF169</f>
        <v>0</v>
      </c>
      <c r="AG169" t="str">
        <f>Реестр_План_Факт!AG169</f>
        <v/>
      </c>
      <c r="AH169">
        <f>Реестр_План_Факт!AH169</f>
        <v>0</v>
      </c>
      <c r="AI169">
        <f>Реестр_План_Факт!AI169</f>
        <v>0</v>
      </c>
      <c r="AJ169" t="str">
        <f>Реестр_План_Факт!AJ169</f>
        <v/>
      </c>
      <c r="AK169">
        <f>Реестр_План_Факт!AK169</f>
        <v>0</v>
      </c>
      <c r="AL169">
        <f>Реестр_План_Факт!AL169</f>
        <v>0</v>
      </c>
      <c r="AM169" t="str">
        <f>Реестр_План_Факт!AM169</f>
        <v/>
      </c>
      <c r="AN169">
        <f>Реестр_План_Факт!AN169</f>
        <v>0</v>
      </c>
      <c r="AO169">
        <f>Реестр_План_Факт!AO169</f>
        <v>0</v>
      </c>
      <c r="AP169" t="str">
        <f>Реестр_План_Факт!AP169</f>
        <v/>
      </c>
      <c r="AQ169">
        <f>Реестр_План_Факт!AQ169</f>
        <v>0</v>
      </c>
    </row>
    <row r="170" spans="1:43" x14ac:dyDescent="0.2">
      <c r="A170" s="201">
        <f>Реестр_План_Факт!A170</f>
        <v>46191</v>
      </c>
      <c r="B170">
        <f>Реестр_План_Факт!B170</f>
        <v>25</v>
      </c>
      <c r="C170">
        <f>Реестр_План_Факт!C170</f>
        <v>6</v>
      </c>
      <c r="D170">
        <f>Реестр_План_Факт!D170</f>
        <v>0</v>
      </c>
      <c r="E170">
        <f>Реестр_План_Факт!E170</f>
        <v>0</v>
      </c>
      <c r="F170" t="str">
        <f>Реестр_План_Факт!F170</f>
        <v/>
      </c>
      <c r="G170">
        <f>Реестр_План_Факт!G170</f>
        <v>0</v>
      </c>
      <c r="H170">
        <f>Реестр_План_Факт!H170</f>
        <v>0</v>
      </c>
      <c r="I170" t="str">
        <f>Реестр_План_Факт!I170</f>
        <v/>
      </c>
      <c r="J170">
        <f>Реестр_План_Факт!J170</f>
        <v>0</v>
      </c>
      <c r="K170">
        <f>Реестр_План_Факт!K170</f>
        <v>0</v>
      </c>
      <c r="L170" t="str">
        <f>Реестр_План_Факт!L170</f>
        <v/>
      </c>
      <c r="M170">
        <f>Реестр_План_Факт!M170</f>
        <v>0</v>
      </c>
      <c r="N170">
        <f>Реестр_План_Факт!N170</f>
        <v>0</v>
      </c>
      <c r="O170" t="str">
        <f>Реестр_План_Факт!O170</f>
        <v/>
      </c>
      <c r="P170">
        <f>Реестр_План_Факт!P170</f>
        <v>0</v>
      </c>
      <c r="Q170">
        <f>Реестр_План_Факт!Q170</f>
        <v>0</v>
      </c>
      <c r="R170" t="str">
        <f>Реестр_План_Факт!R170</f>
        <v/>
      </c>
      <c r="S170">
        <f>Реестр_План_Факт!S170</f>
        <v>0</v>
      </c>
      <c r="T170">
        <f>Реестр_План_Факт!T170</f>
        <v>0</v>
      </c>
      <c r="U170" t="str">
        <f>Реестр_План_Факт!U170</f>
        <v/>
      </c>
      <c r="V170">
        <f>Реестр_План_Факт!V170</f>
        <v>0</v>
      </c>
      <c r="W170">
        <f>Реестр_План_Факт!W170</f>
        <v>0</v>
      </c>
      <c r="X170" t="str">
        <f>Реестр_План_Факт!X170</f>
        <v/>
      </c>
      <c r="Y170">
        <f>Реестр_План_Факт!Y170</f>
        <v>0</v>
      </c>
      <c r="Z170">
        <f>Реестр_План_Факт!Z170</f>
        <v>0</v>
      </c>
      <c r="AA170" t="str">
        <f>Реестр_План_Факт!AA170</f>
        <v/>
      </c>
      <c r="AB170">
        <f>Реестр_План_Факт!AB170</f>
        <v>0</v>
      </c>
      <c r="AC170">
        <f>Реестр_План_Факт!AC170</f>
        <v>0</v>
      </c>
      <c r="AD170" t="str">
        <f>Реестр_План_Факт!AD170</f>
        <v/>
      </c>
      <c r="AE170">
        <f>Реестр_План_Факт!AE170</f>
        <v>0</v>
      </c>
      <c r="AF170">
        <f>Реестр_План_Факт!AF170</f>
        <v>0</v>
      </c>
      <c r="AG170" t="str">
        <f>Реестр_План_Факт!AG170</f>
        <v/>
      </c>
      <c r="AH170">
        <f>Реестр_План_Факт!AH170</f>
        <v>0</v>
      </c>
      <c r="AI170">
        <f>Реестр_План_Факт!AI170</f>
        <v>0</v>
      </c>
      <c r="AJ170" t="str">
        <f>Реестр_План_Факт!AJ170</f>
        <v/>
      </c>
      <c r="AK170">
        <f>Реестр_План_Факт!AK170</f>
        <v>0</v>
      </c>
      <c r="AL170">
        <f>Реестр_План_Факт!AL170</f>
        <v>0</v>
      </c>
      <c r="AM170" t="str">
        <f>Реестр_План_Факт!AM170</f>
        <v/>
      </c>
      <c r="AN170">
        <f>Реестр_План_Факт!AN170</f>
        <v>0</v>
      </c>
      <c r="AO170">
        <f>Реестр_План_Факт!AO170</f>
        <v>0</v>
      </c>
      <c r="AP170" t="str">
        <f>Реестр_План_Факт!AP170</f>
        <v/>
      </c>
      <c r="AQ170">
        <f>Реестр_План_Факт!AQ170</f>
        <v>0</v>
      </c>
    </row>
    <row r="171" spans="1:43" x14ac:dyDescent="0.2">
      <c r="A171" s="201">
        <f>Реестр_План_Факт!A171</f>
        <v>46192</v>
      </c>
      <c r="B171">
        <f>Реестр_План_Факт!B171</f>
        <v>25</v>
      </c>
      <c r="C171">
        <f>Реестр_План_Факт!C171</f>
        <v>6</v>
      </c>
      <c r="D171">
        <f>Реестр_План_Факт!D171</f>
        <v>0</v>
      </c>
      <c r="E171">
        <f>Реестр_План_Факт!E171</f>
        <v>0</v>
      </c>
      <c r="F171" t="str">
        <f>Реестр_План_Факт!F171</f>
        <v/>
      </c>
      <c r="G171">
        <f>Реестр_План_Факт!G171</f>
        <v>0</v>
      </c>
      <c r="H171">
        <f>Реестр_План_Факт!H171</f>
        <v>0</v>
      </c>
      <c r="I171" t="str">
        <f>Реестр_План_Факт!I171</f>
        <v/>
      </c>
      <c r="J171">
        <f>Реестр_План_Факт!J171</f>
        <v>0</v>
      </c>
      <c r="K171">
        <f>Реестр_План_Факт!K171</f>
        <v>0</v>
      </c>
      <c r="L171" t="str">
        <f>Реестр_План_Факт!L171</f>
        <v/>
      </c>
      <c r="M171">
        <f>Реестр_План_Факт!M171</f>
        <v>0</v>
      </c>
      <c r="N171">
        <f>Реестр_План_Факт!N171</f>
        <v>0</v>
      </c>
      <c r="O171" t="str">
        <f>Реестр_План_Факт!O171</f>
        <v/>
      </c>
      <c r="P171">
        <f>Реестр_План_Факт!P171</f>
        <v>0</v>
      </c>
      <c r="Q171">
        <f>Реестр_План_Факт!Q171</f>
        <v>0</v>
      </c>
      <c r="R171" t="str">
        <f>Реестр_План_Факт!R171</f>
        <v/>
      </c>
      <c r="S171">
        <f>Реестр_План_Факт!S171</f>
        <v>0</v>
      </c>
      <c r="T171">
        <f>Реестр_План_Факт!T171</f>
        <v>0</v>
      </c>
      <c r="U171" t="str">
        <f>Реестр_План_Факт!U171</f>
        <v/>
      </c>
      <c r="V171">
        <f>Реестр_План_Факт!V171</f>
        <v>0</v>
      </c>
      <c r="W171">
        <f>Реестр_План_Факт!W171</f>
        <v>0</v>
      </c>
      <c r="X171" t="str">
        <f>Реестр_План_Факт!X171</f>
        <v/>
      </c>
      <c r="Y171">
        <f>Реестр_План_Факт!Y171</f>
        <v>0</v>
      </c>
      <c r="Z171">
        <f>Реестр_План_Факт!Z171</f>
        <v>0</v>
      </c>
      <c r="AA171" t="str">
        <f>Реестр_План_Факт!AA171</f>
        <v/>
      </c>
      <c r="AB171">
        <f>Реестр_План_Факт!AB171</f>
        <v>0</v>
      </c>
      <c r="AC171">
        <f>Реестр_План_Факт!AC171</f>
        <v>0</v>
      </c>
      <c r="AD171" t="str">
        <f>Реестр_План_Факт!AD171</f>
        <v/>
      </c>
      <c r="AE171">
        <f>Реестр_План_Факт!AE171</f>
        <v>0</v>
      </c>
      <c r="AF171">
        <f>Реестр_План_Факт!AF171</f>
        <v>0</v>
      </c>
      <c r="AG171" t="str">
        <f>Реестр_План_Факт!AG171</f>
        <v/>
      </c>
      <c r="AH171">
        <f>Реестр_План_Факт!AH171</f>
        <v>0</v>
      </c>
      <c r="AI171">
        <f>Реестр_План_Факт!AI171</f>
        <v>0</v>
      </c>
      <c r="AJ171" t="str">
        <f>Реестр_План_Факт!AJ171</f>
        <v/>
      </c>
      <c r="AK171">
        <f>Реестр_План_Факт!AK171</f>
        <v>0</v>
      </c>
      <c r="AL171">
        <f>Реестр_План_Факт!AL171</f>
        <v>0</v>
      </c>
      <c r="AM171" t="str">
        <f>Реестр_План_Факт!AM171</f>
        <v/>
      </c>
      <c r="AN171">
        <f>Реестр_План_Факт!AN171</f>
        <v>0</v>
      </c>
      <c r="AO171">
        <f>Реестр_План_Факт!AO171</f>
        <v>0</v>
      </c>
      <c r="AP171" t="str">
        <f>Реестр_План_Факт!AP171</f>
        <v/>
      </c>
      <c r="AQ171">
        <f>Реестр_План_Факт!AQ171</f>
        <v>0</v>
      </c>
    </row>
    <row r="172" spans="1:43" x14ac:dyDescent="0.2">
      <c r="A172" s="201">
        <f>Реестр_План_Факт!A172</f>
        <v>46193</v>
      </c>
      <c r="B172">
        <f>Реестр_План_Факт!B172</f>
        <v>25</v>
      </c>
      <c r="C172">
        <f>Реестр_План_Факт!C172</f>
        <v>6</v>
      </c>
      <c r="D172">
        <f>Реестр_План_Факт!D172</f>
        <v>0</v>
      </c>
      <c r="E172">
        <f>Реестр_План_Факт!E172</f>
        <v>0</v>
      </c>
      <c r="F172" t="str">
        <f>Реестр_План_Факт!F172</f>
        <v/>
      </c>
      <c r="G172">
        <f>Реестр_План_Факт!G172</f>
        <v>0</v>
      </c>
      <c r="H172">
        <f>Реестр_План_Факт!H172</f>
        <v>0</v>
      </c>
      <c r="I172" t="str">
        <f>Реестр_План_Факт!I172</f>
        <v/>
      </c>
      <c r="J172">
        <f>Реестр_План_Факт!J172</f>
        <v>0</v>
      </c>
      <c r="K172">
        <f>Реестр_План_Факт!K172</f>
        <v>0</v>
      </c>
      <c r="L172" t="str">
        <f>Реестр_План_Факт!L172</f>
        <v/>
      </c>
      <c r="M172">
        <f>Реестр_План_Факт!M172</f>
        <v>0</v>
      </c>
      <c r="N172">
        <f>Реестр_План_Факт!N172</f>
        <v>0</v>
      </c>
      <c r="O172" t="str">
        <f>Реестр_План_Факт!O172</f>
        <v/>
      </c>
      <c r="P172">
        <f>Реестр_План_Факт!P172</f>
        <v>0</v>
      </c>
      <c r="Q172">
        <f>Реестр_План_Факт!Q172</f>
        <v>0</v>
      </c>
      <c r="R172" t="str">
        <f>Реестр_План_Факт!R172</f>
        <v/>
      </c>
      <c r="S172">
        <f>Реестр_План_Факт!S172</f>
        <v>0</v>
      </c>
      <c r="T172">
        <f>Реестр_План_Факт!T172</f>
        <v>0</v>
      </c>
      <c r="U172" t="str">
        <f>Реестр_План_Факт!U172</f>
        <v/>
      </c>
      <c r="V172">
        <f>Реестр_План_Факт!V172</f>
        <v>0</v>
      </c>
      <c r="W172">
        <f>Реестр_План_Факт!W172</f>
        <v>0</v>
      </c>
      <c r="X172" t="str">
        <f>Реестр_План_Факт!X172</f>
        <v/>
      </c>
      <c r="Y172">
        <f>Реестр_План_Факт!Y172</f>
        <v>0</v>
      </c>
      <c r="Z172">
        <f>Реестр_План_Факт!Z172</f>
        <v>0</v>
      </c>
      <c r="AA172" t="str">
        <f>Реестр_План_Факт!AA172</f>
        <v/>
      </c>
      <c r="AB172">
        <f>Реестр_План_Факт!AB172</f>
        <v>0</v>
      </c>
      <c r="AC172">
        <f>Реестр_План_Факт!AC172</f>
        <v>0</v>
      </c>
      <c r="AD172" t="str">
        <f>Реестр_План_Факт!AD172</f>
        <v/>
      </c>
      <c r="AE172">
        <f>Реестр_План_Факт!AE172</f>
        <v>0</v>
      </c>
      <c r="AF172">
        <f>Реестр_План_Факт!AF172</f>
        <v>0</v>
      </c>
      <c r="AG172" t="str">
        <f>Реестр_План_Факт!AG172</f>
        <v/>
      </c>
      <c r="AH172">
        <f>Реестр_План_Факт!AH172</f>
        <v>0</v>
      </c>
      <c r="AI172">
        <f>Реестр_План_Факт!AI172</f>
        <v>0</v>
      </c>
      <c r="AJ172" t="str">
        <f>Реестр_План_Факт!AJ172</f>
        <v/>
      </c>
      <c r="AK172">
        <f>Реестр_План_Факт!AK172</f>
        <v>0</v>
      </c>
      <c r="AL172">
        <f>Реестр_План_Факт!AL172</f>
        <v>0</v>
      </c>
      <c r="AM172" t="str">
        <f>Реестр_План_Факт!AM172</f>
        <v/>
      </c>
      <c r="AN172">
        <f>Реестр_План_Факт!AN172</f>
        <v>0</v>
      </c>
      <c r="AO172">
        <f>Реестр_План_Факт!AO172</f>
        <v>0</v>
      </c>
      <c r="AP172" t="str">
        <f>Реестр_План_Факт!AP172</f>
        <v/>
      </c>
      <c r="AQ172">
        <f>Реестр_План_Факт!AQ172</f>
        <v>0</v>
      </c>
    </row>
    <row r="173" spans="1:43" x14ac:dyDescent="0.2">
      <c r="A173" s="201">
        <f>Реестр_План_Факт!A173</f>
        <v>46194</v>
      </c>
      <c r="B173">
        <f>Реестр_План_Факт!B173</f>
        <v>25</v>
      </c>
      <c r="C173">
        <f>Реестр_План_Факт!C173</f>
        <v>6</v>
      </c>
      <c r="D173">
        <f>Реестр_План_Факт!D173</f>
        <v>0</v>
      </c>
      <c r="E173">
        <f>Реестр_План_Факт!E173</f>
        <v>0</v>
      </c>
      <c r="F173" t="str">
        <f>Реестр_План_Факт!F173</f>
        <v/>
      </c>
      <c r="G173">
        <f>Реестр_План_Факт!G173</f>
        <v>0</v>
      </c>
      <c r="H173">
        <f>Реестр_План_Факт!H173</f>
        <v>0</v>
      </c>
      <c r="I173" t="str">
        <f>Реестр_План_Факт!I173</f>
        <v/>
      </c>
      <c r="J173">
        <f>Реестр_План_Факт!J173</f>
        <v>0</v>
      </c>
      <c r="K173">
        <f>Реестр_План_Факт!K173</f>
        <v>0</v>
      </c>
      <c r="L173" t="str">
        <f>Реестр_План_Факт!L173</f>
        <v/>
      </c>
      <c r="M173">
        <f>Реестр_План_Факт!M173</f>
        <v>0</v>
      </c>
      <c r="N173">
        <f>Реестр_План_Факт!N173</f>
        <v>0</v>
      </c>
      <c r="O173" t="str">
        <f>Реестр_План_Факт!O173</f>
        <v/>
      </c>
      <c r="P173">
        <f>Реестр_План_Факт!P173</f>
        <v>0</v>
      </c>
      <c r="Q173">
        <f>Реестр_План_Факт!Q173</f>
        <v>0</v>
      </c>
      <c r="R173" t="str">
        <f>Реестр_План_Факт!R173</f>
        <v/>
      </c>
      <c r="S173">
        <f>Реестр_План_Факт!S173</f>
        <v>0</v>
      </c>
      <c r="T173">
        <f>Реестр_План_Факт!T173</f>
        <v>0</v>
      </c>
      <c r="U173" t="str">
        <f>Реестр_План_Факт!U173</f>
        <v/>
      </c>
      <c r="V173">
        <f>Реестр_План_Факт!V173</f>
        <v>0</v>
      </c>
      <c r="W173">
        <f>Реестр_План_Факт!W173</f>
        <v>0</v>
      </c>
      <c r="X173" t="str">
        <f>Реестр_План_Факт!X173</f>
        <v/>
      </c>
      <c r="Y173">
        <f>Реестр_План_Факт!Y173</f>
        <v>0</v>
      </c>
      <c r="Z173">
        <f>Реестр_План_Факт!Z173</f>
        <v>0</v>
      </c>
      <c r="AA173" t="str">
        <f>Реестр_План_Факт!AA173</f>
        <v/>
      </c>
      <c r="AB173">
        <f>Реестр_План_Факт!AB173</f>
        <v>0</v>
      </c>
      <c r="AC173">
        <f>Реестр_План_Факт!AC173</f>
        <v>0</v>
      </c>
      <c r="AD173" t="str">
        <f>Реестр_План_Факт!AD173</f>
        <v/>
      </c>
      <c r="AE173">
        <f>Реестр_План_Факт!AE173</f>
        <v>0</v>
      </c>
      <c r="AF173">
        <f>Реестр_План_Факт!AF173</f>
        <v>0</v>
      </c>
      <c r="AG173" t="str">
        <f>Реестр_План_Факт!AG173</f>
        <v/>
      </c>
      <c r="AH173">
        <f>Реестр_План_Факт!AH173</f>
        <v>0</v>
      </c>
      <c r="AI173">
        <f>Реестр_План_Факт!AI173</f>
        <v>0</v>
      </c>
      <c r="AJ173" t="str">
        <f>Реестр_План_Факт!AJ173</f>
        <v/>
      </c>
      <c r="AK173">
        <f>Реестр_План_Факт!AK173</f>
        <v>0</v>
      </c>
      <c r="AL173">
        <f>Реестр_План_Факт!AL173</f>
        <v>0</v>
      </c>
      <c r="AM173" t="str">
        <f>Реестр_План_Факт!AM173</f>
        <v/>
      </c>
      <c r="AN173">
        <f>Реестр_План_Факт!AN173</f>
        <v>0</v>
      </c>
      <c r="AO173">
        <f>Реестр_План_Факт!AO173</f>
        <v>0</v>
      </c>
      <c r="AP173" t="str">
        <f>Реестр_План_Факт!AP173</f>
        <v/>
      </c>
      <c r="AQ173">
        <f>Реестр_План_Факт!AQ173</f>
        <v>0</v>
      </c>
    </row>
    <row r="174" spans="1:43" x14ac:dyDescent="0.2">
      <c r="A174" s="201">
        <f>Реестр_План_Факт!A174</f>
        <v>46195</v>
      </c>
      <c r="B174">
        <f>Реестр_План_Факт!B174</f>
        <v>26</v>
      </c>
      <c r="C174">
        <f>Реестр_План_Факт!C174</f>
        <v>6</v>
      </c>
      <c r="D174">
        <f>Реестр_План_Факт!D174</f>
        <v>0</v>
      </c>
      <c r="E174">
        <f>Реестр_План_Факт!E174</f>
        <v>0</v>
      </c>
      <c r="F174" t="str">
        <f>Реестр_План_Факт!F174</f>
        <v/>
      </c>
      <c r="G174">
        <f>Реестр_План_Факт!G174</f>
        <v>0</v>
      </c>
      <c r="H174">
        <f>Реестр_План_Факт!H174</f>
        <v>0</v>
      </c>
      <c r="I174" t="str">
        <f>Реестр_План_Факт!I174</f>
        <v/>
      </c>
      <c r="J174">
        <f>Реестр_План_Факт!J174</f>
        <v>0</v>
      </c>
      <c r="K174">
        <f>Реестр_План_Факт!K174</f>
        <v>0</v>
      </c>
      <c r="L174" t="str">
        <f>Реестр_План_Факт!L174</f>
        <v/>
      </c>
      <c r="M174">
        <f>Реестр_План_Факт!M174</f>
        <v>0</v>
      </c>
      <c r="N174">
        <f>Реестр_План_Факт!N174</f>
        <v>0</v>
      </c>
      <c r="O174" t="str">
        <f>Реестр_План_Факт!O174</f>
        <v/>
      </c>
      <c r="P174">
        <f>Реестр_План_Факт!P174</f>
        <v>0</v>
      </c>
      <c r="Q174">
        <f>Реестр_План_Факт!Q174</f>
        <v>0</v>
      </c>
      <c r="R174" t="str">
        <f>Реестр_План_Факт!R174</f>
        <v/>
      </c>
      <c r="S174">
        <f>Реестр_План_Факт!S174</f>
        <v>0</v>
      </c>
      <c r="T174">
        <f>Реестр_План_Факт!T174</f>
        <v>0</v>
      </c>
      <c r="U174" t="str">
        <f>Реестр_План_Факт!U174</f>
        <v/>
      </c>
      <c r="V174">
        <f>Реестр_План_Факт!V174</f>
        <v>0</v>
      </c>
      <c r="W174">
        <f>Реестр_План_Факт!W174</f>
        <v>0</v>
      </c>
      <c r="X174" t="str">
        <f>Реестр_План_Факт!X174</f>
        <v/>
      </c>
      <c r="Y174">
        <f>Реестр_План_Факт!Y174</f>
        <v>0</v>
      </c>
      <c r="Z174">
        <f>Реестр_План_Факт!Z174</f>
        <v>0</v>
      </c>
      <c r="AA174" t="str">
        <f>Реестр_План_Факт!AA174</f>
        <v/>
      </c>
      <c r="AB174">
        <f>Реестр_План_Факт!AB174</f>
        <v>0</v>
      </c>
      <c r="AC174">
        <f>Реестр_План_Факт!AC174</f>
        <v>0</v>
      </c>
      <c r="AD174" t="str">
        <f>Реестр_План_Факт!AD174</f>
        <v/>
      </c>
      <c r="AE174">
        <f>Реестр_План_Факт!AE174</f>
        <v>0</v>
      </c>
      <c r="AF174">
        <f>Реестр_План_Факт!AF174</f>
        <v>0</v>
      </c>
      <c r="AG174" t="str">
        <f>Реестр_План_Факт!AG174</f>
        <v/>
      </c>
      <c r="AH174">
        <f>Реестр_План_Факт!AH174</f>
        <v>0</v>
      </c>
      <c r="AI174">
        <f>Реестр_План_Факт!AI174</f>
        <v>0</v>
      </c>
      <c r="AJ174" t="str">
        <f>Реестр_План_Факт!AJ174</f>
        <v/>
      </c>
      <c r="AK174">
        <f>Реестр_План_Факт!AK174</f>
        <v>0</v>
      </c>
      <c r="AL174">
        <f>Реестр_План_Факт!AL174</f>
        <v>0</v>
      </c>
      <c r="AM174" t="str">
        <f>Реестр_План_Факт!AM174</f>
        <v/>
      </c>
      <c r="AN174">
        <f>Реестр_План_Факт!AN174</f>
        <v>0</v>
      </c>
      <c r="AO174">
        <f>Реестр_План_Факт!AO174</f>
        <v>0</v>
      </c>
      <c r="AP174" t="str">
        <f>Реестр_План_Факт!AP174</f>
        <v/>
      </c>
      <c r="AQ174">
        <f>Реестр_План_Факт!AQ174</f>
        <v>0</v>
      </c>
    </row>
    <row r="175" spans="1:43" x14ac:dyDescent="0.2">
      <c r="A175" s="201">
        <f>Реестр_План_Факт!A175</f>
        <v>46196</v>
      </c>
      <c r="B175">
        <f>Реестр_План_Факт!B175</f>
        <v>26</v>
      </c>
      <c r="C175">
        <f>Реестр_План_Факт!C175</f>
        <v>6</v>
      </c>
      <c r="D175">
        <f>Реестр_План_Факт!D175</f>
        <v>0</v>
      </c>
      <c r="E175">
        <f>Реестр_План_Факт!E175</f>
        <v>0</v>
      </c>
      <c r="F175" t="str">
        <f>Реестр_План_Факт!F175</f>
        <v/>
      </c>
      <c r="G175">
        <f>Реестр_План_Факт!G175</f>
        <v>0</v>
      </c>
      <c r="H175">
        <f>Реестр_План_Факт!H175</f>
        <v>0</v>
      </c>
      <c r="I175" t="str">
        <f>Реестр_План_Факт!I175</f>
        <v/>
      </c>
      <c r="J175">
        <f>Реестр_План_Факт!J175</f>
        <v>0</v>
      </c>
      <c r="K175">
        <f>Реестр_План_Факт!K175</f>
        <v>0</v>
      </c>
      <c r="L175" t="str">
        <f>Реестр_План_Факт!L175</f>
        <v/>
      </c>
      <c r="M175">
        <f>Реестр_План_Факт!M175</f>
        <v>0</v>
      </c>
      <c r="N175">
        <f>Реестр_План_Факт!N175</f>
        <v>0</v>
      </c>
      <c r="O175" t="str">
        <f>Реестр_План_Факт!O175</f>
        <v/>
      </c>
      <c r="P175">
        <f>Реестр_План_Факт!P175</f>
        <v>0</v>
      </c>
      <c r="Q175">
        <f>Реестр_План_Факт!Q175</f>
        <v>0</v>
      </c>
      <c r="R175" t="str">
        <f>Реестр_План_Факт!R175</f>
        <v/>
      </c>
      <c r="S175">
        <f>Реестр_План_Факт!S175</f>
        <v>0</v>
      </c>
      <c r="T175">
        <f>Реестр_План_Факт!T175</f>
        <v>0</v>
      </c>
      <c r="U175" t="str">
        <f>Реестр_План_Факт!U175</f>
        <v/>
      </c>
      <c r="V175">
        <f>Реестр_План_Факт!V175</f>
        <v>0</v>
      </c>
      <c r="W175">
        <f>Реестр_План_Факт!W175</f>
        <v>0</v>
      </c>
      <c r="X175" t="str">
        <f>Реестр_План_Факт!X175</f>
        <v/>
      </c>
      <c r="Y175">
        <f>Реестр_План_Факт!Y175</f>
        <v>0</v>
      </c>
      <c r="Z175">
        <f>Реестр_План_Факт!Z175</f>
        <v>0</v>
      </c>
      <c r="AA175" t="str">
        <f>Реестр_План_Факт!AA175</f>
        <v/>
      </c>
      <c r="AB175">
        <f>Реестр_План_Факт!AB175</f>
        <v>0</v>
      </c>
      <c r="AC175">
        <f>Реестр_План_Факт!AC175</f>
        <v>0</v>
      </c>
      <c r="AD175" t="str">
        <f>Реестр_План_Факт!AD175</f>
        <v/>
      </c>
      <c r="AE175">
        <f>Реестр_План_Факт!AE175</f>
        <v>0</v>
      </c>
      <c r="AF175">
        <f>Реестр_План_Факт!AF175</f>
        <v>0</v>
      </c>
      <c r="AG175" t="str">
        <f>Реестр_План_Факт!AG175</f>
        <v/>
      </c>
      <c r="AH175">
        <f>Реестр_План_Факт!AH175</f>
        <v>0</v>
      </c>
      <c r="AI175">
        <f>Реестр_План_Факт!AI175</f>
        <v>0</v>
      </c>
      <c r="AJ175" t="str">
        <f>Реестр_План_Факт!AJ175</f>
        <v/>
      </c>
      <c r="AK175">
        <f>Реестр_План_Факт!AK175</f>
        <v>0</v>
      </c>
      <c r="AL175">
        <f>Реестр_План_Факт!AL175</f>
        <v>0</v>
      </c>
      <c r="AM175" t="str">
        <f>Реестр_План_Факт!AM175</f>
        <v/>
      </c>
      <c r="AN175">
        <f>Реестр_План_Факт!AN175</f>
        <v>0</v>
      </c>
      <c r="AO175">
        <f>Реестр_План_Факт!AO175</f>
        <v>0</v>
      </c>
      <c r="AP175" t="str">
        <f>Реестр_План_Факт!AP175</f>
        <v/>
      </c>
      <c r="AQ175">
        <f>Реестр_План_Факт!AQ175</f>
        <v>0</v>
      </c>
    </row>
    <row r="176" spans="1:43" x14ac:dyDescent="0.2">
      <c r="A176" s="201">
        <f>Реестр_План_Факт!A176</f>
        <v>46197</v>
      </c>
      <c r="B176">
        <f>Реестр_План_Факт!B176</f>
        <v>26</v>
      </c>
      <c r="C176">
        <f>Реестр_План_Факт!C176</f>
        <v>6</v>
      </c>
      <c r="D176">
        <f>Реестр_План_Факт!D176</f>
        <v>0</v>
      </c>
      <c r="E176">
        <f>Реестр_План_Факт!E176</f>
        <v>0</v>
      </c>
      <c r="F176" t="str">
        <f>Реестр_План_Факт!F176</f>
        <v/>
      </c>
      <c r="G176">
        <f>Реестр_План_Факт!G176</f>
        <v>0</v>
      </c>
      <c r="H176">
        <f>Реестр_План_Факт!H176</f>
        <v>0</v>
      </c>
      <c r="I176" t="str">
        <f>Реестр_План_Факт!I176</f>
        <v/>
      </c>
      <c r="J176">
        <f>Реестр_План_Факт!J176</f>
        <v>0</v>
      </c>
      <c r="K176">
        <f>Реестр_План_Факт!K176</f>
        <v>0</v>
      </c>
      <c r="L176" t="str">
        <f>Реестр_План_Факт!L176</f>
        <v/>
      </c>
      <c r="M176">
        <f>Реестр_План_Факт!M176</f>
        <v>0</v>
      </c>
      <c r="N176">
        <f>Реестр_План_Факт!N176</f>
        <v>0</v>
      </c>
      <c r="O176" t="str">
        <f>Реестр_План_Факт!O176</f>
        <v/>
      </c>
      <c r="P176">
        <f>Реестр_План_Факт!P176</f>
        <v>0</v>
      </c>
      <c r="Q176">
        <f>Реестр_План_Факт!Q176</f>
        <v>0</v>
      </c>
      <c r="R176" t="str">
        <f>Реестр_План_Факт!R176</f>
        <v/>
      </c>
      <c r="S176">
        <f>Реестр_План_Факт!S176</f>
        <v>0</v>
      </c>
      <c r="T176">
        <f>Реестр_План_Факт!T176</f>
        <v>0</v>
      </c>
      <c r="U176" t="str">
        <f>Реестр_План_Факт!U176</f>
        <v/>
      </c>
      <c r="V176">
        <f>Реестр_План_Факт!V176</f>
        <v>0</v>
      </c>
      <c r="W176">
        <f>Реестр_План_Факт!W176</f>
        <v>0</v>
      </c>
      <c r="X176" t="str">
        <f>Реестр_План_Факт!X176</f>
        <v/>
      </c>
      <c r="Y176">
        <f>Реестр_План_Факт!Y176</f>
        <v>0</v>
      </c>
      <c r="Z176">
        <f>Реестр_План_Факт!Z176</f>
        <v>0</v>
      </c>
      <c r="AA176" t="str">
        <f>Реестр_План_Факт!AA176</f>
        <v/>
      </c>
      <c r="AB176">
        <f>Реестр_План_Факт!AB176</f>
        <v>0</v>
      </c>
      <c r="AC176">
        <f>Реестр_План_Факт!AC176</f>
        <v>0</v>
      </c>
      <c r="AD176" t="str">
        <f>Реестр_План_Факт!AD176</f>
        <v/>
      </c>
      <c r="AE176">
        <f>Реестр_План_Факт!AE176</f>
        <v>0</v>
      </c>
      <c r="AF176">
        <f>Реестр_План_Факт!AF176</f>
        <v>0</v>
      </c>
      <c r="AG176" t="str">
        <f>Реестр_План_Факт!AG176</f>
        <v/>
      </c>
      <c r="AH176">
        <f>Реестр_План_Факт!AH176</f>
        <v>0</v>
      </c>
      <c r="AI176">
        <f>Реестр_План_Факт!AI176</f>
        <v>0</v>
      </c>
      <c r="AJ176" t="str">
        <f>Реестр_План_Факт!AJ176</f>
        <v/>
      </c>
      <c r="AK176">
        <f>Реестр_План_Факт!AK176</f>
        <v>0</v>
      </c>
      <c r="AL176">
        <f>Реестр_План_Факт!AL176</f>
        <v>0</v>
      </c>
      <c r="AM176" t="str">
        <f>Реестр_План_Факт!AM176</f>
        <v/>
      </c>
      <c r="AN176">
        <f>Реестр_План_Факт!AN176</f>
        <v>0</v>
      </c>
      <c r="AO176">
        <f>Реестр_План_Факт!AO176</f>
        <v>0</v>
      </c>
      <c r="AP176" t="str">
        <f>Реестр_План_Факт!AP176</f>
        <v/>
      </c>
      <c r="AQ176">
        <f>Реестр_План_Факт!AQ176</f>
        <v>0</v>
      </c>
    </row>
    <row r="177" spans="1:43" x14ac:dyDescent="0.2">
      <c r="A177" s="201">
        <f>Реестр_План_Факт!A177</f>
        <v>46198</v>
      </c>
      <c r="B177">
        <f>Реестр_План_Факт!B177</f>
        <v>26</v>
      </c>
      <c r="C177">
        <f>Реестр_План_Факт!C177</f>
        <v>6</v>
      </c>
      <c r="D177">
        <f>Реестр_План_Факт!D177</f>
        <v>0</v>
      </c>
      <c r="E177">
        <f>Реестр_План_Факт!E177</f>
        <v>0</v>
      </c>
      <c r="F177" t="str">
        <f>Реестр_План_Факт!F177</f>
        <v/>
      </c>
      <c r="G177">
        <f>Реестр_План_Факт!G177</f>
        <v>0</v>
      </c>
      <c r="H177">
        <f>Реестр_План_Факт!H177</f>
        <v>0</v>
      </c>
      <c r="I177" t="str">
        <f>Реестр_План_Факт!I177</f>
        <v/>
      </c>
      <c r="J177">
        <f>Реестр_План_Факт!J177</f>
        <v>0</v>
      </c>
      <c r="K177">
        <f>Реестр_План_Факт!K177</f>
        <v>0</v>
      </c>
      <c r="L177" t="str">
        <f>Реестр_План_Факт!L177</f>
        <v/>
      </c>
      <c r="M177">
        <f>Реестр_План_Факт!M177</f>
        <v>0</v>
      </c>
      <c r="N177">
        <f>Реестр_План_Факт!N177</f>
        <v>0</v>
      </c>
      <c r="O177" t="str">
        <f>Реестр_План_Факт!O177</f>
        <v/>
      </c>
      <c r="P177">
        <f>Реестр_План_Факт!P177</f>
        <v>0</v>
      </c>
      <c r="Q177">
        <f>Реестр_План_Факт!Q177</f>
        <v>0</v>
      </c>
      <c r="R177" t="str">
        <f>Реестр_План_Факт!R177</f>
        <v/>
      </c>
      <c r="S177">
        <f>Реестр_План_Факт!S177</f>
        <v>0</v>
      </c>
      <c r="T177">
        <f>Реестр_План_Факт!T177</f>
        <v>0</v>
      </c>
      <c r="U177" t="str">
        <f>Реестр_План_Факт!U177</f>
        <v/>
      </c>
      <c r="V177">
        <f>Реестр_План_Факт!V177</f>
        <v>0</v>
      </c>
      <c r="W177">
        <f>Реестр_План_Факт!W177</f>
        <v>0</v>
      </c>
      <c r="X177" t="str">
        <f>Реестр_План_Факт!X177</f>
        <v/>
      </c>
      <c r="Y177">
        <f>Реестр_План_Факт!Y177</f>
        <v>0</v>
      </c>
      <c r="Z177">
        <f>Реестр_План_Факт!Z177</f>
        <v>0</v>
      </c>
      <c r="AA177" t="str">
        <f>Реестр_План_Факт!AA177</f>
        <v/>
      </c>
      <c r="AB177">
        <f>Реестр_План_Факт!AB177</f>
        <v>0</v>
      </c>
      <c r="AC177">
        <f>Реестр_План_Факт!AC177</f>
        <v>0</v>
      </c>
      <c r="AD177" t="str">
        <f>Реестр_План_Факт!AD177</f>
        <v/>
      </c>
      <c r="AE177">
        <f>Реестр_План_Факт!AE177</f>
        <v>0</v>
      </c>
      <c r="AF177">
        <f>Реестр_План_Факт!AF177</f>
        <v>0</v>
      </c>
      <c r="AG177" t="str">
        <f>Реестр_План_Факт!AG177</f>
        <v/>
      </c>
      <c r="AH177">
        <f>Реестр_План_Факт!AH177</f>
        <v>0</v>
      </c>
      <c r="AI177">
        <f>Реестр_План_Факт!AI177</f>
        <v>0</v>
      </c>
      <c r="AJ177" t="str">
        <f>Реестр_План_Факт!AJ177</f>
        <v/>
      </c>
      <c r="AK177">
        <f>Реестр_План_Факт!AK177</f>
        <v>0</v>
      </c>
      <c r="AL177">
        <f>Реестр_План_Факт!AL177</f>
        <v>0</v>
      </c>
      <c r="AM177" t="str">
        <f>Реестр_План_Факт!AM177</f>
        <v/>
      </c>
      <c r="AN177">
        <f>Реестр_План_Факт!AN177</f>
        <v>0</v>
      </c>
      <c r="AO177">
        <f>Реестр_План_Факт!AO177</f>
        <v>0</v>
      </c>
      <c r="AP177" t="str">
        <f>Реестр_План_Факт!AP177</f>
        <v/>
      </c>
      <c r="AQ177">
        <f>Реестр_План_Факт!AQ177</f>
        <v>0</v>
      </c>
    </row>
    <row r="178" spans="1:43" x14ac:dyDescent="0.2">
      <c r="A178" s="201">
        <f>Реестр_План_Факт!A178</f>
        <v>46199</v>
      </c>
      <c r="B178">
        <f>Реестр_План_Факт!B178</f>
        <v>26</v>
      </c>
      <c r="C178">
        <f>Реестр_План_Факт!C178</f>
        <v>6</v>
      </c>
      <c r="D178">
        <f>Реестр_План_Факт!D178</f>
        <v>0</v>
      </c>
      <c r="E178">
        <f>Реестр_План_Факт!E178</f>
        <v>0</v>
      </c>
      <c r="F178" t="str">
        <f>Реестр_План_Факт!F178</f>
        <v/>
      </c>
      <c r="G178">
        <f>Реестр_План_Факт!G178</f>
        <v>0</v>
      </c>
      <c r="H178">
        <f>Реестр_План_Факт!H178</f>
        <v>0</v>
      </c>
      <c r="I178" t="str">
        <f>Реестр_План_Факт!I178</f>
        <v/>
      </c>
      <c r="J178">
        <f>Реестр_План_Факт!J178</f>
        <v>0</v>
      </c>
      <c r="K178">
        <f>Реестр_План_Факт!K178</f>
        <v>0</v>
      </c>
      <c r="L178" t="str">
        <f>Реестр_План_Факт!L178</f>
        <v/>
      </c>
      <c r="M178">
        <f>Реестр_План_Факт!M178</f>
        <v>0</v>
      </c>
      <c r="N178">
        <f>Реестр_План_Факт!N178</f>
        <v>0</v>
      </c>
      <c r="O178" t="str">
        <f>Реестр_План_Факт!O178</f>
        <v/>
      </c>
      <c r="P178">
        <f>Реестр_План_Факт!P178</f>
        <v>0</v>
      </c>
      <c r="Q178">
        <f>Реестр_План_Факт!Q178</f>
        <v>0</v>
      </c>
      <c r="R178" t="str">
        <f>Реестр_План_Факт!R178</f>
        <v/>
      </c>
      <c r="S178">
        <f>Реестр_План_Факт!S178</f>
        <v>0</v>
      </c>
      <c r="T178">
        <f>Реестр_План_Факт!T178</f>
        <v>0</v>
      </c>
      <c r="U178" t="str">
        <f>Реестр_План_Факт!U178</f>
        <v/>
      </c>
      <c r="V178">
        <f>Реестр_План_Факт!V178</f>
        <v>0</v>
      </c>
      <c r="W178">
        <f>Реестр_План_Факт!W178</f>
        <v>0</v>
      </c>
      <c r="X178" t="str">
        <f>Реестр_План_Факт!X178</f>
        <v/>
      </c>
      <c r="Y178">
        <f>Реестр_План_Факт!Y178</f>
        <v>0</v>
      </c>
      <c r="Z178">
        <f>Реестр_План_Факт!Z178</f>
        <v>0</v>
      </c>
      <c r="AA178" t="str">
        <f>Реестр_План_Факт!AA178</f>
        <v/>
      </c>
      <c r="AB178">
        <f>Реестр_План_Факт!AB178</f>
        <v>0</v>
      </c>
      <c r="AC178">
        <f>Реестр_План_Факт!AC178</f>
        <v>0</v>
      </c>
      <c r="AD178" t="str">
        <f>Реестр_План_Факт!AD178</f>
        <v/>
      </c>
      <c r="AE178">
        <f>Реестр_План_Факт!AE178</f>
        <v>0</v>
      </c>
      <c r="AF178">
        <f>Реестр_План_Факт!AF178</f>
        <v>0</v>
      </c>
      <c r="AG178" t="str">
        <f>Реестр_План_Факт!AG178</f>
        <v/>
      </c>
      <c r="AH178">
        <f>Реестр_План_Факт!AH178</f>
        <v>0</v>
      </c>
      <c r="AI178">
        <f>Реестр_План_Факт!AI178</f>
        <v>0</v>
      </c>
      <c r="AJ178" t="str">
        <f>Реестр_План_Факт!AJ178</f>
        <v/>
      </c>
      <c r="AK178">
        <f>Реестр_План_Факт!AK178</f>
        <v>0</v>
      </c>
      <c r="AL178">
        <f>Реестр_План_Факт!AL178</f>
        <v>0</v>
      </c>
      <c r="AM178" t="str">
        <f>Реестр_План_Факт!AM178</f>
        <v/>
      </c>
      <c r="AN178">
        <f>Реестр_План_Факт!AN178</f>
        <v>0</v>
      </c>
      <c r="AO178">
        <f>Реестр_План_Факт!AO178</f>
        <v>0</v>
      </c>
      <c r="AP178" t="str">
        <f>Реестр_План_Факт!AP178</f>
        <v/>
      </c>
      <c r="AQ178">
        <f>Реестр_План_Факт!AQ178</f>
        <v>0</v>
      </c>
    </row>
    <row r="179" spans="1:43" x14ac:dyDescent="0.2">
      <c r="A179" s="201">
        <f>Реестр_План_Факт!A179</f>
        <v>46200</v>
      </c>
      <c r="B179">
        <f>Реестр_План_Факт!B179</f>
        <v>26</v>
      </c>
      <c r="C179">
        <f>Реестр_План_Факт!C179</f>
        <v>6</v>
      </c>
      <c r="D179">
        <f>Реестр_План_Факт!D179</f>
        <v>0</v>
      </c>
      <c r="E179">
        <f>Реестр_План_Факт!E179</f>
        <v>0</v>
      </c>
      <c r="F179" t="str">
        <f>Реестр_План_Факт!F179</f>
        <v/>
      </c>
      <c r="G179">
        <f>Реестр_План_Факт!G179</f>
        <v>0</v>
      </c>
      <c r="H179">
        <f>Реестр_План_Факт!H179</f>
        <v>0</v>
      </c>
      <c r="I179" t="str">
        <f>Реестр_План_Факт!I179</f>
        <v/>
      </c>
      <c r="J179">
        <f>Реестр_План_Факт!J179</f>
        <v>0</v>
      </c>
      <c r="K179">
        <f>Реестр_План_Факт!K179</f>
        <v>0</v>
      </c>
      <c r="L179" t="str">
        <f>Реестр_План_Факт!L179</f>
        <v/>
      </c>
      <c r="M179">
        <f>Реестр_План_Факт!M179</f>
        <v>0</v>
      </c>
      <c r="N179">
        <f>Реестр_План_Факт!N179</f>
        <v>0</v>
      </c>
      <c r="O179" t="str">
        <f>Реестр_План_Факт!O179</f>
        <v/>
      </c>
      <c r="P179">
        <f>Реестр_План_Факт!P179</f>
        <v>0</v>
      </c>
      <c r="Q179">
        <f>Реестр_План_Факт!Q179</f>
        <v>0</v>
      </c>
      <c r="R179" t="str">
        <f>Реестр_План_Факт!R179</f>
        <v/>
      </c>
      <c r="S179">
        <f>Реестр_План_Факт!S179</f>
        <v>0</v>
      </c>
      <c r="T179">
        <f>Реестр_План_Факт!T179</f>
        <v>0</v>
      </c>
      <c r="U179" t="str">
        <f>Реестр_План_Факт!U179</f>
        <v/>
      </c>
      <c r="V179">
        <f>Реестр_План_Факт!V179</f>
        <v>0</v>
      </c>
      <c r="W179">
        <f>Реестр_План_Факт!W179</f>
        <v>0</v>
      </c>
      <c r="X179" t="str">
        <f>Реестр_План_Факт!X179</f>
        <v/>
      </c>
      <c r="Y179">
        <f>Реестр_План_Факт!Y179</f>
        <v>0</v>
      </c>
      <c r="Z179">
        <f>Реестр_План_Факт!Z179</f>
        <v>0</v>
      </c>
      <c r="AA179" t="str">
        <f>Реестр_План_Факт!AA179</f>
        <v/>
      </c>
      <c r="AB179">
        <f>Реестр_План_Факт!AB179</f>
        <v>0</v>
      </c>
      <c r="AC179">
        <f>Реестр_План_Факт!AC179</f>
        <v>0</v>
      </c>
      <c r="AD179" t="str">
        <f>Реестр_План_Факт!AD179</f>
        <v/>
      </c>
      <c r="AE179">
        <f>Реестр_План_Факт!AE179</f>
        <v>0</v>
      </c>
      <c r="AF179">
        <f>Реестр_План_Факт!AF179</f>
        <v>0</v>
      </c>
      <c r="AG179" t="str">
        <f>Реестр_План_Факт!AG179</f>
        <v/>
      </c>
      <c r="AH179">
        <f>Реестр_План_Факт!AH179</f>
        <v>0</v>
      </c>
      <c r="AI179">
        <f>Реестр_План_Факт!AI179</f>
        <v>0</v>
      </c>
      <c r="AJ179" t="str">
        <f>Реестр_План_Факт!AJ179</f>
        <v/>
      </c>
      <c r="AK179">
        <f>Реестр_План_Факт!AK179</f>
        <v>0</v>
      </c>
      <c r="AL179">
        <f>Реестр_План_Факт!AL179</f>
        <v>0</v>
      </c>
      <c r="AM179" t="str">
        <f>Реестр_План_Факт!AM179</f>
        <v/>
      </c>
      <c r="AN179">
        <f>Реестр_План_Факт!AN179</f>
        <v>0</v>
      </c>
      <c r="AO179">
        <f>Реестр_План_Факт!AO179</f>
        <v>0</v>
      </c>
      <c r="AP179" t="str">
        <f>Реестр_План_Факт!AP179</f>
        <v/>
      </c>
      <c r="AQ179">
        <f>Реестр_План_Факт!AQ179</f>
        <v>0</v>
      </c>
    </row>
    <row r="180" spans="1:43" x14ac:dyDescent="0.2">
      <c r="A180" s="201">
        <f>Реестр_План_Факт!A180</f>
        <v>46201</v>
      </c>
      <c r="B180">
        <f>Реестр_План_Факт!B180</f>
        <v>26</v>
      </c>
      <c r="C180">
        <f>Реестр_План_Факт!C180</f>
        <v>6</v>
      </c>
      <c r="D180">
        <f>Реестр_План_Факт!D180</f>
        <v>0</v>
      </c>
      <c r="E180">
        <f>Реестр_План_Факт!E180</f>
        <v>0</v>
      </c>
      <c r="F180" t="str">
        <f>Реестр_План_Факт!F180</f>
        <v/>
      </c>
      <c r="G180">
        <f>Реестр_План_Факт!G180</f>
        <v>0</v>
      </c>
      <c r="H180">
        <f>Реестр_План_Факт!H180</f>
        <v>0</v>
      </c>
      <c r="I180" t="str">
        <f>Реестр_План_Факт!I180</f>
        <v/>
      </c>
      <c r="J180">
        <f>Реестр_План_Факт!J180</f>
        <v>0</v>
      </c>
      <c r="K180">
        <f>Реестр_План_Факт!K180</f>
        <v>0</v>
      </c>
      <c r="L180" t="str">
        <f>Реестр_План_Факт!L180</f>
        <v/>
      </c>
      <c r="M180">
        <f>Реестр_План_Факт!M180</f>
        <v>0</v>
      </c>
      <c r="N180">
        <f>Реестр_План_Факт!N180</f>
        <v>0</v>
      </c>
      <c r="O180" t="str">
        <f>Реестр_План_Факт!O180</f>
        <v/>
      </c>
      <c r="P180">
        <f>Реестр_План_Факт!P180</f>
        <v>0</v>
      </c>
      <c r="Q180">
        <f>Реестр_План_Факт!Q180</f>
        <v>0</v>
      </c>
      <c r="R180" t="str">
        <f>Реестр_План_Факт!R180</f>
        <v/>
      </c>
      <c r="S180">
        <f>Реестр_План_Факт!S180</f>
        <v>0</v>
      </c>
      <c r="T180">
        <f>Реестр_План_Факт!T180</f>
        <v>0</v>
      </c>
      <c r="U180" t="str">
        <f>Реестр_План_Факт!U180</f>
        <v/>
      </c>
      <c r="V180">
        <f>Реестр_План_Факт!V180</f>
        <v>0</v>
      </c>
      <c r="W180">
        <f>Реестр_План_Факт!W180</f>
        <v>0</v>
      </c>
      <c r="X180" t="str">
        <f>Реестр_План_Факт!X180</f>
        <v/>
      </c>
      <c r="Y180">
        <f>Реестр_План_Факт!Y180</f>
        <v>0</v>
      </c>
      <c r="Z180">
        <f>Реестр_План_Факт!Z180</f>
        <v>0</v>
      </c>
      <c r="AA180" t="str">
        <f>Реестр_План_Факт!AA180</f>
        <v/>
      </c>
      <c r="AB180">
        <f>Реестр_План_Факт!AB180</f>
        <v>0</v>
      </c>
      <c r="AC180">
        <f>Реестр_План_Факт!AC180</f>
        <v>0</v>
      </c>
      <c r="AD180" t="str">
        <f>Реестр_План_Факт!AD180</f>
        <v/>
      </c>
      <c r="AE180">
        <f>Реестр_План_Факт!AE180</f>
        <v>0</v>
      </c>
      <c r="AF180">
        <f>Реестр_План_Факт!AF180</f>
        <v>0</v>
      </c>
      <c r="AG180" t="str">
        <f>Реестр_План_Факт!AG180</f>
        <v/>
      </c>
      <c r="AH180">
        <f>Реестр_План_Факт!AH180</f>
        <v>0</v>
      </c>
      <c r="AI180">
        <f>Реестр_План_Факт!AI180</f>
        <v>0</v>
      </c>
      <c r="AJ180" t="str">
        <f>Реестр_План_Факт!AJ180</f>
        <v/>
      </c>
      <c r="AK180">
        <f>Реестр_План_Факт!AK180</f>
        <v>0</v>
      </c>
      <c r="AL180">
        <f>Реестр_План_Факт!AL180</f>
        <v>0</v>
      </c>
      <c r="AM180" t="str">
        <f>Реестр_План_Факт!AM180</f>
        <v/>
      </c>
      <c r="AN180">
        <f>Реестр_План_Факт!AN180</f>
        <v>0</v>
      </c>
      <c r="AO180">
        <f>Реестр_План_Факт!AO180</f>
        <v>0</v>
      </c>
      <c r="AP180" t="str">
        <f>Реестр_План_Факт!AP180</f>
        <v/>
      </c>
      <c r="AQ180">
        <f>Реестр_План_Факт!AQ180</f>
        <v>0</v>
      </c>
    </row>
    <row r="181" spans="1:43" x14ac:dyDescent="0.2">
      <c r="A181" s="201">
        <f>Реестр_План_Факт!A181</f>
        <v>46202</v>
      </c>
      <c r="B181">
        <f>Реестр_План_Факт!B181</f>
        <v>27</v>
      </c>
      <c r="C181">
        <f>Реестр_План_Факт!C181</f>
        <v>6</v>
      </c>
      <c r="D181">
        <f>Реестр_План_Факт!D181</f>
        <v>0</v>
      </c>
      <c r="E181">
        <f>Реестр_План_Факт!E181</f>
        <v>0</v>
      </c>
      <c r="F181" t="str">
        <f>Реестр_План_Факт!F181</f>
        <v/>
      </c>
      <c r="G181">
        <f>Реестр_План_Факт!G181</f>
        <v>0</v>
      </c>
      <c r="H181">
        <f>Реестр_План_Факт!H181</f>
        <v>0</v>
      </c>
      <c r="I181" t="str">
        <f>Реестр_План_Факт!I181</f>
        <v/>
      </c>
      <c r="J181">
        <f>Реестр_План_Факт!J181</f>
        <v>0</v>
      </c>
      <c r="K181">
        <f>Реестр_План_Факт!K181</f>
        <v>0</v>
      </c>
      <c r="L181" t="str">
        <f>Реестр_План_Факт!L181</f>
        <v/>
      </c>
      <c r="M181">
        <f>Реестр_План_Факт!M181</f>
        <v>0</v>
      </c>
      <c r="N181">
        <f>Реестр_План_Факт!N181</f>
        <v>0</v>
      </c>
      <c r="O181" t="str">
        <f>Реестр_План_Факт!O181</f>
        <v/>
      </c>
      <c r="P181">
        <f>Реестр_План_Факт!P181</f>
        <v>0</v>
      </c>
      <c r="Q181">
        <f>Реестр_План_Факт!Q181</f>
        <v>0</v>
      </c>
      <c r="R181" t="str">
        <f>Реестр_План_Факт!R181</f>
        <v/>
      </c>
      <c r="S181">
        <f>Реестр_План_Факт!S181</f>
        <v>0</v>
      </c>
      <c r="T181">
        <f>Реестр_План_Факт!T181</f>
        <v>0</v>
      </c>
      <c r="U181" t="str">
        <f>Реестр_План_Факт!U181</f>
        <v/>
      </c>
      <c r="V181">
        <f>Реестр_План_Факт!V181</f>
        <v>0</v>
      </c>
      <c r="W181">
        <f>Реестр_План_Факт!W181</f>
        <v>0</v>
      </c>
      <c r="X181" t="str">
        <f>Реестр_План_Факт!X181</f>
        <v/>
      </c>
      <c r="Y181">
        <f>Реестр_План_Факт!Y181</f>
        <v>0</v>
      </c>
      <c r="Z181">
        <f>Реестр_План_Факт!Z181</f>
        <v>0</v>
      </c>
      <c r="AA181" t="str">
        <f>Реестр_План_Факт!AA181</f>
        <v/>
      </c>
      <c r="AB181">
        <f>Реестр_План_Факт!AB181</f>
        <v>0</v>
      </c>
      <c r="AC181">
        <f>Реестр_План_Факт!AC181</f>
        <v>0</v>
      </c>
      <c r="AD181" t="str">
        <f>Реестр_План_Факт!AD181</f>
        <v/>
      </c>
      <c r="AE181">
        <f>Реестр_План_Факт!AE181</f>
        <v>0</v>
      </c>
      <c r="AF181">
        <f>Реестр_План_Факт!AF181</f>
        <v>0</v>
      </c>
      <c r="AG181" t="str">
        <f>Реестр_План_Факт!AG181</f>
        <v/>
      </c>
      <c r="AH181">
        <f>Реестр_План_Факт!AH181</f>
        <v>0</v>
      </c>
      <c r="AI181">
        <f>Реестр_План_Факт!AI181</f>
        <v>0</v>
      </c>
      <c r="AJ181" t="str">
        <f>Реестр_План_Факт!AJ181</f>
        <v/>
      </c>
      <c r="AK181">
        <f>Реестр_План_Факт!AK181</f>
        <v>0</v>
      </c>
      <c r="AL181">
        <f>Реестр_План_Факт!AL181</f>
        <v>0</v>
      </c>
      <c r="AM181" t="str">
        <f>Реестр_План_Факт!AM181</f>
        <v/>
      </c>
      <c r="AN181">
        <f>Реестр_План_Факт!AN181</f>
        <v>0</v>
      </c>
      <c r="AO181">
        <f>Реестр_План_Факт!AO181</f>
        <v>0</v>
      </c>
      <c r="AP181" t="str">
        <f>Реестр_План_Факт!AP181</f>
        <v/>
      </c>
      <c r="AQ181">
        <f>Реестр_План_Факт!AQ181</f>
        <v>0</v>
      </c>
    </row>
    <row r="182" spans="1:43" x14ac:dyDescent="0.2">
      <c r="A182" s="201">
        <f>Реестр_План_Факт!A182</f>
        <v>46203</v>
      </c>
      <c r="B182">
        <f>Реестр_План_Факт!B182</f>
        <v>27</v>
      </c>
      <c r="C182">
        <f>Реестр_План_Факт!C182</f>
        <v>6</v>
      </c>
      <c r="D182">
        <f>Реестр_План_Факт!D182</f>
        <v>0</v>
      </c>
      <c r="E182">
        <f>Реестр_План_Факт!E182</f>
        <v>0</v>
      </c>
      <c r="F182" t="str">
        <f>Реестр_План_Факт!F182</f>
        <v/>
      </c>
      <c r="G182">
        <f>Реестр_План_Факт!G182</f>
        <v>0</v>
      </c>
      <c r="H182">
        <f>Реестр_План_Факт!H182</f>
        <v>0</v>
      </c>
      <c r="I182" t="str">
        <f>Реестр_План_Факт!I182</f>
        <v/>
      </c>
      <c r="J182">
        <f>Реестр_План_Факт!J182</f>
        <v>0</v>
      </c>
      <c r="K182">
        <f>Реестр_План_Факт!K182</f>
        <v>0</v>
      </c>
      <c r="L182" t="str">
        <f>Реестр_План_Факт!L182</f>
        <v/>
      </c>
      <c r="M182">
        <f>Реестр_План_Факт!M182</f>
        <v>0</v>
      </c>
      <c r="N182">
        <f>Реестр_План_Факт!N182</f>
        <v>0</v>
      </c>
      <c r="O182" t="str">
        <f>Реестр_План_Факт!O182</f>
        <v/>
      </c>
      <c r="P182">
        <f>Реестр_План_Факт!P182</f>
        <v>0</v>
      </c>
      <c r="Q182">
        <f>Реестр_План_Факт!Q182</f>
        <v>0</v>
      </c>
      <c r="R182" t="str">
        <f>Реестр_План_Факт!R182</f>
        <v/>
      </c>
      <c r="S182">
        <f>Реестр_План_Факт!S182</f>
        <v>0</v>
      </c>
      <c r="T182">
        <f>Реестр_План_Факт!T182</f>
        <v>0</v>
      </c>
      <c r="U182" t="str">
        <f>Реестр_План_Факт!U182</f>
        <v/>
      </c>
      <c r="V182">
        <f>Реестр_План_Факт!V182</f>
        <v>0</v>
      </c>
      <c r="W182">
        <f>Реестр_План_Факт!W182</f>
        <v>0</v>
      </c>
      <c r="X182" t="str">
        <f>Реестр_План_Факт!X182</f>
        <v/>
      </c>
      <c r="Y182">
        <f>Реестр_План_Факт!Y182</f>
        <v>0</v>
      </c>
      <c r="Z182">
        <f>Реестр_План_Факт!Z182</f>
        <v>0</v>
      </c>
      <c r="AA182" t="str">
        <f>Реестр_План_Факт!AA182</f>
        <v/>
      </c>
      <c r="AB182">
        <f>Реестр_План_Факт!AB182</f>
        <v>0</v>
      </c>
      <c r="AC182">
        <f>Реестр_План_Факт!AC182</f>
        <v>0</v>
      </c>
      <c r="AD182" t="str">
        <f>Реестр_План_Факт!AD182</f>
        <v/>
      </c>
      <c r="AE182">
        <f>Реестр_План_Факт!AE182</f>
        <v>0</v>
      </c>
      <c r="AF182">
        <f>Реестр_План_Факт!AF182</f>
        <v>0</v>
      </c>
      <c r="AG182" t="str">
        <f>Реестр_План_Факт!AG182</f>
        <v/>
      </c>
      <c r="AH182">
        <f>Реестр_План_Факт!AH182</f>
        <v>0</v>
      </c>
      <c r="AI182">
        <f>Реестр_План_Факт!AI182</f>
        <v>0</v>
      </c>
      <c r="AJ182" t="str">
        <f>Реестр_План_Факт!AJ182</f>
        <v/>
      </c>
      <c r="AK182">
        <f>Реестр_План_Факт!AK182</f>
        <v>0</v>
      </c>
      <c r="AL182">
        <f>Реестр_План_Факт!AL182</f>
        <v>0</v>
      </c>
      <c r="AM182" t="str">
        <f>Реестр_План_Факт!AM182</f>
        <v/>
      </c>
      <c r="AN182">
        <f>Реестр_План_Факт!AN182</f>
        <v>0</v>
      </c>
      <c r="AO182">
        <f>Реестр_План_Факт!AO182</f>
        <v>0</v>
      </c>
      <c r="AP182" t="str">
        <f>Реестр_План_Факт!AP182</f>
        <v/>
      </c>
      <c r="AQ182">
        <f>Реестр_План_Факт!AQ182</f>
        <v>0</v>
      </c>
    </row>
    <row r="183" spans="1:43" x14ac:dyDescent="0.2">
      <c r="A183" s="201">
        <f>Реестр_План_Факт!A183</f>
        <v>46204</v>
      </c>
      <c r="B183">
        <f>Реестр_План_Факт!B183</f>
        <v>27</v>
      </c>
      <c r="C183">
        <f>Реестр_План_Факт!C183</f>
        <v>7</v>
      </c>
      <c r="D183">
        <f>Реестр_План_Факт!D183</f>
        <v>0</v>
      </c>
      <c r="E183">
        <f>Реестр_План_Факт!E183</f>
        <v>0</v>
      </c>
      <c r="F183" t="str">
        <f>Реестр_План_Факт!F183</f>
        <v/>
      </c>
      <c r="G183">
        <f>Реестр_План_Факт!G183</f>
        <v>0</v>
      </c>
      <c r="H183">
        <f>Реестр_План_Факт!H183</f>
        <v>0</v>
      </c>
      <c r="I183" t="str">
        <f>Реестр_План_Факт!I183</f>
        <v/>
      </c>
      <c r="J183">
        <f>Реестр_План_Факт!J183</f>
        <v>0</v>
      </c>
      <c r="K183">
        <f>Реестр_План_Факт!K183</f>
        <v>0</v>
      </c>
      <c r="L183" t="str">
        <f>Реестр_План_Факт!L183</f>
        <v/>
      </c>
      <c r="M183">
        <f>Реестр_План_Факт!M183</f>
        <v>0</v>
      </c>
      <c r="N183">
        <f>Реестр_План_Факт!N183</f>
        <v>0</v>
      </c>
      <c r="O183" t="str">
        <f>Реестр_План_Факт!O183</f>
        <v/>
      </c>
      <c r="P183">
        <f>Реестр_План_Факт!P183</f>
        <v>0</v>
      </c>
      <c r="Q183">
        <f>Реестр_План_Факт!Q183</f>
        <v>0</v>
      </c>
      <c r="R183" t="str">
        <f>Реестр_План_Факт!R183</f>
        <v/>
      </c>
      <c r="S183">
        <f>Реестр_План_Факт!S183</f>
        <v>0</v>
      </c>
      <c r="T183">
        <f>Реестр_План_Факт!T183</f>
        <v>0</v>
      </c>
      <c r="U183" t="str">
        <f>Реестр_План_Факт!U183</f>
        <v/>
      </c>
      <c r="V183">
        <f>Реестр_План_Факт!V183</f>
        <v>0</v>
      </c>
      <c r="W183">
        <f>Реестр_План_Факт!W183</f>
        <v>0</v>
      </c>
      <c r="X183" t="str">
        <f>Реестр_План_Факт!X183</f>
        <v/>
      </c>
      <c r="Y183">
        <f>Реестр_План_Факт!Y183</f>
        <v>0</v>
      </c>
      <c r="Z183">
        <f>Реестр_План_Факт!Z183</f>
        <v>0</v>
      </c>
      <c r="AA183" t="str">
        <f>Реестр_План_Факт!AA183</f>
        <v/>
      </c>
      <c r="AB183">
        <f>Реестр_План_Факт!AB183</f>
        <v>0</v>
      </c>
      <c r="AC183">
        <f>Реестр_План_Факт!AC183</f>
        <v>0</v>
      </c>
      <c r="AD183" t="str">
        <f>Реестр_План_Факт!AD183</f>
        <v/>
      </c>
      <c r="AE183">
        <f>Реестр_План_Факт!AE183</f>
        <v>0</v>
      </c>
      <c r="AF183">
        <f>Реестр_План_Факт!AF183</f>
        <v>0</v>
      </c>
      <c r="AG183" t="str">
        <f>Реестр_План_Факт!AG183</f>
        <v/>
      </c>
      <c r="AH183">
        <f>Реестр_План_Факт!AH183</f>
        <v>0</v>
      </c>
      <c r="AI183">
        <f>Реестр_План_Факт!AI183</f>
        <v>0</v>
      </c>
      <c r="AJ183" t="str">
        <f>Реестр_План_Факт!AJ183</f>
        <v/>
      </c>
      <c r="AK183">
        <f>Реестр_План_Факт!AK183</f>
        <v>0</v>
      </c>
      <c r="AL183">
        <f>Реестр_План_Факт!AL183</f>
        <v>0</v>
      </c>
      <c r="AM183" t="str">
        <f>Реестр_План_Факт!AM183</f>
        <v/>
      </c>
      <c r="AN183">
        <f>Реестр_План_Факт!AN183</f>
        <v>0</v>
      </c>
      <c r="AO183">
        <f>Реестр_План_Факт!AO183</f>
        <v>0</v>
      </c>
      <c r="AP183" t="str">
        <f>Реестр_План_Факт!AP183</f>
        <v/>
      </c>
      <c r="AQ183">
        <f>Реестр_План_Факт!AQ183</f>
        <v>0</v>
      </c>
    </row>
    <row r="184" spans="1:43" x14ac:dyDescent="0.2">
      <c r="A184" s="201">
        <f>Реестр_План_Факт!A184</f>
        <v>46205</v>
      </c>
      <c r="B184">
        <f>Реестр_План_Факт!B184</f>
        <v>27</v>
      </c>
      <c r="C184">
        <f>Реестр_План_Факт!C184</f>
        <v>7</v>
      </c>
      <c r="D184">
        <f>Реестр_План_Факт!D184</f>
        <v>0</v>
      </c>
      <c r="E184">
        <f>Реестр_План_Факт!E184</f>
        <v>0</v>
      </c>
      <c r="F184" t="str">
        <f>Реестр_План_Факт!F184</f>
        <v/>
      </c>
      <c r="G184">
        <f>Реестр_План_Факт!G184</f>
        <v>0</v>
      </c>
      <c r="H184">
        <f>Реестр_План_Факт!H184</f>
        <v>0</v>
      </c>
      <c r="I184" t="str">
        <f>Реестр_План_Факт!I184</f>
        <v/>
      </c>
      <c r="J184">
        <f>Реестр_План_Факт!J184</f>
        <v>0</v>
      </c>
      <c r="K184">
        <f>Реестр_План_Факт!K184</f>
        <v>0</v>
      </c>
      <c r="L184" t="str">
        <f>Реестр_План_Факт!L184</f>
        <v/>
      </c>
      <c r="M184">
        <f>Реестр_План_Факт!M184</f>
        <v>0</v>
      </c>
      <c r="N184">
        <f>Реестр_План_Факт!N184</f>
        <v>0</v>
      </c>
      <c r="O184" t="str">
        <f>Реестр_План_Факт!O184</f>
        <v/>
      </c>
      <c r="P184">
        <f>Реестр_План_Факт!P184</f>
        <v>0</v>
      </c>
      <c r="Q184">
        <f>Реестр_План_Факт!Q184</f>
        <v>0</v>
      </c>
      <c r="R184" t="str">
        <f>Реестр_План_Факт!R184</f>
        <v/>
      </c>
      <c r="S184">
        <f>Реестр_План_Факт!S184</f>
        <v>0</v>
      </c>
      <c r="T184">
        <f>Реестр_План_Факт!T184</f>
        <v>0</v>
      </c>
      <c r="U184" t="str">
        <f>Реестр_План_Факт!U184</f>
        <v/>
      </c>
      <c r="V184">
        <f>Реестр_План_Факт!V184</f>
        <v>0</v>
      </c>
      <c r="W184">
        <f>Реестр_План_Факт!W184</f>
        <v>0</v>
      </c>
      <c r="X184" t="str">
        <f>Реестр_План_Факт!X184</f>
        <v/>
      </c>
      <c r="Y184">
        <f>Реестр_План_Факт!Y184</f>
        <v>0</v>
      </c>
      <c r="Z184">
        <f>Реестр_План_Факт!Z184</f>
        <v>0</v>
      </c>
      <c r="AA184" t="str">
        <f>Реестр_План_Факт!AA184</f>
        <v/>
      </c>
      <c r="AB184">
        <f>Реестр_План_Факт!AB184</f>
        <v>0</v>
      </c>
      <c r="AC184">
        <f>Реестр_План_Факт!AC184</f>
        <v>0</v>
      </c>
      <c r="AD184" t="str">
        <f>Реестр_План_Факт!AD184</f>
        <v/>
      </c>
      <c r="AE184">
        <f>Реестр_План_Факт!AE184</f>
        <v>0</v>
      </c>
      <c r="AF184">
        <f>Реестр_План_Факт!AF184</f>
        <v>0</v>
      </c>
      <c r="AG184" t="str">
        <f>Реестр_План_Факт!AG184</f>
        <v/>
      </c>
      <c r="AH184">
        <f>Реестр_План_Факт!AH184</f>
        <v>0</v>
      </c>
      <c r="AI184">
        <f>Реестр_План_Факт!AI184</f>
        <v>0</v>
      </c>
      <c r="AJ184" t="str">
        <f>Реестр_План_Факт!AJ184</f>
        <v/>
      </c>
      <c r="AK184">
        <f>Реестр_План_Факт!AK184</f>
        <v>0</v>
      </c>
      <c r="AL184">
        <f>Реестр_План_Факт!AL184</f>
        <v>0</v>
      </c>
      <c r="AM184" t="str">
        <f>Реестр_План_Факт!AM184</f>
        <v/>
      </c>
      <c r="AN184">
        <f>Реестр_План_Факт!AN184</f>
        <v>0</v>
      </c>
      <c r="AO184">
        <f>Реестр_План_Факт!AO184</f>
        <v>0</v>
      </c>
      <c r="AP184" t="str">
        <f>Реестр_План_Факт!AP184</f>
        <v/>
      </c>
      <c r="AQ184">
        <f>Реестр_План_Факт!AQ184</f>
        <v>0</v>
      </c>
    </row>
    <row r="185" spans="1:43" x14ac:dyDescent="0.2">
      <c r="A185" s="201">
        <f>Реестр_План_Факт!A185</f>
        <v>46206</v>
      </c>
      <c r="B185">
        <f>Реестр_План_Факт!B185</f>
        <v>27</v>
      </c>
      <c r="C185">
        <f>Реестр_План_Факт!C185</f>
        <v>7</v>
      </c>
      <c r="D185">
        <f>Реестр_План_Факт!D185</f>
        <v>0</v>
      </c>
      <c r="E185">
        <f>Реестр_План_Факт!E185</f>
        <v>0</v>
      </c>
      <c r="F185" t="str">
        <f>Реестр_План_Факт!F185</f>
        <v/>
      </c>
      <c r="G185">
        <f>Реестр_План_Факт!G185</f>
        <v>0</v>
      </c>
      <c r="H185">
        <f>Реестр_План_Факт!H185</f>
        <v>0</v>
      </c>
      <c r="I185" t="str">
        <f>Реестр_План_Факт!I185</f>
        <v/>
      </c>
      <c r="J185">
        <f>Реестр_План_Факт!J185</f>
        <v>0</v>
      </c>
      <c r="K185">
        <f>Реестр_План_Факт!K185</f>
        <v>0</v>
      </c>
      <c r="L185" t="str">
        <f>Реестр_План_Факт!L185</f>
        <v/>
      </c>
      <c r="M185">
        <f>Реестр_План_Факт!M185</f>
        <v>0</v>
      </c>
      <c r="N185">
        <f>Реестр_План_Факт!N185</f>
        <v>0</v>
      </c>
      <c r="O185" t="str">
        <f>Реестр_План_Факт!O185</f>
        <v/>
      </c>
      <c r="P185">
        <f>Реестр_План_Факт!P185</f>
        <v>0</v>
      </c>
      <c r="Q185">
        <f>Реестр_План_Факт!Q185</f>
        <v>0</v>
      </c>
      <c r="R185" t="str">
        <f>Реестр_План_Факт!R185</f>
        <v/>
      </c>
      <c r="S185">
        <f>Реестр_План_Факт!S185</f>
        <v>0</v>
      </c>
      <c r="T185">
        <f>Реестр_План_Факт!T185</f>
        <v>0</v>
      </c>
      <c r="U185" t="str">
        <f>Реестр_План_Факт!U185</f>
        <v/>
      </c>
      <c r="V185">
        <f>Реестр_План_Факт!V185</f>
        <v>0</v>
      </c>
      <c r="W185">
        <f>Реестр_План_Факт!W185</f>
        <v>0</v>
      </c>
      <c r="X185" t="str">
        <f>Реестр_План_Факт!X185</f>
        <v/>
      </c>
      <c r="Y185">
        <f>Реестр_План_Факт!Y185</f>
        <v>0</v>
      </c>
      <c r="Z185">
        <f>Реестр_План_Факт!Z185</f>
        <v>0</v>
      </c>
      <c r="AA185" t="str">
        <f>Реестр_План_Факт!AA185</f>
        <v/>
      </c>
      <c r="AB185">
        <f>Реестр_План_Факт!AB185</f>
        <v>0</v>
      </c>
      <c r="AC185">
        <f>Реестр_План_Факт!AC185</f>
        <v>0</v>
      </c>
      <c r="AD185" t="str">
        <f>Реестр_План_Факт!AD185</f>
        <v/>
      </c>
      <c r="AE185">
        <f>Реестр_План_Факт!AE185</f>
        <v>0</v>
      </c>
      <c r="AF185">
        <f>Реестр_План_Факт!AF185</f>
        <v>0</v>
      </c>
      <c r="AG185" t="str">
        <f>Реестр_План_Факт!AG185</f>
        <v/>
      </c>
      <c r="AH185">
        <f>Реестр_План_Факт!AH185</f>
        <v>0</v>
      </c>
      <c r="AI185">
        <f>Реестр_План_Факт!AI185</f>
        <v>0</v>
      </c>
      <c r="AJ185" t="str">
        <f>Реестр_План_Факт!AJ185</f>
        <v/>
      </c>
      <c r="AK185">
        <f>Реестр_План_Факт!AK185</f>
        <v>0</v>
      </c>
      <c r="AL185">
        <f>Реестр_План_Факт!AL185</f>
        <v>0</v>
      </c>
      <c r="AM185" t="str">
        <f>Реестр_План_Факт!AM185</f>
        <v/>
      </c>
      <c r="AN185">
        <f>Реестр_План_Факт!AN185</f>
        <v>0</v>
      </c>
      <c r="AO185">
        <f>Реестр_План_Факт!AO185</f>
        <v>0</v>
      </c>
      <c r="AP185" t="str">
        <f>Реестр_План_Факт!AP185</f>
        <v/>
      </c>
      <c r="AQ185">
        <f>Реестр_План_Факт!AQ185</f>
        <v>0</v>
      </c>
    </row>
    <row r="186" spans="1:43" x14ac:dyDescent="0.2">
      <c r="A186" s="201">
        <f>Реестр_План_Факт!A186</f>
        <v>46207</v>
      </c>
      <c r="B186">
        <f>Реестр_План_Факт!B186</f>
        <v>27</v>
      </c>
      <c r="C186">
        <f>Реестр_План_Факт!C186</f>
        <v>7</v>
      </c>
      <c r="D186">
        <f>Реестр_План_Факт!D186</f>
        <v>0</v>
      </c>
      <c r="E186">
        <f>Реестр_План_Факт!E186</f>
        <v>0</v>
      </c>
      <c r="F186" t="str">
        <f>Реестр_План_Факт!F186</f>
        <v/>
      </c>
      <c r="G186">
        <f>Реестр_План_Факт!G186</f>
        <v>0</v>
      </c>
      <c r="H186">
        <f>Реестр_План_Факт!H186</f>
        <v>0</v>
      </c>
      <c r="I186" t="str">
        <f>Реестр_План_Факт!I186</f>
        <v/>
      </c>
      <c r="J186">
        <f>Реестр_План_Факт!J186</f>
        <v>0</v>
      </c>
      <c r="K186">
        <f>Реестр_План_Факт!K186</f>
        <v>0</v>
      </c>
      <c r="L186" t="str">
        <f>Реестр_План_Факт!L186</f>
        <v/>
      </c>
      <c r="M186">
        <f>Реестр_План_Факт!M186</f>
        <v>0</v>
      </c>
      <c r="N186">
        <f>Реестр_План_Факт!N186</f>
        <v>0</v>
      </c>
      <c r="O186" t="str">
        <f>Реестр_План_Факт!O186</f>
        <v/>
      </c>
      <c r="P186">
        <f>Реестр_План_Факт!P186</f>
        <v>0</v>
      </c>
      <c r="Q186">
        <f>Реестр_План_Факт!Q186</f>
        <v>0</v>
      </c>
      <c r="R186" t="str">
        <f>Реестр_План_Факт!R186</f>
        <v/>
      </c>
      <c r="S186">
        <f>Реестр_План_Факт!S186</f>
        <v>0</v>
      </c>
      <c r="T186">
        <f>Реестр_План_Факт!T186</f>
        <v>0</v>
      </c>
      <c r="U186" t="str">
        <f>Реестр_План_Факт!U186</f>
        <v/>
      </c>
      <c r="V186">
        <f>Реестр_План_Факт!V186</f>
        <v>0</v>
      </c>
      <c r="W186">
        <f>Реестр_План_Факт!W186</f>
        <v>0</v>
      </c>
      <c r="X186" t="str">
        <f>Реестр_План_Факт!X186</f>
        <v/>
      </c>
      <c r="Y186">
        <f>Реестр_План_Факт!Y186</f>
        <v>0</v>
      </c>
      <c r="Z186">
        <f>Реестр_План_Факт!Z186</f>
        <v>0</v>
      </c>
      <c r="AA186" t="str">
        <f>Реестр_План_Факт!AA186</f>
        <v/>
      </c>
      <c r="AB186">
        <f>Реестр_План_Факт!AB186</f>
        <v>0</v>
      </c>
      <c r="AC186">
        <f>Реестр_План_Факт!AC186</f>
        <v>0</v>
      </c>
      <c r="AD186" t="str">
        <f>Реестр_План_Факт!AD186</f>
        <v/>
      </c>
      <c r="AE186">
        <f>Реестр_План_Факт!AE186</f>
        <v>0</v>
      </c>
      <c r="AF186">
        <f>Реестр_План_Факт!AF186</f>
        <v>0</v>
      </c>
      <c r="AG186" t="str">
        <f>Реестр_План_Факт!AG186</f>
        <v/>
      </c>
      <c r="AH186">
        <f>Реестр_План_Факт!AH186</f>
        <v>0</v>
      </c>
      <c r="AI186">
        <f>Реестр_План_Факт!AI186</f>
        <v>0</v>
      </c>
      <c r="AJ186" t="str">
        <f>Реестр_План_Факт!AJ186</f>
        <v/>
      </c>
      <c r="AK186">
        <f>Реестр_План_Факт!AK186</f>
        <v>0</v>
      </c>
      <c r="AL186">
        <f>Реестр_План_Факт!AL186</f>
        <v>0</v>
      </c>
      <c r="AM186" t="str">
        <f>Реестр_План_Факт!AM186</f>
        <v/>
      </c>
      <c r="AN186">
        <f>Реестр_План_Факт!AN186</f>
        <v>0</v>
      </c>
      <c r="AO186">
        <f>Реестр_План_Факт!AO186</f>
        <v>0</v>
      </c>
      <c r="AP186" t="str">
        <f>Реестр_План_Факт!AP186</f>
        <v/>
      </c>
      <c r="AQ186">
        <f>Реестр_План_Факт!AQ186</f>
        <v>0</v>
      </c>
    </row>
    <row r="187" spans="1:43" x14ac:dyDescent="0.2">
      <c r="A187" s="201">
        <f>Реестр_План_Факт!A187</f>
        <v>46208</v>
      </c>
      <c r="B187">
        <f>Реестр_План_Факт!B187</f>
        <v>27</v>
      </c>
      <c r="C187">
        <f>Реестр_План_Факт!C187</f>
        <v>7</v>
      </c>
      <c r="D187">
        <f>Реестр_План_Факт!D187</f>
        <v>0</v>
      </c>
      <c r="E187">
        <f>Реестр_План_Факт!E187</f>
        <v>0</v>
      </c>
      <c r="F187" t="str">
        <f>Реестр_План_Факт!F187</f>
        <v/>
      </c>
      <c r="G187">
        <f>Реестр_План_Факт!G187</f>
        <v>0</v>
      </c>
      <c r="H187">
        <f>Реестр_План_Факт!H187</f>
        <v>0</v>
      </c>
      <c r="I187" t="str">
        <f>Реестр_План_Факт!I187</f>
        <v/>
      </c>
      <c r="J187">
        <f>Реестр_План_Факт!J187</f>
        <v>0</v>
      </c>
      <c r="K187">
        <f>Реестр_План_Факт!K187</f>
        <v>0</v>
      </c>
      <c r="L187" t="str">
        <f>Реестр_План_Факт!L187</f>
        <v/>
      </c>
      <c r="M187">
        <f>Реестр_План_Факт!M187</f>
        <v>0</v>
      </c>
      <c r="N187">
        <f>Реестр_План_Факт!N187</f>
        <v>0</v>
      </c>
      <c r="O187" t="str">
        <f>Реестр_План_Факт!O187</f>
        <v/>
      </c>
      <c r="P187">
        <f>Реестр_План_Факт!P187</f>
        <v>0</v>
      </c>
      <c r="Q187">
        <f>Реестр_План_Факт!Q187</f>
        <v>0</v>
      </c>
      <c r="R187" t="str">
        <f>Реестр_План_Факт!R187</f>
        <v/>
      </c>
      <c r="S187">
        <f>Реестр_План_Факт!S187</f>
        <v>0</v>
      </c>
      <c r="T187">
        <f>Реестр_План_Факт!T187</f>
        <v>0</v>
      </c>
      <c r="U187" t="str">
        <f>Реестр_План_Факт!U187</f>
        <v/>
      </c>
      <c r="V187">
        <f>Реестр_План_Факт!V187</f>
        <v>0</v>
      </c>
      <c r="W187">
        <f>Реестр_План_Факт!W187</f>
        <v>0</v>
      </c>
      <c r="X187" t="str">
        <f>Реестр_План_Факт!X187</f>
        <v/>
      </c>
      <c r="Y187">
        <f>Реестр_План_Факт!Y187</f>
        <v>0</v>
      </c>
      <c r="Z187">
        <f>Реестр_План_Факт!Z187</f>
        <v>0</v>
      </c>
      <c r="AA187" t="str">
        <f>Реестр_План_Факт!AA187</f>
        <v/>
      </c>
      <c r="AB187">
        <f>Реестр_План_Факт!AB187</f>
        <v>0</v>
      </c>
      <c r="AC187">
        <f>Реестр_План_Факт!AC187</f>
        <v>0</v>
      </c>
      <c r="AD187" t="str">
        <f>Реестр_План_Факт!AD187</f>
        <v/>
      </c>
      <c r="AE187">
        <f>Реестр_План_Факт!AE187</f>
        <v>0</v>
      </c>
      <c r="AF187">
        <f>Реестр_План_Факт!AF187</f>
        <v>0</v>
      </c>
      <c r="AG187" t="str">
        <f>Реестр_План_Факт!AG187</f>
        <v/>
      </c>
      <c r="AH187">
        <f>Реестр_План_Факт!AH187</f>
        <v>0</v>
      </c>
      <c r="AI187">
        <f>Реестр_План_Факт!AI187</f>
        <v>0</v>
      </c>
      <c r="AJ187" t="str">
        <f>Реестр_План_Факт!AJ187</f>
        <v/>
      </c>
      <c r="AK187">
        <f>Реестр_План_Факт!AK187</f>
        <v>0</v>
      </c>
      <c r="AL187">
        <f>Реестр_План_Факт!AL187</f>
        <v>0</v>
      </c>
      <c r="AM187" t="str">
        <f>Реестр_План_Факт!AM187</f>
        <v/>
      </c>
      <c r="AN187">
        <f>Реестр_План_Факт!AN187</f>
        <v>0</v>
      </c>
      <c r="AO187">
        <f>Реестр_План_Факт!AO187</f>
        <v>0</v>
      </c>
      <c r="AP187" t="str">
        <f>Реестр_План_Факт!AP187</f>
        <v/>
      </c>
      <c r="AQ187">
        <f>Реестр_План_Факт!AQ187</f>
        <v>0</v>
      </c>
    </row>
    <row r="188" spans="1:43" x14ac:dyDescent="0.2">
      <c r="A188" s="201">
        <f>Реестр_План_Факт!A188</f>
        <v>46209</v>
      </c>
      <c r="B188">
        <f>Реестр_План_Факт!B188</f>
        <v>28</v>
      </c>
      <c r="C188">
        <f>Реестр_План_Факт!C188</f>
        <v>7</v>
      </c>
      <c r="D188">
        <f>Реестр_План_Факт!D188</f>
        <v>0</v>
      </c>
      <c r="E188">
        <f>Реестр_План_Факт!E188</f>
        <v>0</v>
      </c>
      <c r="F188" t="str">
        <f>Реестр_План_Факт!F188</f>
        <v/>
      </c>
      <c r="G188">
        <f>Реестр_План_Факт!G188</f>
        <v>0</v>
      </c>
      <c r="H188">
        <f>Реестр_План_Факт!H188</f>
        <v>0</v>
      </c>
      <c r="I188" t="str">
        <f>Реестр_План_Факт!I188</f>
        <v/>
      </c>
      <c r="J188">
        <f>Реестр_План_Факт!J188</f>
        <v>0</v>
      </c>
      <c r="K188">
        <f>Реестр_План_Факт!K188</f>
        <v>0</v>
      </c>
      <c r="L188" t="str">
        <f>Реестр_План_Факт!L188</f>
        <v/>
      </c>
      <c r="M188">
        <f>Реестр_План_Факт!M188</f>
        <v>0</v>
      </c>
      <c r="N188">
        <f>Реестр_План_Факт!N188</f>
        <v>0</v>
      </c>
      <c r="O188" t="str">
        <f>Реестр_План_Факт!O188</f>
        <v/>
      </c>
      <c r="P188">
        <f>Реестр_План_Факт!P188</f>
        <v>0</v>
      </c>
      <c r="Q188">
        <f>Реестр_План_Факт!Q188</f>
        <v>0</v>
      </c>
      <c r="R188" t="str">
        <f>Реестр_План_Факт!R188</f>
        <v/>
      </c>
      <c r="S188">
        <f>Реестр_План_Факт!S188</f>
        <v>0</v>
      </c>
      <c r="T188">
        <f>Реестр_План_Факт!T188</f>
        <v>0</v>
      </c>
      <c r="U188" t="str">
        <f>Реестр_План_Факт!U188</f>
        <v/>
      </c>
      <c r="V188">
        <f>Реестр_План_Факт!V188</f>
        <v>0</v>
      </c>
      <c r="W188">
        <f>Реестр_План_Факт!W188</f>
        <v>0</v>
      </c>
      <c r="X188" t="str">
        <f>Реестр_План_Факт!X188</f>
        <v/>
      </c>
      <c r="Y188">
        <f>Реестр_План_Факт!Y188</f>
        <v>0</v>
      </c>
      <c r="Z188">
        <f>Реестр_План_Факт!Z188</f>
        <v>0</v>
      </c>
      <c r="AA188" t="str">
        <f>Реестр_План_Факт!AA188</f>
        <v/>
      </c>
      <c r="AB188">
        <f>Реестр_План_Факт!AB188</f>
        <v>0</v>
      </c>
      <c r="AC188">
        <f>Реестр_План_Факт!AC188</f>
        <v>0</v>
      </c>
      <c r="AD188" t="str">
        <f>Реестр_План_Факт!AD188</f>
        <v/>
      </c>
      <c r="AE188">
        <f>Реестр_План_Факт!AE188</f>
        <v>0</v>
      </c>
      <c r="AF188">
        <f>Реестр_План_Факт!AF188</f>
        <v>0</v>
      </c>
      <c r="AG188" t="str">
        <f>Реестр_План_Факт!AG188</f>
        <v/>
      </c>
      <c r="AH188">
        <f>Реестр_План_Факт!AH188</f>
        <v>0</v>
      </c>
      <c r="AI188">
        <f>Реестр_План_Факт!AI188</f>
        <v>0</v>
      </c>
      <c r="AJ188" t="str">
        <f>Реестр_План_Факт!AJ188</f>
        <v/>
      </c>
      <c r="AK188">
        <f>Реестр_План_Факт!AK188</f>
        <v>0</v>
      </c>
      <c r="AL188">
        <f>Реестр_План_Факт!AL188</f>
        <v>0</v>
      </c>
      <c r="AM188" t="str">
        <f>Реестр_План_Факт!AM188</f>
        <v/>
      </c>
      <c r="AN188">
        <f>Реестр_План_Факт!AN188</f>
        <v>0</v>
      </c>
      <c r="AO188">
        <f>Реестр_План_Факт!AO188</f>
        <v>0</v>
      </c>
      <c r="AP188" t="str">
        <f>Реестр_План_Факт!AP188</f>
        <v/>
      </c>
      <c r="AQ188">
        <f>Реестр_План_Факт!AQ188</f>
        <v>0</v>
      </c>
    </row>
    <row r="189" spans="1:43" x14ac:dyDescent="0.2">
      <c r="A189" s="201">
        <f>Реестр_План_Факт!A189</f>
        <v>46210</v>
      </c>
      <c r="B189">
        <f>Реестр_План_Факт!B189</f>
        <v>28</v>
      </c>
      <c r="C189">
        <f>Реестр_План_Факт!C189</f>
        <v>7</v>
      </c>
      <c r="D189">
        <f>Реестр_План_Факт!D189</f>
        <v>0</v>
      </c>
      <c r="E189">
        <f>Реестр_План_Факт!E189</f>
        <v>0</v>
      </c>
      <c r="F189" t="str">
        <f>Реестр_План_Факт!F189</f>
        <v/>
      </c>
      <c r="G189">
        <f>Реестр_План_Факт!G189</f>
        <v>0</v>
      </c>
      <c r="H189">
        <f>Реестр_План_Факт!H189</f>
        <v>0</v>
      </c>
      <c r="I189" t="str">
        <f>Реестр_План_Факт!I189</f>
        <v/>
      </c>
      <c r="J189">
        <f>Реестр_План_Факт!J189</f>
        <v>0</v>
      </c>
      <c r="K189">
        <f>Реестр_План_Факт!K189</f>
        <v>0</v>
      </c>
      <c r="L189" t="str">
        <f>Реестр_План_Факт!L189</f>
        <v/>
      </c>
      <c r="M189">
        <f>Реестр_План_Факт!M189</f>
        <v>0</v>
      </c>
      <c r="N189">
        <f>Реестр_План_Факт!N189</f>
        <v>0</v>
      </c>
      <c r="O189" t="str">
        <f>Реестр_План_Факт!O189</f>
        <v/>
      </c>
      <c r="P189">
        <f>Реестр_План_Факт!P189</f>
        <v>0</v>
      </c>
      <c r="Q189">
        <f>Реестр_План_Факт!Q189</f>
        <v>0</v>
      </c>
      <c r="R189" t="str">
        <f>Реестр_План_Факт!R189</f>
        <v/>
      </c>
      <c r="S189">
        <f>Реестр_План_Факт!S189</f>
        <v>0</v>
      </c>
      <c r="T189">
        <f>Реестр_План_Факт!T189</f>
        <v>0</v>
      </c>
      <c r="U189" t="str">
        <f>Реестр_План_Факт!U189</f>
        <v/>
      </c>
      <c r="V189">
        <f>Реестр_План_Факт!V189</f>
        <v>0</v>
      </c>
      <c r="W189">
        <f>Реестр_План_Факт!W189</f>
        <v>0</v>
      </c>
      <c r="X189" t="str">
        <f>Реестр_План_Факт!X189</f>
        <v/>
      </c>
      <c r="Y189">
        <f>Реестр_План_Факт!Y189</f>
        <v>0</v>
      </c>
      <c r="Z189">
        <f>Реестр_План_Факт!Z189</f>
        <v>0</v>
      </c>
      <c r="AA189" t="str">
        <f>Реестр_План_Факт!AA189</f>
        <v/>
      </c>
      <c r="AB189">
        <f>Реестр_План_Факт!AB189</f>
        <v>0</v>
      </c>
      <c r="AC189">
        <f>Реестр_План_Факт!AC189</f>
        <v>0</v>
      </c>
      <c r="AD189" t="str">
        <f>Реестр_План_Факт!AD189</f>
        <v/>
      </c>
      <c r="AE189">
        <f>Реестр_План_Факт!AE189</f>
        <v>0</v>
      </c>
      <c r="AF189">
        <f>Реестр_План_Факт!AF189</f>
        <v>0</v>
      </c>
      <c r="AG189" t="str">
        <f>Реестр_План_Факт!AG189</f>
        <v/>
      </c>
      <c r="AH189">
        <f>Реестр_План_Факт!AH189</f>
        <v>0</v>
      </c>
      <c r="AI189">
        <f>Реестр_План_Факт!AI189</f>
        <v>0</v>
      </c>
      <c r="AJ189" t="str">
        <f>Реестр_План_Факт!AJ189</f>
        <v/>
      </c>
      <c r="AK189">
        <f>Реестр_План_Факт!AK189</f>
        <v>0</v>
      </c>
      <c r="AL189">
        <f>Реестр_План_Факт!AL189</f>
        <v>0</v>
      </c>
      <c r="AM189" t="str">
        <f>Реестр_План_Факт!AM189</f>
        <v/>
      </c>
      <c r="AN189">
        <f>Реестр_План_Факт!AN189</f>
        <v>0</v>
      </c>
      <c r="AO189">
        <f>Реестр_План_Факт!AO189</f>
        <v>0</v>
      </c>
      <c r="AP189" t="str">
        <f>Реестр_План_Факт!AP189</f>
        <v/>
      </c>
      <c r="AQ189">
        <f>Реестр_План_Факт!AQ189</f>
        <v>0</v>
      </c>
    </row>
    <row r="190" spans="1:43" x14ac:dyDescent="0.2">
      <c r="A190" s="201">
        <f>Реестр_План_Факт!A190</f>
        <v>46211</v>
      </c>
      <c r="B190">
        <f>Реестр_План_Факт!B190</f>
        <v>28</v>
      </c>
      <c r="C190">
        <f>Реестр_План_Факт!C190</f>
        <v>7</v>
      </c>
      <c r="D190">
        <f>Реестр_План_Факт!D190</f>
        <v>0</v>
      </c>
      <c r="E190">
        <f>Реестр_План_Факт!E190</f>
        <v>0</v>
      </c>
      <c r="F190" t="str">
        <f>Реестр_План_Факт!F190</f>
        <v/>
      </c>
      <c r="G190">
        <f>Реестр_План_Факт!G190</f>
        <v>0</v>
      </c>
      <c r="H190">
        <f>Реестр_План_Факт!H190</f>
        <v>0</v>
      </c>
      <c r="I190" t="str">
        <f>Реестр_План_Факт!I190</f>
        <v/>
      </c>
      <c r="J190">
        <f>Реестр_План_Факт!J190</f>
        <v>0</v>
      </c>
      <c r="K190">
        <f>Реестр_План_Факт!K190</f>
        <v>0</v>
      </c>
      <c r="L190" t="str">
        <f>Реестр_План_Факт!L190</f>
        <v/>
      </c>
      <c r="M190">
        <f>Реестр_План_Факт!M190</f>
        <v>0</v>
      </c>
      <c r="N190">
        <f>Реестр_План_Факт!N190</f>
        <v>0</v>
      </c>
      <c r="O190" t="str">
        <f>Реестр_План_Факт!O190</f>
        <v/>
      </c>
      <c r="P190">
        <f>Реестр_План_Факт!P190</f>
        <v>0</v>
      </c>
      <c r="Q190">
        <f>Реестр_План_Факт!Q190</f>
        <v>0</v>
      </c>
      <c r="R190" t="str">
        <f>Реестр_План_Факт!R190</f>
        <v/>
      </c>
      <c r="S190">
        <f>Реестр_План_Факт!S190</f>
        <v>0</v>
      </c>
      <c r="T190">
        <f>Реестр_План_Факт!T190</f>
        <v>0</v>
      </c>
      <c r="U190" t="str">
        <f>Реестр_План_Факт!U190</f>
        <v/>
      </c>
      <c r="V190">
        <f>Реестр_План_Факт!V190</f>
        <v>0</v>
      </c>
      <c r="W190">
        <f>Реестр_План_Факт!W190</f>
        <v>0</v>
      </c>
      <c r="X190" t="str">
        <f>Реестр_План_Факт!X190</f>
        <v/>
      </c>
      <c r="Y190">
        <f>Реестр_План_Факт!Y190</f>
        <v>0</v>
      </c>
      <c r="Z190">
        <f>Реестр_План_Факт!Z190</f>
        <v>0</v>
      </c>
      <c r="AA190" t="str">
        <f>Реестр_План_Факт!AA190</f>
        <v/>
      </c>
      <c r="AB190">
        <f>Реестр_План_Факт!AB190</f>
        <v>0</v>
      </c>
      <c r="AC190">
        <f>Реестр_План_Факт!AC190</f>
        <v>0</v>
      </c>
      <c r="AD190" t="str">
        <f>Реестр_План_Факт!AD190</f>
        <v/>
      </c>
      <c r="AE190">
        <f>Реестр_План_Факт!AE190</f>
        <v>0</v>
      </c>
      <c r="AF190">
        <f>Реестр_План_Факт!AF190</f>
        <v>0</v>
      </c>
      <c r="AG190" t="str">
        <f>Реестр_План_Факт!AG190</f>
        <v/>
      </c>
      <c r="AH190">
        <f>Реестр_План_Факт!AH190</f>
        <v>0</v>
      </c>
      <c r="AI190">
        <f>Реестр_План_Факт!AI190</f>
        <v>0</v>
      </c>
      <c r="AJ190" t="str">
        <f>Реестр_План_Факт!AJ190</f>
        <v/>
      </c>
      <c r="AK190">
        <f>Реестр_План_Факт!AK190</f>
        <v>0</v>
      </c>
      <c r="AL190">
        <f>Реестр_План_Факт!AL190</f>
        <v>0</v>
      </c>
      <c r="AM190" t="str">
        <f>Реестр_План_Факт!AM190</f>
        <v/>
      </c>
      <c r="AN190">
        <f>Реестр_План_Факт!AN190</f>
        <v>0</v>
      </c>
      <c r="AO190">
        <f>Реестр_План_Факт!AO190</f>
        <v>0</v>
      </c>
      <c r="AP190" t="str">
        <f>Реестр_План_Факт!AP190</f>
        <v/>
      </c>
      <c r="AQ190">
        <f>Реестр_План_Факт!AQ190</f>
        <v>0</v>
      </c>
    </row>
    <row r="191" spans="1:43" x14ac:dyDescent="0.2">
      <c r="A191" s="201">
        <f>Реестр_План_Факт!A191</f>
        <v>46212</v>
      </c>
      <c r="B191">
        <f>Реестр_План_Факт!B191</f>
        <v>28</v>
      </c>
      <c r="C191">
        <f>Реестр_План_Факт!C191</f>
        <v>7</v>
      </c>
      <c r="D191">
        <f>Реестр_План_Факт!D191</f>
        <v>0</v>
      </c>
      <c r="E191">
        <f>Реестр_План_Факт!E191</f>
        <v>0</v>
      </c>
      <c r="F191" t="str">
        <f>Реестр_План_Факт!F191</f>
        <v/>
      </c>
      <c r="G191">
        <f>Реестр_План_Факт!G191</f>
        <v>0</v>
      </c>
      <c r="H191">
        <f>Реестр_План_Факт!H191</f>
        <v>0</v>
      </c>
      <c r="I191" t="str">
        <f>Реестр_План_Факт!I191</f>
        <v/>
      </c>
      <c r="J191">
        <f>Реестр_План_Факт!J191</f>
        <v>0</v>
      </c>
      <c r="K191">
        <f>Реестр_План_Факт!K191</f>
        <v>0</v>
      </c>
      <c r="L191" t="str">
        <f>Реестр_План_Факт!L191</f>
        <v/>
      </c>
      <c r="M191">
        <f>Реестр_План_Факт!M191</f>
        <v>0</v>
      </c>
      <c r="N191">
        <f>Реестр_План_Факт!N191</f>
        <v>0</v>
      </c>
      <c r="O191" t="str">
        <f>Реестр_План_Факт!O191</f>
        <v/>
      </c>
      <c r="P191">
        <f>Реестр_План_Факт!P191</f>
        <v>0</v>
      </c>
      <c r="Q191">
        <f>Реестр_План_Факт!Q191</f>
        <v>0</v>
      </c>
      <c r="R191" t="str">
        <f>Реестр_План_Факт!R191</f>
        <v/>
      </c>
      <c r="S191">
        <f>Реестр_План_Факт!S191</f>
        <v>0</v>
      </c>
      <c r="T191">
        <f>Реестр_План_Факт!T191</f>
        <v>0</v>
      </c>
      <c r="U191" t="str">
        <f>Реестр_План_Факт!U191</f>
        <v/>
      </c>
      <c r="V191">
        <f>Реестр_План_Факт!V191</f>
        <v>0</v>
      </c>
      <c r="W191">
        <f>Реестр_План_Факт!W191</f>
        <v>0</v>
      </c>
      <c r="X191" t="str">
        <f>Реестр_План_Факт!X191</f>
        <v/>
      </c>
      <c r="Y191">
        <f>Реестр_План_Факт!Y191</f>
        <v>0</v>
      </c>
      <c r="Z191">
        <f>Реестр_План_Факт!Z191</f>
        <v>0</v>
      </c>
      <c r="AA191" t="str">
        <f>Реестр_План_Факт!AA191</f>
        <v/>
      </c>
      <c r="AB191">
        <f>Реестр_План_Факт!AB191</f>
        <v>0</v>
      </c>
      <c r="AC191">
        <f>Реестр_План_Факт!AC191</f>
        <v>0</v>
      </c>
      <c r="AD191" t="str">
        <f>Реестр_План_Факт!AD191</f>
        <v/>
      </c>
      <c r="AE191">
        <f>Реестр_План_Факт!AE191</f>
        <v>0</v>
      </c>
      <c r="AF191">
        <f>Реестр_План_Факт!AF191</f>
        <v>0</v>
      </c>
      <c r="AG191" t="str">
        <f>Реестр_План_Факт!AG191</f>
        <v/>
      </c>
      <c r="AH191">
        <f>Реестр_План_Факт!AH191</f>
        <v>0</v>
      </c>
      <c r="AI191">
        <f>Реестр_План_Факт!AI191</f>
        <v>0</v>
      </c>
      <c r="AJ191" t="str">
        <f>Реестр_План_Факт!AJ191</f>
        <v/>
      </c>
      <c r="AK191">
        <f>Реестр_План_Факт!AK191</f>
        <v>0</v>
      </c>
      <c r="AL191">
        <f>Реестр_План_Факт!AL191</f>
        <v>0</v>
      </c>
      <c r="AM191" t="str">
        <f>Реестр_План_Факт!AM191</f>
        <v/>
      </c>
      <c r="AN191">
        <f>Реестр_План_Факт!AN191</f>
        <v>0</v>
      </c>
      <c r="AO191">
        <f>Реестр_План_Факт!AO191</f>
        <v>0</v>
      </c>
      <c r="AP191" t="str">
        <f>Реестр_План_Факт!AP191</f>
        <v/>
      </c>
      <c r="AQ191">
        <f>Реестр_План_Факт!AQ191</f>
        <v>0</v>
      </c>
    </row>
    <row r="192" spans="1:43" x14ac:dyDescent="0.2">
      <c r="A192" s="201">
        <f>Реестр_План_Факт!A192</f>
        <v>46213</v>
      </c>
      <c r="B192">
        <f>Реестр_План_Факт!B192</f>
        <v>28</v>
      </c>
      <c r="C192">
        <f>Реестр_План_Факт!C192</f>
        <v>7</v>
      </c>
      <c r="D192">
        <f>Реестр_План_Факт!D192</f>
        <v>0</v>
      </c>
      <c r="E192">
        <f>Реестр_План_Факт!E192</f>
        <v>0</v>
      </c>
      <c r="F192" t="str">
        <f>Реестр_План_Факт!F192</f>
        <v/>
      </c>
      <c r="G192">
        <f>Реестр_План_Факт!G192</f>
        <v>0</v>
      </c>
      <c r="H192">
        <f>Реестр_План_Факт!H192</f>
        <v>0</v>
      </c>
      <c r="I192" t="str">
        <f>Реестр_План_Факт!I192</f>
        <v/>
      </c>
      <c r="J192">
        <f>Реестр_План_Факт!J192</f>
        <v>0</v>
      </c>
      <c r="K192">
        <f>Реестр_План_Факт!K192</f>
        <v>0</v>
      </c>
      <c r="L192" t="str">
        <f>Реестр_План_Факт!L192</f>
        <v/>
      </c>
      <c r="M192">
        <f>Реестр_План_Факт!M192</f>
        <v>0</v>
      </c>
      <c r="N192">
        <f>Реестр_План_Факт!N192</f>
        <v>0</v>
      </c>
      <c r="O192" t="str">
        <f>Реестр_План_Факт!O192</f>
        <v/>
      </c>
      <c r="P192">
        <f>Реестр_План_Факт!P192</f>
        <v>0</v>
      </c>
      <c r="Q192">
        <f>Реестр_План_Факт!Q192</f>
        <v>0</v>
      </c>
      <c r="R192" t="str">
        <f>Реестр_План_Факт!R192</f>
        <v/>
      </c>
      <c r="S192">
        <f>Реестр_План_Факт!S192</f>
        <v>0</v>
      </c>
      <c r="T192">
        <f>Реестр_План_Факт!T192</f>
        <v>0</v>
      </c>
      <c r="U192" t="str">
        <f>Реестр_План_Факт!U192</f>
        <v/>
      </c>
      <c r="V192">
        <f>Реестр_План_Факт!V192</f>
        <v>0</v>
      </c>
      <c r="W192">
        <f>Реестр_План_Факт!W192</f>
        <v>0</v>
      </c>
      <c r="X192" t="str">
        <f>Реестр_План_Факт!X192</f>
        <v/>
      </c>
      <c r="Y192">
        <f>Реестр_План_Факт!Y192</f>
        <v>0</v>
      </c>
      <c r="Z192">
        <f>Реестр_План_Факт!Z192</f>
        <v>0</v>
      </c>
      <c r="AA192" t="str">
        <f>Реестр_План_Факт!AA192</f>
        <v/>
      </c>
      <c r="AB192">
        <f>Реестр_План_Факт!AB192</f>
        <v>0</v>
      </c>
      <c r="AC192">
        <f>Реестр_План_Факт!AC192</f>
        <v>0</v>
      </c>
      <c r="AD192" t="str">
        <f>Реестр_План_Факт!AD192</f>
        <v/>
      </c>
      <c r="AE192">
        <f>Реестр_План_Факт!AE192</f>
        <v>0</v>
      </c>
      <c r="AF192">
        <f>Реестр_План_Факт!AF192</f>
        <v>0</v>
      </c>
      <c r="AG192" t="str">
        <f>Реестр_План_Факт!AG192</f>
        <v/>
      </c>
      <c r="AH192">
        <f>Реестр_План_Факт!AH192</f>
        <v>0</v>
      </c>
      <c r="AI192">
        <f>Реестр_План_Факт!AI192</f>
        <v>0</v>
      </c>
      <c r="AJ192" t="str">
        <f>Реестр_План_Факт!AJ192</f>
        <v/>
      </c>
      <c r="AK192">
        <f>Реестр_План_Факт!AK192</f>
        <v>0</v>
      </c>
      <c r="AL192">
        <f>Реестр_План_Факт!AL192</f>
        <v>0</v>
      </c>
      <c r="AM192" t="str">
        <f>Реестр_План_Факт!AM192</f>
        <v/>
      </c>
      <c r="AN192">
        <f>Реестр_План_Факт!AN192</f>
        <v>0</v>
      </c>
      <c r="AO192">
        <f>Реестр_План_Факт!AO192</f>
        <v>0</v>
      </c>
      <c r="AP192" t="str">
        <f>Реестр_План_Факт!AP192</f>
        <v/>
      </c>
      <c r="AQ192">
        <f>Реестр_План_Факт!AQ192</f>
        <v>0</v>
      </c>
    </row>
    <row r="193" spans="1:43" x14ac:dyDescent="0.2">
      <c r="A193" s="201">
        <f>Реестр_План_Факт!A193</f>
        <v>46214</v>
      </c>
      <c r="B193">
        <f>Реестр_План_Факт!B193</f>
        <v>28</v>
      </c>
      <c r="C193">
        <f>Реестр_План_Факт!C193</f>
        <v>7</v>
      </c>
      <c r="D193">
        <f>Реестр_План_Факт!D193</f>
        <v>0</v>
      </c>
      <c r="E193">
        <f>Реестр_План_Факт!E193</f>
        <v>0</v>
      </c>
      <c r="F193" t="str">
        <f>Реестр_План_Факт!F193</f>
        <v/>
      </c>
      <c r="G193">
        <f>Реестр_План_Факт!G193</f>
        <v>0</v>
      </c>
      <c r="H193">
        <f>Реестр_План_Факт!H193</f>
        <v>0</v>
      </c>
      <c r="I193" t="str">
        <f>Реестр_План_Факт!I193</f>
        <v/>
      </c>
      <c r="J193">
        <f>Реестр_План_Факт!J193</f>
        <v>0</v>
      </c>
      <c r="K193">
        <f>Реестр_План_Факт!K193</f>
        <v>0</v>
      </c>
      <c r="L193" t="str">
        <f>Реестр_План_Факт!L193</f>
        <v/>
      </c>
      <c r="M193">
        <f>Реестр_План_Факт!M193</f>
        <v>0</v>
      </c>
      <c r="N193">
        <f>Реестр_План_Факт!N193</f>
        <v>0</v>
      </c>
      <c r="O193" t="str">
        <f>Реестр_План_Факт!O193</f>
        <v/>
      </c>
      <c r="P193">
        <f>Реестр_План_Факт!P193</f>
        <v>0</v>
      </c>
      <c r="Q193">
        <f>Реестр_План_Факт!Q193</f>
        <v>0</v>
      </c>
      <c r="R193" t="str">
        <f>Реестр_План_Факт!R193</f>
        <v/>
      </c>
      <c r="S193">
        <f>Реестр_План_Факт!S193</f>
        <v>0</v>
      </c>
      <c r="T193">
        <f>Реестр_План_Факт!T193</f>
        <v>0</v>
      </c>
      <c r="U193" t="str">
        <f>Реестр_План_Факт!U193</f>
        <v/>
      </c>
      <c r="V193">
        <f>Реестр_План_Факт!V193</f>
        <v>0</v>
      </c>
      <c r="W193">
        <f>Реестр_План_Факт!W193</f>
        <v>0</v>
      </c>
      <c r="X193" t="str">
        <f>Реестр_План_Факт!X193</f>
        <v/>
      </c>
      <c r="Y193">
        <f>Реестр_План_Факт!Y193</f>
        <v>0</v>
      </c>
      <c r="Z193">
        <f>Реестр_План_Факт!Z193</f>
        <v>0</v>
      </c>
      <c r="AA193" t="str">
        <f>Реестр_План_Факт!AA193</f>
        <v/>
      </c>
      <c r="AB193">
        <f>Реестр_План_Факт!AB193</f>
        <v>0</v>
      </c>
      <c r="AC193">
        <f>Реестр_План_Факт!AC193</f>
        <v>0</v>
      </c>
      <c r="AD193" t="str">
        <f>Реестр_План_Факт!AD193</f>
        <v/>
      </c>
      <c r="AE193">
        <f>Реестр_План_Факт!AE193</f>
        <v>0</v>
      </c>
      <c r="AF193">
        <f>Реестр_План_Факт!AF193</f>
        <v>0</v>
      </c>
      <c r="AG193" t="str">
        <f>Реестр_План_Факт!AG193</f>
        <v/>
      </c>
      <c r="AH193">
        <f>Реестр_План_Факт!AH193</f>
        <v>0</v>
      </c>
      <c r="AI193">
        <f>Реестр_План_Факт!AI193</f>
        <v>0</v>
      </c>
      <c r="AJ193" t="str">
        <f>Реестр_План_Факт!AJ193</f>
        <v/>
      </c>
      <c r="AK193">
        <f>Реестр_План_Факт!AK193</f>
        <v>0</v>
      </c>
      <c r="AL193">
        <f>Реестр_План_Факт!AL193</f>
        <v>0</v>
      </c>
      <c r="AM193" t="str">
        <f>Реестр_План_Факт!AM193</f>
        <v/>
      </c>
      <c r="AN193">
        <f>Реестр_План_Факт!AN193</f>
        <v>0</v>
      </c>
      <c r="AO193">
        <f>Реестр_План_Факт!AO193</f>
        <v>0</v>
      </c>
      <c r="AP193" t="str">
        <f>Реестр_План_Факт!AP193</f>
        <v/>
      </c>
      <c r="AQ193">
        <f>Реестр_План_Факт!AQ193</f>
        <v>0</v>
      </c>
    </row>
    <row r="194" spans="1:43" x14ac:dyDescent="0.2">
      <c r="A194" s="201">
        <f>Реестр_План_Факт!A194</f>
        <v>46215</v>
      </c>
      <c r="B194">
        <f>Реестр_План_Факт!B194</f>
        <v>28</v>
      </c>
      <c r="C194">
        <f>Реестр_План_Факт!C194</f>
        <v>7</v>
      </c>
      <c r="D194">
        <f>Реестр_План_Факт!D194</f>
        <v>0</v>
      </c>
      <c r="E194">
        <f>Реестр_План_Факт!E194</f>
        <v>0</v>
      </c>
      <c r="F194" t="str">
        <f>Реестр_План_Факт!F194</f>
        <v/>
      </c>
      <c r="G194">
        <f>Реестр_План_Факт!G194</f>
        <v>0</v>
      </c>
      <c r="H194">
        <f>Реестр_План_Факт!H194</f>
        <v>0</v>
      </c>
      <c r="I194" t="str">
        <f>Реестр_План_Факт!I194</f>
        <v/>
      </c>
      <c r="J194">
        <f>Реестр_План_Факт!J194</f>
        <v>0</v>
      </c>
      <c r="K194">
        <f>Реестр_План_Факт!K194</f>
        <v>0</v>
      </c>
      <c r="L194" t="str">
        <f>Реестр_План_Факт!L194</f>
        <v/>
      </c>
      <c r="M194">
        <f>Реестр_План_Факт!M194</f>
        <v>0</v>
      </c>
      <c r="N194">
        <f>Реестр_План_Факт!N194</f>
        <v>0</v>
      </c>
      <c r="O194" t="str">
        <f>Реестр_План_Факт!O194</f>
        <v/>
      </c>
      <c r="P194">
        <f>Реестр_План_Факт!P194</f>
        <v>0</v>
      </c>
      <c r="Q194">
        <f>Реестр_План_Факт!Q194</f>
        <v>0</v>
      </c>
      <c r="R194" t="str">
        <f>Реестр_План_Факт!R194</f>
        <v/>
      </c>
      <c r="S194">
        <f>Реестр_План_Факт!S194</f>
        <v>0</v>
      </c>
      <c r="T194">
        <f>Реестр_План_Факт!T194</f>
        <v>0</v>
      </c>
      <c r="U194" t="str">
        <f>Реестр_План_Факт!U194</f>
        <v/>
      </c>
      <c r="V194">
        <f>Реестр_План_Факт!V194</f>
        <v>0</v>
      </c>
      <c r="W194">
        <f>Реестр_План_Факт!W194</f>
        <v>0</v>
      </c>
      <c r="X194" t="str">
        <f>Реестр_План_Факт!X194</f>
        <v/>
      </c>
      <c r="Y194">
        <f>Реестр_План_Факт!Y194</f>
        <v>0</v>
      </c>
      <c r="Z194">
        <f>Реестр_План_Факт!Z194</f>
        <v>0</v>
      </c>
      <c r="AA194" t="str">
        <f>Реестр_План_Факт!AA194</f>
        <v/>
      </c>
      <c r="AB194">
        <f>Реестр_План_Факт!AB194</f>
        <v>0</v>
      </c>
      <c r="AC194">
        <f>Реестр_План_Факт!AC194</f>
        <v>0</v>
      </c>
      <c r="AD194" t="str">
        <f>Реестр_План_Факт!AD194</f>
        <v/>
      </c>
      <c r="AE194">
        <f>Реестр_План_Факт!AE194</f>
        <v>0</v>
      </c>
      <c r="AF194">
        <f>Реестр_План_Факт!AF194</f>
        <v>0</v>
      </c>
      <c r="AG194" t="str">
        <f>Реестр_План_Факт!AG194</f>
        <v/>
      </c>
      <c r="AH194">
        <f>Реестр_План_Факт!AH194</f>
        <v>0</v>
      </c>
      <c r="AI194">
        <f>Реестр_План_Факт!AI194</f>
        <v>0</v>
      </c>
      <c r="AJ194" t="str">
        <f>Реестр_План_Факт!AJ194</f>
        <v/>
      </c>
      <c r="AK194">
        <f>Реестр_План_Факт!AK194</f>
        <v>0</v>
      </c>
      <c r="AL194">
        <f>Реестр_План_Факт!AL194</f>
        <v>0</v>
      </c>
      <c r="AM194" t="str">
        <f>Реестр_План_Факт!AM194</f>
        <v/>
      </c>
      <c r="AN194">
        <f>Реестр_План_Факт!AN194</f>
        <v>0</v>
      </c>
      <c r="AO194">
        <f>Реестр_План_Факт!AO194</f>
        <v>0</v>
      </c>
      <c r="AP194" t="str">
        <f>Реестр_План_Факт!AP194</f>
        <v/>
      </c>
      <c r="AQ194">
        <f>Реестр_План_Факт!AQ194</f>
        <v>0</v>
      </c>
    </row>
    <row r="195" spans="1:43" x14ac:dyDescent="0.2">
      <c r="A195" s="201">
        <f>Реестр_План_Факт!A195</f>
        <v>46216</v>
      </c>
      <c r="B195">
        <f>Реестр_План_Факт!B195</f>
        <v>29</v>
      </c>
      <c r="C195">
        <f>Реестр_План_Факт!C195</f>
        <v>7</v>
      </c>
      <c r="D195">
        <f>Реестр_План_Факт!D195</f>
        <v>0</v>
      </c>
      <c r="E195">
        <f>Реестр_План_Факт!E195</f>
        <v>0</v>
      </c>
      <c r="F195" t="str">
        <f>Реестр_План_Факт!F195</f>
        <v/>
      </c>
      <c r="G195">
        <f>Реестр_План_Факт!G195</f>
        <v>0</v>
      </c>
      <c r="H195">
        <f>Реестр_План_Факт!H195</f>
        <v>0</v>
      </c>
      <c r="I195" t="str">
        <f>Реестр_План_Факт!I195</f>
        <v/>
      </c>
      <c r="J195">
        <f>Реестр_План_Факт!J195</f>
        <v>0</v>
      </c>
      <c r="K195">
        <f>Реестр_План_Факт!K195</f>
        <v>0</v>
      </c>
      <c r="L195" t="str">
        <f>Реестр_План_Факт!L195</f>
        <v/>
      </c>
      <c r="M195">
        <f>Реестр_План_Факт!M195</f>
        <v>0</v>
      </c>
      <c r="N195">
        <f>Реестр_План_Факт!N195</f>
        <v>0</v>
      </c>
      <c r="O195" t="str">
        <f>Реестр_План_Факт!O195</f>
        <v/>
      </c>
      <c r="P195">
        <f>Реестр_План_Факт!P195</f>
        <v>0</v>
      </c>
      <c r="Q195">
        <f>Реестр_План_Факт!Q195</f>
        <v>0</v>
      </c>
      <c r="R195" t="str">
        <f>Реестр_План_Факт!R195</f>
        <v/>
      </c>
      <c r="S195">
        <f>Реестр_План_Факт!S195</f>
        <v>0</v>
      </c>
      <c r="T195">
        <f>Реестр_План_Факт!T195</f>
        <v>0</v>
      </c>
      <c r="U195" t="str">
        <f>Реестр_План_Факт!U195</f>
        <v/>
      </c>
      <c r="V195">
        <f>Реестр_План_Факт!V195</f>
        <v>0</v>
      </c>
      <c r="W195">
        <f>Реестр_План_Факт!W195</f>
        <v>0</v>
      </c>
      <c r="X195" t="str">
        <f>Реестр_План_Факт!X195</f>
        <v/>
      </c>
      <c r="Y195">
        <f>Реестр_План_Факт!Y195</f>
        <v>0</v>
      </c>
      <c r="Z195">
        <f>Реестр_План_Факт!Z195</f>
        <v>0</v>
      </c>
      <c r="AA195" t="str">
        <f>Реестр_План_Факт!AA195</f>
        <v/>
      </c>
      <c r="AB195">
        <f>Реестр_План_Факт!AB195</f>
        <v>0</v>
      </c>
      <c r="AC195">
        <f>Реестр_План_Факт!AC195</f>
        <v>0</v>
      </c>
      <c r="AD195" t="str">
        <f>Реестр_План_Факт!AD195</f>
        <v/>
      </c>
      <c r="AE195">
        <f>Реестр_План_Факт!AE195</f>
        <v>0</v>
      </c>
      <c r="AF195">
        <f>Реестр_План_Факт!AF195</f>
        <v>0</v>
      </c>
      <c r="AG195" t="str">
        <f>Реестр_План_Факт!AG195</f>
        <v/>
      </c>
      <c r="AH195">
        <f>Реестр_План_Факт!AH195</f>
        <v>0</v>
      </c>
      <c r="AI195">
        <f>Реестр_План_Факт!AI195</f>
        <v>0</v>
      </c>
      <c r="AJ195" t="str">
        <f>Реестр_План_Факт!AJ195</f>
        <v/>
      </c>
      <c r="AK195">
        <f>Реестр_План_Факт!AK195</f>
        <v>0</v>
      </c>
      <c r="AL195">
        <f>Реестр_План_Факт!AL195</f>
        <v>0</v>
      </c>
      <c r="AM195" t="str">
        <f>Реестр_План_Факт!AM195</f>
        <v/>
      </c>
      <c r="AN195">
        <f>Реестр_План_Факт!AN195</f>
        <v>0</v>
      </c>
      <c r="AO195">
        <f>Реестр_План_Факт!AO195</f>
        <v>0</v>
      </c>
      <c r="AP195" t="str">
        <f>Реестр_План_Факт!AP195</f>
        <v/>
      </c>
      <c r="AQ195">
        <f>Реестр_План_Факт!AQ195</f>
        <v>0</v>
      </c>
    </row>
    <row r="196" spans="1:43" x14ac:dyDescent="0.2">
      <c r="A196" s="201">
        <f>Реестр_План_Факт!A196</f>
        <v>46217</v>
      </c>
      <c r="B196">
        <f>Реестр_План_Факт!B196</f>
        <v>29</v>
      </c>
      <c r="C196">
        <f>Реестр_План_Факт!C196</f>
        <v>7</v>
      </c>
      <c r="D196">
        <f>Реестр_План_Факт!D196</f>
        <v>0</v>
      </c>
      <c r="E196">
        <f>Реестр_План_Факт!E196</f>
        <v>0</v>
      </c>
      <c r="F196" t="str">
        <f>Реестр_План_Факт!F196</f>
        <v/>
      </c>
      <c r="G196">
        <f>Реестр_План_Факт!G196</f>
        <v>0</v>
      </c>
      <c r="H196">
        <f>Реестр_План_Факт!H196</f>
        <v>0</v>
      </c>
      <c r="I196" t="str">
        <f>Реестр_План_Факт!I196</f>
        <v/>
      </c>
      <c r="J196">
        <f>Реестр_План_Факт!J196</f>
        <v>0</v>
      </c>
      <c r="K196">
        <f>Реестр_План_Факт!K196</f>
        <v>0</v>
      </c>
      <c r="L196" t="str">
        <f>Реестр_План_Факт!L196</f>
        <v/>
      </c>
      <c r="M196">
        <f>Реестр_План_Факт!M196</f>
        <v>0</v>
      </c>
      <c r="N196">
        <f>Реестр_План_Факт!N196</f>
        <v>0</v>
      </c>
      <c r="O196" t="str">
        <f>Реестр_План_Факт!O196</f>
        <v/>
      </c>
      <c r="P196">
        <f>Реестр_План_Факт!P196</f>
        <v>0</v>
      </c>
      <c r="Q196">
        <f>Реестр_План_Факт!Q196</f>
        <v>0</v>
      </c>
      <c r="R196" t="str">
        <f>Реестр_План_Факт!R196</f>
        <v/>
      </c>
      <c r="S196">
        <f>Реестр_План_Факт!S196</f>
        <v>0</v>
      </c>
      <c r="T196">
        <f>Реестр_План_Факт!T196</f>
        <v>0</v>
      </c>
      <c r="U196" t="str">
        <f>Реестр_План_Факт!U196</f>
        <v/>
      </c>
      <c r="V196">
        <f>Реестр_План_Факт!V196</f>
        <v>0</v>
      </c>
      <c r="W196">
        <f>Реестр_План_Факт!W196</f>
        <v>0</v>
      </c>
      <c r="X196" t="str">
        <f>Реестр_План_Факт!X196</f>
        <v/>
      </c>
      <c r="Y196">
        <f>Реестр_План_Факт!Y196</f>
        <v>0</v>
      </c>
      <c r="Z196">
        <f>Реестр_План_Факт!Z196</f>
        <v>0</v>
      </c>
      <c r="AA196" t="str">
        <f>Реестр_План_Факт!AA196</f>
        <v/>
      </c>
      <c r="AB196">
        <f>Реестр_План_Факт!AB196</f>
        <v>0</v>
      </c>
      <c r="AC196">
        <f>Реестр_План_Факт!AC196</f>
        <v>0</v>
      </c>
      <c r="AD196" t="str">
        <f>Реестр_План_Факт!AD196</f>
        <v/>
      </c>
      <c r="AE196">
        <f>Реестр_План_Факт!AE196</f>
        <v>0</v>
      </c>
      <c r="AF196">
        <f>Реестр_План_Факт!AF196</f>
        <v>0</v>
      </c>
      <c r="AG196" t="str">
        <f>Реестр_План_Факт!AG196</f>
        <v/>
      </c>
      <c r="AH196">
        <f>Реестр_План_Факт!AH196</f>
        <v>0</v>
      </c>
      <c r="AI196">
        <f>Реестр_План_Факт!AI196</f>
        <v>0</v>
      </c>
      <c r="AJ196" t="str">
        <f>Реестр_План_Факт!AJ196</f>
        <v/>
      </c>
      <c r="AK196">
        <f>Реестр_План_Факт!AK196</f>
        <v>0</v>
      </c>
      <c r="AL196">
        <f>Реестр_План_Факт!AL196</f>
        <v>0</v>
      </c>
      <c r="AM196" t="str">
        <f>Реестр_План_Факт!AM196</f>
        <v/>
      </c>
      <c r="AN196">
        <f>Реестр_План_Факт!AN196</f>
        <v>0</v>
      </c>
      <c r="AO196">
        <f>Реестр_План_Факт!AO196</f>
        <v>0</v>
      </c>
      <c r="AP196" t="str">
        <f>Реестр_План_Факт!AP196</f>
        <v/>
      </c>
      <c r="AQ196">
        <f>Реестр_План_Факт!AQ196</f>
        <v>0</v>
      </c>
    </row>
    <row r="197" spans="1:43" x14ac:dyDescent="0.2">
      <c r="A197" s="201">
        <f>Реестр_План_Факт!A197</f>
        <v>46218</v>
      </c>
      <c r="B197">
        <f>Реестр_План_Факт!B197</f>
        <v>29</v>
      </c>
      <c r="C197">
        <f>Реестр_План_Факт!C197</f>
        <v>7</v>
      </c>
      <c r="D197">
        <f>Реестр_План_Факт!D197</f>
        <v>0</v>
      </c>
      <c r="E197">
        <f>Реестр_План_Факт!E197</f>
        <v>0</v>
      </c>
      <c r="F197" t="str">
        <f>Реестр_План_Факт!F197</f>
        <v/>
      </c>
      <c r="G197">
        <f>Реестр_План_Факт!G197</f>
        <v>0</v>
      </c>
      <c r="H197">
        <f>Реестр_План_Факт!H197</f>
        <v>0</v>
      </c>
      <c r="I197" t="str">
        <f>Реестр_План_Факт!I197</f>
        <v/>
      </c>
      <c r="J197">
        <f>Реестр_План_Факт!J197</f>
        <v>0</v>
      </c>
      <c r="K197">
        <f>Реестр_План_Факт!K197</f>
        <v>0</v>
      </c>
      <c r="L197" t="str">
        <f>Реестр_План_Факт!L197</f>
        <v/>
      </c>
      <c r="M197">
        <f>Реестр_План_Факт!M197</f>
        <v>0</v>
      </c>
      <c r="N197">
        <f>Реестр_План_Факт!N197</f>
        <v>0</v>
      </c>
      <c r="O197" t="str">
        <f>Реестр_План_Факт!O197</f>
        <v/>
      </c>
      <c r="P197">
        <f>Реестр_План_Факт!P197</f>
        <v>0</v>
      </c>
      <c r="Q197">
        <f>Реестр_План_Факт!Q197</f>
        <v>0</v>
      </c>
      <c r="R197" t="str">
        <f>Реестр_План_Факт!R197</f>
        <v/>
      </c>
      <c r="S197">
        <f>Реестр_План_Факт!S197</f>
        <v>0</v>
      </c>
      <c r="T197">
        <f>Реестр_План_Факт!T197</f>
        <v>0</v>
      </c>
      <c r="U197" t="str">
        <f>Реестр_План_Факт!U197</f>
        <v/>
      </c>
      <c r="V197">
        <f>Реестр_План_Факт!V197</f>
        <v>0</v>
      </c>
      <c r="W197">
        <f>Реестр_План_Факт!W197</f>
        <v>0</v>
      </c>
      <c r="X197" t="str">
        <f>Реестр_План_Факт!X197</f>
        <v/>
      </c>
      <c r="Y197">
        <f>Реестр_План_Факт!Y197</f>
        <v>0</v>
      </c>
      <c r="Z197">
        <f>Реестр_План_Факт!Z197</f>
        <v>0</v>
      </c>
      <c r="AA197" t="str">
        <f>Реестр_План_Факт!AA197</f>
        <v/>
      </c>
      <c r="AB197">
        <f>Реестр_План_Факт!AB197</f>
        <v>0</v>
      </c>
      <c r="AC197">
        <f>Реестр_План_Факт!AC197</f>
        <v>0</v>
      </c>
      <c r="AD197" t="str">
        <f>Реестр_План_Факт!AD197</f>
        <v/>
      </c>
      <c r="AE197">
        <f>Реестр_План_Факт!AE197</f>
        <v>0</v>
      </c>
      <c r="AF197">
        <f>Реестр_План_Факт!AF197</f>
        <v>0</v>
      </c>
      <c r="AG197" t="str">
        <f>Реестр_План_Факт!AG197</f>
        <v/>
      </c>
      <c r="AH197">
        <f>Реестр_План_Факт!AH197</f>
        <v>0</v>
      </c>
      <c r="AI197">
        <f>Реестр_План_Факт!AI197</f>
        <v>0</v>
      </c>
      <c r="AJ197" t="str">
        <f>Реестр_План_Факт!AJ197</f>
        <v/>
      </c>
      <c r="AK197">
        <f>Реестр_План_Факт!AK197</f>
        <v>0</v>
      </c>
      <c r="AL197">
        <f>Реестр_План_Факт!AL197</f>
        <v>0</v>
      </c>
      <c r="AM197" t="str">
        <f>Реестр_План_Факт!AM197</f>
        <v/>
      </c>
      <c r="AN197">
        <f>Реестр_План_Факт!AN197</f>
        <v>0</v>
      </c>
      <c r="AO197">
        <f>Реестр_План_Факт!AO197</f>
        <v>0</v>
      </c>
      <c r="AP197" t="str">
        <f>Реестр_План_Факт!AP197</f>
        <v/>
      </c>
      <c r="AQ197">
        <f>Реестр_План_Факт!AQ197</f>
        <v>0</v>
      </c>
    </row>
    <row r="198" spans="1:43" x14ac:dyDescent="0.2">
      <c r="A198" s="201">
        <f>Реестр_План_Факт!A198</f>
        <v>46219</v>
      </c>
      <c r="B198">
        <f>Реестр_План_Факт!B198</f>
        <v>29</v>
      </c>
      <c r="C198">
        <f>Реестр_План_Факт!C198</f>
        <v>7</v>
      </c>
      <c r="D198">
        <f>Реестр_План_Факт!D198</f>
        <v>0</v>
      </c>
      <c r="E198">
        <f>Реестр_План_Факт!E198</f>
        <v>0</v>
      </c>
      <c r="F198" t="str">
        <f>Реестр_План_Факт!F198</f>
        <v/>
      </c>
      <c r="G198">
        <f>Реестр_План_Факт!G198</f>
        <v>0</v>
      </c>
      <c r="H198">
        <f>Реестр_План_Факт!H198</f>
        <v>0</v>
      </c>
      <c r="I198" t="str">
        <f>Реестр_План_Факт!I198</f>
        <v/>
      </c>
      <c r="J198">
        <f>Реестр_План_Факт!J198</f>
        <v>0</v>
      </c>
      <c r="K198">
        <f>Реестр_План_Факт!K198</f>
        <v>0</v>
      </c>
      <c r="L198" t="str">
        <f>Реестр_План_Факт!L198</f>
        <v/>
      </c>
      <c r="M198">
        <f>Реестр_План_Факт!M198</f>
        <v>0</v>
      </c>
      <c r="N198">
        <f>Реестр_План_Факт!N198</f>
        <v>0</v>
      </c>
      <c r="O198" t="str">
        <f>Реестр_План_Факт!O198</f>
        <v/>
      </c>
      <c r="P198">
        <f>Реестр_План_Факт!P198</f>
        <v>0</v>
      </c>
      <c r="Q198">
        <f>Реестр_План_Факт!Q198</f>
        <v>0</v>
      </c>
      <c r="R198" t="str">
        <f>Реестр_План_Факт!R198</f>
        <v/>
      </c>
      <c r="S198">
        <f>Реестр_План_Факт!S198</f>
        <v>0</v>
      </c>
      <c r="T198">
        <f>Реестр_План_Факт!T198</f>
        <v>0</v>
      </c>
      <c r="U198" t="str">
        <f>Реестр_План_Факт!U198</f>
        <v/>
      </c>
      <c r="V198">
        <f>Реестр_План_Факт!V198</f>
        <v>0</v>
      </c>
      <c r="W198">
        <f>Реестр_План_Факт!W198</f>
        <v>0</v>
      </c>
      <c r="X198" t="str">
        <f>Реестр_План_Факт!X198</f>
        <v/>
      </c>
      <c r="Y198">
        <f>Реестр_План_Факт!Y198</f>
        <v>0</v>
      </c>
      <c r="Z198">
        <f>Реестр_План_Факт!Z198</f>
        <v>0</v>
      </c>
      <c r="AA198" t="str">
        <f>Реестр_План_Факт!AA198</f>
        <v/>
      </c>
      <c r="AB198">
        <f>Реестр_План_Факт!AB198</f>
        <v>0</v>
      </c>
      <c r="AC198">
        <f>Реестр_План_Факт!AC198</f>
        <v>0</v>
      </c>
      <c r="AD198" t="str">
        <f>Реестр_План_Факт!AD198</f>
        <v/>
      </c>
      <c r="AE198">
        <f>Реестр_План_Факт!AE198</f>
        <v>0</v>
      </c>
      <c r="AF198">
        <f>Реестр_План_Факт!AF198</f>
        <v>0</v>
      </c>
      <c r="AG198" t="str">
        <f>Реестр_План_Факт!AG198</f>
        <v/>
      </c>
      <c r="AH198">
        <f>Реестр_План_Факт!AH198</f>
        <v>0</v>
      </c>
      <c r="AI198">
        <f>Реестр_План_Факт!AI198</f>
        <v>0</v>
      </c>
      <c r="AJ198" t="str">
        <f>Реестр_План_Факт!AJ198</f>
        <v/>
      </c>
      <c r="AK198">
        <f>Реестр_План_Факт!AK198</f>
        <v>0</v>
      </c>
      <c r="AL198">
        <f>Реестр_План_Факт!AL198</f>
        <v>0</v>
      </c>
      <c r="AM198" t="str">
        <f>Реестр_План_Факт!AM198</f>
        <v/>
      </c>
      <c r="AN198">
        <f>Реестр_План_Факт!AN198</f>
        <v>0</v>
      </c>
      <c r="AO198">
        <f>Реестр_План_Факт!AO198</f>
        <v>0</v>
      </c>
      <c r="AP198" t="str">
        <f>Реестр_План_Факт!AP198</f>
        <v/>
      </c>
      <c r="AQ198">
        <f>Реестр_План_Факт!AQ198</f>
        <v>0</v>
      </c>
    </row>
    <row r="199" spans="1:43" x14ac:dyDescent="0.2">
      <c r="A199" s="201">
        <f>Реестр_План_Факт!A199</f>
        <v>46220</v>
      </c>
      <c r="B199">
        <f>Реестр_План_Факт!B199</f>
        <v>29</v>
      </c>
      <c r="C199">
        <f>Реестр_План_Факт!C199</f>
        <v>7</v>
      </c>
      <c r="D199">
        <f>Реестр_План_Факт!D199</f>
        <v>0</v>
      </c>
      <c r="E199">
        <f>Реестр_План_Факт!E199</f>
        <v>0</v>
      </c>
      <c r="F199" t="str">
        <f>Реестр_План_Факт!F199</f>
        <v/>
      </c>
      <c r="G199">
        <f>Реестр_План_Факт!G199</f>
        <v>0</v>
      </c>
      <c r="H199">
        <f>Реестр_План_Факт!H199</f>
        <v>0</v>
      </c>
      <c r="I199" t="str">
        <f>Реестр_План_Факт!I199</f>
        <v/>
      </c>
      <c r="J199">
        <f>Реестр_План_Факт!J199</f>
        <v>0</v>
      </c>
      <c r="K199">
        <f>Реестр_План_Факт!K199</f>
        <v>0</v>
      </c>
      <c r="L199" t="str">
        <f>Реестр_План_Факт!L199</f>
        <v/>
      </c>
      <c r="M199">
        <f>Реестр_План_Факт!M199</f>
        <v>0</v>
      </c>
      <c r="N199">
        <f>Реестр_План_Факт!N199</f>
        <v>0</v>
      </c>
      <c r="O199" t="str">
        <f>Реестр_План_Факт!O199</f>
        <v/>
      </c>
      <c r="P199">
        <f>Реестр_План_Факт!P199</f>
        <v>0</v>
      </c>
      <c r="Q199">
        <f>Реестр_План_Факт!Q199</f>
        <v>0</v>
      </c>
      <c r="R199" t="str">
        <f>Реестр_План_Факт!R199</f>
        <v/>
      </c>
      <c r="S199">
        <f>Реестр_План_Факт!S199</f>
        <v>0</v>
      </c>
      <c r="T199">
        <f>Реестр_План_Факт!T199</f>
        <v>0</v>
      </c>
      <c r="U199" t="str">
        <f>Реестр_План_Факт!U199</f>
        <v/>
      </c>
      <c r="V199">
        <f>Реестр_План_Факт!V199</f>
        <v>0</v>
      </c>
      <c r="W199">
        <f>Реестр_План_Факт!W199</f>
        <v>0</v>
      </c>
      <c r="X199" t="str">
        <f>Реестр_План_Факт!X199</f>
        <v/>
      </c>
      <c r="Y199">
        <f>Реестр_План_Факт!Y199</f>
        <v>0</v>
      </c>
      <c r="Z199">
        <f>Реестр_План_Факт!Z199</f>
        <v>0</v>
      </c>
      <c r="AA199" t="str">
        <f>Реестр_План_Факт!AA199</f>
        <v/>
      </c>
      <c r="AB199">
        <f>Реестр_План_Факт!AB199</f>
        <v>0</v>
      </c>
      <c r="AC199">
        <f>Реестр_План_Факт!AC199</f>
        <v>0</v>
      </c>
      <c r="AD199" t="str">
        <f>Реестр_План_Факт!AD199</f>
        <v/>
      </c>
      <c r="AE199">
        <f>Реестр_План_Факт!AE199</f>
        <v>0</v>
      </c>
      <c r="AF199">
        <f>Реестр_План_Факт!AF199</f>
        <v>0</v>
      </c>
      <c r="AG199" t="str">
        <f>Реестр_План_Факт!AG199</f>
        <v/>
      </c>
      <c r="AH199">
        <f>Реестр_План_Факт!AH199</f>
        <v>0</v>
      </c>
      <c r="AI199">
        <f>Реестр_План_Факт!AI199</f>
        <v>0</v>
      </c>
      <c r="AJ199" t="str">
        <f>Реестр_План_Факт!AJ199</f>
        <v/>
      </c>
      <c r="AK199">
        <f>Реестр_План_Факт!AK199</f>
        <v>0</v>
      </c>
      <c r="AL199">
        <f>Реестр_План_Факт!AL199</f>
        <v>0</v>
      </c>
      <c r="AM199" t="str">
        <f>Реестр_План_Факт!AM199</f>
        <v/>
      </c>
      <c r="AN199">
        <f>Реестр_План_Факт!AN199</f>
        <v>0</v>
      </c>
      <c r="AO199">
        <f>Реестр_План_Факт!AO199</f>
        <v>0</v>
      </c>
      <c r="AP199" t="str">
        <f>Реестр_План_Факт!AP199</f>
        <v/>
      </c>
      <c r="AQ199">
        <f>Реестр_План_Факт!AQ199</f>
        <v>0</v>
      </c>
    </row>
    <row r="200" spans="1:43" x14ac:dyDescent="0.2">
      <c r="A200" s="201">
        <f>Реестр_План_Факт!A200</f>
        <v>46221</v>
      </c>
      <c r="B200">
        <f>Реестр_План_Факт!B200</f>
        <v>29</v>
      </c>
      <c r="C200">
        <f>Реестр_План_Факт!C200</f>
        <v>7</v>
      </c>
      <c r="D200">
        <f>Реестр_План_Факт!D200</f>
        <v>0</v>
      </c>
      <c r="E200">
        <f>Реестр_План_Факт!E200</f>
        <v>0</v>
      </c>
      <c r="F200" t="str">
        <f>Реестр_План_Факт!F200</f>
        <v/>
      </c>
      <c r="G200">
        <f>Реестр_План_Факт!G200</f>
        <v>0</v>
      </c>
      <c r="H200">
        <f>Реестр_План_Факт!H200</f>
        <v>0</v>
      </c>
      <c r="I200" t="str">
        <f>Реестр_План_Факт!I200</f>
        <v/>
      </c>
      <c r="J200">
        <f>Реестр_План_Факт!J200</f>
        <v>0</v>
      </c>
      <c r="K200">
        <f>Реестр_План_Факт!K200</f>
        <v>0</v>
      </c>
      <c r="L200" t="str">
        <f>Реестр_План_Факт!L200</f>
        <v/>
      </c>
      <c r="M200">
        <f>Реестр_План_Факт!M200</f>
        <v>0</v>
      </c>
      <c r="N200">
        <f>Реестр_План_Факт!N200</f>
        <v>0</v>
      </c>
      <c r="O200" t="str">
        <f>Реестр_План_Факт!O200</f>
        <v/>
      </c>
      <c r="P200">
        <f>Реестр_План_Факт!P200</f>
        <v>0</v>
      </c>
      <c r="Q200">
        <f>Реестр_План_Факт!Q200</f>
        <v>0</v>
      </c>
      <c r="R200" t="str">
        <f>Реестр_План_Факт!R200</f>
        <v/>
      </c>
      <c r="S200">
        <f>Реестр_План_Факт!S200</f>
        <v>0</v>
      </c>
      <c r="T200">
        <f>Реестр_План_Факт!T200</f>
        <v>0</v>
      </c>
      <c r="U200" t="str">
        <f>Реестр_План_Факт!U200</f>
        <v/>
      </c>
      <c r="V200">
        <f>Реестр_План_Факт!V200</f>
        <v>0</v>
      </c>
      <c r="W200">
        <f>Реестр_План_Факт!W200</f>
        <v>0</v>
      </c>
      <c r="X200" t="str">
        <f>Реестр_План_Факт!X200</f>
        <v/>
      </c>
      <c r="Y200">
        <f>Реестр_План_Факт!Y200</f>
        <v>0</v>
      </c>
      <c r="Z200">
        <f>Реестр_План_Факт!Z200</f>
        <v>0</v>
      </c>
      <c r="AA200" t="str">
        <f>Реестр_План_Факт!AA200</f>
        <v/>
      </c>
      <c r="AB200">
        <f>Реестр_План_Факт!AB200</f>
        <v>0</v>
      </c>
      <c r="AC200">
        <f>Реестр_План_Факт!AC200</f>
        <v>0</v>
      </c>
      <c r="AD200" t="str">
        <f>Реестр_План_Факт!AD200</f>
        <v/>
      </c>
      <c r="AE200">
        <f>Реестр_План_Факт!AE200</f>
        <v>0</v>
      </c>
      <c r="AF200">
        <f>Реестр_План_Факт!AF200</f>
        <v>0</v>
      </c>
      <c r="AG200" t="str">
        <f>Реестр_План_Факт!AG200</f>
        <v/>
      </c>
      <c r="AH200">
        <f>Реестр_План_Факт!AH200</f>
        <v>0</v>
      </c>
      <c r="AI200">
        <f>Реестр_План_Факт!AI200</f>
        <v>0</v>
      </c>
      <c r="AJ200" t="str">
        <f>Реестр_План_Факт!AJ200</f>
        <v/>
      </c>
      <c r="AK200">
        <f>Реестр_План_Факт!AK200</f>
        <v>0</v>
      </c>
      <c r="AL200">
        <f>Реестр_План_Факт!AL200</f>
        <v>0</v>
      </c>
      <c r="AM200" t="str">
        <f>Реестр_План_Факт!AM200</f>
        <v/>
      </c>
      <c r="AN200">
        <f>Реестр_План_Факт!AN200</f>
        <v>0</v>
      </c>
      <c r="AO200">
        <f>Реестр_План_Факт!AO200</f>
        <v>0</v>
      </c>
      <c r="AP200" t="str">
        <f>Реестр_План_Факт!AP200</f>
        <v/>
      </c>
      <c r="AQ200">
        <f>Реестр_План_Факт!AQ200</f>
        <v>0</v>
      </c>
    </row>
    <row r="201" spans="1:43" x14ac:dyDescent="0.2">
      <c r="A201" s="201">
        <f>Реестр_План_Факт!A201</f>
        <v>46222</v>
      </c>
      <c r="B201">
        <f>Реестр_План_Факт!B201</f>
        <v>29</v>
      </c>
      <c r="C201">
        <f>Реестр_План_Факт!C201</f>
        <v>7</v>
      </c>
      <c r="D201">
        <f>Реестр_План_Факт!D201</f>
        <v>0</v>
      </c>
      <c r="E201">
        <f>Реестр_План_Факт!E201</f>
        <v>0</v>
      </c>
      <c r="F201" t="str">
        <f>Реестр_План_Факт!F201</f>
        <v/>
      </c>
      <c r="G201">
        <f>Реестр_План_Факт!G201</f>
        <v>0</v>
      </c>
      <c r="H201">
        <f>Реестр_План_Факт!H201</f>
        <v>0</v>
      </c>
      <c r="I201" t="str">
        <f>Реестр_План_Факт!I201</f>
        <v/>
      </c>
      <c r="J201">
        <f>Реестр_План_Факт!J201</f>
        <v>0</v>
      </c>
      <c r="K201">
        <f>Реестр_План_Факт!K201</f>
        <v>0</v>
      </c>
      <c r="L201" t="str">
        <f>Реестр_План_Факт!L201</f>
        <v/>
      </c>
      <c r="M201">
        <f>Реестр_План_Факт!M201</f>
        <v>0</v>
      </c>
      <c r="N201">
        <f>Реестр_План_Факт!N201</f>
        <v>0</v>
      </c>
      <c r="O201" t="str">
        <f>Реестр_План_Факт!O201</f>
        <v/>
      </c>
      <c r="P201">
        <f>Реестр_План_Факт!P201</f>
        <v>0</v>
      </c>
      <c r="Q201">
        <f>Реестр_План_Факт!Q201</f>
        <v>0</v>
      </c>
      <c r="R201" t="str">
        <f>Реестр_План_Факт!R201</f>
        <v/>
      </c>
      <c r="S201">
        <f>Реестр_План_Факт!S201</f>
        <v>0</v>
      </c>
      <c r="T201">
        <f>Реестр_План_Факт!T201</f>
        <v>0</v>
      </c>
      <c r="U201" t="str">
        <f>Реестр_План_Факт!U201</f>
        <v/>
      </c>
      <c r="V201">
        <f>Реестр_План_Факт!V201</f>
        <v>0</v>
      </c>
      <c r="W201">
        <f>Реестр_План_Факт!W201</f>
        <v>0</v>
      </c>
      <c r="X201" t="str">
        <f>Реестр_План_Факт!X201</f>
        <v/>
      </c>
      <c r="Y201">
        <f>Реестр_План_Факт!Y201</f>
        <v>0</v>
      </c>
      <c r="Z201">
        <f>Реестр_План_Факт!Z201</f>
        <v>0</v>
      </c>
      <c r="AA201" t="str">
        <f>Реестр_План_Факт!AA201</f>
        <v/>
      </c>
      <c r="AB201">
        <f>Реестр_План_Факт!AB201</f>
        <v>0</v>
      </c>
      <c r="AC201">
        <f>Реестр_План_Факт!AC201</f>
        <v>0</v>
      </c>
      <c r="AD201" t="str">
        <f>Реестр_План_Факт!AD201</f>
        <v/>
      </c>
      <c r="AE201">
        <f>Реестр_План_Факт!AE201</f>
        <v>0</v>
      </c>
      <c r="AF201">
        <f>Реестр_План_Факт!AF201</f>
        <v>0</v>
      </c>
      <c r="AG201" t="str">
        <f>Реестр_План_Факт!AG201</f>
        <v/>
      </c>
      <c r="AH201">
        <f>Реестр_План_Факт!AH201</f>
        <v>0</v>
      </c>
      <c r="AI201">
        <f>Реестр_План_Факт!AI201</f>
        <v>0</v>
      </c>
      <c r="AJ201" t="str">
        <f>Реестр_План_Факт!AJ201</f>
        <v/>
      </c>
      <c r="AK201">
        <f>Реестр_План_Факт!AK201</f>
        <v>0</v>
      </c>
      <c r="AL201">
        <f>Реестр_План_Факт!AL201</f>
        <v>0</v>
      </c>
      <c r="AM201" t="str">
        <f>Реестр_План_Факт!AM201</f>
        <v/>
      </c>
      <c r="AN201">
        <f>Реестр_План_Факт!AN201</f>
        <v>0</v>
      </c>
      <c r="AO201">
        <f>Реестр_План_Факт!AO201</f>
        <v>0</v>
      </c>
      <c r="AP201" t="str">
        <f>Реестр_План_Факт!AP201</f>
        <v/>
      </c>
      <c r="AQ201">
        <f>Реестр_План_Факт!AQ201</f>
        <v>0</v>
      </c>
    </row>
    <row r="202" spans="1:43" x14ac:dyDescent="0.2">
      <c r="A202" s="201">
        <f>Реестр_План_Факт!A202</f>
        <v>46223</v>
      </c>
      <c r="B202">
        <f>Реестр_План_Факт!B202</f>
        <v>30</v>
      </c>
      <c r="C202">
        <f>Реестр_План_Факт!C202</f>
        <v>7</v>
      </c>
      <c r="D202">
        <f>Реестр_План_Факт!D202</f>
        <v>0</v>
      </c>
      <c r="E202">
        <f>Реестр_План_Факт!E202</f>
        <v>0</v>
      </c>
      <c r="F202" t="str">
        <f>Реестр_План_Факт!F202</f>
        <v/>
      </c>
      <c r="G202">
        <f>Реестр_План_Факт!G202</f>
        <v>0</v>
      </c>
      <c r="H202">
        <f>Реестр_План_Факт!H202</f>
        <v>0</v>
      </c>
      <c r="I202" t="str">
        <f>Реестр_План_Факт!I202</f>
        <v/>
      </c>
      <c r="J202">
        <f>Реестр_План_Факт!J202</f>
        <v>0</v>
      </c>
      <c r="K202">
        <f>Реестр_План_Факт!K202</f>
        <v>0</v>
      </c>
      <c r="L202" t="str">
        <f>Реестр_План_Факт!L202</f>
        <v/>
      </c>
      <c r="M202">
        <f>Реестр_План_Факт!M202</f>
        <v>0</v>
      </c>
      <c r="N202">
        <f>Реестр_План_Факт!N202</f>
        <v>0</v>
      </c>
      <c r="O202" t="str">
        <f>Реестр_План_Факт!O202</f>
        <v/>
      </c>
      <c r="P202">
        <f>Реестр_План_Факт!P202</f>
        <v>0</v>
      </c>
      <c r="Q202">
        <f>Реестр_План_Факт!Q202</f>
        <v>0</v>
      </c>
      <c r="R202" t="str">
        <f>Реестр_План_Факт!R202</f>
        <v/>
      </c>
      <c r="S202">
        <f>Реестр_План_Факт!S202</f>
        <v>0</v>
      </c>
      <c r="T202">
        <f>Реестр_План_Факт!T202</f>
        <v>0</v>
      </c>
      <c r="U202" t="str">
        <f>Реестр_План_Факт!U202</f>
        <v/>
      </c>
      <c r="V202">
        <f>Реестр_План_Факт!V202</f>
        <v>0</v>
      </c>
      <c r="W202">
        <f>Реестр_План_Факт!W202</f>
        <v>0</v>
      </c>
      <c r="X202" t="str">
        <f>Реестр_План_Факт!X202</f>
        <v/>
      </c>
      <c r="Y202">
        <f>Реестр_План_Факт!Y202</f>
        <v>0</v>
      </c>
      <c r="Z202">
        <f>Реестр_План_Факт!Z202</f>
        <v>0</v>
      </c>
      <c r="AA202" t="str">
        <f>Реестр_План_Факт!AA202</f>
        <v/>
      </c>
      <c r="AB202">
        <f>Реестр_План_Факт!AB202</f>
        <v>0</v>
      </c>
      <c r="AC202">
        <f>Реестр_План_Факт!AC202</f>
        <v>0</v>
      </c>
      <c r="AD202" t="str">
        <f>Реестр_План_Факт!AD202</f>
        <v/>
      </c>
      <c r="AE202">
        <f>Реестр_План_Факт!AE202</f>
        <v>0</v>
      </c>
      <c r="AF202">
        <f>Реестр_План_Факт!AF202</f>
        <v>0</v>
      </c>
      <c r="AG202" t="str">
        <f>Реестр_План_Факт!AG202</f>
        <v/>
      </c>
      <c r="AH202">
        <f>Реестр_План_Факт!AH202</f>
        <v>0</v>
      </c>
      <c r="AI202">
        <f>Реестр_План_Факт!AI202</f>
        <v>0</v>
      </c>
      <c r="AJ202" t="str">
        <f>Реестр_План_Факт!AJ202</f>
        <v/>
      </c>
      <c r="AK202">
        <f>Реестр_План_Факт!AK202</f>
        <v>0</v>
      </c>
      <c r="AL202">
        <f>Реестр_План_Факт!AL202</f>
        <v>0</v>
      </c>
      <c r="AM202" t="str">
        <f>Реестр_План_Факт!AM202</f>
        <v/>
      </c>
      <c r="AN202">
        <f>Реестр_План_Факт!AN202</f>
        <v>0</v>
      </c>
      <c r="AO202">
        <f>Реестр_План_Факт!AO202</f>
        <v>0</v>
      </c>
      <c r="AP202" t="str">
        <f>Реестр_План_Факт!AP202</f>
        <v/>
      </c>
      <c r="AQ202">
        <f>Реестр_План_Факт!AQ202</f>
        <v>0</v>
      </c>
    </row>
    <row r="203" spans="1:43" x14ac:dyDescent="0.2">
      <c r="A203" s="201">
        <f>Реестр_План_Факт!A203</f>
        <v>46224</v>
      </c>
      <c r="B203">
        <f>Реестр_План_Факт!B203</f>
        <v>30</v>
      </c>
      <c r="C203">
        <f>Реестр_План_Факт!C203</f>
        <v>7</v>
      </c>
      <c r="D203">
        <f>Реестр_План_Факт!D203</f>
        <v>0</v>
      </c>
      <c r="E203">
        <f>Реестр_План_Факт!E203</f>
        <v>0</v>
      </c>
      <c r="F203" t="str">
        <f>Реестр_План_Факт!F203</f>
        <v/>
      </c>
      <c r="G203">
        <f>Реестр_План_Факт!G203</f>
        <v>0</v>
      </c>
      <c r="H203">
        <f>Реестр_План_Факт!H203</f>
        <v>0</v>
      </c>
      <c r="I203" t="str">
        <f>Реестр_План_Факт!I203</f>
        <v/>
      </c>
      <c r="J203">
        <f>Реестр_План_Факт!J203</f>
        <v>0</v>
      </c>
      <c r="K203">
        <f>Реестр_План_Факт!K203</f>
        <v>0</v>
      </c>
      <c r="L203" t="str">
        <f>Реестр_План_Факт!L203</f>
        <v/>
      </c>
      <c r="M203">
        <f>Реестр_План_Факт!M203</f>
        <v>0</v>
      </c>
      <c r="N203">
        <f>Реестр_План_Факт!N203</f>
        <v>0</v>
      </c>
      <c r="O203" t="str">
        <f>Реестр_План_Факт!O203</f>
        <v/>
      </c>
      <c r="P203">
        <f>Реестр_План_Факт!P203</f>
        <v>0</v>
      </c>
      <c r="Q203">
        <f>Реестр_План_Факт!Q203</f>
        <v>0</v>
      </c>
      <c r="R203" t="str">
        <f>Реестр_План_Факт!R203</f>
        <v/>
      </c>
      <c r="S203">
        <f>Реестр_План_Факт!S203</f>
        <v>0</v>
      </c>
      <c r="T203">
        <f>Реестр_План_Факт!T203</f>
        <v>0</v>
      </c>
      <c r="U203" t="str">
        <f>Реестр_План_Факт!U203</f>
        <v/>
      </c>
      <c r="V203">
        <f>Реестр_План_Факт!V203</f>
        <v>0</v>
      </c>
      <c r="W203">
        <f>Реестр_План_Факт!W203</f>
        <v>0</v>
      </c>
      <c r="X203" t="str">
        <f>Реестр_План_Факт!X203</f>
        <v/>
      </c>
      <c r="Y203">
        <f>Реестр_План_Факт!Y203</f>
        <v>0</v>
      </c>
      <c r="Z203">
        <f>Реестр_План_Факт!Z203</f>
        <v>0</v>
      </c>
      <c r="AA203" t="str">
        <f>Реестр_План_Факт!AA203</f>
        <v/>
      </c>
      <c r="AB203">
        <f>Реестр_План_Факт!AB203</f>
        <v>0</v>
      </c>
      <c r="AC203">
        <f>Реестр_План_Факт!AC203</f>
        <v>0</v>
      </c>
      <c r="AD203" t="str">
        <f>Реестр_План_Факт!AD203</f>
        <v/>
      </c>
      <c r="AE203">
        <f>Реестр_План_Факт!AE203</f>
        <v>0</v>
      </c>
      <c r="AF203">
        <f>Реестр_План_Факт!AF203</f>
        <v>0</v>
      </c>
      <c r="AG203" t="str">
        <f>Реестр_План_Факт!AG203</f>
        <v/>
      </c>
      <c r="AH203">
        <f>Реестр_План_Факт!AH203</f>
        <v>0</v>
      </c>
      <c r="AI203">
        <f>Реестр_План_Факт!AI203</f>
        <v>0</v>
      </c>
      <c r="AJ203" t="str">
        <f>Реестр_План_Факт!AJ203</f>
        <v/>
      </c>
      <c r="AK203">
        <f>Реестр_План_Факт!AK203</f>
        <v>0</v>
      </c>
      <c r="AL203">
        <f>Реестр_План_Факт!AL203</f>
        <v>0</v>
      </c>
      <c r="AM203" t="str">
        <f>Реестр_План_Факт!AM203</f>
        <v/>
      </c>
      <c r="AN203">
        <f>Реестр_План_Факт!AN203</f>
        <v>0</v>
      </c>
      <c r="AO203">
        <f>Реестр_План_Факт!AO203</f>
        <v>0</v>
      </c>
      <c r="AP203" t="str">
        <f>Реестр_План_Факт!AP203</f>
        <v/>
      </c>
      <c r="AQ203">
        <f>Реестр_План_Факт!AQ203</f>
        <v>0</v>
      </c>
    </row>
    <row r="204" spans="1:43" x14ac:dyDescent="0.2">
      <c r="A204" s="201">
        <f>Реестр_План_Факт!A204</f>
        <v>46225</v>
      </c>
      <c r="B204">
        <f>Реестр_План_Факт!B204</f>
        <v>30</v>
      </c>
      <c r="C204">
        <f>Реестр_План_Факт!C204</f>
        <v>7</v>
      </c>
      <c r="D204">
        <f>Реестр_План_Факт!D204</f>
        <v>0</v>
      </c>
      <c r="E204">
        <f>Реестр_План_Факт!E204</f>
        <v>0</v>
      </c>
      <c r="F204" t="str">
        <f>Реестр_План_Факт!F204</f>
        <v/>
      </c>
      <c r="G204">
        <f>Реестр_План_Факт!G204</f>
        <v>0</v>
      </c>
      <c r="H204">
        <f>Реестр_План_Факт!H204</f>
        <v>0</v>
      </c>
      <c r="I204" t="str">
        <f>Реестр_План_Факт!I204</f>
        <v/>
      </c>
      <c r="J204">
        <f>Реестр_План_Факт!J204</f>
        <v>0</v>
      </c>
      <c r="K204">
        <f>Реестр_План_Факт!K204</f>
        <v>0</v>
      </c>
      <c r="L204" t="str">
        <f>Реестр_План_Факт!L204</f>
        <v/>
      </c>
      <c r="M204">
        <f>Реестр_План_Факт!M204</f>
        <v>0</v>
      </c>
      <c r="N204">
        <f>Реестр_План_Факт!N204</f>
        <v>0</v>
      </c>
      <c r="O204" t="str">
        <f>Реестр_План_Факт!O204</f>
        <v/>
      </c>
      <c r="P204">
        <f>Реестр_План_Факт!P204</f>
        <v>0</v>
      </c>
      <c r="Q204">
        <f>Реестр_План_Факт!Q204</f>
        <v>0</v>
      </c>
      <c r="R204" t="str">
        <f>Реестр_План_Факт!R204</f>
        <v/>
      </c>
      <c r="S204">
        <f>Реестр_План_Факт!S204</f>
        <v>0</v>
      </c>
      <c r="T204">
        <f>Реестр_План_Факт!T204</f>
        <v>0</v>
      </c>
      <c r="U204" t="str">
        <f>Реестр_План_Факт!U204</f>
        <v/>
      </c>
      <c r="V204">
        <f>Реестр_План_Факт!V204</f>
        <v>0</v>
      </c>
      <c r="W204">
        <f>Реестр_План_Факт!W204</f>
        <v>0</v>
      </c>
      <c r="X204" t="str">
        <f>Реестр_План_Факт!X204</f>
        <v/>
      </c>
      <c r="Y204">
        <f>Реестр_План_Факт!Y204</f>
        <v>0</v>
      </c>
      <c r="Z204">
        <f>Реестр_План_Факт!Z204</f>
        <v>0</v>
      </c>
      <c r="AA204" t="str">
        <f>Реестр_План_Факт!AA204</f>
        <v/>
      </c>
      <c r="AB204">
        <f>Реестр_План_Факт!AB204</f>
        <v>0</v>
      </c>
      <c r="AC204">
        <f>Реестр_План_Факт!AC204</f>
        <v>0</v>
      </c>
      <c r="AD204" t="str">
        <f>Реестр_План_Факт!AD204</f>
        <v/>
      </c>
      <c r="AE204">
        <f>Реестр_План_Факт!AE204</f>
        <v>0</v>
      </c>
      <c r="AF204">
        <f>Реестр_План_Факт!AF204</f>
        <v>0</v>
      </c>
      <c r="AG204" t="str">
        <f>Реестр_План_Факт!AG204</f>
        <v/>
      </c>
      <c r="AH204">
        <f>Реестр_План_Факт!AH204</f>
        <v>0</v>
      </c>
      <c r="AI204">
        <f>Реестр_План_Факт!AI204</f>
        <v>0</v>
      </c>
      <c r="AJ204" t="str">
        <f>Реестр_План_Факт!AJ204</f>
        <v/>
      </c>
      <c r="AK204">
        <f>Реестр_План_Факт!AK204</f>
        <v>0</v>
      </c>
      <c r="AL204">
        <f>Реестр_План_Факт!AL204</f>
        <v>0</v>
      </c>
      <c r="AM204" t="str">
        <f>Реестр_План_Факт!AM204</f>
        <v/>
      </c>
      <c r="AN204">
        <f>Реестр_План_Факт!AN204</f>
        <v>0</v>
      </c>
      <c r="AO204">
        <f>Реестр_План_Факт!AO204</f>
        <v>0</v>
      </c>
      <c r="AP204" t="str">
        <f>Реестр_План_Факт!AP204</f>
        <v/>
      </c>
      <c r="AQ204">
        <f>Реестр_План_Факт!AQ204</f>
        <v>0</v>
      </c>
    </row>
    <row r="205" spans="1:43" x14ac:dyDescent="0.2">
      <c r="A205" s="201">
        <f>Реестр_План_Факт!A205</f>
        <v>46226</v>
      </c>
      <c r="B205">
        <f>Реестр_План_Факт!B205</f>
        <v>30</v>
      </c>
      <c r="C205">
        <f>Реестр_План_Факт!C205</f>
        <v>7</v>
      </c>
      <c r="D205">
        <f>Реестр_План_Факт!D205</f>
        <v>0</v>
      </c>
      <c r="E205">
        <f>Реестр_План_Факт!E205</f>
        <v>0</v>
      </c>
      <c r="F205" t="str">
        <f>Реестр_План_Факт!F205</f>
        <v/>
      </c>
      <c r="G205">
        <f>Реестр_План_Факт!G205</f>
        <v>0</v>
      </c>
      <c r="H205">
        <f>Реестр_План_Факт!H205</f>
        <v>0</v>
      </c>
      <c r="I205" t="str">
        <f>Реестр_План_Факт!I205</f>
        <v/>
      </c>
      <c r="J205">
        <f>Реестр_План_Факт!J205</f>
        <v>0</v>
      </c>
      <c r="K205">
        <f>Реестр_План_Факт!K205</f>
        <v>0</v>
      </c>
      <c r="L205" t="str">
        <f>Реестр_План_Факт!L205</f>
        <v/>
      </c>
      <c r="M205">
        <f>Реестр_План_Факт!M205</f>
        <v>0</v>
      </c>
      <c r="N205">
        <f>Реестр_План_Факт!N205</f>
        <v>0</v>
      </c>
      <c r="O205" t="str">
        <f>Реестр_План_Факт!O205</f>
        <v/>
      </c>
      <c r="P205">
        <f>Реестр_План_Факт!P205</f>
        <v>0</v>
      </c>
      <c r="Q205">
        <f>Реестр_План_Факт!Q205</f>
        <v>0</v>
      </c>
      <c r="R205" t="str">
        <f>Реестр_План_Факт!R205</f>
        <v/>
      </c>
      <c r="S205">
        <f>Реестр_План_Факт!S205</f>
        <v>0</v>
      </c>
      <c r="T205">
        <f>Реестр_План_Факт!T205</f>
        <v>0</v>
      </c>
      <c r="U205" t="str">
        <f>Реестр_План_Факт!U205</f>
        <v/>
      </c>
      <c r="V205">
        <f>Реестр_План_Факт!V205</f>
        <v>0</v>
      </c>
      <c r="W205">
        <f>Реестр_План_Факт!W205</f>
        <v>0</v>
      </c>
      <c r="X205" t="str">
        <f>Реестр_План_Факт!X205</f>
        <v/>
      </c>
      <c r="Y205">
        <f>Реестр_План_Факт!Y205</f>
        <v>0</v>
      </c>
      <c r="Z205">
        <f>Реестр_План_Факт!Z205</f>
        <v>0</v>
      </c>
      <c r="AA205" t="str">
        <f>Реестр_План_Факт!AA205</f>
        <v/>
      </c>
      <c r="AB205">
        <f>Реестр_План_Факт!AB205</f>
        <v>0</v>
      </c>
      <c r="AC205">
        <f>Реестр_План_Факт!AC205</f>
        <v>0</v>
      </c>
      <c r="AD205" t="str">
        <f>Реестр_План_Факт!AD205</f>
        <v/>
      </c>
      <c r="AE205">
        <f>Реестр_План_Факт!AE205</f>
        <v>0</v>
      </c>
      <c r="AF205">
        <f>Реестр_План_Факт!AF205</f>
        <v>0</v>
      </c>
      <c r="AG205" t="str">
        <f>Реестр_План_Факт!AG205</f>
        <v/>
      </c>
      <c r="AH205">
        <f>Реестр_План_Факт!AH205</f>
        <v>0</v>
      </c>
      <c r="AI205">
        <f>Реестр_План_Факт!AI205</f>
        <v>0</v>
      </c>
      <c r="AJ205" t="str">
        <f>Реестр_План_Факт!AJ205</f>
        <v/>
      </c>
      <c r="AK205">
        <f>Реестр_План_Факт!AK205</f>
        <v>0</v>
      </c>
      <c r="AL205">
        <f>Реестр_План_Факт!AL205</f>
        <v>0</v>
      </c>
      <c r="AM205" t="str">
        <f>Реестр_План_Факт!AM205</f>
        <v/>
      </c>
      <c r="AN205">
        <f>Реестр_План_Факт!AN205</f>
        <v>0</v>
      </c>
      <c r="AO205">
        <f>Реестр_План_Факт!AO205</f>
        <v>0</v>
      </c>
      <c r="AP205" t="str">
        <f>Реестр_План_Факт!AP205</f>
        <v/>
      </c>
      <c r="AQ205">
        <f>Реестр_План_Факт!AQ205</f>
        <v>0</v>
      </c>
    </row>
    <row r="206" spans="1:43" x14ac:dyDescent="0.2">
      <c r="A206" s="201">
        <f>Реестр_План_Факт!A206</f>
        <v>46227</v>
      </c>
      <c r="B206">
        <f>Реестр_План_Факт!B206</f>
        <v>30</v>
      </c>
      <c r="C206">
        <f>Реестр_План_Факт!C206</f>
        <v>7</v>
      </c>
      <c r="D206">
        <f>Реестр_План_Факт!D206</f>
        <v>0</v>
      </c>
      <c r="E206">
        <f>Реестр_План_Факт!E206</f>
        <v>0</v>
      </c>
      <c r="F206" t="str">
        <f>Реестр_План_Факт!F206</f>
        <v/>
      </c>
      <c r="G206">
        <f>Реестр_План_Факт!G206</f>
        <v>0</v>
      </c>
      <c r="H206">
        <f>Реестр_План_Факт!H206</f>
        <v>0</v>
      </c>
      <c r="I206" t="str">
        <f>Реестр_План_Факт!I206</f>
        <v/>
      </c>
      <c r="J206">
        <f>Реестр_План_Факт!J206</f>
        <v>0</v>
      </c>
      <c r="K206">
        <f>Реестр_План_Факт!K206</f>
        <v>0</v>
      </c>
      <c r="L206" t="str">
        <f>Реестр_План_Факт!L206</f>
        <v/>
      </c>
      <c r="M206">
        <f>Реестр_План_Факт!M206</f>
        <v>0</v>
      </c>
      <c r="N206">
        <f>Реестр_План_Факт!N206</f>
        <v>0</v>
      </c>
      <c r="O206" t="str">
        <f>Реестр_План_Факт!O206</f>
        <v/>
      </c>
      <c r="P206">
        <f>Реестр_План_Факт!P206</f>
        <v>0</v>
      </c>
      <c r="Q206">
        <f>Реестр_План_Факт!Q206</f>
        <v>0</v>
      </c>
      <c r="R206" t="str">
        <f>Реестр_План_Факт!R206</f>
        <v/>
      </c>
      <c r="S206">
        <f>Реестр_План_Факт!S206</f>
        <v>0</v>
      </c>
      <c r="T206">
        <f>Реестр_План_Факт!T206</f>
        <v>0</v>
      </c>
      <c r="U206" t="str">
        <f>Реестр_План_Факт!U206</f>
        <v/>
      </c>
      <c r="V206">
        <f>Реестр_План_Факт!V206</f>
        <v>0</v>
      </c>
      <c r="W206">
        <f>Реестр_План_Факт!W206</f>
        <v>0</v>
      </c>
      <c r="X206" t="str">
        <f>Реестр_План_Факт!X206</f>
        <v/>
      </c>
      <c r="Y206">
        <f>Реестр_План_Факт!Y206</f>
        <v>0</v>
      </c>
      <c r="Z206">
        <f>Реестр_План_Факт!Z206</f>
        <v>0</v>
      </c>
      <c r="AA206" t="str">
        <f>Реестр_План_Факт!AA206</f>
        <v/>
      </c>
      <c r="AB206">
        <f>Реестр_План_Факт!AB206</f>
        <v>0</v>
      </c>
      <c r="AC206">
        <f>Реестр_План_Факт!AC206</f>
        <v>0</v>
      </c>
      <c r="AD206" t="str">
        <f>Реестр_План_Факт!AD206</f>
        <v/>
      </c>
      <c r="AE206">
        <f>Реестр_План_Факт!AE206</f>
        <v>0</v>
      </c>
      <c r="AF206">
        <f>Реестр_План_Факт!AF206</f>
        <v>0</v>
      </c>
      <c r="AG206" t="str">
        <f>Реестр_План_Факт!AG206</f>
        <v/>
      </c>
      <c r="AH206">
        <f>Реестр_План_Факт!AH206</f>
        <v>0</v>
      </c>
      <c r="AI206">
        <f>Реестр_План_Факт!AI206</f>
        <v>0</v>
      </c>
      <c r="AJ206" t="str">
        <f>Реестр_План_Факт!AJ206</f>
        <v/>
      </c>
      <c r="AK206">
        <f>Реестр_План_Факт!AK206</f>
        <v>0</v>
      </c>
      <c r="AL206">
        <f>Реестр_План_Факт!AL206</f>
        <v>0</v>
      </c>
      <c r="AM206" t="str">
        <f>Реестр_План_Факт!AM206</f>
        <v/>
      </c>
      <c r="AN206">
        <f>Реестр_План_Факт!AN206</f>
        <v>0</v>
      </c>
      <c r="AO206">
        <f>Реестр_План_Факт!AO206</f>
        <v>0</v>
      </c>
      <c r="AP206" t="str">
        <f>Реестр_План_Факт!AP206</f>
        <v/>
      </c>
      <c r="AQ206">
        <f>Реестр_План_Факт!AQ206</f>
        <v>0</v>
      </c>
    </row>
    <row r="207" spans="1:43" x14ac:dyDescent="0.2">
      <c r="A207" s="201">
        <f>Реестр_План_Факт!A207</f>
        <v>46228</v>
      </c>
      <c r="B207">
        <f>Реестр_План_Факт!B207</f>
        <v>30</v>
      </c>
      <c r="C207">
        <f>Реестр_План_Факт!C207</f>
        <v>7</v>
      </c>
      <c r="D207">
        <f>Реестр_План_Факт!D207</f>
        <v>0</v>
      </c>
      <c r="E207">
        <f>Реестр_План_Факт!E207</f>
        <v>0</v>
      </c>
      <c r="F207" t="str">
        <f>Реестр_План_Факт!F207</f>
        <v/>
      </c>
      <c r="G207">
        <f>Реестр_План_Факт!G207</f>
        <v>0</v>
      </c>
      <c r="H207">
        <f>Реестр_План_Факт!H207</f>
        <v>0</v>
      </c>
      <c r="I207" t="str">
        <f>Реестр_План_Факт!I207</f>
        <v/>
      </c>
      <c r="J207">
        <f>Реестр_План_Факт!J207</f>
        <v>0</v>
      </c>
      <c r="K207">
        <f>Реестр_План_Факт!K207</f>
        <v>0</v>
      </c>
      <c r="L207" t="str">
        <f>Реестр_План_Факт!L207</f>
        <v/>
      </c>
      <c r="M207">
        <f>Реестр_План_Факт!M207</f>
        <v>0</v>
      </c>
      <c r="N207">
        <f>Реестр_План_Факт!N207</f>
        <v>0</v>
      </c>
      <c r="O207" t="str">
        <f>Реестр_План_Факт!O207</f>
        <v/>
      </c>
      <c r="P207">
        <f>Реестр_План_Факт!P207</f>
        <v>0</v>
      </c>
      <c r="Q207">
        <f>Реестр_План_Факт!Q207</f>
        <v>0</v>
      </c>
      <c r="R207" t="str">
        <f>Реестр_План_Факт!R207</f>
        <v/>
      </c>
      <c r="S207">
        <f>Реестр_План_Факт!S207</f>
        <v>0</v>
      </c>
      <c r="T207">
        <f>Реестр_План_Факт!T207</f>
        <v>0</v>
      </c>
      <c r="U207" t="str">
        <f>Реестр_План_Факт!U207</f>
        <v/>
      </c>
      <c r="V207">
        <f>Реестр_План_Факт!V207</f>
        <v>0</v>
      </c>
      <c r="W207">
        <f>Реестр_План_Факт!W207</f>
        <v>0</v>
      </c>
      <c r="X207" t="str">
        <f>Реестр_План_Факт!X207</f>
        <v/>
      </c>
      <c r="Y207">
        <f>Реестр_План_Факт!Y207</f>
        <v>0</v>
      </c>
      <c r="Z207">
        <f>Реестр_План_Факт!Z207</f>
        <v>0</v>
      </c>
      <c r="AA207" t="str">
        <f>Реестр_План_Факт!AA207</f>
        <v/>
      </c>
      <c r="AB207">
        <f>Реестр_План_Факт!AB207</f>
        <v>0</v>
      </c>
      <c r="AC207">
        <f>Реестр_План_Факт!AC207</f>
        <v>0</v>
      </c>
      <c r="AD207" t="str">
        <f>Реестр_План_Факт!AD207</f>
        <v/>
      </c>
      <c r="AE207">
        <f>Реестр_План_Факт!AE207</f>
        <v>0</v>
      </c>
      <c r="AF207">
        <f>Реестр_План_Факт!AF207</f>
        <v>0</v>
      </c>
      <c r="AG207" t="str">
        <f>Реестр_План_Факт!AG207</f>
        <v/>
      </c>
      <c r="AH207">
        <f>Реестр_План_Факт!AH207</f>
        <v>0</v>
      </c>
      <c r="AI207">
        <f>Реестр_План_Факт!AI207</f>
        <v>0</v>
      </c>
      <c r="AJ207" t="str">
        <f>Реестр_План_Факт!AJ207</f>
        <v/>
      </c>
      <c r="AK207">
        <f>Реестр_План_Факт!AK207</f>
        <v>0</v>
      </c>
      <c r="AL207">
        <f>Реестр_План_Факт!AL207</f>
        <v>0</v>
      </c>
      <c r="AM207" t="str">
        <f>Реестр_План_Факт!AM207</f>
        <v/>
      </c>
      <c r="AN207">
        <f>Реестр_План_Факт!AN207</f>
        <v>0</v>
      </c>
      <c r="AO207">
        <f>Реестр_План_Факт!AO207</f>
        <v>0</v>
      </c>
      <c r="AP207" t="str">
        <f>Реестр_План_Факт!AP207</f>
        <v/>
      </c>
      <c r="AQ207">
        <f>Реестр_План_Факт!AQ207</f>
        <v>0</v>
      </c>
    </row>
    <row r="208" spans="1:43" x14ac:dyDescent="0.2">
      <c r="A208" s="201">
        <f>Реестр_План_Факт!A208</f>
        <v>46229</v>
      </c>
      <c r="B208">
        <f>Реестр_План_Факт!B208</f>
        <v>30</v>
      </c>
      <c r="C208">
        <f>Реестр_План_Факт!C208</f>
        <v>7</v>
      </c>
      <c r="D208">
        <f>Реестр_План_Факт!D208</f>
        <v>0</v>
      </c>
      <c r="E208">
        <f>Реестр_План_Факт!E208</f>
        <v>0</v>
      </c>
      <c r="F208" t="str">
        <f>Реестр_План_Факт!F208</f>
        <v/>
      </c>
      <c r="G208">
        <f>Реестр_План_Факт!G208</f>
        <v>0</v>
      </c>
      <c r="H208">
        <f>Реестр_План_Факт!H208</f>
        <v>0</v>
      </c>
      <c r="I208" t="str">
        <f>Реестр_План_Факт!I208</f>
        <v/>
      </c>
      <c r="J208">
        <f>Реестр_План_Факт!J208</f>
        <v>0</v>
      </c>
      <c r="K208">
        <f>Реестр_План_Факт!K208</f>
        <v>0</v>
      </c>
      <c r="L208" t="str">
        <f>Реестр_План_Факт!L208</f>
        <v/>
      </c>
      <c r="M208">
        <f>Реестр_План_Факт!M208</f>
        <v>0</v>
      </c>
      <c r="N208">
        <f>Реестр_План_Факт!N208</f>
        <v>0</v>
      </c>
      <c r="O208" t="str">
        <f>Реестр_План_Факт!O208</f>
        <v/>
      </c>
      <c r="P208">
        <f>Реестр_План_Факт!P208</f>
        <v>0</v>
      </c>
      <c r="Q208">
        <f>Реестр_План_Факт!Q208</f>
        <v>0</v>
      </c>
      <c r="R208" t="str">
        <f>Реестр_План_Факт!R208</f>
        <v/>
      </c>
      <c r="S208">
        <f>Реестр_План_Факт!S208</f>
        <v>0</v>
      </c>
      <c r="T208">
        <f>Реестр_План_Факт!T208</f>
        <v>0</v>
      </c>
      <c r="U208" t="str">
        <f>Реестр_План_Факт!U208</f>
        <v/>
      </c>
      <c r="V208">
        <f>Реестр_План_Факт!V208</f>
        <v>0</v>
      </c>
      <c r="W208">
        <f>Реестр_План_Факт!W208</f>
        <v>0</v>
      </c>
      <c r="X208" t="str">
        <f>Реестр_План_Факт!X208</f>
        <v/>
      </c>
      <c r="Y208">
        <f>Реестр_План_Факт!Y208</f>
        <v>0</v>
      </c>
      <c r="Z208">
        <f>Реестр_План_Факт!Z208</f>
        <v>0</v>
      </c>
      <c r="AA208" t="str">
        <f>Реестр_План_Факт!AA208</f>
        <v/>
      </c>
      <c r="AB208">
        <f>Реестр_План_Факт!AB208</f>
        <v>0</v>
      </c>
      <c r="AC208">
        <f>Реестр_План_Факт!AC208</f>
        <v>0</v>
      </c>
      <c r="AD208" t="str">
        <f>Реестр_План_Факт!AD208</f>
        <v/>
      </c>
      <c r="AE208">
        <f>Реестр_План_Факт!AE208</f>
        <v>0</v>
      </c>
      <c r="AF208">
        <f>Реестр_План_Факт!AF208</f>
        <v>0</v>
      </c>
      <c r="AG208" t="str">
        <f>Реестр_План_Факт!AG208</f>
        <v/>
      </c>
      <c r="AH208">
        <f>Реестр_План_Факт!AH208</f>
        <v>0</v>
      </c>
      <c r="AI208">
        <f>Реестр_План_Факт!AI208</f>
        <v>0</v>
      </c>
      <c r="AJ208" t="str">
        <f>Реестр_План_Факт!AJ208</f>
        <v/>
      </c>
      <c r="AK208">
        <f>Реестр_План_Факт!AK208</f>
        <v>0</v>
      </c>
      <c r="AL208">
        <f>Реестр_План_Факт!AL208</f>
        <v>0</v>
      </c>
      <c r="AM208" t="str">
        <f>Реестр_План_Факт!AM208</f>
        <v/>
      </c>
      <c r="AN208">
        <f>Реестр_План_Факт!AN208</f>
        <v>0</v>
      </c>
      <c r="AO208">
        <f>Реестр_План_Факт!AO208</f>
        <v>0</v>
      </c>
      <c r="AP208" t="str">
        <f>Реестр_План_Факт!AP208</f>
        <v/>
      </c>
      <c r="AQ208">
        <f>Реестр_План_Факт!AQ208</f>
        <v>0</v>
      </c>
    </row>
    <row r="209" spans="1:43" x14ac:dyDescent="0.2">
      <c r="A209" s="201">
        <f>Реестр_План_Факт!A209</f>
        <v>46230</v>
      </c>
      <c r="B209">
        <f>Реестр_План_Факт!B209</f>
        <v>31</v>
      </c>
      <c r="C209">
        <f>Реестр_План_Факт!C209</f>
        <v>7</v>
      </c>
      <c r="D209">
        <f>Реестр_План_Факт!D209</f>
        <v>0</v>
      </c>
      <c r="E209">
        <f>Реестр_План_Факт!E209</f>
        <v>0</v>
      </c>
      <c r="F209" t="str">
        <f>Реестр_План_Факт!F209</f>
        <v/>
      </c>
      <c r="G209">
        <f>Реестр_План_Факт!G209</f>
        <v>0</v>
      </c>
      <c r="H209">
        <f>Реестр_План_Факт!H209</f>
        <v>0</v>
      </c>
      <c r="I209" t="str">
        <f>Реестр_План_Факт!I209</f>
        <v/>
      </c>
      <c r="J209">
        <f>Реестр_План_Факт!J209</f>
        <v>0</v>
      </c>
      <c r="K209">
        <f>Реестр_План_Факт!K209</f>
        <v>0</v>
      </c>
      <c r="L209" t="str">
        <f>Реестр_План_Факт!L209</f>
        <v/>
      </c>
      <c r="M209">
        <f>Реестр_План_Факт!M209</f>
        <v>0</v>
      </c>
      <c r="N209">
        <f>Реестр_План_Факт!N209</f>
        <v>0</v>
      </c>
      <c r="O209" t="str">
        <f>Реестр_План_Факт!O209</f>
        <v/>
      </c>
      <c r="P209">
        <f>Реестр_План_Факт!P209</f>
        <v>0</v>
      </c>
      <c r="Q209">
        <f>Реестр_План_Факт!Q209</f>
        <v>0</v>
      </c>
      <c r="R209" t="str">
        <f>Реестр_План_Факт!R209</f>
        <v/>
      </c>
      <c r="S209">
        <f>Реестр_План_Факт!S209</f>
        <v>0</v>
      </c>
      <c r="T209">
        <f>Реестр_План_Факт!T209</f>
        <v>0</v>
      </c>
      <c r="U209" t="str">
        <f>Реестр_План_Факт!U209</f>
        <v/>
      </c>
      <c r="V209">
        <f>Реестр_План_Факт!V209</f>
        <v>0</v>
      </c>
      <c r="W209">
        <f>Реестр_План_Факт!W209</f>
        <v>0</v>
      </c>
      <c r="X209" t="str">
        <f>Реестр_План_Факт!X209</f>
        <v/>
      </c>
      <c r="Y209">
        <f>Реестр_План_Факт!Y209</f>
        <v>0</v>
      </c>
      <c r="Z209">
        <f>Реестр_План_Факт!Z209</f>
        <v>0</v>
      </c>
      <c r="AA209" t="str">
        <f>Реестр_План_Факт!AA209</f>
        <v/>
      </c>
      <c r="AB209">
        <f>Реестр_План_Факт!AB209</f>
        <v>0</v>
      </c>
      <c r="AC209">
        <f>Реестр_План_Факт!AC209</f>
        <v>0</v>
      </c>
      <c r="AD209" t="str">
        <f>Реестр_План_Факт!AD209</f>
        <v/>
      </c>
      <c r="AE209">
        <f>Реестр_План_Факт!AE209</f>
        <v>0</v>
      </c>
      <c r="AF209">
        <f>Реестр_План_Факт!AF209</f>
        <v>0</v>
      </c>
      <c r="AG209" t="str">
        <f>Реестр_План_Факт!AG209</f>
        <v/>
      </c>
      <c r="AH209">
        <f>Реестр_План_Факт!AH209</f>
        <v>0</v>
      </c>
      <c r="AI209">
        <f>Реестр_План_Факт!AI209</f>
        <v>0</v>
      </c>
      <c r="AJ209" t="str">
        <f>Реестр_План_Факт!AJ209</f>
        <v/>
      </c>
      <c r="AK209">
        <f>Реестр_План_Факт!AK209</f>
        <v>0</v>
      </c>
      <c r="AL209">
        <f>Реестр_План_Факт!AL209</f>
        <v>0</v>
      </c>
      <c r="AM209" t="str">
        <f>Реестр_План_Факт!AM209</f>
        <v/>
      </c>
      <c r="AN209">
        <f>Реестр_План_Факт!AN209</f>
        <v>0</v>
      </c>
      <c r="AO209">
        <f>Реестр_План_Факт!AO209</f>
        <v>0</v>
      </c>
      <c r="AP209" t="str">
        <f>Реестр_План_Факт!AP209</f>
        <v/>
      </c>
      <c r="AQ209">
        <f>Реестр_План_Факт!AQ209</f>
        <v>0</v>
      </c>
    </row>
    <row r="210" spans="1:43" x14ac:dyDescent="0.2">
      <c r="A210" s="201">
        <f>Реестр_План_Факт!A210</f>
        <v>46231</v>
      </c>
      <c r="B210">
        <f>Реестр_План_Факт!B210</f>
        <v>31</v>
      </c>
      <c r="C210">
        <f>Реестр_План_Факт!C210</f>
        <v>7</v>
      </c>
      <c r="D210">
        <f>Реестр_План_Факт!D210</f>
        <v>0</v>
      </c>
      <c r="E210">
        <f>Реестр_План_Факт!E210</f>
        <v>0</v>
      </c>
      <c r="F210" t="str">
        <f>Реестр_План_Факт!F210</f>
        <v/>
      </c>
      <c r="G210">
        <f>Реестр_План_Факт!G210</f>
        <v>0</v>
      </c>
      <c r="H210">
        <f>Реестр_План_Факт!H210</f>
        <v>0</v>
      </c>
      <c r="I210" t="str">
        <f>Реестр_План_Факт!I210</f>
        <v/>
      </c>
      <c r="J210">
        <f>Реестр_План_Факт!J210</f>
        <v>0</v>
      </c>
      <c r="K210">
        <f>Реестр_План_Факт!K210</f>
        <v>0</v>
      </c>
      <c r="L210" t="str">
        <f>Реестр_План_Факт!L210</f>
        <v/>
      </c>
      <c r="M210">
        <f>Реестр_План_Факт!M210</f>
        <v>0</v>
      </c>
      <c r="N210">
        <f>Реестр_План_Факт!N210</f>
        <v>0</v>
      </c>
      <c r="O210" t="str">
        <f>Реестр_План_Факт!O210</f>
        <v/>
      </c>
      <c r="P210">
        <f>Реестр_План_Факт!P210</f>
        <v>0</v>
      </c>
      <c r="Q210">
        <f>Реестр_План_Факт!Q210</f>
        <v>0</v>
      </c>
      <c r="R210" t="str">
        <f>Реестр_План_Факт!R210</f>
        <v/>
      </c>
      <c r="S210">
        <f>Реестр_План_Факт!S210</f>
        <v>0</v>
      </c>
      <c r="T210">
        <f>Реестр_План_Факт!T210</f>
        <v>0</v>
      </c>
      <c r="U210" t="str">
        <f>Реестр_План_Факт!U210</f>
        <v/>
      </c>
      <c r="V210">
        <f>Реестр_План_Факт!V210</f>
        <v>0</v>
      </c>
      <c r="W210">
        <f>Реестр_План_Факт!W210</f>
        <v>0</v>
      </c>
      <c r="X210" t="str">
        <f>Реестр_План_Факт!X210</f>
        <v/>
      </c>
      <c r="Y210">
        <f>Реестр_План_Факт!Y210</f>
        <v>0</v>
      </c>
      <c r="Z210">
        <f>Реестр_План_Факт!Z210</f>
        <v>0</v>
      </c>
      <c r="AA210" t="str">
        <f>Реестр_План_Факт!AA210</f>
        <v/>
      </c>
      <c r="AB210">
        <f>Реестр_План_Факт!AB210</f>
        <v>0</v>
      </c>
      <c r="AC210">
        <f>Реестр_План_Факт!AC210</f>
        <v>0</v>
      </c>
      <c r="AD210" t="str">
        <f>Реестр_План_Факт!AD210</f>
        <v/>
      </c>
      <c r="AE210">
        <f>Реестр_План_Факт!AE210</f>
        <v>0</v>
      </c>
      <c r="AF210">
        <f>Реестр_План_Факт!AF210</f>
        <v>0</v>
      </c>
      <c r="AG210" t="str">
        <f>Реестр_План_Факт!AG210</f>
        <v/>
      </c>
      <c r="AH210">
        <f>Реестр_План_Факт!AH210</f>
        <v>0</v>
      </c>
      <c r="AI210">
        <f>Реестр_План_Факт!AI210</f>
        <v>0</v>
      </c>
      <c r="AJ210" t="str">
        <f>Реестр_План_Факт!AJ210</f>
        <v/>
      </c>
      <c r="AK210">
        <f>Реестр_План_Факт!AK210</f>
        <v>0</v>
      </c>
      <c r="AL210">
        <f>Реестр_План_Факт!AL210</f>
        <v>0</v>
      </c>
      <c r="AM210" t="str">
        <f>Реестр_План_Факт!AM210</f>
        <v/>
      </c>
      <c r="AN210">
        <f>Реестр_План_Факт!AN210</f>
        <v>0</v>
      </c>
      <c r="AO210">
        <f>Реестр_План_Факт!AO210</f>
        <v>0</v>
      </c>
      <c r="AP210" t="str">
        <f>Реестр_План_Факт!AP210</f>
        <v/>
      </c>
      <c r="AQ210">
        <f>Реестр_План_Факт!AQ210</f>
        <v>0</v>
      </c>
    </row>
    <row r="211" spans="1:43" x14ac:dyDescent="0.2">
      <c r="A211" s="201">
        <f>Реестр_План_Факт!A211</f>
        <v>46232</v>
      </c>
      <c r="B211">
        <f>Реестр_План_Факт!B211</f>
        <v>31</v>
      </c>
      <c r="C211">
        <f>Реестр_План_Факт!C211</f>
        <v>7</v>
      </c>
      <c r="D211">
        <f>Реестр_План_Факт!D211</f>
        <v>0</v>
      </c>
      <c r="E211">
        <f>Реестр_План_Факт!E211</f>
        <v>0</v>
      </c>
      <c r="F211" t="str">
        <f>Реестр_План_Факт!F211</f>
        <v/>
      </c>
      <c r="G211">
        <f>Реестр_План_Факт!G211</f>
        <v>0</v>
      </c>
      <c r="H211">
        <f>Реестр_План_Факт!H211</f>
        <v>0</v>
      </c>
      <c r="I211" t="str">
        <f>Реестр_План_Факт!I211</f>
        <v/>
      </c>
      <c r="J211">
        <f>Реестр_План_Факт!J211</f>
        <v>0</v>
      </c>
      <c r="K211">
        <f>Реестр_План_Факт!K211</f>
        <v>0</v>
      </c>
      <c r="L211" t="str">
        <f>Реестр_План_Факт!L211</f>
        <v/>
      </c>
      <c r="M211">
        <f>Реестр_План_Факт!M211</f>
        <v>0</v>
      </c>
      <c r="N211">
        <f>Реестр_План_Факт!N211</f>
        <v>0</v>
      </c>
      <c r="O211" t="str">
        <f>Реестр_План_Факт!O211</f>
        <v/>
      </c>
      <c r="P211">
        <f>Реестр_План_Факт!P211</f>
        <v>0</v>
      </c>
      <c r="Q211">
        <f>Реестр_План_Факт!Q211</f>
        <v>0</v>
      </c>
      <c r="R211" t="str">
        <f>Реестр_План_Факт!R211</f>
        <v/>
      </c>
      <c r="S211">
        <f>Реестр_План_Факт!S211</f>
        <v>0</v>
      </c>
      <c r="T211">
        <f>Реестр_План_Факт!T211</f>
        <v>0</v>
      </c>
      <c r="U211" t="str">
        <f>Реестр_План_Факт!U211</f>
        <v/>
      </c>
      <c r="V211">
        <f>Реестр_План_Факт!V211</f>
        <v>0</v>
      </c>
      <c r="W211">
        <f>Реестр_План_Факт!W211</f>
        <v>0</v>
      </c>
      <c r="X211" t="str">
        <f>Реестр_План_Факт!X211</f>
        <v/>
      </c>
      <c r="Y211">
        <f>Реестр_План_Факт!Y211</f>
        <v>0</v>
      </c>
      <c r="Z211">
        <f>Реестр_План_Факт!Z211</f>
        <v>0</v>
      </c>
      <c r="AA211" t="str">
        <f>Реестр_План_Факт!AA211</f>
        <v/>
      </c>
      <c r="AB211">
        <f>Реестр_План_Факт!AB211</f>
        <v>0</v>
      </c>
      <c r="AC211">
        <f>Реестр_План_Факт!AC211</f>
        <v>0</v>
      </c>
      <c r="AD211" t="str">
        <f>Реестр_План_Факт!AD211</f>
        <v/>
      </c>
      <c r="AE211">
        <f>Реестр_План_Факт!AE211</f>
        <v>0</v>
      </c>
      <c r="AF211">
        <f>Реестр_План_Факт!AF211</f>
        <v>0</v>
      </c>
      <c r="AG211" t="str">
        <f>Реестр_План_Факт!AG211</f>
        <v/>
      </c>
      <c r="AH211">
        <f>Реестр_План_Факт!AH211</f>
        <v>0</v>
      </c>
      <c r="AI211">
        <f>Реестр_План_Факт!AI211</f>
        <v>0</v>
      </c>
      <c r="AJ211" t="str">
        <f>Реестр_План_Факт!AJ211</f>
        <v/>
      </c>
      <c r="AK211">
        <f>Реестр_План_Факт!AK211</f>
        <v>0</v>
      </c>
      <c r="AL211">
        <f>Реестр_План_Факт!AL211</f>
        <v>0</v>
      </c>
      <c r="AM211" t="str">
        <f>Реестр_План_Факт!AM211</f>
        <v/>
      </c>
      <c r="AN211">
        <f>Реестр_План_Факт!AN211</f>
        <v>0</v>
      </c>
      <c r="AO211">
        <f>Реестр_План_Факт!AO211</f>
        <v>0</v>
      </c>
      <c r="AP211" t="str">
        <f>Реестр_План_Факт!AP211</f>
        <v/>
      </c>
      <c r="AQ211">
        <f>Реестр_План_Факт!AQ211</f>
        <v>0</v>
      </c>
    </row>
    <row r="212" spans="1:43" x14ac:dyDescent="0.2">
      <c r="A212" s="201">
        <f>Реестр_План_Факт!A212</f>
        <v>46233</v>
      </c>
      <c r="B212">
        <f>Реестр_План_Факт!B212</f>
        <v>31</v>
      </c>
      <c r="C212">
        <f>Реестр_План_Факт!C212</f>
        <v>7</v>
      </c>
      <c r="D212">
        <f>Реестр_План_Факт!D212</f>
        <v>0</v>
      </c>
      <c r="E212">
        <f>Реестр_План_Факт!E212</f>
        <v>0</v>
      </c>
      <c r="F212" t="str">
        <f>Реестр_План_Факт!F212</f>
        <v/>
      </c>
      <c r="G212">
        <f>Реестр_План_Факт!G212</f>
        <v>0</v>
      </c>
      <c r="H212">
        <f>Реестр_План_Факт!H212</f>
        <v>0</v>
      </c>
      <c r="I212" t="str">
        <f>Реестр_План_Факт!I212</f>
        <v/>
      </c>
      <c r="J212">
        <f>Реестр_План_Факт!J212</f>
        <v>0</v>
      </c>
      <c r="K212">
        <f>Реестр_План_Факт!K212</f>
        <v>0</v>
      </c>
      <c r="L212" t="str">
        <f>Реестр_План_Факт!L212</f>
        <v/>
      </c>
      <c r="M212">
        <f>Реестр_План_Факт!M212</f>
        <v>0</v>
      </c>
      <c r="N212">
        <f>Реестр_План_Факт!N212</f>
        <v>0</v>
      </c>
      <c r="O212" t="str">
        <f>Реестр_План_Факт!O212</f>
        <v/>
      </c>
      <c r="P212">
        <f>Реестр_План_Факт!P212</f>
        <v>0</v>
      </c>
      <c r="Q212">
        <f>Реестр_План_Факт!Q212</f>
        <v>0</v>
      </c>
      <c r="R212" t="str">
        <f>Реестр_План_Факт!R212</f>
        <v/>
      </c>
      <c r="S212">
        <f>Реестр_План_Факт!S212</f>
        <v>0</v>
      </c>
      <c r="T212">
        <f>Реестр_План_Факт!T212</f>
        <v>0</v>
      </c>
      <c r="U212" t="str">
        <f>Реестр_План_Факт!U212</f>
        <v/>
      </c>
      <c r="V212">
        <f>Реестр_План_Факт!V212</f>
        <v>0</v>
      </c>
      <c r="W212">
        <f>Реестр_План_Факт!W212</f>
        <v>0</v>
      </c>
      <c r="X212" t="str">
        <f>Реестр_План_Факт!X212</f>
        <v/>
      </c>
      <c r="Y212">
        <f>Реестр_План_Факт!Y212</f>
        <v>0</v>
      </c>
      <c r="Z212">
        <f>Реестр_План_Факт!Z212</f>
        <v>0</v>
      </c>
      <c r="AA212" t="str">
        <f>Реестр_План_Факт!AA212</f>
        <v/>
      </c>
      <c r="AB212">
        <f>Реестр_План_Факт!AB212</f>
        <v>0</v>
      </c>
      <c r="AC212">
        <f>Реестр_План_Факт!AC212</f>
        <v>0</v>
      </c>
      <c r="AD212" t="str">
        <f>Реестр_План_Факт!AD212</f>
        <v/>
      </c>
      <c r="AE212">
        <f>Реестр_План_Факт!AE212</f>
        <v>0</v>
      </c>
      <c r="AF212">
        <f>Реестр_План_Факт!AF212</f>
        <v>0</v>
      </c>
      <c r="AG212" t="str">
        <f>Реестр_План_Факт!AG212</f>
        <v/>
      </c>
      <c r="AH212">
        <f>Реестр_План_Факт!AH212</f>
        <v>0</v>
      </c>
      <c r="AI212">
        <f>Реестр_План_Факт!AI212</f>
        <v>0</v>
      </c>
      <c r="AJ212" t="str">
        <f>Реестр_План_Факт!AJ212</f>
        <v/>
      </c>
      <c r="AK212">
        <f>Реестр_План_Факт!AK212</f>
        <v>0</v>
      </c>
      <c r="AL212">
        <f>Реестр_План_Факт!AL212</f>
        <v>0</v>
      </c>
      <c r="AM212" t="str">
        <f>Реестр_План_Факт!AM212</f>
        <v/>
      </c>
      <c r="AN212">
        <f>Реестр_План_Факт!AN212</f>
        <v>0</v>
      </c>
      <c r="AO212">
        <f>Реестр_План_Факт!AO212</f>
        <v>0</v>
      </c>
      <c r="AP212" t="str">
        <f>Реестр_План_Факт!AP212</f>
        <v/>
      </c>
      <c r="AQ212">
        <f>Реестр_План_Факт!AQ212</f>
        <v>0</v>
      </c>
    </row>
    <row r="213" spans="1:43" x14ac:dyDescent="0.2">
      <c r="A213" s="201">
        <f>Реестр_План_Факт!A213</f>
        <v>46234</v>
      </c>
      <c r="B213">
        <f>Реестр_План_Факт!B213</f>
        <v>31</v>
      </c>
      <c r="C213">
        <f>Реестр_План_Факт!C213</f>
        <v>7</v>
      </c>
      <c r="D213">
        <f>Реестр_План_Факт!D213</f>
        <v>0</v>
      </c>
      <c r="E213">
        <f>Реестр_План_Факт!E213</f>
        <v>0</v>
      </c>
      <c r="F213" t="str">
        <f>Реестр_План_Факт!F213</f>
        <v/>
      </c>
      <c r="G213">
        <f>Реестр_План_Факт!G213</f>
        <v>0</v>
      </c>
      <c r="H213">
        <f>Реестр_План_Факт!H213</f>
        <v>0</v>
      </c>
      <c r="I213" t="str">
        <f>Реестр_План_Факт!I213</f>
        <v/>
      </c>
      <c r="J213">
        <f>Реестр_План_Факт!J213</f>
        <v>0</v>
      </c>
      <c r="K213">
        <f>Реестр_План_Факт!K213</f>
        <v>0</v>
      </c>
      <c r="L213" t="str">
        <f>Реестр_План_Факт!L213</f>
        <v/>
      </c>
      <c r="M213">
        <f>Реестр_План_Факт!M213</f>
        <v>0</v>
      </c>
      <c r="N213">
        <f>Реестр_План_Факт!N213</f>
        <v>0</v>
      </c>
      <c r="O213" t="str">
        <f>Реестр_План_Факт!O213</f>
        <v/>
      </c>
      <c r="P213">
        <f>Реестр_План_Факт!P213</f>
        <v>0</v>
      </c>
      <c r="Q213">
        <f>Реестр_План_Факт!Q213</f>
        <v>0</v>
      </c>
      <c r="R213" t="str">
        <f>Реестр_План_Факт!R213</f>
        <v/>
      </c>
      <c r="S213">
        <f>Реестр_План_Факт!S213</f>
        <v>0</v>
      </c>
      <c r="T213">
        <f>Реестр_План_Факт!T213</f>
        <v>0</v>
      </c>
      <c r="U213" t="str">
        <f>Реестр_План_Факт!U213</f>
        <v/>
      </c>
      <c r="V213">
        <f>Реестр_План_Факт!V213</f>
        <v>0</v>
      </c>
      <c r="W213">
        <f>Реестр_План_Факт!W213</f>
        <v>0</v>
      </c>
      <c r="X213" t="str">
        <f>Реестр_План_Факт!X213</f>
        <v/>
      </c>
      <c r="Y213">
        <f>Реестр_План_Факт!Y213</f>
        <v>0</v>
      </c>
      <c r="Z213">
        <f>Реестр_План_Факт!Z213</f>
        <v>0</v>
      </c>
      <c r="AA213" t="str">
        <f>Реестр_План_Факт!AA213</f>
        <v/>
      </c>
      <c r="AB213">
        <f>Реестр_План_Факт!AB213</f>
        <v>0</v>
      </c>
      <c r="AC213">
        <f>Реестр_План_Факт!AC213</f>
        <v>0</v>
      </c>
      <c r="AD213" t="str">
        <f>Реестр_План_Факт!AD213</f>
        <v/>
      </c>
      <c r="AE213">
        <f>Реестр_План_Факт!AE213</f>
        <v>0</v>
      </c>
      <c r="AF213">
        <f>Реестр_План_Факт!AF213</f>
        <v>0</v>
      </c>
      <c r="AG213" t="str">
        <f>Реестр_План_Факт!AG213</f>
        <v/>
      </c>
      <c r="AH213">
        <f>Реестр_План_Факт!AH213</f>
        <v>0</v>
      </c>
      <c r="AI213">
        <f>Реестр_План_Факт!AI213</f>
        <v>0</v>
      </c>
      <c r="AJ213" t="str">
        <f>Реестр_План_Факт!AJ213</f>
        <v/>
      </c>
      <c r="AK213">
        <f>Реестр_План_Факт!AK213</f>
        <v>0</v>
      </c>
      <c r="AL213">
        <f>Реестр_План_Факт!AL213</f>
        <v>0</v>
      </c>
      <c r="AM213" t="str">
        <f>Реестр_План_Факт!AM213</f>
        <v/>
      </c>
      <c r="AN213">
        <f>Реестр_План_Факт!AN213</f>
        <v>0</v>
      </c>
      <c r="AO213">
        <f>Реестр_План_Факт!AO213</f>
        <v>0</v>
      </c>
      <c r="AP213" t="str">
        <f>Реестр_План_Факт!AP213</f>
        <v/>
      </c>
      <c r="AQ213">
        <f>Реестр_План_Факт!AQ213</f>
        <v>0</v>
      </c>
    </row>
    <row r="214" spans="1:43" x14ac:dyDescent="0.2">
      <c r="A214" s="201">
        <f>Реестр_План_Факт!A214</f>
        <v>46235</v>
      </c>
      <c r="B214">
        <f>Реестр_План_Факт!B214</f>
        <v>31</v>
      </c>
      <c r="C214">
        <f>Реестр_План_Факт!C214</f>
        <v>8</v>
      </c>
      <c r="D214">
        <f>Реестр_План_Факт!D214</f>
        <v>0</v>
      </c>
      <c r="E214">
        <f>Реестр_План_Факт!E214</f>
        <v>0</v>
      </c>
      <c r="F214" t="str">
        <f>Реестр_План_Факт!F214</f>
        <v/>
      </c>
      <c r="G214">
        <f>Реестр_План_Факт!G214</f>
        <v>0</v>
      </c>
      <c r="H214">
        <f>Реестр_План_Факт!H214</f>
        <v>0</v>
      </c>
      <c r="I214" t="str">
        <f>Реестр_План_Факт!I214</f>
        <v/>
      </c>
      <c r="J214">
        <f>Реестр_План_Факт!J214</f>
        <v>0</v>
      </c>
      <c r="K214">
        <f>Реестр_План_Факт!K214</f>
        <v>0</v>
      </c>
      <c r="L214" t="str">
        <f>Реестр_План_Факт!L214</f>
        <v/>
      </c>
      <c r="M214">
        <f>Реестр_План_Факт!M214</f>
        <v>0</v>
      </c>
      <c r="N214">
        <f>Реестр_План_Факт!N214</f>
        <v>0</v>
      </c>
      <c r="O214" t="str">
        <f>Реестр_План_Факт!O214</f>
        <v/>
      </c>
      <c r="P214">
        <f>Реестр_План_Факт!P214</f>
        <v>0</v>
      </c>
      <c r="Q214">
        <f>Реестр_План_Факт!Q214</f>
        <v>0</v>
      </c>
      <c r="R214" t="str">
        <f>Реестр_План_Факт!R214</f>
        <v/>
      </c>
      <c r="S214">
        <f>Реестр_План_Факт!S214</f>
        <v>0</v>
      </c>
      <c r="T214">
        <f>Реестр_План_Факт!T214</f>
        <v>0</v>
      </c>
      <c r="U214" t="str">
        <f>Реестр_План_Факт!U214</f>
        <v/>
      </c>
      <c r="V214">
        <f>Реестр_План_Факт!V214</f>
        <v>0</v>
      </c>
      <c r="W214">
        <f>Реестр_План_Факт!W214</f>
        <v>0</v>
      </c>
      <c r="X214" t="str">
        <f>Реестр_План_Факт!X214</f>
        <v/>
      </c>
      <c r="Y214">
        <f>Реестр_План_Факт!Y214</f>
        <v>0</v>
      </c>
      <c r="Z214">
        <f>Реестр_План_Факт!Z214</f>
        <v>0</v>
      </c>
      <c r="AA214" t="str">
        <f>Реестр_План_Факт!AA214</f>
        <v/>
      </c>
      <c r="AB214">
        <f>Реестр_План_Факт!AB214</f>
        <v>0</v>
      </c>
      <c r="AC214">
        <f>Реестр_План_Факт!AC214</f>
        <v>0</v>
      </c>
      <c r="AD214" t="str">
        <f>Реестр_План_Факт!AD214</f>
        <v/>
      </c>
      <c r="AE214">
        <f>Реестр_План_Факт!AE214</f>
        <v>0</v>
      </c>
      <c r="AF214">
        <f>Реестр_План_Факт!AF214</f>
        <v>0</v>
      </c>
      <c r="AG214" t="str">
        <f>Реестр_План_Факт!AG214</f>
        <v/>
      </c>
      <c r="AH214">
        <f>Реестр_План_Факт!AH214</f>
        <v>0</v>
      </c>
      <c r="AI214">
        <f>Реестр_План_Факт!AI214</f>
        <v>0</v>
      </c>
      <c r="AJ214" t="str">
        <f>Реестр_План_Факт!AJ214</f>
        <v/>
      </c>
      <c r="AK214">
        <f>Реестр_План_Факт!AK214</f>
        <v>0</v>
      </c>
      <c r="AL214">
        <f>Реестр_План_Факт!AL214</f>
        <v>0</v>
      </c>
      <c r="AM214" t="str">
        <f>Реестр_План_Факт!AM214</f>
        <v/>
      </c>
      <c r="AN214">
        <f>Реестр_План_Факт!AN214</f>
        <v>0</v>
      </c>
      <c r="AO214">
        <f>Реестр_План_Факт!AO214</f>
        <v>0</v>
      </c>
      <c r="AP214" t="str">
        <f>Реестр_План_Факт!AP214</f>
        <v/>
      </c>
      <c r="AQ214">
        <f>Реестр_План_Факт!AQ214</f>
        <v>0</v>
      </c>
    </row>
    <row r="215" spans="1:43" x14ac:dyDescent="0.2">
      <c r="A215" s="201">
        <f>Реестр_План_Факт!A215</f>
        <v>46236</v>
      </c>
      <c r="B215">
        <f>Реестр_План_Факт!B215</f>
        <v>31</v>
      </c>
      <c r="C215">
        <f>Реестр_План_Факт!C215</f>
        <v>8</v>
      </c>
      <c r="D215">
        <f>Реестр_План_Факт!D215</f>
        <v>0</v>
      </c>
      <c r="E215">
        <f>Реестр_План_Факт!E215</f>
        <v>0</v>
      </c>
      <c r="F215" t="str">
        <f>Реестр_План_Факт!F215</f>
        <v/>
      </c>
      <c r="G215">
        <f>Реестр_План_Факт!G215</f>
        <v>0</v>
      </c>
      <c r="H215">
        <f>Реестр_План_Факт!H215</f>
        <v>0</v>
      </c>
      <c r="I215" t="str">
        <f>Реестр_План_Факт!I215</f>
        <v/>
      </c>
      <c r="J215">
        <f>Реестр_План_Факт!J215</f>
        <v>0</v>
      </c>
      <c r="K215">
        <f>Реестр_План_Факт!K215</f>
        <v>0</v>
      </c>
      <c r="L215" t="str">
        <f>Реестр_План_Факт!L215</f>
        <v/>
      </c>
      <c r="M215">
        <f>Реестр_План_Факт!M215</f>
        <v>0</v>
      </c>
      <c r="N215">
        <f>Реестр_План_Факт!N215</f>
        <v>0</v>
      </c>
      <c r="O215" t="str">
        <f>Реестр_План_Факт!O215</f>
        <v/>
      </c>
      <c r="P215">
        <f>Реестр_План_Факт!P215</f>
        <v>0</v>
      </c>
      <c r="Q215">
        <f>Реестр_План_Факт!Q215</f>
        <v>0</v>
      </c>
      <c r="R215" t="str">
        <f>Реестр_План_Факт!R215</f>
        <v/>
      </c>
      <c r="S215">
        <f>Реестр_План_Факт!S215</f>
        <v>0</v>
      </c>
      <c r="T215">
        <f>Реестр_План_Факт!T215</f>
        <v>0</v>
      </c>
      <c r="U215" t="str">
        <f>Реестр_План_Факт!U215</f>
        <v/>
      </c>
      <c r="V215">
        <f>Реестр_План_Факт!V215</f>
        <v>0</v>
      </c>
      <c r="W215">
        <f>Реестр_План_Факт!W215</f>
        <v>0</v>
      </c>
      <c r="X215" t="str">
        <f>Реестр_План_Факт!X215</f>
        <v/>
      </c>
      <c r="Y215">
        <f>Реестр_План_Факт!Y215</f>
        <v>0</v>
      </c>
      <c r="Z215">
        <f>Реестр_План_Факт!Z215</f>
        <v>0</v>
      </c>
      <c r="AA215" t="str">
        <f>Реестр_План_Факт!AA215</f>
        <v/>
      </c>
      <c r="AB215">
        <f>Реестр_План_Факт!AB215</f>
        <v>0</v>
      </c>
      <c r="AC215">
        <f>Реестр_План_Факт!AC215</f>
        <v>0</v>
      </c>
      <c r="AD215" t="str">
        <f>Реестр_План_Факт!AD215</f>
        <v/>
      </c>
      <c r="AE215">
        <f>Реестр_План_Факт!AE215</f>
        <v>0</v>
      </c>
      <c r="AF215">
        <f>Реестр_План_Факт!AF215</f>
        <v>0</v>
      </c>
      <c r="AG215" t="str">
        <f>Реестр_План_Факт!AG215</f>
        <v/>
      </c>
      <c r="AH215">
        <f>Реестр_План_Факт!AH215</f>
        <v>0</v>
      </c>
      <c r="AI215">
        <f>Реестр_План_Факт!AI215</f>
        <v>0</v>
      </c>
      <c r="AJ215" t="str">
        <f>Реестр_План_Факт!AJ215</f>
        <v/>
      </c>
      <c r="AK215">
        <f>Реестр_План_Факт!AK215</f>
        <v>0</v>
      </c>
      <c r="AL215">
        <f>Реестр_План_Факт!AL215</f>
        <v>0</v>
      </c>
      <c r="AM215" t="str">
        <f>Реестр_План_Факт!AM215</f>
        <v/>
      </c>
      <c r="AN215">
        <f>Реестр_План_Факт!AN215</f>
        <v>0</v>
      </c>
      <c r="AO215">
        <f>Реестр_План_Факт!AO215</f>
        <v>0</v>
      </c>
      <c r="AP215" t="str">
        <f>Реестр_План_Факт!AP215</f>
        <v/>
      </c>
      <c r="AQ215">
        <f>Реестр_План_Факт!AQ215</f>
        <v>0</v>
      </c>
    </row>
    <row r="216" spans="1:43" x14ac:dyDescent="0.2">
      <c r="A216" s="201">
        <f>Реестр_План_Факт!A216</f>
        <v>46237</v>
      </c>
      <c r="B216">
        <f>Реестр_План_Факт!B216</f>
        <v>32</v>
      </c>
      <c r="C216">
        <f>Реестр_План_Факт!C216</f>
        <v>8</v>
      </c>
      <c r="D216">
        <f>Реестр_План_Факт!D216</f>
        <v>0</v>
      </c>
      <c r="E216">
        <f>Реестр_План_Факт!E216</f>
        <v>0</v>
      </c>
      <c r="F216" t="str">
        <f>Реестр_План_Факт!F216</f>
        <v/>
      </c>
      <c r="G216">
        <f>Реестр_План_Факт!G216</f>
        <v>0</v>
      </c>
      <c r="H216">
        <f>Реестр_План_Факт!H216</f>
        <v>0</v>
      </c>
      <c r="I216" t="str">
        <f>Реестр_План_Факт!I216</f>
        <v/>
      </c>
      <c r="J216">
        <f>Реестр_План_Факт!J216</f>
        <v>0</v>
      </c>
      <c r="K216">
        <f>Реестр_План_Факт!K216</f>
        <v>0</v>
      </c>
      <c r="L216" t="str">
        <f>Реестр_План_Факт!L216</f>
        <v/>
      </c>
      <c r="M216">
        <f>Реестр_План_Факт!M216</f>
        <v>0</v>
      </c>
      <c r="N216">
        <f>Реестр_План_Факт!N216</f>
        <v>0</v>
      </c>
      <c r="O216" t="str">
        <f>Реестр_План_Факт!O216</f>
        <v/>
      </c>
      <c r="P216">
        <f>Реестр_План_Факт!P216</f>
        <v>0</v>
      </c>
      <c r="Q216">
        <f>Реестр_План_Факт!Q216</f>
        <v>0</v>
      </c>
      <c r="R216" t="str">
        <f>Реестр_План_Факт!R216</f>
        <v/>
      </c>
      <c r="S216">
        <f>Реестр_План_Факт!S216</f>
        <v>0</v>
      </c>
      <c r="T216">
        <f>Реестр_План_Факт!T216</f>
        <v>0</v>
      </c>
      <c r="U216" t="str">
        <f>Реестр_План_Факт!U216</f>
        <v/>
      </c>
      <c r="V216">
        <f>Реестр_План_Факт!V216</f>
        <v>0</v>
      </c>
      <c r="W216">
        <f>Реестр_План_Факт!W216</f>
        <v>0</v>
      </c>
      <c r="X216" t="str">
        <f>Реестр_План_Факт!X216</f>
        <v/>
      </c>
      <c r="Y216">
        <f>Реестр_План_Факт!Y216</f>
        <v>0</v>
      </c>
      <c r="Z216">
        <f>Реестр_План_Факт!Z216</f>
        <v>0</v>
      </c>
      <c r="AA216" t="str">
        <f>Реестр_План_Факт!AA216</f>
        <v/>
      </c>
      <c r="AB216">
        <f>Реестр_План_Факт!AB216</f>
        <v>0</v>
      </c>
      <c r="AC216">
        <f>Реестр_План_Факт!AC216</f>
        <v>0</v>
      </c>
      <c r="AD216" t="str">
        <f>Реестр_План_Факт!AD216</f>
        <v/>
      </c>
      <c r="AE216">
        <f>Реестр_План_Факт!AE216</f>
        <v>0</v>
      </c>
      <c r="AF216">
        <f>Реестр_План_Факт!AF216</f>
        <v>0</v>
      </c>
      <c r="AG216" t="str">
        <f>Реестр_План_Факт!AG216</f>
        <v/>
      </c>
      <c r="AH216">
        <f>Реестр_План_Факт!AH216</f>
        <v>0</v>
      </c>
      <c r="AI216">
        <f>Реестр_План_Факт!AI216</f>
        <v>0</v>
      </c>
      <c r="AJ216" t="str">
        <f>Реестр_План_Факт!AJ216</f>
        <v/>
      </c>
      <c r="AK216">
        <f>Реестр_План_Факт!AK216</f>
        <v>0</v>
      </c>
      <c r="AL216">
        <f>Реестр_План_Факт!AL216</f>
        <v>0</v>
      </c>
      <c r="AM216" t="str">
        <f>Реестр_План_Факт!AM216</f>
        <v/>
      </c>
      <c r="AN216">
        <f>Реестр_План_Факт!AN216</f>
        <v>0</v>
      </c>
      <c r="AO216">
        <f>Реестр_План_Факт!AO216</f>
        <v>0</v>
      </c>
      <c r="AP216" t="str">
        <f>Реестр_План_Факт!AP216</f>
        <v/>
      </c>
      <c r="AQ216">
        <f>Реестр_План_Факт!AQ216</f>
        <v>0</v>
      </c>
    </row>
    <row r="217" spans="1:43" x14ac:dyDescent="0.2">
      <c r="A217" s="201">
        <f>Реестр_План_Факт!A217</f>
        <v>46238</v>
      </c>
      <c r="B217">
        <f>Реестр_План_Факт!B217</f>
        <v>32</v>
      </c>
      <c r="C217">
        <f>Реестр_План_Факт!C217</f>
        <v>8</v>
      </c>
      <c r="D217">
        <f>Реестр_План_Факт!D217</f>
        <v>0</v>
      </c>
      <c r="E217">
        <f>Реестр_План_Факт!E217</f>
        <v>0</v>
      </c>
      <c r="F217" t="str">
        <f>Реестр_План_Факт!F217</f>
        <v/>
      </c>
      <c r="G217">
        <f>Реестр_План_Факт!G217</f>
        <v>0</v>
      </c>
      <c r="H217">
        <f>Реестр_План_Факт!H217</f>
        <v>0</v>
      </c>
      <c r="I217" t="str">
        <f>Реестр_План_Факт!I217</f>
        <v/>
      </c>
      <c r="J217">
        <f>Реестр_План_Факт!J217</f>
        <v>0</v>
      </c>
      <c r="K217">
        <f>Реестр_План_Факт!K217</f>
        <v>0</v>
      </c>
      <c r="L217" t="str">
        <f>Реестр_План_Факт!L217</f>
        <v/>
      </c>
      <c r="M217">
        <f>Реестр_План_Факт!M217</f>
        <v>0</v>
      </c>
      <c r="N217">
        <f>Реестр_План_Факт!N217</f>
        <v>0</v>
      </c>
      <c r="O217" t="str">
        <f>Реестр_План_Факт!O217</f>
        <v/>
      </c>
      <c r="P217">
        <f>Реестр_План_Факт!P217</f>
        <v>0</v>
      </c>
      <c r="Q217">
        <f>Реестр_План_Факт!Q217</f>
        <v>0</v>
      </c>
      <c r="R217" t="str">
        <f>Реестр_План_Факт!R217</f>
        <v/>
      </c>
      <c r="S217">
        <f>Реестр_План_Факт!S217</f>
        <v>0</v>
      </c>
      <c r="T217">
        <f>Реестр_План_Факт!T217</f>
        <v>0</v>
      </c>
      <c r="U217" t="str">
        <f>Реестр_План_Факт!U217</f>
        <v/>
      </c>
      <c r="V217">
        <f>Реестр_План_Факт!V217</f>
        <v>0</v>
      </c>
      <c r="W217">
        <f>Реестр_План_Факт!W217</f>
        <v>0</v>
      </c>
      <c r="X217" t="str">
        <f>Реестр_План_Факт!X217</f>
        <v/>
      </c>
      <c r="Y217">
        <f>Реестр_План_Факт!Y217</f>
        <v>0</v>
      </c>
      <c r="Z217">
        <f>Реестр_План_Факт!Z217</f>
        <v>0</v>
      </c>
      <c r="AA217" t="str">
        <f>Реестр_План_Факт!AA217</f>
        <v/>
      </c>
      <c r="AB217">
        <f>Реестр_План_Факт!AB217</f>
        <v>0</v>
      </c>
      <c r="AC217">
        <f>Реестр_План_Факт!AC217</f>
        <v>0</v>
      </c>
      <c r="AD217" t="str">
        <f>Реестр_План_Факт!AD217</f>
        <v/>
      </c>
      <c r="AE217">
        <f>Реестр_План_Факт!AE217</f>
        <v>0</v>
      </c>
      <c r="AF217">
        <f>Реестр_План_Факт!AF217</f>
        <v>0</v>
      </c>
      <c r="AG217" t="str">
        <f>Реестр_План_Факт!AG217</f>
        <v/>
      </c>
      <c r="AH217">
        <f>Реестр_План_Факт!AH217</f>
        <v>0</v>
      </c>
      <c r="AI217">
        <f>Реестр_План_Факт!AI217</f>
        <v>0</v>
      </c>
      <c r="AJ217" t="str">
        <f>Реестр_План_Факт!AJ217</f>
        <v/>
      </c>
      <c r="AK217">
        <f>Реестр_План_Факт!AK217</f>
        <v>0</v>
      </c>
      <c r="AL217">
        <f>Реестр_План_Факт!AL217</f>
        <v>0</v>
      </c>
      <c r="AM217" t="str">
        <f>Реестр_План_Факт!AM217</f>
        <v/>
      </c>
      <c r="AN217">
        <f>Реестр_План_Факт!AN217</f>
        <v>0</v>
      </c>
      <c r="AO217">
        <f>Реестр_План_Факт!AO217</f>
        <v>0</v>
      </c>
      <c r="AP217" t="str">
        <f>Реестр_План_Факт!AP217</f>
        <v/>
      </c>
      <c r="AQ217">
        <f>Реестр_План_Факт!AQ217</f>
        <v>0</v>
      </c>
    </row>
    <row r="218" spans="1:43" x14ac:dyDescent="0.2">
      <c r="A218" s="201">
        <f>Реестр_План_Факт!A218</f>
        <v>46239</v>
      </c>
      <c r="B218">
        <f>Реестр_План_Факт!B218</f>
        <v>32</v>
      </c>
      <c r="C218">
        <f>Реестр_План_Факт!C218</f>
        <v>8</v>
      </c>
      <c r="D218">
        <f>Реестр_План_Факт!D218</f>
        <v>0</v>
      </c>
      <c r="E218">
        <f>Реестр_План_Факт!E218</f>
        <v>0</v>
      </c>
      <c r="F218" t="str">
        <f>Реестр_План_Факт!F218</f>
        <v/>
      </c>
      <c r="G218">
        <f>Реестр_План_Факт!G218</f>
        <v>0</v>
      </c>
      <c r="H218">
        <f>Реестр_План_Факт!H218</f>
        <v>0</v>
      </c>
      <c r="I218" t="str">
        <f>Реестр_План_Факт!I218</f>
        <v/>
      </c>
      <c r="J218">
        <f>Реестр_План_Факт!J218</f>
        <v>0</v>
      </c>
      <c r="K218">
        <f>Реестр_План_Факт!K218</f>
        <v>0</v>
      </c>
      <c r="L218" t="str">
        <f>Реестр_План_Факт!L218</f>
        <v/>
      </c>
      <c r="M218">
        <f>Реестр_План_Факт!M218</f>
        <v>0</v>
      </c>
      <c r="N218">
        <f>Реестр_План_Факт!N218</f>
        <v>0</v>
      </c>
      <c r="O218" t="str">
        <f>Реестр_План_Факт!O218</f>
        <v/>
      </c>
      <c r="P218">
        <f>Реестр_План_Факт!P218</f>
        <v>0</v>
      </c>
      <c r="Q218">
        <f>Реестр_План_Факт!Q218</f>
        <v>0</v>
      </c>
      <c r="R218" t="str">
        <f>Реестр_План_Факт!R218</f>
        <v/>
      </c>
      <c r="S218">
        <f>Реестр_План_Факт!S218</f>
        <v>0</v>
      </c>
      <c r="T218">
        <f>Реестр_План_Факт!T218</f>
        <v>0</v>
      </c>
      <c r="U218" t="str">
        <f>Реестр_План_Факт!U218</f>
        <v/>
      </c>
      <c r="V218">
        <f>Реестр_План_Факт!V218</f>
        <v>0</v>
      </c>
      <c r="W218">
        <f>Реестр_План_Факт!W218</f>
        <v>0</v>
      </c>
      <c r="X218" t="str">
        <f>Реестр_План_Факт!X218</f>
        <v/>
      </c>
      <c r="Y218">
        <f>Реестр_План_Факт!Y218</f>
        <v>0</v>
      </c>
      <c r="Z218">
        <f>Реестр_План_Факт!Z218</f>
        <v>0</v>
      </c>
      <c r="AA218" t="str">
        <f>Реестр_План_Факт!AA218</f>
        <v/>
      </c>
      <c r="AB218">
        <f>Реестр_План_Факт!AB218</f>
        <v>0</v>
      </c>
      <c r="AC218">
        <f>Реестр_План_Факт!AC218</f>
        <v>0</v>
      </c>
      <c r="AD218" t="str">
        <f>Реестр_План_Факт!AD218</f>
        <v/>
      </c>
      <c r="AE218">
        <f>Реестр_План_Факт!AE218</f>
        <v>0</v>
      </c>
      <c r="AF218">
        <f>Реестр_План_Факт!AF218</f>
        <v>0</v>
      </c>
      <c r="AG218" t="str">
        <f>Реестр_План_Факт!AG218</f>
        <v/>
      </c>
      <c r="AH218">
        <f>Реестр_План_Факт!AH218</f>
        <v>0</v>
      </c>
      <c r="AI218">
        <f>Реестр_План_Факт!AI218</f>
        <v>0</v>
      </c>
      <c r="AJ218" t="str">
        <f>Реестр_План_Факт!AJ218</f>
        <v/>
      </c>
      <c r="AK218">
        <f>Реестр_План_Факт!AK218</f>
        <v>0</v>
      </c>
      <c r="AL218">
        <f>Реестр_План_Факт!AL218</f>
        <v>0</v>
      </c>
      <c r="AM218" t="str">
        <f>Реестр_План_Факт!AM218</f>
        <v/>
      </c>
      <c r="AN218">
        <f>Реестр_План_Факт!AN218</f>
        <v>0</v>
      </c>
      <c r="AO218">
        <f>Реестр_План_Факт!AO218</f>
        <v>0</v>
      </c>
      <c r="AP218" t="str">
        <f>Реестр_План_Факт!AP218</f>
        <v/>
      </c>
      <c r="AQ218">
        <f>Реестр_План_Факт!AQ218</f>
        <v>0</v>
      </c>
    </row>
    <row r="219" spans="1:43" x14ac:dyDescent="0.2">
      <c r="A219" s="201">
        <f>Реестр_План_Факт!A219</f>
        <v>46240</v>
      </c>
      <c r="B219">
        <f>Реестр_План_Факт!B219</f>
        <v>32</v>
      </c>
      <c r="C219">
        <f>Реестр_План_Факт!C219</f>
        <v>8</v>
      </c>
      <c r="D219">
        <f>Реестр_План_Факт!D219</f>
        <v>0</v>
      </c>
      <c r="E219">
        <f>Реестр_План_Факт!E219</f>
        <v>0</v>
      </c>
      <c r="F219" t="str">
        <f>Реестр_План_Факт!F219</f>
        <v/>
      </c>
      <c r="G219">
        <f>Реестр_План_Факт!G219</f>
        <v>0</v>
      </c>
      <c r="H219">
        <f>Реестр_План_Факт!H219</f>
        <v>0</v>
      </c>
      <c r="I219" t="str">
        <f>Реестр_План_Факт!I219</f>
        <v/>
      </c>
      <c r="J219">
        <f>Реестр_План_Факт!J219</f>
        <v>0</v>
      </c>
      <c r="K219">
        <f>Реестр_План_Факт!K219</f>
        <v>0</v>
      </c>
      <c r="L219" t="str">
        <f>Реестр_План_Факт!L219</f>
        <v/>
      </c>
      <c r="M219">
        <f>Реестр_План_Факт!M219</f>
        <v>0</v>
      </c>
      <c r="N219">
        <f>Реестр_План_Факт!N219</f>
        <v>0</v>
      </c>
      <c r="O219" t="str">
        <f>Реестр_План_Факт!O219</f>
        <v/>
      </c>
      <c r="P219">
        <f>Реестр_План_Факт!P219</f>
        <v>0</v>
      </c>
      <c r="Q219">
        <f>Реестр_План_Факт!Q219</f>
        <v>0</v>
      </c>
      <c r="R219" t="str">
        <f>Реестр_План_Факт!R219</f>
        <v/>
      </c>
      <c r="S219">
        <f>Реестр_План_Факт!S219</f>
        <v>0</v>
      </c>
      <c r="T219">
        <f>Реестр_План_Факт!T219</f>
        <v>0</v>
      </c>
      <c r="U219" t="str">
        <f>Реестр_План_Факт!U219</f>
        <v/>
      </c>
      <c r="V219">
        <f>Реестр_План_Факт!V219</f>
        <v>0</v>
      </c>
      <c r="W219">
        <f>Реестр_План_Факт!W219</f>
        <v>0</v>
      </c>
      <c r="X219" t="str">
        <f>Реестр_План_Факт!X219</f>
        <v/>
      </c>
      <c r="Y219">
        <f>Реестр_План_Факт!Y219</f>
        <v>0</v>
      </c>
      <c r="Z219">
        <f>Реестр_План_Факт!Z219</f>
        <v>0</v>
      </c>
      <c r="AA219" t="str">
        <f>Реестр_План_Факт!AA219</f>
        <v/>
      </c>
      <c r="AB219">
        <f>Реестр_План_Факт!AB219</f>
        <v>0</v>
      </c>
      <c r="AC219">
        <f>Реестр_План_Факт!AC219</f>
        <v>0</v>
      </c>
      <c r="AD219" t="str">
        <f>Реестр_План_Факт!AD219</f>
        <v/>
      </c>
      <c r="AE219">
        <f>Реестр_План_Факт!AE219</f>
        <v>0</v>
      </c>
      <c r="AF219">
        <f>Реестр_План_Факт!AF219</f>
        <v>0</v>
      </c>
      <c r="AG219" t="str">
        <f>Реестр_План_Факт!AG219</f>
        <v/>
      </c>
      <c r="AH219">
        <f>Реестр_План_Факт!AH219</f>
        <v>0</v>
      </c>
      <c r="AI219">
        <f>Реестр_План_Факт!AI219</f>
        <v>0</v>
      </c>
      <c r="AJ219" t="str">
        <f>Реестр_План_Факт!AJ219</f>
        <v/>
      </c>
      <c r="AK219">
        <f>Реестр_План_Факт!AK219</f>
        <v>0</v>
      </c>
      <c r="AL219">
        <f>Реестр_План_Факт!AL219</f>
        <v>0</v>
      </c>
      <c r="AM219" t="str">
        <f>Реестр_План_Факт!AM219</f>
        <v/>
      </c>
      <c r="AN219">
        <f>Реестр_План_Факт!AN219</f>
        <v>0</v>
      </c>
      <c r="AO219">
        <f>Реестр_План_Факт!AO219</f>
        <v>0</v>
      </c>
      <c r="AP219" t="str">
        <f>Реестр_План_Факт!AP219</f>
        <v/>
      </c>
      <c r="AQ219">
        <f>Реестр_План_Факт!AQ219</f>
        <v>0</v>
      </c>
    </row>
    <row r="220" spans="1:43" x14ac:dyDescent="0.2">
      <c r="A220" s="201">
        <f>Реестр_План_Факт!A220</f>
        <v>46241</v>
      </c>
      <c r="B220">
        <f>Реестр_План_Факт!B220</f>
        <v>32</v>
      </c>
      <c r="C220">
        <f>Реестр_План_Факт!C220</f>
        <v>8</v>
      </c>
      <c r="D220">
        <f>Реестр_План_Факт!D220</f>
        <v>0</v>
      </c>
      <c r="E220">
        <f>Реестр_План_Факт!E220</f>
        <v>0</v>
      </c>
      <c r="F220" t="str">
        <f>Реестр_План_Факт!F220</f>
        <v/>
      </c>
      <c r="G220">
        <f>Реестр_План_Факт!G220</f>
        <v>0</v>
      </c>
      <c r="H220">
        <f>Реестр_План_Факт!H220</f>
        <v>0</v>
      </c>
      <c r="I220" t="str">
        <f>Реестр_План_Факт!I220</f>
        <v/>
      </c>
      <c r="J220">
        <f>Реестр_План_Факт!J220</f>
        <v>0</v>
      </c>
      <c r="K220">
        <f>Реестр_План_Факт!K220</f>
        <v>0</v>
      </c>
      <c r="L220" t="str">
        <f>Реестр_План_Факт!L220</f>
        <v/>
      </c>
      <c r="M220">
        <f>Реестр_План_Факт!M220</f>
        <v>0</v>
      </c>
      <c r="N220">
        <f>Реестр_План_Факт!N220</f>
        <v>0</v>
      </c>
      <c r="O220" t="str">
        <f>Реестр_План_Факт!O220</f>
        <v/>
      </c>
      <c r="P220">
        <f>Реестр_План_Факт!P220</f>
        <v>0</v>
      </c>
      <c r="Q220">
        <f>Реестр_План_Факт!Q220</f>
        <v>0</v>
      </c>
      <c r="R220" t="str">
        <f>Реестр_План_Факт!R220</f>
        <v/>
      </c>
      <c r="S220">
        <f>Реестр_План_Факт!S220</f>
        <v>0</v>
      </c>
      <c r="T220">
        <f>Реестр_План_Факт!T220</f>
        <v>0</v>
      </c>
      <c r="U220" t="str">
        <f>Реестр_План_Факт!U220</f>
        <v/>
      </c>
      <c r="V220">
        <f>Реестр_План_Факт!V220</f>
        <v>0</v>
      </c>
      <c r="W220">
        <f>Реестр_План_Факт!W220</f>
        <v>0</v>
      </c>
      <c r="X220" t="str">
        <f>Реестр_План_Факт!X220</f>
        <v/>
      </c>
      <c r="Y220">
        <f>Реестр_План_Факт!Y220</f>
        <v>0</v>
      </c>
      <c r="Z220">
        <f>Реестр_План_Факт!Z220</f>
        <v>0</v>
      </c>
      <c r="AA220" t="str">
        <f>Реестр_План_Факт!AA220</f>
        <v/>
      </c>
      <c r="AB220">
        <f>Реестр_План_Факт!AB220</f>
        <v>0</v>
      </c>
      <c r="AC220">
        <f>Реестр_План_Факт!AC220</f>
        <v>0</v>
      </c>
      <c r="AD220" t="str">
        <f>Реестр_План_Факт!AD220</f>
        <v/>
      </c>
      <c r="AE220">
        <f>Реестр_План_Факт!AE220</f>
        <v>0</v>
      </c>
      <c r="AF220">
        <f>Реестр_План_Факт!AF220</f>
        <v>0</v>
      </c>
      <c r="AG220" t="str">
        <f>Реестр_План_Факт!AG220</f>
        <v/>
      </c>
      <c r="AH220">
        <f>Реестр_План_Факт!AH220</f>
        <v>0</v>
      </c>
      <c r="AI220">
        <f>Реестр_План_Факт!AI220</f>
        <v>0</v>
      </c>
      <c r="AJ220" t="str">
        <f>Реестр_План_Факт!AJ220</f>
        <v/>
      </c>
      <c r="AK220">
        <f>Реестр_План_Факт!AK220</f>
        <v>0</v>
      </c>
      <c r="AL220">
        <f>Реестр_План_Факт!AL220</f>
        <v>0</v>
      </c>
      <c r="AM220" t="str">
        <f>Реестр_План_Факт!AM220</f>
        <v/>
      </c>
      <c r="AN220">
        <f>Реестр_План_Факт!AN220</f>
        <v>0</v>
      </c>
      <c r="AO220">
        <f>Реестр_План_Факт!AO220</f>
        <v>0</v>
      </c>
      <c r="AP220" t="str">
        <f>Реестр_План_Факт!AP220</f>
        <v/>
      </c>
      <c r="AQ220">
        <f>Реестр_План_Факт!AQ220</f>
        <v>0</v>
      </c>
    </row>
    <row r="221" spans="1:43" x14ac:dyDescent="0.2">
      <c r="A221" s="201">
        <f>Реестр_План_Факт!A221</f>
        <v>46242</v>
      </c>
      <c r="B221">
        <f>Реестр_План_Факт!B221</f>
        <v>32</v>
      </c>
      <c r="C221">
        <f>Реестр_План_Факт!C221</f>
        <v>8</v>
      </c>
      <c r="D221">
        <f>Реестр_План_Факт!D221</f>
        <v>0</v>
      </c>
      <c r="E221">
        <f>Реестр_План_Факт!E221</f>
        <v>0</v>
      </c>
      <c r="F221" t="str">
        <f>Реестр_План_Факт!F221</f>
        <v/>
      </c>
      <c r="G221">
        <f>Реестр_План_Факт!G221</f>
        <v>0</v>
      </c>
      <c r="H221">
        <f>Реестр_План_Факт!H221</f>
        <v>0</v>
      </c>
      <c r="I221" t="str">
        <f>Реестр_План_Факт!I221</f>
        <v/>
      </c>
      <c r="J221">
        <f>Реестр_План_Факт!J221</f>
        <v>0</v>
      </c>
      <c r="K221">
        <f>Реестр_План_Факт!K221</f>
        <v>0</v>
      </c>
      <c r="L221" t="str">
        <f>Реестр_План_Факт!L221</f>
        <v/>
      </c>
      <c r="M221">
        <f>Реестр_План_Факт!M221</f>
        <v>0</v>
      </c>
      <c r="N221">
        <f>Реестр_План_Факт!N221</f>
        <v>0</v>
      </c>
      <c r="O221" t="str">
        <f>Реестр_План_Факт!O221</f>
        <v/>
      </c>
      <c r="P221">
        <f>Реестр_План_Факт!P221</f>
        <v>0</v>
      </c>
      <c r="Q221">
        <f>Реестр_План_Факт!Q221</f>
        <v>0</v>
      </c>
      <c r="R221" t="str">
        <f>Реестр_План_Факт!R221</f>
        <v/>
      </c>
      <c r="S221">
        <f>Реестр_План_Факт!S221</f>
        <v>0</v>
      </c>
      <c r="T221">
        <f>Реестр_План_Факт!T221</f>
        <v>0</v>
      </c>
      <c r="U221" t="str">
        <f>Реестр_План_Факт!U221</f>
        <v/>
      </c>
      <c r="V221">
        <f>Реестр_План_Факт!V221</f>
        <v>0</v>
      </c>
      <c r="W221">
        <f>Реестр_План_Факт!W221</f>
        <v>0</v>
      </c>
      <c r="X221" t="str">
        <f>Реестр_План_Факт!X221</f>
        <v/>
      </c>
      <c r="Y221">
        <f>Реестр_План_Факт!Y221</f>
        <v>0</v>
      </c>
      <c r="Z221">
        <f>Реестр_План_Факт!Z221</f>
        <v>0</v>
      </c>
      <c r="AA221" t="str">
        <f>Реестр_План_Факт!AA221</f>
        <v/>
      </c>
      <c r="AB221">
        <f>Реестр_План_Факт!AB221</f>
        <v>0</v>
      </c>
      <c r="AC221">
        <f>Реестр_План_Факт!AC221</f>
        <v>0</v>
      </c>
      <c r="AD221" t="str">
        <f>Реестр_План_Факт!AD221</f>
        <v/>
      </c>
      <c r="AE221">
        <f>Реестр_План_Факт!AE221</f>
        <v>0</v>
      </c>
      <c r="AF221">
        <f>Реестр_План_Факт!AF221</f>
        <v>0</v>
      </c>
      <c r="AG221" t="str">
        <f>Реестр_План_Факт!AG221</f>
        <v/>
      </c>
      <c r="AH221">
        <f>Реестр_План_Факт!AH221</f>
        <v>0</v>
      </c>
      <c r="AI221">
        <f>Реестр_План_Факт!AI221</f>
        <v>0</v>
      </c>
      <c r="AJ221" t="str">
        <f>Реестр_План_Факт!AJ221</f>
        <v/>
      </c>
      <c r="AK221">
        <f>Реестр_План_Факт!AK221</f>
        <v>0</v>
      </c>
      <c r="AL221">
        <f>Реестр_План_Факт!AL221</f>
        <v>0</v>
      </c>
      <c r="AM221" t="str">
        <f>Реестр_План_Факт!AM221</f>
        <v/>
      </c>
      <c r="AN221">
        <f>Реестр_План_Факт!AN221</f>
        <v>0</v>
      </c>
      <c r="AO221">
        <f>Реестр_План_Факт!AO221</f>
        <v>0</v>
      </c>
      <c r="AP221" t="str">
        <f>Реестр_План_Факт!AP221</f>
        <v/>
      </c>
      <c r="AQ221">
        <f>Реестр_План_Факт!AQ221</f>
        <v>0</v>
      </c>
    </row>
    <row r="222" spans="1:43" x14ac:dyDescent="0.2">
      <c r="A222" s="201">
        <f>Реестр_План_Факт!A222</f>
        <v>46243</v>
      </c>
      <c r="B222">
        <f>Реестр_План_Факт!B222</f>
        <v>32</v>
      </c>
      <c r="C222">
        <f>Реестр_План_Факт!C222</f>
        <v>8</v>
      </c>
      <c r="D222">
        <f>Реестр_План_Факт!D222</f>
        <v>0</v>
      </c>
      <c r="E222">
        <f>Реестр_План_Факт!E222</f>
        <v>0</v>
      </c>
      <c r="F222" t="str">
        <f>Реестр_План_Факт!F222</f>
        <v/>
      </c>
      <c r="G222">
        <f>Реестр_План_Факт!G222</f>
        <v>0</v>
      </c>
      <c r="H222">
        <f>Реестр_План_Факт!H222</f>
        <v>0</v>
      </c>
      <c r="I222" t="str">
        <f>Реестр_План_Факт!I222</f>
        <v/>
      </c>
      <c r="J222">
        <f>Реестр_План_Факт!J222</f>
        <v>0</v>
      </c>
      <c r="K222">
        <f>Реестр_План_Факт!K222</f>
        <v>0</v>
      </c>
      <c r="L222" t="str">
        <f>Реестр_План_Факт!L222</f>
        <v/>
      </c>
      <c r="M222">
        <f>Реестр_План_Факт!M222</f>
        <v>0</v>
      </c>
      <c r="N222">
        <f>Реестр_План_Факт!N222</f>
        <v>0</v>
      </c>
      <c r="O222" t="str">
        <f>Реестр_План_Факт!O222</f>
        <v/>
      </c>
      <c r="P222">
        <f>Реестр_План_Факт!P222</f>
        <v>0</v>
      </c>
      <c r="Q222">
        <f>Реестр_План_Факт!Q222</f>
        <v>0</v>
      </c>
      <c r="R222" t="str">
        <f>Реестр_План_Факт!R222</f>
        <v/>
      </c>
      <c r="S222">
        <f>Реестр_План_Факт!S222</f>
        <v>0</v>
      </c>
      <c r="T222">
        <f>Реестр_План_Факт!T222</f>
        <v>0</v>
      </c>
      <c r="U222" t="str">
        <f>Реестр_План_Факт!U222</f>
        <v/>
      </c>
      <c r="V222">
        <f>Реестр_План_Факт!V222</f>
        <v>0</v>
      </c>
      <c r="W222">
        <f>Реестр_План_Факт!W222</f>
        <v>0</v>
      </c>
      <c r="X222" t="str">
        <f>Реестр_План_Факт!X222</f>
        <v/>
      </c>
      <c r="Y222">
        <f>Реестр_План_Факт!Y222</f>
        <v>0</v>
      </c>
      <c r="Z222">
        <f>Реестр_План_Факт!Z222</f>
        <v>0</v>
      </c>
      <c r="AA222" t="str">
        <f>Реестр_План_Факт!AA222</f>
        <v/>
      </c>
      <c r="AB222">
        <f>Реестр_План_Факт!AB222</f>
        <v>0</v>
      </c>
      <c r="AC222">
        <f>Реестр_План_Факт!AC222</f>
        <v>0</v>
      </c>
      <c r="AD222" t="str">
        <f>Реестр_План_Факт!AD222</f>
        <v/>
      </c>
      <c r="AE222">
        <f>Реестр_План_Факт!AE222</f>
        <v>0</v>
      </c>
      <c r="AF222">
        <f>Реестр_План_Факт!AF222</f>
        <v>0</v>
      </c>
      <c r="AG222" t="str">
        <f>Реестр_План_Факт!AG222</f>
        <v/>
      </c>
      <c r="AH222">
        <f>Реестр_План_Факт!AH222</f>
        <v>0</v>
      </c>
      <c r="AI222">
        <f>Реестр_План_Факт!AI222</f>
        <v>0</v>
      </c>
      <c r="AJ222" t="str">
        <f>Реестр_План_Факт!AJ222</f>
        <v/>
      </c>
      <c r="AK222">
        <f>Реестр_План_Факт!AK222</f>
        <v>0</v>
      </c>
      <c r="AL222">
        <f>Реестр_План_Факт!AL222</f>
        <v>0</v>
      </c>
      <c r="AM222" t="str">
        <f>Реестр_План_Факт!AM222</f>
        <v/>
      </c>
      <c r="AN222">
        <f>Реестр_План_Факт!AN222</f>
        <v>0</v>
      </c>
      <c r="AO222">
        <f>Реестр_План_Факт!AO222</f>
        <v>0</v>
      </c>
      <c r="AP222" t="str">
        <f>Реестр_План_Факт!AP222</f>
        <v/>
      </c>
      <c r="AQ222">
        <f>Реестр_План_Факт!AQ222</f>
        <v>0</v>
      </c>
    </row>
    <row r="223" spans="1:43" x14ac:dyDescent="0.2">
      <c r="A223" s="201">
        <f>Реестр_План_Факт!A223</f>
        <v>46244</v>
      </c>
      <c r="B223">
        <f>Реестр_План_Факт!B223</f>
        <v>33</v>
      </c>
      <c r="C223">
        <f>Реестр_План_Факт!C223</f>
        <v>8</v>
      </c>
      <c r="D223">
        <f>Реестр_План_Факт!D223</f>
        <v>0</v>
      </c>
      <c r="E223">
        <f>Реестр_План_Факт!E223</f>
        <v>0</v>
      </c>
      <c r="F223" t="str">
        <f>Реестр_План_Факт!F223</f>
        <v/>
      </c>
      <c r="G223">
        <f>Реестр_План_Факт!G223</f>
        <v>0</v>
      </c>
      <c r="H223">
        <f>Реестр_План_Факт!H223</f>
        <v>0</v>
      </c>
      <c r="I223" t="str">
        <f>Реестр_План_Факт!I223</f>
        <v/>
      </c>
      <c r="J223">
        <f>Реестр_План_Факт!J223</f>
        <v>0</v>
      </c>
      <c r="K223">
        <f>Реестр_План_Факт!K223</f>
        <v>0</v>
      </c>
      <c r="L223" t="str">
        <f>Реестр_План_Факт!L223</f>
        <v/>
      </c>
      <c r="M223">
        <f>Реестр_План_Факт!M223</f>
        <v>0</v>
      </c>
      <c r="N223">
        <f>Реестр_План_Факт!N223</f>
        <v>0</v>
      </c>
      <c r="O223" t="str">
        <f>Реестр_План_Факт!O223</f>
        <v/>
      </c>
      <c r="P223">
        <f>Реестр_План_Факт!P223</f>
        <v>0</v>
      </c>
      <c r="Q223">
        <f>Реестр_План_Факт!Q223</f>
        <v>0</v>
      </c>
      <c r="R223" t="str">
        <f>Реестр_План_Факт!R223</f>
        <v/>
      </c>
      <c r="S223">
        <f>Реестр_План_Факт!S223</f>
        <v>0</v>
      </c>
      <c r="T223">
        <f>Реестр_План_Факт!T223</f>
        <v>0</v>
      </c>
      <c r="U223" t="str">
        <f>Реестр_План_Факт!U223</f>
        <v/>
      </c>
      <c r="V223">
        <f>Реестр_План_Факт!V223</f>
        <v>0</v>
      </c>
      <c r="W223">
        <f>Реестр_План_Факт!W223</f>
        <v>0</v>
      </c>
      <c r="X223" t="str">
        <f>Реестр_План_Факт!X223</f>
        <v/>
      </c>
      <c r="Y223">
        <f>Реестр_План_Факт!Y223</f>
        <v>0</v>
      </c>
      <c r="Z223">
        <f>Реестр_План_Факт!Z223</f>
        <v>0</v>
      </c>
      <c r="AA223" t="str">
        <f>Реестр_План_Факт!AA223</f>
        <v/>
      </c>
      <c r="AB223">
        <f>Реестр_План_Факт!AB223</f>
        <v>0</v>
      </c>
      <c r="AC223">
        <f>Реестр_План_Факт!AC223</f>
        <v>0</v>
      </c>
      <c r="AD223" t="str">
        <f>Реестр_План_Факт!AD223</f>
        <v/>
      </c>
      <c r="AE223">
        <f>Реестр_План_Факт!AE223</f>
        <v>0</v>
      </c>
      <c r="AF223">
        <f>Реестр_План_Факт!AF223</f>
        <v>0</v>
      </c>
      <c r="AG223" t="str">
        <f>Реестр_План_Факт!AG223</f>
        <v/>
      </c>
      <c r="AH223">
        <f>Реестр_План_Факт!AH223</f>
        <v>0</v>
      </c>
      <c r="AI223">
        <f>Реестр_План_Факт!AI223</f>
        <v>0</v>
      </c>
      <c r="AJ223" t="str">
        <f>Реестр_План_Факт!AJ223</f>
        <v/>
      </c>
      <c r="AK223">
        <f>Реестр_План_Факт!AK223</f>
        <v>0</v>
      </c>
      <c r="AL223">
        <f>Реестр_План_Факт!AL223</f>
        <v>0</v>
      </c>
      <c r="AM223" t="str">
        <f>Реестр_План_Факт!AM223</f>
        <v/>
      </c>
      <c r="AN223">
        <f>Реестр_План_Факт!AN223</f>
        <v>0</v>
      </c>
      <c r="AO223">
        <f>Реестр_План_Факт!AO223</f>
        <v>0</v>
      </c>
      <c r="AP223" t="str">
        <f>Реестр_План_Факт!AP223</f>
        <v/>
      </c>
      <c r="AQ223">
        <f>Реестр_План_Факт!AQ223</f>
        <v>0</v>
      </c>
    </row>
    <row r="224" spans="1:43" x14ac:dyDescent="0.2">
      <c r="A224" s="201">
        <f>Реестр_План_Факт!A224</f>
        <v>46245</v>
      </c>
      <c r="B224">
        <f>Реестр_План_Факт!B224</f>
        <v>33</v>
      </c>
      <c r="C224">
        <f>Реестр_План_Факт!C224</f>
        <v>8</v>
      </c>
      <c r="D224">
        <f>Реестр_План_Факт!D224</f>
        <v>0</v>
      </c>
      <c r="E224">
        <f>Реестр_План_Факт!E224</f>
        <v>0</v>
      </c>
      <c r="F224" t="str">
        <f>Реестр_План_Факт!F224</f>
        <v/>
      </c>
      <c r="G224">
        <f>Реестр_План_Факт!G224</f>
        <v>0</v>
      </c>
      <c r="H224">
        <f>Реестр_План_Факт!H224</f>
        <v>0</v>
      </c>
      <c r="I224" t="str">
        <f>Реестр_План_Факт!I224</f>
        <v/>
      </c>
      <c r="J224">
        <f>Реестр_План_Факт!J224</f>
        <v>0</v>
      </c>
      <c r="K224">
        <f>Реестр_План_Факт!K224</f>
        <v>0</v>
      </c>
      <c r="L224" t="str">
        <f>Реестр_План_Факт!L224</f>
        <v/>
      </c>
      <c r="M224">
        <f>Реестр_План_Факт!M224</f>
        <v>0</v>
      </c>
      <c r="N224">
        <f>Реестр_План_Факт!N224</f>
        <v>0</v>
      </c>
      <c r="O224" t="str">
        <f>Реестр_План_Факт!O224</f>
        <v/>
      </c>
      <c r="P224">
        <f>Реестр_План_Факт!P224</f>
        <v>0</v>
      </c>
      <c r="Q224">
        <f>Реестр_План_Факт!Q224</f>
        <v>0</v>
      </c>
      <c r="R224" t="str">
        <f>Реестр_План_Факт!R224</f>
        <v/>
      </c>
      <c r="S224">
        <f>Реестр_План_Факт!S224</f>
        <v>0</v>
      </c>
      <c r="T224">
        <f>Реестр_План_Факт!T224</f>
        <v>0</v>
      </c>
      <c r="U224" t="str">
        <f>Реестр_План_Факт!U224</f>
        <v/>
      </c>
      <c r="V224">
        <f>Реестр_План_Факт!V224</f>
        <v>0</v>
      </c>
      <c r="W224">
        <f>Реестр_План_Факт!W224</f>
        <v>0</v>
      </c>
      <c r="X224" t="str">
        <f>Реестр_План_Факт!X224</f>
        <v/>
      </c>
      <c r="Y224">
        <f>Реестр_План_Факт!Y224</f>
        <v>0</v>
      </c>
      <c r="Z224">
        <f>Реестр_План_Факт!Z224</f>
        <v>0</v>
      </c>
      <c r="AA224" t="str">
        <f>Реестр_План_Факт!AA224</f>
        <v/>
      </c>
      <c r="AB224">
        <f>Реестр_План_Факт!AB224</f>
        <v>0</v>
      </c>
      <c r="AC224">
        <f>Реестр_План_Факт!AC224</f>
        <v>0</v>
      </c>
      <c r="AD224" t="str">
        <f>Реестр_План_Факт!AD224</f>
        <v/>
      </c>
      <c r="AE224">
        <f>Реестр_План_Факт!AE224</f>
        <v>0</v>
      </c>
      <c r="AF224">
        <f>Реестр_План_Факт!AF224</f>
        <v>0</v>
      </c>
      <c r="AG224" t="str">
        <f>Реестр_План_Факт!AG224</f>
        <v/>
      </c>
      <c r="AH224">
        <f>Реестр_План_Факт!AH224</f>
        <v>0</v>
      </c>
      <c r="AI224">
        <f>Реестр_План_Факт!AI224</f>
        <v>0</v>
      </c>
      <c r="AJ224" t="str">
        <f>Реестр_План_Факт!AJ224</f>
        <v/>
      </c>
      <c r="AK224">
        <f>Реестр_План_Факт!AK224</f>
        <v>0</v>
      </c>
      <c r="AL224">
        <f>Реестр_План_Факт!AL224</f>
        <v>0</v>
      </c>
      <c r="AM224" t="str">
        <f>Реестр_План_Факт!AM224</f>
        <v/>
      </c>
      <c r="AN224">
        <f>Реестр_План_Факт!AN224</f>
        <v>0</v>
      </c>
      <c r="AO224">
        <f>Реестр_План_Факт!AO224</f>
        <v>0</v>
      </c>
      <c r="AP224" t="str">
        <f>Реестр_План_Факт!AP224</f>
        <v/>
      </c>
      <c r="AQ224">
        <f>Реестр_План_Факт!AQ224</f>
        <v>0</v>
      </c>
    </row>
    <row r="225" spans="1:43" x14ac:dyDescent="0.2">
      <c r="A225" s="201">
        <f>Реестр_План_Факт!A225</f>
        <v>46246</v>
      </c>
      <c r="B225">
        <f>Реестр_План_Факт!B225</f>
        <v>33</v>
      </c>
      <c r="C225">
        <f>Реестр_План_Факт!C225</f>
        <v>8</v>
      </c>
      <c r="D225">
        <f>Реестр_План_Факт!D225</f>
        <v>0</v>
      </c>
      <c r="E225">
        <f>Реестр_План_Факт!E225</f>
        <v>0</v>
      </c>
      <c r="F225" t="str">
        <f>Реестр_План_Факт!F225</f>
        <v/>
      </c>
      <c r="G225">
        <f>Реестр_План_Факт!G225</f>
        <v>0</v>
      </c>
      <c r="H225">
        <f>Реестр_План_Факт!H225</f>
        <v>0</v>
      </c>
      <c r="I225" t="str">
        <f>Реестр_План_Факт!I225</f>
        <v/>
      </c>
      <c r="J225">
        <f>Реестр_План_Факт!J225</f>
        <v>0</v>
      </c>
      <c r="K225">
        <f>Реестр_План_Факт!K225</f>
        <v>0</v>
      </c>
      <c r="L225" t="str">
        <f>Реестр_План_Факт!L225</f>
        <v/>
      </c>
      <c r="M225">
        <f>Реестр_План_Факт!M225</f>
        <v>0</v>
      </c>
      <c r="N225">
        <f>Реестр_План_Факт!N225</f>
        <v>0</v>
      </c>
      <c r="O225" t="str">
        <f>Реестр_План_Факт!O225</f>
        <v/>
      </c>
      <c r="P225">
        <f>Реестр_План_Факт!P225</f>
        <v>0</v>
      </c>
      <c r="Q225">
        <f>Реестр_План_Факт!Q225</f>
        <v>0</v>
      </c>
      <c r="R225" t="str">
        <f>Реестр_План_Факт!R225</f>
        <v/>
      </c>
      <c r="S225">
        <f>Реестр_План_Факт!S225</f>
        <v>0</v>
      </c>
      <c r="T225">
        <f>Реестр_План_Факт!T225</f>
        <v>0</v>
      </c>
      <c r="U225" t="str">
        <f>Реестр_План_Факт!U225</f>
        <v/>
      </c>
      <c r="V225">
        <f>Реестр_План_Факт!V225</f>
        <v>0</v>
      </c>
      <c r="W225">
        <f>Реестр_План_Факт!W225</f>
        <v>0</v>
      </c>
      <c r="X225" t="str">
        <f>Реестр_План_Факт!X225</f>
        <v/>
      </c>
      <c r="Y225">
        <f>Реестр_План_Факт!Y225</f>
        <v>0</v>
      </c>
      <c r="Z225">
        <f>Реестр_План_Факт!Z225</f>
        <v>0</v>
      </c>
      <c r="AA225" t="str">
        <f>Реестр_План_Факт!AA225</f>
        <v/>
      </c>
      <c r="AB225">
        <f>Реестр_План_Факт!AB225</f>
        <v>0</v>
      </c>
      <c r="AC225">
        <f>Реестр_План_Факт!AC225</f>
        <v>0</v>
      </c>
      <c r="AD225" t="str">
        <f>Реестр_План_Факт!AD225</f>
        <v/>
      </c>
      <c r="AE225">
        <f>Реестр_План_Факт!AE225</f>
        <v>0</v>
      </c>
      <c r="AF225">
        <f>Реестр_План_Факт!AF225</f>
        <v>0</v>
      </c>
      <c r="AG225" t="str">
        <f>Реестр_План_Факт!AG225</f>
        <v/>
      </c>
      <c r="AH225">
        <f>Реестр_План_Факт!AH225</f>
        <v>0</v>
      </c>
      <c r="AI225">
        <f>Реестр_План_Факт!AI225</f>
        <v>0</v>
      </c>
      <c r="AJ225" t="str">
        <f>Реестр_План_Факт!AJ225</f>
        <v/>
      </c>
      <c r="AK225">
        <f>Реестр_План_Факт!AK225</f>
        <v>0</v>
      </c>
      <c r="AL225">
        <f>Реестр_План_Факт!AL225</f>
        <v>0</v>
      </c>
      <c r="AM225" t="str">
        <f>Реестр_План_Факт!AM225</f>
        <v/>
      </c>
      <c r="AN225">
        <f>Реестр_План_Факт!AN225</f>
        <v>0</v>
      </c>
      <c r="AO225">
        <f>Реестр_План_Факт!AO225</f>
        <v>0</v>
      </c>
      <c r="AP225" t="str">
        <f>Реестр_План_Факт!AP225</f>
        <v/>
      </c>
      <c r="AQ225">
        <f>Реестр_План_Факт!AQ225</f>
        <v>0</v>
      </c>
    </row>
    <row r="226" spans="1:43" x14ac:dyDescent="0.2">
      <c r="A226" s="201">
        <f>Реестр_План_Факт!A226</f>
        <v>46247</v>
      </c>
      <c r="B226">
        <f>Реестр_План_Факт!B226</f>
        <v>33</v>
      </c>
      <c r="C226">
        <f>Реестр_План_Факт!C226</f>
        <v>8</v>
      </c>
      <c r="D226">
        <f>Реестр_План_Факт!D226</f>
        <v>0</v>
      </c>
      <c r="E226">
        <f>Реестр_План_Факт!E226</f>
        <v>0</v>
      </c>
      <c r="F226" t="str">
        <f>Реестр_План_Факт!F226</f>
        <v/>
      </c>
      <c r="G226">
        <f>Реестр_План_Факт!G226</f>
        <v>0</v>
      </c>
      <c r="H226">
        <f>Реестр_План_Факт!H226</f>
        <v>0</v>
      </c>
      <c r="I226" t="str">
        <f>Реестр_План_Факт!I226</f>
        <v/>
      </c>
      <c r="J226">
        <f>Реестр_План_Факт!J226</f>
        <v>0</v>
      </c>
      <c r="K226">
        <f>Реестр_План_Факт!K226</f>
        <v>0</v>
      </c>
      <c r="L226" t="str">
        <f>Реестр_План_Факт!L226</f>
        <v/>
      </c>
      <c r="M226">
        <f>Реестр_План_Факт!M226</f>
        <v>0</v>
      </c>
      <c r="N226">
        <f>Реестр_План_Факт!N226</f>
        <v>0</v>
      </c>
      <c r="O226" t="str">
        <f>Реестр_План_Факт!O226</f>
        <v/>
      </c>
      <c r="P226">
        <f>Реестр_План_Факт!P226</f>
        <v>0</v>
      </c>
      <c r="Q226">
        <f>Реестр_План_Факт!Q226</f>
        <v>0</v>
      </c>
      <c r="R226" t="str">
        <f>Реестр_План_Факт!R226</f>
        <v/>
      </c>
      <c r="S226">
        <f>Реестр_План_Факт!S226</f>
        <v>0</v>
      </c>
      <c r="T226">
        <f>Реестр_План_Факт!T226</f>
        <v>0</v>
      </c>
      <c r="U226" t="str">
        <f>Реестр_План_Факт!U226</f>
        <v/>
      </c>
      <c r="V226">
        <f>Реестр_План_Факт!V226</f>
        <v>0</v>
      </c>
      <c r="W226">
        <f>Реестр_План_Факт!W226</f>
        <v>0</v>
      </c>
      <c r="X226" t="str">
        <f>Реестр_План_Факт!X226</f>
        <v/>
      </c>
      <c r="Y226">
        <f>Реестр_План_Факт!Y226</f>
        <v>0</v>
      </c>
      <c r="Z226">
        <f>Реестр_План_Факт!Z226</f>
        <v>0</v>
      </c>
      <c r="AA226" t="str">
        <f>Реестр_План_Факт!AA226</f>
        <v/>
      </c>
      <c r="AB226">
        <f>Реестр_План_Факт!AB226</f>
        <v>0</v>
      </c>
      <c r="AC226">
        <f>Реестр_План_Факт!AC226</f>
        <v>0</v>
      </c>
      <c r="AD226" t="str">
        <f>Реестр_План_Факт!AD226</f>
        <v/>
      </c>
      <c r="AE226">
        <f>Реестр_План_Факт!AE226</f>
        <v>0</v>
      </c>
      <c r="AF226">
        <f>Реестр_План_Факт!AF226</f>
        <v>0</v>
      </c>
      <c r="AG226" t="str">
        <f>Реестр_План_Факт!AG226</f>
        <v/>
      </c>
      <c r="AH226">
        <f>Реестр_План_Факт!AH226</f>
        <v>0</v>
      </c>
      <c r="AI226">
        <f>Реестр_План_Факт!AI226</f>
        <v>0</v>
      </c>
      <c r="AJ226" t="str">
        <f>Реестр_План_Факт!AJ226</f>
        <v/>
      </c>
      <c r="AK226">
        <f>Реестр_План_Факт!AK226</f>
        <v>0</v>
      </c>
      <c r="AL226">
        <f>Реестр_План_Факт!AL226</f>
        <v>0</v>
      </c>
      <c r="AM226" t="str">
        <f>Реестр_План_Факт!AM226</f>
        <v/>
      </c>
      <c r="AN226">
        <f>Реестр_План_Факт!AN226</f>
        <v>0</v>
      </c>
      <c r="AO226">
        <f>Реестр_План_Факт!AO226</f>
        <v>0</v>
      </c>
      <c r="AP226" t="str">
        <f>Реестр_План_Факт!AP226</f>
        <v/>
      </c>
      <c r="AQ226">
        <f>Реестр_План_Факт!AQ226</f>
        <v>0</v>
      </c>
    </row>
    <row r="227" spans="1:43" x14ac:dyDescent="0.2">
      <c r="A227" s="201">
        <f>Реестр_План_Факт!A227</f>
        <v>46248</v>
      </c>
      <c r="B227">
        <f>Реестр_План_Факт!B227</f>
        <v>33</v>
      </c>
      <c r="C227">
        <f>Реестр_План_Факт!C227</f>
        <v>8</v>
      </c>
      <c r="D227">
        <f>Реестр_План_Факт!D227</f>
        <v>0</v>
      </c>
      <c r="E227">
        <f>Реестр_План_Факт!E227</f>
        <v>0</v>
      </c>
      <c r="F227" t="str">
        <f>Реестр_План_Факт!F227</f>
        <v/>
      </c>
      <c r="G227">
        <f>Реестр_План_Факт!G227</f>
        <v>0</v>
      </c>
      <c r="H227">
        <f>Реестр_План_Факт!H227</f>
        <v>0</v>
      </c>
      <c r="I227" t="str">
        <f>Реестр_План_Факт!I227</f>
        <v/>
      </c>
      <c r="J227">
        <f>Реестр_План_Факт!J227</f>
        <v>0</v>
      </c>
      <c r="K227">
        <f>Реестр_План_Факт!K227</f>
        <v>0</v>
      </c>
      <c r="L227" t="str">
        <f>Реестр_План_Факт!L227</f>
        <v/>
      </c>
      <c r="M227">
        <f>Реестр_План_Факт!M227</f>
        <v>0</v>
      </c>
      <c r="N227">
        <f>Реестр_План_Факт!N227</f>
        <v>0</v>
      </c>
      <c r="O227" t="str">
        <f>Реестр_План_Факт!O227</f>
        <v/>
      </c>
      <c r="P227">
        <f>Реестр_План_Факт!P227</f>
        <v>0</v>
      </c>
      <c r="Q227">
        <f>Реестр_План_Факт!Q227</f>
        <v>0</v>
      </c>
      <c r="R227" t="str">
        <f>Реестр_План_Факт!R227</f>
        <v/>
      </c>
      <c r="S227">
        <f>Реестр_План_Факт!S227</f>
        <v>0</v>
      </c>
      <c r="T227">
        <f>Реестр_План_Факт!T227</f>
        <v>0</v>
      </c>
      <c r="U227" t="str">
        <f>Реестр_План_Факт!U227</f>
        <v/>
      </c>
      <c r="V227">
        <f>Реестр_План_Факт!V227</f>
        <v>0</v>
      </c>
      <c r="W227">
        <f>Реестр_План_Факт!W227</f>
        <v>0</v>
      </c>
      <c r="X227" t="str">
        <f>Реестр_План_Факт!X227</f>
        <v/>
      </c>
      <c r="Y227">
        <f>Реестр_План_Факт!Y227</f>
        <v>0</v>
      </c>
      <c r="Z227">
        <f>Реестр_План_Факт!Z227</f>
        <v>0</v>
      </c>
      <c r="AA227" t="str">
        <f>Реестр_План_Факт!AA227</f>
        <v/>
      </c>
      <c r="AB227">
        <f>Реестр_План_Факт!AB227</f>
        <v>0</v>
      </c>
      <c r="AC227">
        <f>Реестр_План_Факт!AC227</f>
        <v>0</v>
      </c>
      <c r="AD227" t="str">
        <f>Реестр_План_Факт!AD227</f>
        <v/>
      </c>
      <c r="AE227">
        <f>Реестр_План_Факт!AE227</f>
        <v>0</v>
      </c>
      <c r="AF227">
        <f>Реестр_План_Факт!AF227</f>
        <v>0</v>
      </c>
      <c r="AG227" t="str">
        <f>Реестр_План_Факт!AG227</f>
        <v/>
      </c>
      <c r="AH227">
        <f>Реестр_План_Факт!AH227</f>
        <v>0</v>
      </c>
      <c r="AI227">
        <f>Реестр_План_Факт!AI227</f>
        <v>0</v>
      </c>
      <c r="AJ227" t="str">
        <f>Реестр_План_Факт!AJ227</f>
        <v/>
      </c>
      <c r="AK227">
        <f>Реестр_План_Факт!AK227</f>
        <v>0</v>
      </c>
      <c r="AL227">
        <f>Реестр_План_Факт!AL227</f>
        <v>0</v>
      </c>
      <c r="AM227" t="str">
        <f>Реестр_План_Факт!AM227</f>
        <v/>
      </c>
      <c r="AN227">
        <f>Реестр_План_Факт!AN227</f>
        <v>0</v>
      </c>
      <c r="AO227">
        <f>Реестр_План_Факт!AO227</f>
        <v>0</v>
      </c>
      <c r="AP227" t="str">
        <f>Реестр_План_Факт!AP227</f>
        <v/>
      </c>
      <c r="AQ227">
        <f>Реестр_План_Факт!AQ227</f>
        <v>0</v>
      </c>
    </row>
    <row r="228" spans="1:43" x14ac:dyDescent="0.2">
      <c r="A228" s="201">
        <f>Реестр_План_Факт!A228</f>
        <v>46249</v>
      </c>
      <c r="B228">
        <f>Реестр_План_Факт!B228</f>
        <v>33</v>
      </c>
      <c r="C228">
        <f>Реестр_План_Факт!C228</f>
        <v>8</v>
      </c>
      <c r="D228">
        <f>Реестр_План_Факт!D228</f>
        <v>0</v>
      </c>
      <c r="E228">
        <f>Реестр_План_Факт!E228</f>
        <v>0</v>
      </c>
      <c r="F228" t="str">
        <f>Реестр_План_Факт!F228</f>
        <v/>
      </c>
      <c r="G228">
        <f>Реестр_План_Факт!G228</f>
        <v>0</v>
      </c>
      <c r="H228">
        <f>Реестр_План_Факт!H228</f>
        <v>0</v>
      </c>
      <c r="I228" t="str">
        <f>Реестр_План_Факт!I228</f>
        <v/>
      </c>
      <c r="J228">
        <f>Реестр_План_Факт!J228</f>
        <v>0</v>
      </c>
      <c r="K228">
        <f>Реестр_План_Факт!K228</f>
        <v>0</v>
      </c>
      <c r="L228" t="str">
        <f>Реестр_План_Факт!L228</f>
        <v/>
      </c>
      <c r="M228">
        <f>Реестр_План_Факт!M228</f>
        <v>0</v>
      </c>
      <c r="N228">
        <f>Реестр_План_Факт!N228</f>
        <v>0</v>
      </c>
      <c r="O228" t="str">
        <f>Реестр_План_Факт!O228</f>
        <v/>
      </c>
      <c r="P228">
        <f>Реестр_План_Факт!P228</f>
        <v>0</v>
      </c>
      <c r="Q228">
        <f>Реестр_План_Факт!Q228</f>
        <v>0</v>
      </c>
      <c r="R228" t="str">
        <f>Реестр_План_Факт!R228</f>
        <v/>
      </c>
      <c r="S228">
        <f>Реестр_План_Факт!S228</f>
        <v>0</v>
      </c>
      <c r="T228">
        <f>Реестр_План_Факт!T228</f>
        <v>0</v>
      </c>
      <c r="U228" t="str">
        <f>Реестр_План_Факт!U228</f>
        <v/>
      </c>
      <c r="V228">
        <f>Реестр_План_Факт!V228</f>
        <v>0</v>
      </c>
      <c r="W228">
        <f>Реестр_План_Факт!W228</f>
        <v>0</v>
      </c>
      <c r="X228" t="str">
        <f>Реестр_План_Факт!X228</f>
        <v/>
      </c>
      <c r="Y228">
        <f>Реестр_План_Факт!Y228</f>
        <v>0</v>
      </c>
      <c r="Z228">
        <f>Реестр_План_Факт!Z228</f>
        <v>0</v>
      </c>
      <c r="AA228" t="str">
        <f>Реестр_План_Факт!AA228</f>
        <v/>
      </c>
      <c r="AB228">
        <f>Реестр_План_Факт!AB228</f>
        <v>0</v>
      </c>
      <c r="AC228">
        <f>Реестр_План_Факт!AC228</f>
        <v>0</v>
      </c>
      <c r="AD228" t="str">
        <f>Реестр_План_Факт!AD228</f>
        <v/>
      </c>
      <c r="AE228">
        <f>Реестр_План_Факт!AE228</f>
        <v>0</v>
      </c>
      <c r="AF228">
        <f>Реестр_План_Факт!AF228</f>
        <v>0</v>
      </c>
      <c r="AG228" t="str">
        <f>Реестр_План_Факт!AG228</f>
        <v/>
      </c>
      <c r="AH228">
        <f>Реестр_План_Факт!AH228</f>
        <v>0</v>
      </c>
      <c r="AI228">
        <f>Реестр_План_Факт!AI228</f>
        <v>0</v>
      </c>
      <c r="AJ228" t="str">
        <f>Реестр_План_Факт!AJ228</f>
        <v/>
      </c>
      <c r="AK228">
        <f>Реестр_План_Факт!AK228</f>
        <v>0</v>
      </c>
      <c r="AL228">
        <f>Реестр_План_Факт!AL228</f>
        <v>0</v>
      </c>
      <c r="AM228" t="str">
        <f>Реестр_План_Факт!AM228</f>
        <v/>
      </c>
      <c r="AN228">
        <f>Реестр_План_Факт!AN228</f>
        <v>0</v>
      </c>
      <c r="AO228">
        <f>Реестр_План_Факт!AO228</f>
        <v>0</v>
      </c>
      <c r="AP228" t="str">
        <f>Реестр_План_Факт!AP228</f>
        <v/>
      </c>
      <c r="AQ228">
        <f>Реестр_План_Факт!AQ228</f>
        <v>0</v>
      </c>
    </row>
    <row r="229" spans="1:43" x14ac:dyDescent="0.2">
      <c r="A229" s="201">
        <f>Реестр_План_Факт!A229</f>
        <v>46250</v>
      </c>
      <c r="B229">
        <f>Реестр_План_Факт!B229</f>
        <v>33</v>
      </c>
      <c r="C229">
        <f>Реестр_План_Факт!C229</f>
        <v>8</v>
      </c>
      <c r="D229">
        <f>Реестр_План_Факт!D229</f>
        <v>0</v>
      </c>
      <c r="E229">
        <f>Реестр_План_Факт!E229</f>
        <v>0</v>
      </c>
      <c r="F229" t="str">
        <f>Реестр_План_Факт!F229</f>
        <v/>
      </c>
      <c r="G229">
        <f>Реестр_План_Факт!G229</f>
        <v>0</v>
      </c>
      <c r="H229">
        <f>Реестр_План_Факт!H229</f>
        <v>0</v>
      </c>
      <c r="I229" t="str">
        <f>Реестр_План_Факт!I229</f>
        <v/>
      </c>
      <c r="J229">
        <f>Реестр_План_Факт!J229</f>
        <v>0</v>
      </c>
      <c r="K229">
        <f>Реестр_План_Факт!K229</f>
        <v>0</v>
      </c>
      <c r="L229" t="str">
        <f>Реестр_План_Факт!L229</f>
        <v/>
      </c>
      <c r="M229">
        <f>Реестр_План_Факт!M229</f>
        <v>0</v>
      </c>
      <c r="N229">
        <f>Реестр_План_Факт!N229</f>
        <v>0</v>
      </c>
      <c r="O229" t="str">
        <f>Реестр_План_Факт!O229</f>
        <v/>
      </c>
      <c r="P229">
        <f>Реестр_План_Факт!P229</f>
        <v>0</v>
      </c>
      <c r="Q229">
        <f>Реестр_План_Факт!Q229</f>
        <v>0</v>
      </c>
      <c r="R229" t="str">
        <f>Реестр_План_Факт!R229</f>
        <v/>
      </c>
      <c r="S229">
        <f>Реестр_План_Факт!S229</f>
        <v>0</v>
      </c>
      <c r="T229">
        <f>Реестр_План_Факт!T229</f>
        <v>0</v>
      </c>
      <c r="U229" t="str">
        <f>Реестр_План_Факт!U229</f>
        <v/>
      </c>
      <c r="V229">
        <f>Реестр_План_Факт!V229</f>
        <v>0</v>
      </c>
      <c r="W229">
        <f>Реестр_План_Факт!W229</f>
        <v>0</v>
      </c>
      <c r="X229" t="str">
        <f>Реестр_План_Факт!X229</f>
        <v/>
      </c>
      <c r="Y229">
        <f>Реестр_План_Факт!Y229</f>
        <v>0</v>
      </c>
      <c r="Z229">
        <f>Реестр_План_Факт!Z229</f>
        <v>0</v>
      </c>
      <c r="AA229" t="str">
        <f>Реестр_План_Факт!AA229</f>
        <v/>
      </c>
      <c r="AB229">
        <f>Реестр_План_Факт!AB229</f>
        <v>0</v>
      </c>
      <c r="AC229">
        <f>Реестр_План_Факт!AC229</f>
        <v>0</v>
      </c>
      <c r="AD229" t="str">
        <f>Реестр_План_Факт!AD229</f>
        <v/>
      </c>
      <c r="AE229">
        <f>Реестр_План_Факт!AE229</f>
        <v>0</v>
      </c>
      <c r="AF229">
        <f>Реестр_План_Факт!AF229</f>
        <v>0</v>
      </c>
      <c r="AG229" t="str">
        <f>Реестр_План_Факт!AG229</f>
        <v/>
      </c>
      <c r="AH229">
        <f>Реестр_План_Факт!AH229</f>
        <v>0</v>
      </c>
      <c r="AI229">
        <f>Реестр_План_Факт!AI229</f>
        <v>0</v>
      </c>
      <c r="AJ229" t="str">
        <f>Реестр_План_Факт!AJ229</f>
        <v/>
      </c>
      <c r="AK229">
        <f>Реестр_План_Факт!AK229</f>
        <v>0</v>
      </c>
      <c r="AL229">
        <f>Реестр_План_Факт!AL229</f>
        <v>0</v>
      </c>
      <c r="AM229" t="str">
        <f>Реестр_План_Факт!AM229</f>
        <v/>
      </c>
      <c r="AN229">
        <f>Реестр_План_Факт!AN229</f>
        <v>0</v>
      </c>
      <c r="AO229">
        <f>Реестр_План_Факт!AO229</f>
        <v>0</v>
      </c>
      <c r="AP229" t="str">
        <f>Реестр_План_Факт!AP229</f>
        <v/>
      </c>
      <c r="AQ229">
        <f>Реестр_План_Факт!AQ229</f>
        <v>0</v>
      </c>
    </row>
    <row r="230" spans="1:43" x14ac:dyDescent="0.2">
      <c r="A230" s="201">
        <f>Реестр_План_Факт!A230</f>
        <v>46251</v>
      </c>
      <c r="B230">
        <f>Реестр_План_Факт!B230</f>
        <v>34</v>
      </c>
      <c r="C230">
        <f>Реестр_План_Факт!C230</f>
        <v>8</v>
      </c>
      <c r="D230">
        <f>Реестр_План_Факт!D230</f>
        <v>0</v>
      </c>
      <c r="E230">
        <f>Реестр_План_Факт!E230</f>
        <v>0</v>
      </c>
      <c r="F230" t="str">
        <f>Реестр_План_Факт!F230</f>
        <v/>
      </c>
      <c r="G230">
        <f>Реестр_План_Факт!G230</f>
        <v>0</v>
      </c>
      <c r="H230">
        <f>Реестр_План_Факт!H230</f>
        <v>0</v>
      </c>
      <c r="I230" t="str">
        <f>Реестр_План_Факт!I230</f>
        <v/>
      </c>
      <c r="J230">
        <f>Реестр_План_Факт!J230</f>
        <v>0</v>
      </c>
      <c r="K230">
        <f>Реестр_План_Факт!K230</f>
        <v>0</v>
      </c>
      <c r="L230" t="str">
        <f>Реестр_План_Факт!L230</f>
        <v/>
      </c>
      <c r="M230">
        <f>Реестр_План_Факт!M230</f>
        <v>0</v>
      </c>
      <c r="N230">
        <f>Реестр_План_Факт!N230</f>
        <v>0</v>
      </c>
      <c r="O230" t="str">
        <f>Реестр_План_Факт!O230</f>
        <v/>
      </c>
      <c r="P230">
        <f>Реестр_План_Факт!P230</f>
        <v>0</v>
      </c>
      <c r="Q230">
        <f>Реестр_План_Факт!Q230</f>
        <v>0</v>
      </c>
      <c r="R230" t="str">
        <f>Реестр_План_Факт!R230</f>
        <v/>
      </c>
      <c r="S230">
        <f>Реестр_План_Факт!S230</f>
        <v>0</v>
      </c>
      <c r="T230">
        <f>Реестр_План_Факт!T230</f>
        <v>0</v>
      </c>
      <c r="U230" t="str">
        <f>Реестр_План_Факт!U230</f>
        <v/>
      </c>
      <c r="V230">
        <f>Реестр_План_Факт!V230</f>
        <v>0</v>
      </c>
      <c r="W230">
        <f>Реестр_План_Факт!W230</f>
        <v>0</v>
      </c>
      <c r="X230" t="str">
        <f>Реестр_План_Факт!X230</f>
        <v/>
      </c>
      <c r="Y230">
        <f>Реестр_План_Факт!Y230</f>
        <v>0</v>
      </c>
      <c r="Z230">
        <f>Реестр_План_Факт!Z230</f>
        <v>0</v>
      </c>
      <c r="AA230" t="str">
        <f>Реестр_План_Факт!AA230</f>
        <v/>
      </c>
      <c r="AB230">
        <f>Реестр_План_Факт!AB230</f>
        <v>0</v>
      </c>
      <c r="AC230">
        <f>Реестр_План_Факт!AC230</f>
        <v>0</v>
      </c>
      <c r="AD230" t="str">
        <f>Реестр_План_Факт!AD230</f>
        <v/>
      </c>
      <c r="AE230">
        <f>Реестр_План_Факт!AE230</f>
        <v>0</v>
      </c>
      <c r="AF230">
        <f>Реестр_План_Факт!AF230</f>
        <v>0</v>
      </c>
      <c r="AG230" t="str">
        <f>Реестр_План_Факт!AG230</f>
        <v/>
      </c>
      <c r="AH230">
        <f>Реестр_План_Факт!AH230</f>
        <v>0</v>
      </c>
      <c r="AI230">
        <f>Реестр_План_Факт!AI230</f>
        <v>0</v>
      </c>
      <c r="AJ230" t="str">
        <f>Реестр_План_Факт!AJ230</f>
        <v/>
      </c>
      <c r="AK230">
        <f>Реестр_План_Факт!AK230</f>
        <v>0</v>
      </c>
      <c r="AL230">
        <f>Реестр_План_Факт!AL230</f>
        <v>0</v>
      </c>
      <c r="AM230" t="str">
        <f>Реестр_План_Факт!AM230</f>
        <v/>
      </c>
      <c r="AN230">
        <f>Реестр_План_Факт!AN230</f>
        <v>0</v>
      </c>
      <c r="AO230">
        <f>Реестр_План_Факт!AO230</f>
        <v>0</v>
      </c>
      <c r="AP230" t="str">
        <f>Реестр_План_Факт!AP230</f>
        <v/>
      </c>
      <c r="AQ230">
        <f>Реестр_План_Факт!AQ230</f>
        <v>0</v>
      </c>
    </row>
    <row r="231" spans="1:43" x14ac:dyDescent="0.2">
      <c r="A231" s="201">
        <f>Реестр_План_Факт!A231</f>
        <v>46252</v>
      </c>
      <c r="B231">
        <f>Реестр_План_Факт!B231</f>
        <v>34</v>
      </c>
      <c r="C231">
        <f>Реестр_План_Факт!C231</f>
        <v>8</v>
      </c>
      <c r="D231">
        <f>Реестр_План_Факт!D231</f>
        <v>0</v>
      </c>
      <c r="E231">
        <f>Реестр_План_Факт!E231</f>
        <v>0</v>
      </c>
      <c r="F231" t="str">
        <f>Реестр_План_Факт!F231</f>
        <v/>
      </c>
      <c r="G231">
        <f>Реестр_План_Факт!G231</f>
        <v>0</v>
      </c>
      <c r="H231">
        <f>Реестр_План_Факт!H231</f>
        <v>0</v>
      </c>
      <c r="I231" t="str">
        <f>Реестр_План_Факт!I231</f>
        <v/>
      </c>
      <c r="J231">
        <f>Реестр_План_Факт!J231</f>
        <v>0</v>
      </c>
      <c r="K231">
        <f>Реестр_План_Факт!K231</f>
        <v>0</v>
      </c>
      <c r="L231" t="str">
        <f>Реестр_План_Факт!L231</f>
        <v/>
      </c>
      <c r="M231">
        <f>Реестр_План_Факт!M231</f>
        <v>0</v>
      </c>
      <c r="N231">
        <f>Реестр_План_Факт!N231</f>
        <v>0</v>
      </c>
      <c r="O231" t="str">
        <f>Реестр_План_Факт!O231</f>
        <v/>
      </c>
      <c r="P231">
        <f>Реестр_План_Факт!P231</f>
        <v>0</v>
      </c>
      <c r="Q231">
        <f>Реестр_План_Факт!Q231</f>
        <v>0</v>
      </c>
      <c r="R231" t="str">
        <f>Реестр_План_Факт!R231</f>
        <v/>
      </c>
      <c r="S231">
        <f>Реестр_План_Факт!S231</f>
        <v>0</v>
      </c>
      <c r="T231">
        <f>Реестр_План_Факт!T231</f>
        <v>0</v>
      </c>
      <c r="U231" t="str">
        <f>Реестр_План_Факт!U231</f>
        <v/>
      </c>
      <c r="V231">
        <f>Реестр_План_Факт!V231</f>
        <v>0</v>
      </c>
      <c r="W231">
        <f>Реестр_План_Факт!W231</f>
        <v>0</v>
      </c>
      <c r="X231" t="str">
        <f>Реестр_План_Факт!X231</f>
        <v/>
      </c>
      <c r="Y231">
        <f>Реестр_План_Факт!Y231</f>
        <v>0</v>
      </c>
      <c r="Z231">
        <f>Реестр_План_Факт!Z231</f>
        <v>0</v>
      </c>
      <c r="AA231" t="str">
        <f>Реестр_План_Факт!AA231</f>
        <v/>
      </c>
      <c r="AB231">
        <f>Реестр_План_Факт!AB231</f>
        <v>0</v>
      </c>
      <c r="AC231">
        <f>Реестр_План_Факт!AC231</f>
        <v>0</v>
      </c>
      <c r="AD231" t="str">
        <f>Реестр_План_Факт!AD231</f>
        <v/>
      </c>
      <c r="AE231">
        <f>Реестр_План_Факт!AE231</f>
        <v>0</v>
      </c>
      <c r="AF231">
        <f>Реестр_План_Факт!AF231</f>
        <v>0</v>
      </c>
      <c r="AG231" t="str">
        <f>Реестр_План_Факт!AG231</f>
        <v/>
      </c>
      <c r="AH231">
        <f>Реестр_План_Факт!AH231</f>
        <v>0</v>
      </c>
      <c r="AI231">
        <f>Реестр_План_Факт!AI231</f>
        <v>0</v>
      </c>
      <c r="AJ231" t="str">
        <f>Реестр_План_Факт!AJ231</f>
        <v/>
      </c>
      <c r="AK231">
        <f>Реестр_План_Факт!AK231</f>
        <v>0</v>
      </c>
      <c r="AL231">
        <f>Реестр_План_Факт!AL231</f>
        <v>0</v>
      </c>
      <c r="AM231" t="str">
        <f>Реестр_План_Факт!AM231</f>
        <v/>
      </c>
      <c r="AN231">
        <f>Реестр_План_Факт!AN231</f>
        <v>0</v>
      </c>
      <c r="AO231">
        <f>Реестр_План_Факт!AO231</f>
        <v>0</v>
      </c>
      <c r="AP231" t="str">
        <f>Реестр_План_Факт!AP231</f>
        <v/>
      </c>
      <c r="AQ231">
        <f>Реестр_План_Факт!AQ231</f>
        <v>0</v>
      </c>
    </row>
    <row r="232" spans="1:43" x14ac:dyDescent="0.2">
      <c r="A232" s="201">
        <f>Реестр_План_Факт!A232</f>
        <v>46253</v>
      </c>
      <c r="B232">
        <f>Реестр_План_Факт!B232</f>
        <v>34</v>
      </c>
      <c r="C232">
        <f>Реестр_План_Факт!C232</f>
        <v>8</v>
      </c>
      <c r="D232">
        <f>Реестр_План_Факт!D232</f>
        <v>0</v>
      </c>
      <c r="E232">
        <f>Реестр_План_Факт!E232</f>
        <v>0</v>
      </c>
      <c r="F232" t="str">
        <f>Реестр_План_Факт!F232</f>
        <v/>
      </c>
      <c r="G232">
        <f>Реестр_План_Факт!G232</f>
        <v>0</v>
      </c>
      <c r="H232">
        <f>Реестр_План_Факт!H232</f>
        <v>0</v>
      </c>
      <c r="I232" t="str">
        <f>Реестр_План_Факт!I232</f>
        <v/>
      </c>
      <c r="J232">
        <f>Реестр_План_Факт!J232</f>
        <v>0</v>
      </c>
      <c r="K232">
        <f>Реестр_План_Факт!K232</f>
        <v>0</v>
      </c>
      <c r="L232" t="str">
        <f>Реестр_План_Факт!L232</f>
        <v/>
      </c>
      <c r="M232">
        <f>Реестр_План_Факт!M232</f>
        <v>0</v>
      </c>
      <c r="N232">
        <f>Реестр_План_Факт!N232</f>
        <v>0</v>
      </c>
      <c r="O232" t="str">
        <f>Реестр_План_Факт!O232</f>
        <v/>
      </c>
      <c r="P232">
        <f>Реестр_План_Факт!P232</f>
        <v>0</v>
      </c>
      <c r="Q232">
        <f>Реестр_План_Факт!Q232</f>
        <v>0</v>
      </c>
      <c r="R232" t="str">
        <f>Реестр_План_Факт!R232</f>
        <v/>
      </c>
      <c r="S232">
        <f>Реестр_План_Факт!S232</f>
        <v>0</v>
      </c>
      <c r="T232">
        <f>Реестр_План_Факт!T232</f>
        <v>0</v>
      </c>
      <c r="U232" t="str">
        <f>Реестр_План_Факт!U232</f>
        <v/>
      </c>
      <c r="V232">
        <f>Реестр_План_Факт!V232</f>
        <v>0</v>
      </c>
      <c r="W232">
        <f>Реестр_План_Факт!W232</f>
        <v>0</v>
      </c>
      <c r="X232" t="str">
        <f>Реестр_План_Факт!X232</f>
        <v/>
      </c>
      <c r="Y232">
        <f>Реестр_План_Факт!Y232</f>
        <v>0</v>
      </c>
      <c r="Z232">
        <f>Реестр_План_Факт!Z232</f>
        <v>0</v>
      </c>
      <c r="AA232" t="str">
        <f>Реестр_План_Факт!AA232</f>
        <v/>
      </c>
      <c r="AB232">
        <f>Реестр_План_Факт!AB232</f>
        <v>0</v>
      </c>
      <c r="AC232">
        <f>Реестр_План_Факт!AC232</f>
        <v>0</v>
      </c>
      <c r="AD232" t="str">
        <f>Реестр_План_Факт!AD232</f>
        <v/>
      </c>
      <c r="AE232">
        <f>Реестр_План_Факт!AE232</f>
        <v>0</v>
      </c>
      <c r="AF232">
        <f>Реестр_План_Факт!AF232</f>
        <v>0</v>
      </c>
      <c r="AG232" t="str">
        <f>Реестр_План_Факт!AG232</f>
        <v/>
      </c>
      <c r="AH232">
        <f>Реестр_План_Факт!AH232</f>
        <v>0</v>
      </c>
      <c r="AI232">
        <f>Реестр_План_Факт!AI232</f>
        <v>0</v>
      </c>
      <c r="AJ232" t="str">
        <f>Реестр_План_Факт!AJ232</f>
        <v/>
      </c>
      <c r="AK232">
        <f>Реестр_План_Факт!AK232</f>
        <v>0</v>
      </c>
      <c r="AL232">
        <f>Реестр_План_Факт!AL232</f>
        <v>0</v>
      </c>
      <c r="AM232" t="str">
        <f>Реестр_План_Факт!AM232</f>
        <v/>
      </c>
      <c r="AN232">
        <f>Реестр_План_Факт!AN232</f>
        <v>0</v>
      </c>
      <c r="AO232">
        <f>Реестр_План_Факт!AO232</f>
        <v>0</v>
      </c>
      <c r="AP232" t="str">
        <f>Реестр_План_Факт!AP232</f>
        <v/>
      </c>
      <c r="AQ232">
        <f>Реестр_План_Факт!AQ232</f>
        <v>0</v>
      </c>
    </row>
    <row r="233" spans="1:43" x14ac:dyDescent="0.2">
      <c r="A233" s="201">
        <f>Реестр_План_Факт!A233</f>
        <v>46254</v>
      </c>
      <c r="B233">
        <f>Реестр_План_Факт!B233</f>
        <v>34</v>
      </c>
      <c r="C233">
        <f>Реестр_План_Факт!C233</f>
        <v>8</v>
      </c>
      <c r="D233">
        <f>Реестр_План_Факт!D233</f>
        <v>0</v>
      </c>
      <c r="E233">
        <f>Реестр_План_Факт!E233</f>
        <v>0</v>
      </c>
      <c r="F233" t="str">
        <f>Реестр_План_Факт!F233</f>
        <v/>
      </c>
      <c r="G233">
        <f>Реестр_План_Факт!G233</f>
        <v>0</v>
      </c>
      <c r="H233">
        <f>Реестр_План_Факт!H233</f>
        <v>0</v>
      </c>
      <c r="I233" t="str">
        <f>Реестр_План_Факт!I233</f>
        <v/>
      </c>
      <c r="J233">
        <f>Реестр_План_Факт!J233</f>
        <v>0</v>
      </c>
      <c r="K233">
        <f>Реестр_План_Факт!K233</f>
        <v>0</v>
      </c>
      <c r="L233" t="str">
        <f>Реестр_План_Факт!L233</f>
        <v/>
      </c>
      <c r="M233">
        <f>Реестр_План_Факт!M233</f>
        <v>0</v>
      </c>
      <c r="N233">
        <f>Реестр_План_Факт!N233</f>
        <v>0</v>
      </c>
      <c r="O233" t="str">
        <f>Реестр_План_Факт!O233</f>
        <v/>
      </c>
      <c r="P233">
        <f>Реестр_План_Факт!P233</f>
        <v>0</v>
      </c>
      <c r="Q233">
        <f>Реестр_План_Факт!Q233</f>
        <v>0</v>
      </c>
      <c r="R233" t="str">
        <f>Реестр_План_Факт!R233</f>
        <v/>
      </c>
      <c r="S233">
        <f>Реестр_План_Факт!S233</f>
        <v>0</v>
      </c>
      <c r="T233">
        <f>Реестр_План_Факт!T233</f>
        <v>0</v>
      </c>
      <c r="U233" t="str">
        <f>Реестр_План_Факт!U233</f>
        <v/>
      </c>
      <c r="V233">
        <f>Реестр_План_Факт!V233</f>
        <v>0</v>
      </c>
      <c r="W233">
        <f>Реестр_План_Факт!W233</f>
        <v>0</v>
      </c>
      <c r="X233" t="str">
        <f>Реестр_План_Факт!X233</f>
        <v/>
      </c>
      <c r="Y233">
        <f>Реестр_План_Факт!Y233</f>
        <v>0</v>
      </c>
      <c r="Z233">
        <f>Реестр_План_Факт!Z233</f>
        <v>0</v>
      </c>
      <c r="AA233" t="str">
        <f>Реестр_План_Факт!AA233</f>
        <v/>
      </c>
      <c r="AB233">
        <f>Реестр_План_Факт!AB233</f>
        <v>0</v>
      </c>
      <c r="AC233">
        <f>Реестр_План_Факт!AC233</f>
        <v>0</v>
      </c>
      <c r="AD233" t="str">
        <f>Реестр_План_Факт!AD233</f>
        <v/>
      </c>
      <c r="AE233">
        <f>Реестр_План_Факт!AE233</f>
        <v>0</v>
      </c>
      <c r="AF233">
        <f>Реестр_План_Факт!AF233</f>
        <v>0</v>
      </c>
      <c r="AG233" t="str">
        <f>Реестр_План_Факт!AG233</f>
        <v/>
      </c>
      <c r="AH233">
        <f>Реестр_План_Факт!AH233</f>
        <v>0</v>
      </c>
      <c r="AI233">
        <f>Реестр_План_Факт!AI233</f>
        <v>0</v>
      </c>
      <c r="AJ233" t="str">
        <f>Реестр_План_Факт!AJ233</f>
        <v/>
      </c>
      <c r="AK233">
        <f>Реестр_План_Факт!AK233</f>
        <v>0</v>
      </c>
      <c r="AL233">
        <f>Реестр_План_Факт!AL233</f>
        <v>0</v>
      </c>
      <c r="AM233" t="str">
        <f>Реестр_План_Факт!AM233</f>
        <v/>
      </c>
      <c r="AN233">
        <f>Реестр_План_Факт!AN233</f>
        <v>0</v>
      </c>
      <c r="AO233">
        <f>Реестр_План_Факт!AO233</f>
        <v>0</v>
      </c>
      <c r="AP233" t="str">
        <f>Реестр_План_Факт!AP233</f>
        <v/>
      </c>
      <c r="AQ233">
        <f>Реестр_План_Факт!AQ233</f>
        <v>0</v>
      </c>
    </row>
    <row r="234" spans="1:43" x14ac:dyDescent="0.2">
      <c r="A234" s="201">
        <f>Реестр_План_Факт!A234</f>
        <v>46255</v>
      </c>
      <c r="B234">
        <f>Реестр_План_Факт!B234</f>
        <v>34</v>
      </c>
      <c r="C234">
        <f>Реестр_План_Факт!C234</f>
        <v>8</v>
      </c>
      <c r="D234">
        <f>Реестр_План_Факт!D234</f>
        <v>0</v>
      </c>
      <c r="E234">
        <f>Реестр_План_Факт!E234</f>
        <v>0</v>
      </c>
      <c r="F234" t="str">
        <f>Реестр_План_Факт!F234</f>
        <v/>
      </c>
      <c r="G234">
        <f>Реестр_План_Факт!G234</f>
        <v>0</v>
      </c>
      <c r="H234">
        <f>Реестр_План_Факт!H234</f>
        <v>0</v>
      </c>
      <c r="I234" t="str">
        <f>Реестр_План_Факт!I234</f>
        <v/>
      </c>
      <c r="J234">
        <f>Реестр_План_Факт!J234</f>
        <v>0</v>
      </c>
      <c r="K234">
        <f>Реестр_План_Факт!K234</f>
        <v>0</v>
      </c>
      <c r="L234" t="str">
        <f>Реестр_План_Факт!L234</f>
        <v/>
      </c>
      <c r="M234">
        <f>Реестр_План_Факт!M234</f>
        <v>0</v>
      </c>
      <c r="N234">
        <f>Реестр_План_Факт!N234</f>
        <v>0</v>
      </c>
      <c r="O234" t="str">
        <f>Реестр_План_Факт!O234</f>
        <v/>
      </c>
      <c r="P234">
        <f>Реестр_План_Факт!P234</f>
        <v>0</v>
      </c>
      <c r="Q234">
        <f>Реестр_План_Факт!Q234</f>
        <v>0</v>
      </c>
      <c r="R234" t="str">
        <f>Реестр_План_Факт!R234</f>
        <v/>
      </c>
      <c r="S234">
        <f>Реестр_План_Факт!S234</f>
        <v>0</v>
      </c>
      <c r="T234">
        <f>Реестр_План_Факт!T234</f>
        <v>0</v>
      </c>
      <c r="U234" t="str">
        <f>Реестр_План_Факт!U234</f>
        <v/>
      </c>
      <c r="V234">
        <f>Реестр_План_Факт!V234</f>
        <v>0</v>
      </c>
      <c r="W234">
        <f>Реестр_План_Факт!W234</f>
        <v>0</v>
      </c>
      <c r="X234" t="str">
        <f>Реестр_План_Факт!X234</f>
        <v/>
      </c>
      <c r="Y234">
        <f>Реестр_План_Факт!Y234</f>
        <v>0</v>
      </c>
      <c r="Z234">
        <f>Реестр_План_Факт!Z234</f>
        <v>0</v>
      </c>
      <c r="AA234" t="str">
        <f>Реестр_План_Факт!AA234</f>
        <v/>
      </c>
      <c r="AB234">
        <f>Реестр_План_Факт!AB234</f>
        <v>0</v>
      </c>
      <c r="AC234">
        <f>Реестр_План_Факт!AC234</f>
        <v>0</v>
      </c>
      <c r="AD234" t="str">
        <f>Реестр_План_Факт!AD234</f>
        <v/>
      </c>
      <c r="AE234">
        <f>Реестр_План_Факт!AE234</f>
        <v>0</v>
      </c>
      <c r="AF234">
        <f>Реестр_План_Факт!AF234</f>
        <v>0</v>
      </c>
      <c r="AG234" t="str">
        <f>Реестр_План_Факт!AG234</f>
        <v/>
      </c>
      <c r="AH234">
        <f>Реестр_План_Факт!AH234</f>
        <v>0</v>
      </c>
      <c r="AI234">
        <f>Реестр_План_Факт!AI234</f>
        <v>0</v>
      </c>
      <c r="AJ234" t="str">
        <f>Реестр_План_Факт!AJ234</f>
        <v/>
      </c>
      <c r="AK234">
        <f>Реестр_План_Факт!AK234</f>
        <v>0</v>
      </c>
      <c r="AL234">
        <f>Реестр_План_Факт!AL234</f>
        <v>0</v>
      </c>
      <c r="AM234" t="str">
        <f>Реестр_План_Факт!AM234</f>
        <v/>
      </c>
      <c r="AN234">
        <f>Реестр_План_Факт!AN234</f>
        <v>0</v>
      </c>
      <c r="AO234">
        <f>Реестр_План_Факт!AO234</f>
        <v>0</v>
      </c>
      <c r="AP234" t="str">
        <f>Реестр_План_Факт!AP234</f>
        <v/>
      </c>
      <c r="AQ234">
        <f>Реестр_План_Факт!AQ234</f>
        <v>0</v>
      </c>
    </row>
    <row r="235" spans="1:43" x14ac:dyDescent="0.2">
      <c r="A235" s="201">
        <f>Реестр_План_Факт!A235</f>
        <v>46256</v>
      </c>
      <c r="B235">
        <f>Реестр_План_Факт!B235</f>
        <v>34</v>
      </c>
      <c r="C235">
        <f>Реестр_План_Факт!C235</f>
        <v>8</v>
      </c>
      <c r="D235">
        <f>Реестр_План_Факт!D235</f>
        <v>0</v>
      </c>
      <c r="E235">
        <f>Реестр_План_Факт!E235</f>
        <v>0</v>
      </c>
      <c r="F235" t="str">
        <f>Реестр_План_Факт!F235</f>
        <v/>
      </c>
      <c r="G235">
        <f>Реестр_План_Факт!G235</f>
        <v>0</v>
      </c>
      <c r="H235">
        <f>Реестр_План_Факт!H235</f>
        <v>0</v>
      </c>
      <c r="I235" t="str">
        <f>Реестр_План_Факт!I235</f>
        <v/>
      </c>
      <c r="J235">
        <f>Реестр_План_Факт!J235</f>
        <v>0</v>
      </c>
      <c r="K235">
        <f>Реестр_План_Факт!K235</f>
        <v>0</v>
      </c>
      <c r="L235" t="str">
        <f>Реестр_План_Факт!L235</f>
        <v/>
      </c>
      <c r="M235">
        <f>Реестр_План_Факт!M235</f>
        <v>0</v>
      </c>
      <c r="N235">
        <f>Реестр_План_Факт!N235</f>
        <v>0</v>
      </c>
      <c r="O235" t="str">
        <f>Реестр_План_Факт!O235</f>
        <v/>
      </c>
      <c r="P235">
        <f>Реестр_План_Факт!P235</f>
        <v>0</v>
      </c>
      <c r="Q235">
        <f>Реестр_План_Факт!Q235</f>
        <v>0</v>
      </c>
      <c r="R235" t="str">
        <f>Реестр_План_Факт!R235</f>
        <v/>
      </c>
      <c r="S235">
        <f>Реестр_План_Факт!S235</f>
        <v>0</v>
      </c>
      <c r="T235">
        <f>Реестр_План_Факт!T235</f>
        <v>0</v>
      </c>
      <c r="U235" t="str">
        <f>Реестр_План_Факт!U235</f>
        <v/>
      </c>
      <c r="V235">
        <f>Реестр_План_Факт!V235</f>
        <v>0</v>
      </c>
      <c r="W235">
        <f>Реестр_План_Факт!W235</f>
        <v>0</v>
      </c>
      <c r="X235" t="str">
        <f>Реестр_План_Факт!X235</f>
        <v/>
      </c>
      <c r="Y235">
        <f>Реестр_План_Факт!Y235</f>
        <v>0</v>
      </c>
      <c r="Z235">
        <f>Реестр_План_Факт!Z235</f>
        <v>0</v>
      </c>
      <c r="AA235" t="str">
        <f>Реестр_План_Факт!AA235</f>
        <v/>
      </c>
      <c r="AB235">
        <f>Реестр_План_Факт!AB235</f>
        <v>0</v>
      </c>
      <c r="AC235">
        <f>Реестр_План_Факт!AC235</f>
        <v>0</v>
      </c>
      <c r="AD235" t="str">
        <f>Реестр_План_Факт!AD235</f>
        <v/>
      </c>
      <c r="AE235">
        <f>Реестр_План_Факт!AE235</f>
        <v>0</v>
      </c>
      <c r="AF235">
        <f>Реестр_План_Факт!AF235</f>
        <v>0</v>
      </c>
      <c r="AG235" t="str">
        <f>Реестр_План_Факт!AG235</f>
        <v/>
      </c>
      <c r="AH235">
        <f>Реестр_План_Факт!AH235</f>
        <v>0</v>
      </c>
      <c r="AI235">
        <f>Реестр_План_Факт!AI235</f>
        <v>0</v>
      </c>
      <c r="AJ235" t="str">
        <f>Реестр_План_Факт!AJ235</f>
        <v/>
      </c>
      <c r="AK235">
        <f>Реестр_План_Факт!AK235</f>
        <v>0</v>
      </c>
      <c r="AL235">
        <f>Реестр_План_Факт!AL235</f>
        <v>0</v>
      </c>
      <c r="AM235" t="str">
        <f>Реестр_План_Факт!AM235</f>
        <v/>
      </c>
      <c r="AN235">
        <f>Реестр_План_Факт!AN235</f>
        <v>0</v>
      </c>
      <c r="AO235">
        <f>Реестр_План_Факт!AO235</f>
        <v>0</v>
      </c>
      <c r="AP235" t="str">
        <f>Реестр_План_Факт!AP235</f>
        <v/>
      </c>
      <c r="AQ235">
        <f>Реестр_План_Факт!AQ235</f>
        <v>0</v>
      </c>
    </row>
    <row r="236" spans="1:43" x14ac:dyDescent="0.2">
      <c r="A236" s="201">
        <f>Реестр_План_Факт!A236</f>
        <v>46257</v>
      </c>
      <c r="B236">
        <f>Реестр_План_Факт!B236</f>
        <v>34</v>
      </c>
      <c r="C236">
        <f>Реестр_План_Факт!C236</f>
        <v>8</v>
      </c>
      <c r="D236">
        <f>Реестр_План_Факт!D236</f>
        <v>0</v>
      </c>
      <c r="E236">
        <f>Реестр_План_Факт!E236</f>
        <v>0</v>
      </c>
      <c r="F236" t="str">
        <f>Реестр_План_Факт!F236</f>
        <v/>
      </c>
      <c r="G236">
        <f>Реестр_План_Факт!G236</f>
        <v>0</v>
      </c>
      <c r="H236">
        <f>Реестр_План_Факт!H236</f>
        <v>0</v>
      </c>
      <c r="I236" t="str">
        <f>Реестр_План_Факт!I236</f>
        <v/>
      </c>
      <c r="J236">
        <f>Реестр_План_Факт!J236</f>
        <v>0</v>
      </c>
      <c r="K236">
        <f>Реестр_План_Факт!K236</f>
        <v>0</v>
      </c>
      <c r="L236" t="str">
        <f>Реестр_План_Факт!L236</f>
        <v/>
      </c>
      <c r="M236">
        <f>Реестр_План_Факт!M236</f>
        <v>0</v>
      </c>
      <c r="N236">
        <f>Реестр_План_Факт!N236</f>
        <v>0</v>
      </c>
      <c r="O236" t="str">
        <f>Реестр_План_Факт!O236</f>
        <v/>
      </c>
      <c r="P236">
        <f>Реестр_План_Факт!P236</f>
        <v>0</v>
      </c>
      <c r="Q236">
        <f>Реестр_План_Факт!Q236</f>
        <v>0</v>
      </c>
      <c r="R236" t="str">
        <f>Реестр_План_Факт!R236</f>
        <v/>
      </c>
      <c r="S236">
        <f>Реестр_План_Факт!S236</f>
        <v>0</v>
      </c>
      <c r="T236">
        <f>Реестр_План_Факт!T236</f>
        <v>0</v>
      </c>
      <c r="U236" t="str">
        <f>Реестр_План_Факт!U236</f>
        <v/>
      </c>
      <c r="V236">
        <f>Реестр_План_Факт!V236</f>
        <v>0</v>
      </c>
      <c r="W236">
        <f>Реестр_План_Факт!W236</f>
        <v>0</v>
      </c>
      <c r="X236" t="str">
        <f>Реестр_План_Факт!X236</f>
        <v/>
      </c>
      <c r="Y236">
        <f>Реестр_План_Факт!Y236</f>
        <v>0</v>
      </c>
      <c r="Z236">
        <f>Реестр_План_Факт!Z236</f>
        <v>0</v>
      </c>
      <c r="AA236" t="str">
        <f>Реестр_План_Факт!AA236</f>
        <v/>
      </c>
      <c r="AB236">
        <f>Реестр_План_Факт!AB236</f>
        <v>0</v>
      </c>
      <c r="AC236">
        <f>Реестр_План_Факт!AC236</f>
        <v>0</v>
      </c>
      <c r="AD236" t="str">
        <f>Реестр_План_Факт!AD236</f>
        <v/>
      </c>
      <c r="AE236">
        <f>Реестр_План_Факт!AE236</f>
        <v>0</v>
      </c>
      <c r="AF236">
        <f>Реестр_План_Факт!AF236</f>
        <v>0</v>
      </c>
      <c r="AG236" t="str">
        <f>Реестр_План_Факт!AG236</f>
        <v/>
      </c>
      <c r="AH236">
        <f>Реестр_План_Факт!AH236</f>
        <v>0</v>
      </c>
      <c r="AI236">
        <f>Реестр_План_Факт!AI236</f>
        <v>0</v>
      </c>
      <c r="AJ236" t="str">
        <f>Реестр_План_Факт!AJ236</f>
        <v/>
      </c>
      <c r="AK236">
        <f>Реестр_План_Факт!AK236</f>
        <v>0</v>
      </c>
      <c r="AL236">
        <f>Реестр_План_Факт!AL236</f>
        <v>0</v>
      </c>
      <c r="AM236" t="str">
        <f>Реестр_План_Факт!AM236</f>
        <v/>
      </c>
      <c r="AN236">
        <f>Реестр_План_Факт!AN236</f>
        <v>0</v>
      </c>
      <c r="AO236">
        <f>Реестр_План_Факт!AO236</f>
        <v>0</v>
      </c>
      <c r="AP236" t="str">
        <f>Реестр_План_Факт!AP236</f>
        <v/>
      </c>
      <c r="AQ236">
        <f>Реестр_План_Факт!AQ236</f>
        <v>0</v>
      </c>
    </row>
    <row r="237" spans="1:43" x14ac:dyDescent="0.2">
      <c r="A237" s="201">
        <f>Реестр_План_Факт!A237</f>
        <v>46258</v>
      </c>
      <c r="B237">
        <f>Реестр_План_Факт!B237</f>
        <v>35</v>
      </c>
      <c r="C237">
        <f>Реестр_План_Факт!C237</f>
        <v>8</v>
      </c>
      <c r="D237">
        <f>Реестр_План_Факт!D237</f>
        <v>0</v>
      </c>
      <c r="E237">
        <f>Реестр_План_Факт!E237</f>
        <v>0</v>
      </c>
      <c r="F237" t="str">
        <f>Реестр_План_Факт!F237</f>
        <v/>
      </c>
      <c r="G237">
        <f>Реестр_План_Факт!G237</f>
        <v>0</v>
      </c>
      <c r="H237">
        <f>Реестр_План_Факт!H237</f>
        <v>0</v>
      </c>
      <c r="I237" t="str">
        <f>Реестр_План_Факт!I237</f>
        <v/>
      </c>
      <c r="J237">
        <f>Реестр_План_Факт!J237</f>
        <v>0</v>
      </c>
      <c r="K237">
        <f>Реестр_План_Факт!K237</f>
        <v>0</v>
      </c>
      <c r="L237" t="str">
        <f>Реестр_План_Факт!L237</f>
        <v/>
      </c>
      <c r="M237">
        <f>Реестр_План_Факт!M237</f>
        <v>0</v>
      </c>
      <c r="N237">
        <f>Реестр_План_Факт!N237</f>
        <v>0</v>
      </c>
      <c r="O237" t="str">
        <f>Реестр_План_Факт!O237</f>
        <v/>
      </c>
      <c r="P237">
        <f>Реестр_План_Факт!P237</f>
        <v>0</v>
      </c>
      <c r="Q237">
        <f>Реестр_План_Факт!Q237</f>
        <v>0</v>
      </c>
      <c r="R237" t="str">
        <f>Реестр_План_Факт!R237</f>
        <v/>
      </c>
      <c r="S237">
        <f>Реестр_План_Факт!S237</f>
        <v>0</v>
      </c>
      <c r="T237">
        <f>Реестр_План_Факт!T237</f>
        <v>0</v>
      </c>
      <c r="U237" t="str">
        <f>Реестр_План_Факт!U237</f>
        <v/>
      </c>
      <c r="V237">
        <f>Реестр_План_Факт!V237</f>
        <v>0</v>
      </c>
      <c r="W237">
        <f>Реестр_План_Факт!W237</f>
        <v>0</v>
      </c>
      <c r="X237" t="str">
        <f>Реестр_План_Факт!X237</f>
        <v/>
      </c>
      <c r="Y237">
        <f>Реестр_План_Факт!Y237</f>
        <v>0</v>
      </c>
      <c r="Z237">
        <f>Реестр_План_Факт!Z237</f>
        <v>0</v>
      </c>
      <c r="AA237" t="str">
        <f>Реестр_План_Факт!AA237</f>
        <v/>
      </c>
      <c r="AB237">
        <f>Реестр_План_Факт!AB237</f>
        <v>0</v>
      </c>
      <c r="AC237">
        <f>Реестр_План_Факт!AC237</f>
        <v>0</v>
      </c>
      <c r="AD237" t="str">
        <f>Реестр_План_Факт!AD237</f>
        <v/>
      </c>
      <c r="AE237">
        <f>Реестр_План_Факт!AE237</f>
        <v>0</v>
      </c>
      <c r="AF237">
        <f>Реестр_План_Факт!AF237</f>
        <v>0</v>
      </c>
      <c r="AG237" t="str">
        <f>Реестр_План_Факт!AG237</f>
        <v/>
      </c>
      <c r="AH237">
        <f>Реестр_План_Факт!AH237</f>
        <v>0</v>
      </c>
      <c r="AI237">
        <f>Реестр_План_Факт!AI237</f>
        <v>0</v>
      </c>
      <c r="AJ237" t="str">
        <f>Реестр_План_Факт!AJ237</f>
        <v/>
      </c>
      <c r="AK237">
        <f>Реестр_План_Факт!AK237</f>
        <v>0</v>
      </c>
      <c r="AL237">
        <f>Реестр_План_Факт!AL237</f>
        <v>0</v>
      </c>
      <c r="AM237" t="str">
        <f>Реестр_План_Факт!AM237</f>
        <v/>
      </c>
      <c r="AN237">
        <f>Реестр_План_Факт!AN237</f>
        <v>0</v>
      </c>
      <c r="AO237">
        <f>Реестр_План_Факт!AO237</f>
        <v>0</v>
      </c>
      <c r="AP237" t="str">
        <f>Реестр_План_Факт!AP237</f>
        <v/>
      </c>
      <c r="AQ237">
        <f>Реестр_План_Факт!AQ237</f>
        <v>0</v>
      </c>
    </row>
    <row r="238" spans="1:43" x14ac:dyDescent="0.2">
      <c r="A238" s="201">
        <f>Реестр_План_Факт!A238</f>
        <v>46259</v>
      </c>
      <c r="B238">
        <f>Реестр_План_Факт!B238</f>
        <v>35</v>
      </c>
      <c r="C238">
        <f>Реестр_План_Факт!C238</f>
        <v>8</v>
      </c>
      <c r="D238">
        <f>Реестр_План_Факт!D238</f>
        <v>0</v>
      </c>
      <c r="E238">
        <f>Реестр_План_Факт!E238</f>
        <v>0</v>
      </c>
      <c r="F238" t="str">
        <f>Реестр_План_Факт!F238</f>
        <v/>
      </c>
      <c r="G238">
        <f>Реестр_План_Факт!G238</f>
        <v>0</v>
      </c>
      <c r="H238">
        <f>Реестр_План_Факт!H238</f>
        <v>0</v>
      </c>
      <c r="I238" t="str">
        <f>Реестр_План_Факт!I238</f>
        <v/>
      </c>
      <c r="J238">
        <f>Реестр_План_Факт!J238</f>
        <v>0</v>
      </c>
      <c r="K238">
        <f>Реестр_План_Факт!K238</f>
        <v>0</v>
      </c>
      <c r="L238" t="str">
        <f>Реестр_План_Факт!L238</f>
        <v/>
      </c>
      <c r="M238">
        <f>Реестр_План_Факт!M238</f>
        <v>0</v>
      </c>
      <c r="N238">
        <f>Реестр_План_Факт!N238</f>
        <v>0</v>
      </c>
      <c r="O238" t="str">
        <f>Реестр_План_Факт!O238</f>
        <v/>
      </c>
      <c r="P238">
        <f>Реестр_План_Факт!P238</f>
        <v>0</v>
      </c>
      <c r="Q238">
        <f>Реестр_План_Факт!Q238</f>
        <v>0</v>
      </c>
      <c r="R238" t="str">
        <f>Реестр_План_Факт!R238</f>
        <v/>
      </c>
      <c r="S238">
        <f>Реестр_План_Факт!S238</f>
        <v>0</v>
      </c>
      <c r="T238">
        <f>Реестр_План_Факт!T238</f>
        <v>0</v>
      </c>
      <c r="U238" t="str">
        <f>Реестр_План_Факт!U238</f>
        <v/>
      </c>
      <c r="V238">
        <f>Реестр_План_Факт!V238</f>
        <v>0</v>
      </c>
      <c r="W238">
        <f>Реестр_План_Факт!W238</f>
        <v>0</v>
      </c>
      <c r="X238" t="str">
        <f>Реестр_План_Факт!X238</f>
        <v/>
      </c>
      <c r="Y238">
        <f>Реестр_План_Факт!Y238</f>
        <v>0</v>
      </c>
      <c r="Z238">
        <f>Реестр_План_Факт!Z238</f>
        <v>0</v>
      </c>
      <c r="AA238" t="str">
        <f>Реестр_План_Факт!AA238</f>
        <v/>
      </c>
      <c r="AB238">
        <f>Реестр_План_Факт!AB238</f>
        <v>0</v>
      </c>
      <c r="AC238">
        <f>Реестр_План_Факт!AC238</f>
        <v>0</v>
      </c>
      <c r="AD238" t="str">
        <f>Реестр_План_Факт!AD238</f>
        <v/>
      </c>
      <c r="AE238">
        <f>Реестр_План_Факт!AE238</f>
        <v>0</v>
      </c>
      <c r="AF238">
        <f>Реестр_План_Факт!AF238</f>
        <v>0</v>
      </c>
      <c r="AG238" t="str">
        <f>Реестр_План_Факт!AG238</f>
        <v/>
      </c>
      <c r="AH238">
        <f>Реестр_План_Факт!AH238</f>
        <v>0</v>
      </c>
      <c r="AI238">
        <f>Реестр_План_Факт!AI238</f>
        <v>0</v>
      </c>
      <c r="AJ238" t="str">
        <f>Реестр_План_Факт!AJ238</f>
        <v/>
      </c>
      <c r="AK238">
        <f>Реестр_План_Факт!AK238</f>
        <v>0</v>
      </c>
      <c r="AL238">
        <f>Реестр_План_Факт!AL238</f>
        <v>0</v>
      </c>
      <c r="AM238" t="str">
        <f>Реестр_План_Факт!AM238</f>
        <v/>
      </c>
      <c r="AN238">
        <f>Реестр_План_Факт!AN238</f>
        <v>0</v>
      </c>
      <c r="AO238">
        <f>Реестр_План_Факт!AO238</f>
        <v>0</v>
      </c>
      <c r="AP238" t="str">
        <f>Реестр_План_Факт!AP238</f>
        <v/>
      </c>
      <c r="AQ238">
        <f>Реестр_План_Факт!AQ238</f>
        <v>0</v>
      </c>
    </row>
    <row r="239" spans="1:43" x14ac:dyDescent="0.2">
      <c r="A239" s="201">
        <f>Реестр_План_Факт!A239</f>
        <v>46260</v>
      </c>
      <c r="B239">
        <f>Реестр_План_Факт!B239</f>
        <v>35</v>
      </c>
      <c r="C239">
        <f>Реестр_План_Факт!C239</f>
        <v>8</v>
      </c>
      <c r="D239">
        <f>Реестр_План_Факт!D239</f>
        <v>0</v>
      </c>
      <c r="E239">
        <f>Реестр_План_Факт!E239</f>
        <v>0</v>
      </c>
      <c r="F239" t="str">
        <f>Реестр_План_Факт!F239</f>
        <v/>
      </c>
      <c r="G239">
        <f>Реестр_План_Факт!G239</f>
        <v>0</v>
      </c>
      <c r="H239">
        <f>Реестр_План_Факт!H239</f>
        <v>0</v>
      </c>
      <c r="I239" t="str">
        <f>Реестр_План_Факт!I239</f>
        <v/>
      </c>
      <c r="J239">
        <f>Реестр_План_Факт!J239</f>
        <v>0</v>
      </c>
      <c r="K239">
        <f>Реестр_План_Факт!K239</f>
        <v>0</v>
      </c>
      <c r="L239" t="str">
        <f>Реестр_План_Факт!L239</f>
        <v/>
      </c>
      <c r="M239">
        <f>Реестр_План_Факт!M239</f>
        <v>0</v>
      </c>
      <c r="N239">
        <f>Реестр_План_Факт!N239</f>
        <v>0</v>
      </c>
      <c r="O239" t="str">
        <f>Реестр_План_Факт!O239</f>
        <v/>
      </c>
      <c r="P239">
        <f>Реестр_План_Факт!P239</f>
        <v>0</v>
      </c>
      <c r="Q239">
        <f>Реестр_План_Факт!Q239</f>
        <v>0</v>
      </c>
      <c r="R239" t="str">
        <f>Реестр_План_Факт!R239</f>
        <v/>
      </c>
      <c r="S239">
        <f>Реестр_План_Факт!S239</f>
        <v>0</v>
      </c>
      <c r="T239">
        <f>Реестр_План_Факт!T239</f>
        <v>0</v>
      </c>
      <c r="U239" t="str">
        <f>Реестр_План_Факт!U239</f>
        <v/>
      </c>
      <c r="V239">
        <f>Реестр_План_Факт!V239</f>
        <v>0</v>
      </c>
      <c r="W239">
        <f>Реестр_План_Факт!W239</f>
        <v>0</v>
      </c>
      <c r="X239" t="str">
        <f>Реестр_План_Факт!X239</f>
        <v/>
      </c>
      <c r="Y239">
        <f>Реестр_План_Факт!Y239</f>
        <v>0</v>
      </c>
      <c r="Z239">
        <f>Реестр_План_Факт!Z239</f>
        <v>0</v>
      </c>
      <c r="AA239" t="str">
        <f>Реестр_План_Факт!AA239</f>
        <v/>
      </c>
      <c r="AB239">
        <f>Реестр_План_Факт!AB239</f>
        <v>0</v>
      </c>
      <c r="AC239">
        <f>Реестр_План_Факт!AC239</f>
        <v>0</v>
      </c>
      <c r="AD239" t="str">
        <f>Реестр_План_Факт!AD239</f>
        <v/>
      </c>
      <c r="AE239">
        <f>Реестр_План_Факт!AE239</f>
        <v>0</v>
      </c>
      <c r="AF239">
        <f>Реестр_План_Факт!AF239</f>
        <v>0</v>
      </c>
      <c r="AG239" t="str">
        <f>Реестр_План_Факт!AG239</f>
        <v/>
      </c>
      <c r="AH239">
        <f>Реестр_План_Факт!AH239</f>
        <v>0</v>
      </c>
      <c r="AI239">
        <f>Реестр_План_Факт!AI239</f>
        <v>0</v>
      </c>
      <c r="AJ239" t="str">
        <f>Реестр_План_Факт!AJ239</f>
        <v/>
      </c>
      <c r="AK239">
        <f>Реестр_План_Факт!AK239</f>
        <v>0</v>
      </c>
      <c r="AL239">
        <f>Реестр_План_Факт!AL239</f>
        <v>0</v>
      </c>
      <c r="AM239" t="str">
        <f>Реестр_План_Факт!AM239</f>
        <v/>
      </c>
      <c r="AN239">
        <f>Реестр_План_Факт!AN239</f>
        <v>0</v>
      </c>
      <c r="AO239">
        <f>Реестр_План_Факт!AO239</f>
        <v>0</v>
      </c>
      <c r="AP239" t="str">
        <f>Реестр_План_Факт!AP239</f>
        <v/>
      </c>
      <c r="AQ239">
        <f>Реестр_План_Факт!AQ239</f>
        <v>0</v>
      </c>
    </row>
    <row r="240" spans="1:43" x14ac:dyDescent="0.2">
      <c r="A240" s="201">
        <f>Реестр_План_Факт!A240</f>
        <v>46261</v>
      </c>
      <c r="B240">
        <f>Реестр_План_Факт!B240</f>
        <v>35</v>
      </c>
      <c r="C240">
        <f>Реестр_План_Факт!C240</f>
        <v>8</v>
      </c>
      <c r="D240">
        <f>Реестр_План_Факт!D240</f>
        <v>0</v>
      </c>
      <c r="E240">
        <f>Реестр_План_Факт!E240</f>
        <v>0</v>
      </c>
      <c r="F240" t="str">
        <f>Реестр_План_Факт!F240</f>
        <v/>
      </c>
      <c r="G240">
        <f>Реестр_План_Факт!G240</f>
        <v>0</v>
      </c>
      <c r="H240">
        <f>Реестр_План_Факт!H240</f>
        <v>0</v>
      </c>
      <c r="I240" t="str">
        <f>Реестр_План_Факт!I240</f>
        <v/>
      </c>
      <c r="J240">
        <f>Реестр_План_Факт!J240</f>
        <v>0</v>
      </c>
      <c r="K240">
        <f>Реестр_План_Факт!K240</f>
        <v>0</v>
      </c>
      <c r="L240" t="str">
        <f>Реестр_План_Факт!L240</f>
        <v/>
      </c>
      <c r="M240">
        <f>Реестр_План_Факт!M240</f>
        <v>0</v>
      </c>
      <c r="N240">
        <f>Реестр_План_Факт!N240</f>
        <v>0</v>
      </c>
      <c r="O240" t="str">
        <f>Реестр_План_Факт!O240</f>
        <v/>
      </c>
      <c r="P240">
        <f>Реестр_План_Факт!P240</f>
        <v>0</v>
      </c>
      <c r="Q240">
        <f>Реестр_План_Факт!Q240</f>
        <v>0</v>
      </c>
      <c r="R240" t="str">
        <f>Реестр_План_Факт!R240</f>
        <v/>
      </c>
      <c r="S240">
        <f>Реестр_План_Факт!S240</f>
        <v>0</v>
      </c>
      <c r="T240">
        <f>Реестр_План_Факт!T240</f>
        <v>0</v>
      </c>
      <c r="U240" t="str">
        <f>Реестр_План_Факт!U240</f>
        <v/>
      </c>
      <c r="V240">
        <f>Реестр_План_Факт!V240</f>
        <v>0</v>
      </c>
      <c r="W240">
        <f>Реестр_План_Факт!W240</f>
        <v>0</v>
      </c>
      <c r="X240" t="str">
        <f>Реестр_План_Факт!X240</f>
        <v/>
      </c>
      <c r="Y240">
        <f>Реестр_План_Факт!Y240</f>
        <v>0</v>
      </c>
      <c r="Z240">
        <f>Реестр_План_Факт!Z240</f>
        <v>0</v>
      </c>
      <c r="AA240" t="str">
        <f>Реестр_План_Факт!AA240</f>
        <v/>
      </c>
      <c r="AB240">
        <f>Реестр_План_Факт!AB240</f>
        <v>0</v>
      </c>
      <c r="AC240">
        <f>Реестр_План_Факт!AC240</f>
        <v>0</v>
      </c>
      <c r="AD240" t="str">
        <f>Реестр_План_Факт!AD240</f>
        <v/>
      </c>
      <c r="AE240">
        <f>Реестр_План_Факт!AE240</f>
        <v>0</v>
      </c>
      <c r="AF240">
        <f>Реестр_План_Факт!AF240</f>
        <v>0</v>
      </c>
      <c r="AG240" t="str">
        <f>Реестр_План_Факт!AG240</f>
        <v/>
      </c>
      <c r="AH240">
        <f>Реестр_План_Факт!AH240</f>
        <v>0</v>
      </c>
      <c r="AI240">
        <f>Реестр_План_Факт!AI240</f>
        <v>0</v>
      </c>
      <c r="AJ240" t="str">
        <f>Реестр_План_Факт!AJ240</f>
        <v/>
      </c>
      <c r="AK240">
        <f>Реестр_План_Факт!AK240</f>
        <v>0</v>
      </c>
      <c r="AL240">
        <f>Реестр_План_Факт!AL240</f>
        <v>0</v>
      </c>
      <c r="AM240" t="str">
        <f>Реестр_План_Факт!AM240</f>
        <v/>
      </c>
      <c r="AN240">
        <f>Реестр_План_Факт!AN240</f>
        <v>0</v>
      </c>
      <c r="AO240">
        <f>Реестр_План_Факт!AO240</f>
        <v>0</v>
      </c>
      <c r="AP240" t="str">
        <f>Реестр_План_Факт!AP240</f>
        <v/>
      </c>
      <c r="AQ240">
        <f>Реестр_План_Факт!AQ240</f>
        <v>0</v>
      </c>
    </row>
    <row r="241" spans="1:43" x14ac:dyDescent="0.2">
      <c r="A241" s="201">
        <f>Реестр_План_Факт!A241</f>
        <v>46262</v>
      </c>
      <c r="B241">
        <f>Реестр_План_Факт!B241</f>
        <v>35</v>
      </c>
      <c r="C241">
        <f>Реестр_План_Факт!C241</f>
        <v>8</v>
      </c>
      <c r="D241">
        <f>Реестр_План_Факт!D241</f>
        <v>0</v>
      </c>
      <c r="E241">
        <f>Реестр_План_Факт!E241</f>
        <v>0</v>
      </c>
      <c r="F241" t="str">
        <f>Реестр_План_Факт!F241</f>
        <v/>
      </c>
      <c r="G241">
        <f>Реестр_План_Факт!G241</f>
        <v>0</v>
      </c>
      <c r="H241">
        <f>Реестр_План_Факт!H241</f>
        <v>0</v>
      </c>
      <c r="I241" t="str">
        <f>Реестр_План_Факт!I241</f>
        <v/>
      </c>
      <c r="J241">
        <f>Реестр_План_Факт!J241</f>
        <v>0</v>
      </c>
      <c r="K241">
        <f>Реестр_План_Факт!K241</f>
        <v>0</v>
      </c>
      <c r="L241" t="str">
        <f>Реестр_План_Факт!L241</f>
        <v/>
      </c>
      <c r="M241">
        <f>Реестр_План_Факт!M241</f>
        <v>0</v>
      </c>
      <c r="N241">
        <f>Реестр_План_Факт!N241</f>
        <v>0</v>
      </c>
      <c r="O241" t="str">
        <f>Реестр_План_Факт!O241</f>
        <v/>
      </c>
      <c r="P241">
        <f>Реестр_План_Факт!P241</f>
        <v>0</v>
      </c>
      <c r="Q241">
        <f>Реестр_План_Факт!Q241</f>
        <v>0</v>
      </c>
      <c r="R241" t="str">
        <f>Реестр_План_Факт!R241</f>
        <v/>
      </c>
      <c r="S241">
        <f>Реестр_План_Факт!S241</f>
        <v>0</v>
      </c>
      <c r="T241">
        <f>Реестр_План_Факт!T241</f>
        <v>0</v>
      </c>
      <c r="U241" t="str">
        <f>Реестр_План_Факт!U241</f>
        <v/>
      </c>
      <c r="V241">
        <f>Реестр_План_Факт!V241</f>
        <v>0</v>
      </c>
      <c r="W241">
        <f>Реестр_План_Факт!W241</f>
        <v>0</v>
      </c>
      <c r="X241" t="str">
        <f>Реестр_План_Факт!X241</f>
        <v/>
      </c>
      <c r="Y241">
        <f>Реестр_План_Факт!Y241</f>
        <v>0</v>
      </c>
      <c r="Z241">
        <f>Реестр_План_Факт!Z241</f>
        <v>0</v>
      </c>
      <c r="AA241" t="str">
        <f>Реестр_План_Факт!AA241</f>
        <v/>
      </c>
      <c r="AB241">
        <f>Реестр_План_Факт!AB241</f>
        <v>0</v>
      </c>
      <c r="AC241">
        <f>Реестр_План_Факт!AC241</f>
        <v>0</v>
      </c>
      <c r="AD241" t="str">
        <f>Реестр_План_Факт!AD241</f>
        <v/>
      </c>
      <c r="AE241">
        <f>Реестр_План_Факт!AE241</f>
        <v>0</v>
      </c>
      <c r="AF241">
        <f>Реестр_План_Факт!AF241</f>
        <v>0</v>
      </c>
      <c r="AG241" t="str">
        <f>Реестр_План_Факт!AG241</f>
        <v/>
      </c>
      <c r="AH241">
        <f>Реестр_План_Факт!AH241</f>
        <v>0</v>
      </c>
      <c r="AI241">
        <f>Реестр_План_Факт!AI241</f>
        <v>0</v>
      </c>
      <c r="AJ241" t="str">
        <f>Реестр_План_Факт!AJ241</f>
        <v/>
      </c>
      <c r="AK241">
        <f>Реестр_План_Факт!AK241</f>
        <v>0</v>
      </c>
      <c r="AL241">
        <f>Реестр_План_Факт!AL241</f>
        <v>0</v>
      </c>
      <c r="AM241" t="str">
        <f>Реестр_План_Факт!AM241</f>
        <v/>
      </c>
      <c r="AN241">
        <f>Реестр_План_Факт!AN241</f>
        <v>0</v>
      </c>
      <c r="AO241">
        <f>Реестр_План_Факт!AO241</f>
        <v>0</v>
      </c>
      <c r="AP241" t="str">
        <f>Реестр_План_Факт!AP241</f>
        <v/>
      </c>
      <c r="AQ241">
        <f>Реестр_План_Факт!AQ241</f>
        <v>0</v>
      </c>
    </row>
    <row r="242" spans="1:43" x14ac:dyDescent="0.2">
      <c r="A242" s="201">
        <f>Реестр_План_Факт!A242</f>
        <v>46263</v>
      </c>
      <c r="B242">
        <f>Реестр_План_Факт!B242</f>
        <v>35</v>
      </c>
      <c r="C242">
        <f>Реестр_План_Факт!C242</f>
        <v>8</v>
      </c>
      <c r="D242">
        <f>Реестр_План_Факт!D242</f>
        <v>0</v>
      </c>
      <c r="E242">
        <f>Реестр_План_Факт!E242</f>
        <v>0</v>
      </c>
      <c r="F242" t="str">
        <f>Реестр_План_Факт!F242</f>
        <v/>
      </c>
      <c r="G242">
        <f>Реестр_План_Факт!G242</f>
        <v>0</v>
      </c>
      <c r="H242">
        <f>Реестр_План_Факт!H242</f>
        <v>0</v>
      </c>
      <c r="I242" t="str">
        <f>Реестр_План_Факт!I242</f>
        <v/>
      </c>
      <c r="J242">
        <f>Реестр_План_Факт!J242</f>
        <v>0</v>
      </c>
      <c r="K242">
        <f>Реестр_План_Факт!K242</f>
        <v>0</v>
      </c>
      <c r="L242" t="str">
        <f>Реестр_План_Факт!L242</f>
        <v/>
      </c>
      <c r="M242">
        <f>Реестр_План_Факт!M242</f>
        <v>0</v>
      </c>
      <c r="N242">
        <f>Реестр_План_Факт!N242</f>
        <v>0</v>
      </c>
      <c r="O242" t="str">
        <f>Реестр_План_Факт!O242</f>
        <v/>
      </c>
      <c r="P242">
        <f>Реестр_План_Факт!P242</f>
        <v>0</v>
      </c>
      <c r="Q242">
        <f>Реестр_План_Факт!Q242</f>
        <v>0</v>
      </c>
      <c r="R242" t="str">
        <f>Реестр_План_Факт!R242</f>
        <v/>
      </c>
      <c r="S242">
        <f>Реестр_План_Факт!S242</f>
        <v>0</v>
      </c>
      <c r="T242">
        <f>Реестр_План_Факт!T242</f>
        <v>0</v>
      </c>
      <c r="U242" t="str">
        <f>Реестр_План_Факт!U242</f>
        <v/>
      </c>
      <c r="V242">
        <f>Реестр_План_Факт!V242</f>
        <v>0</v>
      </c>
      <c r="W242">
        <f>Реестр_План_Факт!W242</f>
        <v>0</v>
      </c>
      <c r="X242" t="str">
        <f>Реестр_План_Факт!X242</f>
        <v/>
      </c>
      <c r="Y242">
        <f>Реестр_План_Факт!Y242</f>
        <v>0</v>
      </c>
      <c r="Z242">
        <f>Реестр_План_Факт!Z242</f>
        <v>0</v>
      </c>
      <c r="AA242" t="str">
        <f>Реестр_План_Факт!AA242</f>
        <v/>
      </c>
      <c r="AB242">
        <f>Реестр_План_Факт!AB242</f>
        <v>0</v>
      </c>
      <c r="AC242">
        <f>Реестр_План_Факт!AC242</f>
        <v>0</v>
      </c>
      <c r="AD242" t="str">
        <f>Реестр_План_Факт!AD242</f>
        <v/>
      </c>
      <c r="AE242">
        <f>Реестр_План_Факт!AE242</f>
        <v>0</v>
      </c>
      <c r="AF242">
        <f>Реестр_План_Факт!AF242</f>
        <v>0</v>
      </c>
      <c r="AG242" t="str">
        <f>Реестр_План_Факт!AG242</f>
        <v/>
      </c>
      <c r="AH242">
        <f>Реестр_План_Факт!AH242</f>
        <v>0</v>
      </c>
      <c r="AI242">
        <f>Реестр_План_Факт!AI242</f>
        <v>0</v>
      </c>
      <c r="AJ242" t="str">
        <f>Реестр_План_Факт!AJ242</f>
        <v/>
      </c>
      <c r="AK242">
        <f>Реестр_План_Факт!AK242</f>
        <v>0</v>
      </c>
      <c r="AL242">
        <f>Реестр_План_Факт!AL242</f>
        <v>0</v>
      </c>
      <c r="AM242" t="str">
        <f>Реестр_План_Факт!AM242</f>
        <v/>
      </c>
      <c r="AN242">
        <f>Реестр_План_Факт!AN242</f>
        <v>0</v>
      </c>
      <c r="AO242">
        <f>Реестр_План_Факт!AO242</f>
        <v>0</v>
      </c>
      <c r="AP242" t="str">
        <f>Реестр_План_Факт!AP242</f>
        <v/>
      </c>
      <c r="AQ242">
        <f>Реестр_План_Факт!AQ242</f>
        <v>0</v>
      </c>
    </row>
    <row r="243" spans="1:43" x14ac:dyDescent="0.2">
      <c r="A243" s="201">
        <f>Реестр_План_Факт!A243</f>
        <v>46264</v>
      </c>
      <c r="B243">
        <f>Реестр_План_Факт!B243</f>
        <v>35</v>
      </c>
      <c r="C243">
        <f>Реестр_План_Факт!C243</f>
        <v>8</v>
      </c>
      <c r="D243">
        <f>Реестр_План_Факт!D243</f>
        <v>0</v>
      </c>
      <c r="E243">
        <f>Реестр_План_Факт!E243</f>
        <v>0</v>
      </c>
      <c r="F243" t="str">
        <f>Реестр_План_Факт!F243</f>
        <v/>
      </c>
      <c r="G243">
        <f>Реестр_План_Факт!G243</f>
        <v>0</v>
      </c>
      <c r="H243">
        <f>Реестр_План_Факт!H243</f>
        <v>0</v>
      </c>
      <c r="I243" t="str">
        <f>Реестр_План_Факт!I243</f>
        <v/>
      </c>
      <c r="J243">
        <f>Реестр_План_Факт!J243</f>
        <v>0</v>
      </c>
      <c r="K243">
        <f>Реестр_План_Факт!K243</f>
        <v>0</v>
      </c>
      <c r="L243" t="str">
        <f>Реестр_План_Факт!L243</f>
        <v/>
      </c>
      <c r="M243">
        <f>Реестр_План_Факт!M243</f>
        <v>0</v>
      </c>
      <c r="N243">
        <f>Реестр_План_Факт!N243</f>
        <v>0</v>
      </c>
      <c r="O243" t="str">
        <f>Реестр_План_Факт!O243</f>
        <v/>
      </c>
      <c r="P243">
        <f>Реестр_План_Факт!P243</f>
        <v>0</v>
      </c>
      <c r="Q243">
        <f>Реестр_План_Факт!Q243</f>
        <v>0</v>
      </c>
      <c r="R243" t="str">
        <f>Реестр_План_Факт!R243</f>
        <v/>
      </c>
      <c r="S243">
        <f>Реестр_План_Факт!S243</f>
        <v>0</v>
      </c>
      <c r="T243">
        <f>Реестр_План_Факт!T243</f>
        <v>0</v>
      </c>
      <c r="U243" t="str">
        <f>Реестр_План_Факт!U243</f>
        <v/>
      </c>
      <c r="V243">
        <f>Реестр_План_Факт!V243</f>
        <v>0</v>
      </c>
      <c r="W243">
        <f>Реестр_План_Факт!W243</f>
        <v>0</v>
      </c>
      <c r="X243" t="str">
        <f>Реестр_План_Факт!X243</f>
        <v/>
      </c>
      <c r="Y243">
        <f>Реестр_План_Факт!Y243</f>
        <v>0</v>
      </c>
      <c r="Z243">
        <f>Реестр_План_Факт!Z243</f>
        <v>0</v>
      </c>
      <c r="AA243" t="str">
        <f>Реестр_План_Факт!AA243</f>
        <v/>
      </c>
      <c r="AB243">
        <f>Реестр_План_Факт!AB243</f>
        <v>0</v>
      </c>
      <c r="AC243">
        <f>Реестр_План_Факт!AC243</f>
        <v>0</v>
      </c>
      <c r="AD243" t="str">
        <f>Реестр_План_Факт!AD243</f>
        <v/>
      </c>
      <c r="AE243">
        <f>Реестр_План_Факт!AE243</f>
        <v>0</v>
      </c>
      <c r="AF243">
        <f>Реестр_План_Факт!AF243</f>
        <v>0</v>
      </c>
      <c r="AG243" t="str">
        <f>Реестр_План_Факт!AG243</f>
        <v/>
      </c>
      <c r="AH243">
        <f>Реестр_План_Факт!AH243</f>
        <v>0</v>
      </c>
      <c r="AI243">
        <f>Реестр_План_Факт!AI243</f>
        <v>0</v>
      </c>
      <c r="AJ243" t="str">
        <f>Реестр_План_Факт!AJ243</f>
        <v/>
      </c>
      <c r="AK243">
        <f>Реестр_План_Факт!AK243</f>
        <v>0</v>
      </c>
      <c r="AL243">
        <f>Реестр_План_Факт!AL243</f>
        <v>0</v>
      </c>
      <c r="AM243" t="str">
        <f>Реестр_План_Факт!AM243</f>
        <v/>
      </c>
      <c r="AN243">
        <f>Реестр_План_Факт!AN243</f>
        <v>0</v>
      </c>
      <c r="AO243">
        <f>Реестр_План_Факт!AO243</f>
        <v>0</v>
      </c>
      <c r="AP243" t="str">
        <f>Реестр_План_Факт!AP243</f>
        <v/>
      </c>
      <c r="AQ243">
        <f>Реестр_План_Факт!AQ243</f>
        <v>0</v>
      </c>
    </row>
    <row r="244" spans="1:43" x14ac:dyDescent="0.2">
      <c r="A244" s="201">
        <f>Реестр_План_Факт!A244</f>
        <v>46265</v>
      </c>
      <c r="B244">
        <f>Реестр_План_Факт!B244</f>
        <v>36</v>
      </c>
      <c r="C244">
        <f>Реестр_План_Факт!C244</f>
        <v>8</v>
      </c>
      <c r="D244">
        <f>Реестр_План_Факт!D244</f>
        <v>0</v>
      </c>
      <c r="E244">
        <f>Реестр_План_Факт!E244</f>
        <v>0</v>
      </c>
      <c r="F244" t="str">
        <f>Реестр_План_Факт!F244</f>
        <v/>
      </c>
      <c r="G244">
        <f>Реестр_План_Факт!G244</f>
        <v>0</v>
      </c>
      <c r="H244">
        <f>Реестр_План_Факт!H244</f>
        <v>0</v>
      </c>
      <c r="I244" t="str">
        <f>Реестр_План_Факт!I244</f>
        <v/>
      </c>
      <c r="J244">
        <f>Реестр_План_Факт!J244</f>
        <v>0</v>
      </c>
      <c r="K244">
        <f>Реестр_План_Факт!K244</f>
        <v>0</v>
      </c>
      <c r="L244" t="str">
        <f>Реестр_План_Факт!L244</f>
        <v/>
      </c>
      <c r="M244">
        <f>Реестр_План_Факт!M244</f>
        <v>0</v>
      </c>
      <c r="N244">
        <f>Реестр_План_Факт!N244</f>
        <v>0</v>
      </c>
      <c r="O244" t="str">
        <f>Реестр_План_Факт!O244</f>
        <v/>
      </c>
      <c r="P244">
        <f>Реестр_План_Факт!P244</f>
        <v>0</v>
      </c>
      <c r="Q244">
        <f>Реестр_План_Факт!Q244</f>
        <v>0</v>
      </c>
      <c r="R244" t="str">
        <f>Реестр_План_Факт!R244</f>
        <v/>
      </c>
      <c r="S244">
        <f>Реестр_План_Факт!S244</f>
        <v>0</v>
      </c>
      <c r="T244">
        <f>Реестр_План_Факт!T244</f>
        <v>0</v>
      </c>
      <c r="U244" t="str">
        <f>Реестр_План_Факт!U244</f>
        <v/>
      </c>
      <c r="V244">
        <f>Реестр_План_Факт!V244</f>
        <v>0</v>
      </c>
      <c r="W244">
        <f>Реестр_План_Факт!W244</f>
        <v>0</v>
      </c>
      <c r="X244" t="str">
        <f>Реестр_План_Факт!X244</f>
        <v/>
      </c>
      <c r="Y244">
        <f>Реестр_План_Факт!Y244</f>
        <v>0</v>
      </c>
      <c r="Z244">
        <f>Реестр_План_Факт!Z244</f>
        <v>0</v>
      </c>
      <c r="AA244" t="str">
        <f>Реестр_План_Факт!AA244</f>
        <v/>
      </c>
      <c r="AB244">
        <f>Реестр_План_Факт!AB244</f>
        <v>0</v>
      </c>
      <c r="AC244">
        <f>Реестр_План_Факт!AC244</f>
        <v>0</v>
      </c>
      <c r="AD244" t="str">
        <f>Реестр_План_Факт!AD244</f>
        <v/>
      </c>
      <c r="AE244">
        <f>Реестр_План_Факт!AE244</f>
        <v>0</v>
      </c>
      <c r="AF244">
        <f>Реестр_План_Факт!AF244</f>
        <v>0</v>
      </c>
      <c r="AG244" t="str">
        <f>Реестр_План_Факт!AG244</f>
        <v/>
      </c>
      <c r="AH244">
        <f>Реестр_План_Факт!AH244</f>
        <v>0</v>
      </c>
      <c r="AI244">
        <f>Реестр_План_Факт!AI244</f>
        <v>0</v>
      </c>
      <c r="AJ244" t="str">
        <f>Реестр_План_Факт!AJ244</f>
        <v/>
      </c>
      <c r="AK244">
        <f>Реестр_План_Факт!AK244</f>
        <v>0</v>
      </c>
      <c r="AL244">
        <f>Реестр_План_Факт!AL244</f>
        <v>0</v>
      </c>
      <c r="AM244" t="str">
        <f>Реестр_План_Факт!AM244</f>
        <v/>
      </c>
      <c r="AN244">
        <f>Реестр_План_Факт!AN244</f>
        <v>0</v>
      </c>
      <c r="AO244">
        <f>Реестр_План_Факт!AO244</f>
        <v>0</v>
      </c>
      <c r="AP244" t="str">
        <f>Реестр_План_Факт!AP244</f>
        <v/>
      </c>
      <c r="AQ244">
        <f>Реестр_План_Факт!AQ244</f>
        <v>0</v>
      </c>
    </row>
    <row r="245" spans="1:43" x14ac:dyDescent="0.2">
      <c r="A245" s="201">
        <f>Реестр_План_Факт!A245</f>
        <v>46266</v>
      </c>
      <c r="B245">
        <f>Реестр_План_Факт!B245</f>
        <v>36</v>
      </c>
      <c r="C245">
        <f>Реестр_План_Факт!C245</f>
        <v>9</v>
      </c>
      <c r="D245">
        <f>Реестр_План_Факт!D245</f>
        <v>0</v>
      </c>
      <c r="E245">
        <f>Реестр_План_Факт!E245</f>
        <v>0</v>
      </c>
      <c r="F245" t="str">
        <f>Реестр_План_Факт!F245</f>
        <v/>
      </c>
      <c r="G245">
        <f>Реестр_План_Факт!G245</f>
        <v>0</v>
      </c>
      <c r="H245">
        <f>Реестр_План_Факт!H245</f>
        <v>0</v>
      </c>
      <c r="I245" t="str">
        <f>Реестр_План_Факт!I245</f>
        <v/>
      </c>
      <c r="J245">
        <f>Реестр_План_Факт!J245</f>
        <v>0</v>
      </c>
      <c r="K245">
        <f>Реестр_План_Факт!K245</f>
        <v>0</v>
      </c>
      <c r="L245" t="str">
        <f>Реестр_План_Факт!L245</f>
        <v/>
      </c>
      <c r="M245">
        <f>Реестр_План_Факт!M245</f>
        <v>0</v>
      </c>
      <c r="N245">
        <f>Реестр_План_Факт!N245</f>
        <v>0</v>
      </c>
      <c r="O245" t="str">
        <f>Реестр_План_Факт!O245</f>
        <v/>
      </c>
      <c r="P245">
        <f>Реестр_План_Факт!P245</f>
        <v>0</v>
      </c>
      <c r="Q245">
        <f>Реестр_План_Факт!Q245</f>
        <v>0</v>
      </c>
      <c r="R245" t="str">
        <f>Реестр_План_Факт!R245</f>
        <v/>
      </c>
      <c r="S245">
        <f>Реестр_План_Факт!S245</f>
        <v>0</v>
      </c>
      <c r="T245">
        <f>Реестр_План_Факт!T245</f>
        <v>0</v>
      </c>
      <c r="U245" t="str">
        <f>Реестр_План_Факт!U245</f>
        <v/>
      </c>
      <c r="V245">
        <f>Реестр_План_Факт!V245</f>
        <v>0</v>
      </c>
      <c r="W245">
        <f>Реестр_План_Факт!W245</f>
        <v>0</v>
      </c>
      <c r="X245" t="str">
        <f>Реестр_План_Факт!X245</f>
        <v/>
      </c>
      <c r="Y245">
        <f>Реестр_План_Факт!Y245</f>
        <v>0</v>
      </c>
      <c r="Z245">
        <f>Реестр_План_Факт!Z245</f>
        <v>0</v>
      </c>
      <c r="AA245" t="str">
        <f>Реестр_План_Факт!AA245</f>
        <v/>
      </c>
      <c r="AB245">
        <f>Реестр_План_Факт!AB245</f>
        <v>0</v>
      </c>
      <c r="AC245">
        <f>Реестр_План_Факт!AC245</f>
        <v>0</v>
      </c>
      <c r="AD245" t="str">
        <f>Реестр_План_Факт!AD245</f>
        <v/>
      </c>
      <c r="AE245">
        <f>Реестр_План_Факт!AE245</f>
        <v>0</v>
      </c>
      <c r="AF245">
        <f>Реестр_План_Факт!AF245</f>
        <v>0</v>
      </c>
      <c r="AG245" t="str">
        <f>Реестр_План_Факт!AG245</f>
        <v/>
      </c>
      <c r="AH245">
        <f>Реестр_План_Факт!AH245</f>
        <v>0</v>
      </c>
      <c r="AI245">
        <f>Реестр_План_Факт!AI245</f>
        <v>0</v>
      </c>
      <c r="AJ245" t="str">
        <f>Реестр_План_Факт!AJ245</f>
        <v/>
      </c>
      <c r="AK245">
        <f>Реестр_План_Факт!AK245</f>
        <v>0</v>
      </c>
      <c r="AL245">
        <f>Реестр_План_Факт!AL245</f>
        <v>0</v>
      </c>
      <c r="AM245" t="str">
        <f>Реестр_План_Факт!AM245</f>
        <v/>
      </c>
      <c r="AN245">
        <f>Реестр_План_Факт!AN245</f>
        <v>0</v>
      </c>
      <c r="AO245">
        <f>Реестр_План_Факт!AO245</f>
        <v>0</v>
      </c>
      <c r="AP245" t="str">
        <f>Реестр_План_Факт!AP245</f>
        <v/>
      </c>
      <c r="AQ245">
        <f>Реестр_План_Факт!AQ245</f>
        <v>0</v>
      </c>
    </row>
    <row r="246" spans="1:43" x14ac:dyDescent="0.2">
      <c r="A246" s="201">
        <f>Реестр_План_Факт!A246</f>
        <v>46267</v>
      </c>
      <c r="B246">
        <f>Реестр_План_Факт!B246</f>
        <v>36</v>
      </c>
      <c r="C246">
        <f>Реестр_План_Факт!C246</f>
        <v>9</v>
      </c>
      <c r="D246">
        <f>Реестр_План_Факт!D246</f>
        <v>0</v>
      </c>
      <c r="E246">
        <f>Реестр_План_Факт!E246</f>
        <v>0</v>
      </c>
      <c r="F246" t="str">
        <f>Реестр_План_Факт!F246</f>
        <v/>
      </c>
      <c r="G246">
        <f>Реестр_План_Факт!G246</f>
        <v>0</v>
      </c>
      <c r="H246">
        <f>Реестр_План_Факт!H246</f>
        <v>0</v>
      </c>
      <c r="I246" t="str">
        <f>Реестр_План_Факт!I246</f>
        <v/>
      </c>
      <c r="J246">
        <f>Реестр_План_Факт!J246</f>
        <v>0</v>
      </c>
      <c r="K246">
        <f>Реестр_План_Факт!K246</f>
        <v>0</v>
      </c>
      <c r="L246" t="str">
        <f>Реестр_План_Факт!L246</f>
        <v/>
      </c>
      <c r="M246">
        <f>Реестр_План_Факт!M246</f>
        <v>0</v>
      </c>
      <c r="N246">
        <f>Реестр_План_Факт!N246</f>
        <v>0</v>
      </c>
      <c r="O246" t="str">
        <f>Реестр_План_Факт!O246</f>
        <v/>
      </c>
      <c r="P246">
        <f>Реестр_План_Факт!P246</f>
        <v>0</v>
      </c>
      <c r="Q246">
        <f>Реестр_План_Факт!Q246</f>
        <v>0</v>
      </c>
      <c r="R246" t="str">
        <f>Реестр_План_Факт!R246</f>
        <v/>
      </c>
      <c r="S246">
        <f>Реестр_План_Факт!S246</f>
        <v>0</v>
      </c>
      <c r="T246">
        <f>Реестр_План_Факт!T246</f>
        <v>0</v>
      </c>
      <c r="U246" t="str">
        <f>Реестр_План_Факт!U246</f>
        <v/>
      </c>
      <c r="V246">
        <f>Реестр_План_Факт!V246</f>
        <v>0</v>
      </c>
      <c r="W246">
        <f>Реестр_План_Факт!W246</f>
        <v>0</v>
      </c>
      <c r="X246" t="str">
        <f>Реестр_План_Факт!X246</f>
        <v/>
      </c>
      <c r="Y246">
        <f>Реестр_План_Факт!Y246</f>
        <v>0</v>
      </c>
      <c r="Z246">
        <f>Реестр_План_Факт!Z246</f>
        <v>0</v>
      </c>
      <c r="AA246" t="str">
        <f>Реестр_План_Факт!AA246</f>
        <v/>
      </c>
      <c r="AB246">
        <f>Реестр_План_Факт!AB246</f>
        <v>0</v>
      </c>
      <c r="AC246">
        <f>Реестр_План_Факт!AC246</f>
        <v>0</v>
      </c>
      <c r="AD246" t="str">
        <f>Реестр_План_Факт!AD246</f>
        <v/>
      </c>
      <c r="AE246">
        <f>Реестр_План_Факт!AE246</f>
        <v>0</v>
      </c>
      <c r="AF246">
        <f>Реестр_План_Факт!AF246</f>
        <v>0</v>
      </c>
      <c r="AG246" t="str">
        <f>Реестр_План_Факт!AG246</f>
        <v/>
      </c>
      <c r="AH246">
        <f>Реестр_План_Факт!AH246</f>
        <v>0</v>
      </c>
      <c r="AI246">
        <f>Реестр_План_Факт!AI246</f>
        <v>0</v>
      </c>
      <c r="AJ246" t="str">
        <f>Реестр_План_Факт!AJ246</f>
        <v/>
      </c>
      <c r="AK246">
        <f>Реестр_План_Факт!AK246</f>
        <v>0</v>
      </c>
      <c r="AL246">
        <f>Реестр_План_Факт!AL246</f>
        <v>0</v>
      </c>
      <c r="AM246" t="str">
        <f>Реестр_План_Факт!AM246</f>
        <v/>
      </c>
      <c r="AN246">
        <f>Реестр_План_Факт!AN246</f>
        <v>0</v>
      </c>
      <c r="AO246">
        <f>Реестр_План_Факт!AO246</f>
        <v>0</v>
      </c>
      <c r="AP246" t="str">
        <f>Реестр_План_Факт!AP246</f>
        <v/>
      </c>
      <c r="AQ246">
        <f>Реестр_План_Факт!AQ246</f>
        <v>0</v>
      </c>
    </row>
    <row r="247" spans="1:43" x14ac:dyDescent="0.2">
      <c r="A247" s="201">
        <f>Реестр_План_Факт!A247</f>
        <v>46268</v>
      </c>
      <c r="B247">
        <f>Реестр_План_Факт!B247</f>
        <v>36</v>
      </c>
      <c r="C247">
        <f>Реестр_План_Факт!C247</f>
        <v>9</v>
      </c>
      <c r="D247">
        <f>Реестр_План_Факт!D247</f>
        <v>0</v>
      </c>
      <c r="E247">
        <f>Реестр_План_Факт!E247</f>
        <v>0</v>
      </c>
      <c r="F247" t="str">
        <f>Реестр_План_Факт!F247</f>
        <v/>
      </c>
      <c r="G247">
        <f>Реестр_План_Факт!G247</f>
        <v>0</v>
      </c>
      <c r="H247">
        <f>Реестр_План_Факт!H247</f>
        <v>0</v>
      </c>
      <c r="I247" t="str">
        <f>Реестр_План_Факт!I247</f>
        <v/>
      </c>
      <c r="J247">
        <f>Реестр_План_Факт!J247</f>
        <v>0</v>
      </c>
      <c r="K247">
        <f>Реестр_План_Факт!K247</f>
        <v>0</v>
      </c>
      <c r="L247" t="str">
        <f>Реестр_План_Факт!L247</f>
        <v/>
      </c>
      <c r="M247">
        <f>Реестр_План_Факт!M247</f>
        <v>0</v>
      </c>
      <c r="N247">
        <f>Реестр_План_Факт!N247</f>
        <v>0</v>
      </c>
      <c r="O247" t="str">
        <f>Реестр_План_Факт!O247</f>
        <v/>
      </c>
      <c r="P247">
        <f>Реестр_План_Факт!P247</f>
        <v>0</v>
      </c>
      <c r="Q247">
        <f>Реестр_План_Факт!Q247</f>
        <v>0</v>
      </c>
      <c r="R247" t="str">
        <f>Реестр_План_Факт!R247</f>
        <v/>
      </c>
      <c r="S247">
        <f>Реестр_План_Факт!S247</f>
        <v>0</v>
      </c>
      <c r="T247">
        <f>Реестр_План_Факт!T247</f>
        <v>0</v>
      </c>
      <c r="U247" t="str">
        <f>Реестр_План_Факт!U247</f>
        <v/>
      </c>
      <c r="V247">
        <f>Реестр_План_Факт!V247</f>
        <v>0</v>
      </c>
      <c r="W247">
        <f>Реестр_План_Факт!W247</f>
        <v>0</v>
      </c>
      <c r="X247" t="str">
        <f>Реестр_План_Факт!X247</f>
        <v/>
      </c>
      <c r="Y247">
        <f>Реестр_План_Факт!Y247</f>
        <v>0</v>
      </c>
      <c r="Z247">
        <f>Реестр_План_Факт!Z247</f>
        <v>0</v>
      </c>
      <c r="AA247" t="str">
        <f>Реестр_План_Факт!AA247</f>
        <v/>
      </c>
      <c r="AB247">
        <f>Реестр_План_Факт!AB247</f>
        <v>0</v>
      </c>
      <c r="AC247">
        <f>Реестр_План_Факт!AC247</f>
        <v>0</v>
      </c>
      <c r="AD247" t="str">
        <f>Реестр_План_Факт!AD247</f>
        <v/>
      </c>
      <c r="AE247">
        <f>Реестр_План_Факт!AE247</f>
        <v>0</v>
      </c>
      <c r="AF247">
        <f>Реестр_План_Факт!AF247</f>
        <v>0</v>
      </c>
      <c r="AG247" t="str">
        <f>Реестр_План_Факт!AG247</f>
        <v/>
      </c>
      <c r="AH247">
        <f>Реестр_План_Факт!AH247</f>
        <v>0</v>
      </c>
      <c r="AI247">
        <f>Реестр_План_Факт!AI247</f>
        <v>0</v>
      </c>
      <c r="AJ247" t="str">
        <f>Реестр_План_Факт!AJ247</f>
        <v/>
      </c>
      <c r="AK247">
        <f>Реестр_План_Факт!AK247</f>
        <v>0</v>
      </c>
      <c r="AL247">
        <f>Реестр_План_Факт!AL247</f>
        <v>0</v>
      </c>
      <c r="AM247" t="str">
        <f>Реестр_План_Факт!AM247</f>
        <v/>
      </c>
      <c r="AN247">
        <f>Реестр_План_Факт!AN247</f>
        <v>0</v>
      </c>
      <c r="AO247">
        <f>Реестр_План_Факт!AO247</f>
        <v>0</v>
      </c>
      <c r="AP247" t="str">
        <f>Реестр_План_Факт!AP247</f>
        <v/>
      </c>
      <c r="AQ247">
        <f>Реестр_План_Факт!AQ247</f>
        <v>0</v>
      </c>
    </row>
    <row r="248" spans="1:43" x14ac:dyDescent="0.2">
      <c r="A248" s="201">
        <f>Реестр_План_Факт!A248</f>
        <v>46269</v>
      </c>
      <c r="B248">
        <f>Реестр_План_Факт!B248</f>
        <v>36</v>
      </c>
      <c r="C248">
        <f>Реестр_План_Факт!C248</f>
        <v>9</v>
      </c>
      <c r="D248">
        <f>Реестр_План_Факт!D248</f>
        <v>0</v>
      </c>
      <c r="E248">
        <f>Реестр_План_Факт!E248</f>
        <v>0</v>
      </c>
      <c r="F248" t="str">
        <f>Реестр_План_Факт!F248</f>
        <v/>
      </c>
      <c r="G248">
        <f>Реестр_План_Факт!G248</f>
        <v>0</v>
      </c>
      <c r="H248">
        <f>Реестр_План_Факт!H248</f>
        <v>0</v>
      </c>
      <c r="I248" t="str">
        <f>Реестр_План_Факт!I248</f>
        <v/>
      </c>
      <c r="J248">
        <f>Реестр_План_Факт!J248</f>
        <v>0</v>
      </c>
      <c r="K248">
        <f>Реестр_План_Факт!K248</f>
        <v>0</v>
      </c>
      <c r="L248" t="str">
        <f>Реестр_План_Факт!L248</f>
        <v/>
      </c>
      <c r="M248">
        <f>Реестр_План_Факт!M248</f>
        <v>0</v>
      </c>
      <c r="N248">
        <f>Реестр_План_Факт!N248</f>
        <v>0</v>
      </c>
      <c r="O248" t="str">
        <f>Реестр_План_Факт!O248</f>
        <v/>
      </c>
      <c r="P248">
        <f>Реестр_План_Факт!P248</f>
        <v>0</v>
      </c>
      <c r="Q248">
        <f>Реестр_План_Факт!Q248</f>
        <v>0</v>
      </c>
      <c r="R248" t="str">
        <f>Реестр_План_Факт!R248</f>
        <v/>
      </c>
      <c r="S248">
        <f>Реестр_План_Факт!S248</f>
        <v>0</v>
      </c>
      <c r="T248">
        <f>Реестр_План_Факт!T248</f>
        <v>0</v>
      </c>
      <c r="U248" t="str">
        <f>Реестр_План_Факт!U248</f>
        <v/>
      </c>
      <c r="V248">
        <f>Реестр_План_Факт!V248</f>
        <v>0</v>
      </c>
      <c r="W248">
        <f>Реестр_План_Факт!W248</f>
        <v>0</v>
      </c>
      <c r="X248" t="str">
        <f>Реестр_План_Факт!X248</f>
        <v/>
      </c>
      <c r="Y248">
        <f>Реестр_План_Факт!Y248</f>
        <v>0</v>
      </c>
      <c r="Z248">
        <f>Реестр_План_Факт!Z248</f>
        <v>0</v>
      </c>
      <c r="AA248" t="str">
        <f>Реестр_План_Факт!AA248</f>
        <v/>
      </c>
      <c r="AB248">
        <f>Реестр_План_Факт!AB248</f>
        <v>0</v>
      </c>
      <c r="AC248">
        <f>Реестр_План_Факт!AC248</f>
        <v>0</v>
      </c>
      <c r="AD248" t="str">
        <f>Реестр_План_Факт!AD248</f>
        <v/>
      </c>
      <c r="AE248">
        <f>Реестр_План_Факт!AE248</f>
        <v>0</v>
      </c>
      <c r="AF248">
        <f>Реестр_План_Факт!AF248</f>
        <v>0</v>
      </c>
      <c r="AG248" t="str">
        <f>Реестр_План_Факт!AG248</f>
        <v/>
      </c>
      <c r="AH248">
        <f>Реестр_План_Факт!AH248</f>
        <v>0</v>
      </c>
      <c r="AI248">
        <f>Реестр_План_Факт!AI248</f>
        <v>0</v>
      </c>
      <c r="AJ248" t="str">
        <f>Реестр_План_Факт!AJ248</f>
        <v/>
      </c>
      <c r="AK248">
        <f>Реестр_План_Факт!AK248</f>
        <v>0</v>
      </c>
      <c r="AL248">
        <f>Реестр_План_Факт!AL248</f>
        <v>0</v>
      </c>
      <c r="AM248" t="str">
        <f>Реестр_План_Факт!AM248</f>
        <v/>
      </c>
      <c r="AN248">
        <f>Реестр_План_Факт!AN248</f>
        <v>0</v>
      </c>
      <c r="AO248">
        <f>Реестр_План_Факт!AO248</f>
        <v>0</v>
      </c>
      <c r="AP248" t="str">
        <f>Реестр_План_Факт!AP248</f>
        <v/>
      </c>
      <c r="AQ248">
        <f>Реестр_План_Факт!AQ248</f>
        <v>0</v>
      </c>
    </row>
    <row r="249" spans="1:43" x14ac:dyDescent="0.2">
      <c r="A249" s="201">
        <f>Реестр_План_Факт!A249</f>
        <v>46270</v>
      </c>
      <c r="B249">
        <f>Реестр_План_Факт!B249</f>
        <v>36</v>
      </c>
      <c r="C249">
        <f>Реестр_План_Факт!C249</f>
        <v>9</v>
      </c>
      <c r="D249">
        <f>Реестр_План_Факт!D249</f>
        <v>0</v>
      </c>
      <c r="E249">
        <f>Реестр_План_Факт!E249</f>
        <v>0</v>
      </c>
      <c r="F249" t="str">
        <f>Реестр_План_Факт!F249</f>
        <v/>
      </c>
      <c r="G249">
        <f>Реестр_План_Факт!G249</f>
        <v>0</v>
      </c>
      <c r="H249">
        <f>Реестр_План_Факт!H249</f>
        <v>0</v>
      </c>
      <c r="I249" t="str">
        <f>Реестр_План_Факт!I249</f>
        <v/>
      </c>
      <c r="J249">
        <f>Реестр_План_Факт!J249</f>
        <v>0</v>
      </c>
      <c r="K249">
        <f>Реестр_План_Факт!K249</f>
        <v>0</v>
      </c>
      <c r="L249" t="str">
        <f>Реестр_План_Факт!L249</f>
        <v/>
      </c>
      <c r="M249">
        <f>Реестр_План_Факт!M249</f>
        <v>0</v>
      </c>
      <c r="N249">
        <f>Реестр_План_Факт!N249</f>
        <v>0</v>
      </c>
      <c r="O249" t="str">
        <f>Реестр_План_Факт!O249</f>
        <v/>
      </c>
      <c r="P249">
        <f>Реестр_План_Факт!P249</f>
        <v>0</v>
      </c>
      <c r="Q249">
        <f>Реестр_План_Факт!Q249</f>
        <v>0</v>
      </c>
      <c r="R249" t="str">
        <f>Реестр_План_Факт!R249</f>
        <v/>
      </c>
      <c r="S249">
        <f>Реестр_План_Факт!S249</f>
        <v>0</v>
      </c>
      <c r="T249">
        <f>Реестр_План_Факт!T249</f>
        <v>0</v>
      </c>
      <c r="U249" t="str">
        <f>Реестр_План_Факт!U249</f>
        <v/>
      </c>
      <c r="V249">
        <f>Реестр_План_Факт!V249</f>
        <v>0</v>
      </c>
      <c r="W249">
        <f>Реестр_План_Факт!W249</f>
        <v>0</v>
      </c>
      <c r="X249" t="str">
        <f>Реестр_План_Факт!X249</f>
        <v/>
      </c>
      <c r="Y249">
        <f>Реестр_План_Факт!Y249</f>
        <v>0</v>
      </c>
      <c r="Z249">
        <f>Реестр_План_Факт!Z249</f>
        <v>0</v>
      </c>
      <c r="AA249" t="str">
        <f>Реестр_План_Факт!AA249</f>
        <v/>
      </c>
      <c r="AB249">
        <f>Реестр_План_Факт!AB249</f>
        <v>0</v>
      </c>
      <c r="AC249">
        <f>Реестр_План_Факт!AC249</f>
        <v>0</v>
      </c>
      <c r="AD249" t="str">
        <f>Реестр_План_Факт!AD249</f>
        <v/>
      </c>
      <c r="AE249">
        <f>Реестр_План_Факт!AE249</f>
        <v>0</v>
      </c>
      <c r="AF249">
        <f>Реестр_План_Факт!AF249</f>
        <v>0</v>
      </c>
      <c r="AG249" t="str">
        <f>Реестр_План_Факт!AG249</f>
        <v/>
      </c>
      <c r="AH249">
        <f>Реестр_План_Факт!AH249</f>
        <v>0</v>
      </c>
      <c r="AI249">
        <f>Реестр_План_Факт!AI249</f>
        <v>0</v>
      </c>
      <c r="AJ249" t="str">
        <f>Реестр_План_Факт!AJ249</f>
        <v/>
      </c>
      <c r="AK249">
        <f>Реестр_План_Факт!AK249</f>
        <v>0</v>
      </c>
      <c r="AL249">
        <f>Реестр_План_Факт!AL249</f>
        <v>0</v>
      </c>
      <c r="AM249" t="str">
        <f>Реестр_План_Факт!AM249</f>
        <v/>
      </c>
      <c r="AN249">
        <f>Реестр_План_Факт!AN249</f>
        <v>0</v>
      </c>
      <c r="AO249">
        <f>Реестр_План_Факт!AO249</f>
        <v>0</v>
      </c>
      <c r="AP249" t="str">
        <f>Реестр_План_Факт!AP249</f>
        <v/>
      </c>
      <c r="AQ249">
        <f>Реестр_План_Факт!AQ249</f>
        <v>0</v>
      </c>
    </row>
    <row r="250" spans="1:43" x14ac:dyDescent="0.2">
      <c r="A250" s="201">
        <f>Реестр_План_Факт!A250</f>
        <v>46271</v>
      </c>
      <c r="B250">
        <f>Реестр_План_Факт!B250</f>
        <v>36</v>
      </c>
      <c r="C250">
        <f>Реестр_План_Факт!C250</f>
        <v>9</v>
      </c>
      <c r="D250">
        <f>Реестр_План_Факт!D250</f>
        <v>0</v>
      </c>
      <c r="E250">
        <f>Реестр_План_Факт!E250</f>
        <v>0</v>
      </c>
      <c r="F250" t="str">
        <f>Реестр_План_Факт!F250</f>
        <v/>
      </c>
      <c r="G250">
        <f>Реестр_План_Факт!G250</f>
        <v>0</v>
      </c>
      <c r="H250">
        <f>Реестр_План_Факт!H250</f>
        <v>0</v>
      </c>
      <c r="I250" t="str">
        <f>Реестр_План_Факт!I250</f>
        <v/>
      </c>
      <c r="J250">
        <f>Реестр_План_Факт!J250</f>
        <v>0</v>
      </c>
      <c r="K250">
        <f>Реестр_План_Факт!K250</f>
        <v>0</v>
      </c>
      <c r="L250" t="str">
        <f>Реестр_План_Факт!L250</f>
        <v/>
      </c>
      <c r="M250">
        <f>Реестр_План_Факт!M250</f>
        <v>0</v>
      </c>
      <c r="N250">
        <f>Реестр_План_Факт!N250</f>
        <v>0</v>
      </c>
      <c r="O250" t="str">
        <f>Реестр_План_Факт!O250</f>
        <v/>
      </c>
      <c r="P250">
        <f>Реестр_План_Факт!P250</f>
        <v>0</v>
      </c>
      <c r="Q250">
        <f>Реестр_План_Факт!Q250</f>
        <v>0</v>
      </c>
      <c r="R250" t="str">
        <f>Реестр_План_Факт!R250</f>
        <v/>
      </c>
      <c r="S250">
        <f>Реестр_План_Факт!S250</f>
        <v>0</v>
      </c>
      <c r="T250">
        <f>Реестр_План_Факт!T250</f>
        <v>0</v>
      </c>
      <c r="U250" t="str">
        <f>Реестр_План_Факт!U250</f>
        <v/>
      </c>
      <c r="V250">
        <f>Реестр_План_Факт!V250</f>
        <v>0</v>
      </c>
      <c r="W250">
        <f>Реестр_План_Факт!W250</f>
        <v>0</v>
      </c>
      <c r="X250" t="str">
        <f>Реестр_План_Факт!X250</f>
        <v/>
      </c>
      <c r="Y250">
        <f>Реестр_План_Факт!Y250</f>
        <v>0</v>
      </c>
      <c r="Z250">
        <f>Реестр_План_Факт!Z250</f>
        <v>0</v>
      </c>
      <c r="AA250" t="str">
        <f>Реестр_План_Факт!AA250</f>
        <v/>
      </c>
      <c r="AB250">
        <f>Реестр_План_Факт!AB250</f>
        <v>0</v>
      </c>
      <c r="AC250">
        <f>Реестр_План_Факт!AC250</f>
        <v>0</v>
      </c>
      <c r="AD250" t="str">
        <f>Реестр_План_Факт!AD250</f>
        <v/>
      </c>
      <c r="AE250">
        <f>Реестр_План_Факт!AE250</f>
        <v>0</v>
      </c>
      <c r="AF250">
        <f>Реестр_План_Факт!AF250</f>
        <v>0</v>
      </c>
      <c r="AG250" t="str">
        <f>Реестр_План_Факт!AG250</f>
        <v/>
      </c>
      <c r="AH250">
        <f>Реестр_План_Факт!AH250</f>
        <v>0</v>
      </c>
      <c r="AI250">
        <f>Реестр_План_Факт!AI250</f>
        <v>0</v>
      </c>
      <c r="AJ250" t="str">
        <f>Реестр_План_Факт!AJ250</f>
        <v/>
      </c>
      <c r="AK250">
        <f>Реестр_План_Факт!AK250</f>
        <v>0</v>
      </c>
      <c r="AL250">
        <f>Реестр_План_Факт!AL250</f>
        <v>0</v>
      </c>
      <c r="AM250" t="str">
        <f>Реестр_План_Факт!AM250</f>
        <v/>
      </c>
      <c r="AN250">
        <f>Реестр_План_Факт!AN250</f>
        <v>0</v>
      </c>
      <c r="AO250">
        <f>Реестр_План_Факт!AO250</f>
        <v>0</v>
      </c>
      <c r="AP250" t="str">
        <f>Реестр_План_Факт!AP250</f>
        <v/>
      </c>
      <c r="AQ250">
        <f>Реестр_План_Факт!AQ250</f>
        <v>0</v>
      </c>
    </row>
    <row r="251" spans="1:43" x14ac:dyDescent="0.2">
      <c r="A251" s="201">
        <f>Реестр_План_Факт!A251</f>
        <v>46272</v>
      </c>
      <c r="B251">
        <f>Реестр_План_Факт!B251</f>
        <v>37</v>
      </c>
      <c r="C251">
        <f>Реестр_План_Факт!C251</f>
        <v>9</v>
      </c>
      <c r="D251">
        <f>Реестр_План_Факт!D251</f>
        <v>0</v>
      </c>
      <c r="E251">
        <f>Реестр_План_Факт!E251</f>
        <v>0</v>
      </c>
      <c r="F251" t="str">
        <f>Реестр_План_Факт!F251</f>
        <v/>
      </c>
      <c r="G251">
        <f>Реестр_План_Факт!G251</f>
        <v>0</v>
      </c>
      <c r="H251">
        <f>Реестр_План_Факт!H251</f>
        <v>0</v>
      </c>
      <c r="I251" t="str">
        <f>Реестр_План_Факт!I251</f>
        <v/>
      </c>
      <c r="J251">
        <f>Реестр_План_Факт!J251</f>
        <v>0</v>
      </c>
      <c r="K251">
        <f>Реестр_План_Факт!K251</f>
        <v>0</v>
      </c>
      <c r="L251" t="str">
        <f>Реестр_План_Факт!L251</f>
        <v/>
      </c>
      <c r="M251">
        <f>Реестр_План_Факт!M251</f>
        <v>0</v>
      </c>
      <c r="N251">
        <f>Реестр_План_Факт!N251</f>
        <v>0</v>
      </c>
      <c r="O251" t="str">
        <f>Реестр_План_Факт!O251</f>
        <v/>
      </c>
      <c r="P251">
        <f>Реестр_План_Факт!P251</f>
        <v>0</v>
      </c>
      <c r="Q251">
        <f>Реестр_План_Факт!Q251</f>
        <v>0</v>
      </c>
      <c r="R251" t="str">
        <f>Реестр_План_Факт!R251</f>
        <v/>
      </c>
      <c r="S251">
        <f>Реестр_План_Факт!S251</f>
        <v>0</v>
      </c>
      <c r="T251">
        <f>Реестр_План_Факт!T251</f>
        <v>0</v>
      </c>
      <c r="U251" t="str">
        <f>Реестр_План_Факт!U251</f>
        <v/>
      </c>
      <c r="V251">
        <f>Реестр_План_Факт!V251</f>
        <v>0</v>
      </c>
      <c r="W251">
        <f>Реестр_План_Факт!W251</f>
        <v>0</v>
      </c>
      <c r="X251" t="str">
        <f>Реестр_План_Факт!X251</f>
        <v/>
      </c>
      <c r="Y251">
        <f>Реестр_План_Факт!Y251</f>
        <v>0</v>
      </c>
      <c r="Z251">
        <f>Реестр_План_Факт!Z251</f>
        <v>0</v>
      </c>
      <c r="AA251" t="str">
        <f>Реестр_План_Факт!AA251</f>
        <v/>
      </c>
      <c r="AB251">
        <f>Реестр_План_Факт!AB251</f>
        <v>0</v>
      </c>
      <c r="AC251">
        <f>Реестр_План_Факт!AC251</f>
        <v>0</v>
      </c>
      <c r="AD251" t="str">
        <f>Реестр_План_Факт!AD251</f>
        <v/>
      </c>
      <c r="AE251">
        <f>Реестр_План_Факт!AE251</f>
        <v>0</v>
      </c>
      <c r="AF251">
        <f>Реестр_План_Факт!AF251</f>
        <v>0</v>
      </c>
      <c r="AG251" t="str">
        <f>Реестр_План_Факт!AG251</f>
        <v/>
      </c>
      <c r="AH251">
        <f>Реестр_План_Факт!AH251</f>
        <v>0</v>
      </c>
      <c r="AI251">
        <f>Реестр_План_Факт!AI251</f>
        <v>0</v>
      </c>
      <c r="AJ251" t="str">
        <f>Реестр_План_Факт!AJ251</f>
        <v/>
      </c>
      <c r="AK251">
        <f>Реестр_План_Факт!AK251</f>
        <v>0</v>
      </c>
      <c r="AL251">
        <f>Реестр_План_Факт!AL251</f>
        <v>0</v>
      </c>
      <c r="AM251" t="str">
        <f>Реестр_План_Факт!AM251</f>
        <v/>
      </c>
      <c r="AN251">
        <f>Реестр_План_Факт!AN251</f>
        <v>0</v>
      </c>
      <c r="AO251">
        <f>Реестр_План_Факт!AO251</f>
        <v>0</v>
      </c>
      <c r="AP251" t="str">
        <f>Реестр_План_Факт!AP251</f>
        <v/>
      </c>
      <c r="AQ251">
        <f>Реестр_План_Факт!AQ251</f>
        <v>0</v>
      </c>
    </row>
    <row r="252" spans="1:43" x14ac:dyDescent="0.2">
      <c r="A252" s="201">
        <f>Реестр_План_Факт!A252</f>
        <v>46273</v>
      </c>
      <c r="B252">
        <f>Реестр_План_Факт!B252</f>
        <v>37</v>
      </c>
      <c r="C252">
        <f>Реестр_План_Факт!C252</f>
        <v>9</v>
      </c>
      <c r="D252">
        <f>Реестр_План_Факт!D252</f>
        <v>0</v>
      </c>
      <c r="E252">
        <f>Реестр_План_Факт!E252</f>
        <v>0</v>
      </c>
      <c r="F252" t="str">
        <f>Реестр_План_Факт!F252</f>
        <v/>
      </c>
      <c r="G252">
        <f>Реестр_План_Факт!G252</f>
        <v>0</v>
      </c>
      <c r="H252">
        <f>Реестр_План_Факт!H252</f>
        <v>0</v>
      </c>
      <c r="I252" t="str">
        <f>Реестр_План_Факт!I252</f>
        <v/>
      </c>
      <c r="J252">
        <f>Реестр_План_Факт!J252</f>
        <v>0</v>
      </c>
      <c r="K252">
        <f>Реестр_План_Факт!K252</f>
        <v>0</v>
      </c>
      <c r="L252" t="str">
        <f>Реестр_План_Факт!L252</f>
        <v/>
      </c>
      <c r="M252">
        <f>Реестр_План_Факт!M252</f>
        <v>0</v>
      </c>
      <c r="N252">
        <f>Реестр_План_Факт!N252</f>
        <v>0</v>
      </c>
      <c r="O252" t="str">
        <f>Реестр_План_Факт!O252</f>
        <v/>
      </c>
      <c r="P252">
        <f>Реестр_План_Факт!P252</f>
        <v>0</v>
      </c>
      <c r="Q252">
        <f>Реестр_План_Факт!Q252</f>
        <v>0</v>
      </c>
      <c r="R252" t="str">
        <f>Реестр_План_Факт!R252</f>
        <v/>
      </c>
      <c r="S252">
        <f>Реестр_План_Факт!S252</f>
        <v>0</v>
      </c>
      <c r="T252">
        <f>Реестр_План_Факт!T252</f>
        <v>0</v>
      </c>
      <c r="U252" t="str">
        <f>Реестр_План_Факт!U252</f>
        <v/>
      </c>
      <c r="V252">
        <f>Реестр_План_Факт!V252</f>
        <v>0</v>
      </c>
      <c r="W252">
        <f>Реестр_План_Факт!W252</f>
        <v>0</v>
      </c>
      <c r="X252" t="str">
        <f>Реестр_План_Факт!X252</f>
        <v/>
      </c>
      <c r="Y252">
        <f>Реестр_План_Факт!Y252</f>
        <v>0</v>
      </c>
      <c r="Z252">
        <f>Реестр_План_Факт!Z252</f>
        <v>0</v>
      </c>
      <c r="AA252" t="str">
        <f>Реестр_План_Факт!AA252</f>
        <v/>
      </c>
      <c r="AB252">
        <f>Реестр_План_Факт!AB252</f>
        <v>0</v>
      </c>
      <c r="AC252">
        <f>Реестр_План_Факт!AC252</f>
        <v>0</v>
      </c>
      <c r="AD252" t="str">
        <f>Реестр_План_Факт!AD252</f>
        <v/>
      </c>
      <c r="AE252">
        <f>Реестр_План_Факт!AE252</f>
        <v>0</v>
      </c>
      <c r="AF252">
        <f>Реестр_План_Факт!AF252</f>
        <v>0</v>
      </c>
      <c r="AG252" t="str">
        <f>Реестр_План_Факт!AG252</f>
        <v/>
      </c>
      <c r="AH252">
        <f>Реестр_План_Факт!AH252</f>
        <v>0</v>
      </c>
      <c r="AI252">
        <f>Реестр_План_Факт!AI252</f>
        <v>0</v>
      </c>
      <c r="AJ252" t="str">
        <f>Реестр_План_Факт!AJ252</f>
        <v/>
      </c>
      <c r="AK252">
        <f>Реестр_План_Факт!AK252</f>
        <v>0</v>
      </c>
      <c r="AL252">
        <f>Реестр_План_Факт!AL252</f>
        <v>0</v>
      </c>
      <c r="AM252" t="str">
        <f>Реестр_План_Факт!AM252</f>
        <v/>
      </c>
      <c r="AN252">
        <f>Реестр_План_Факт!AN252</f>
        <v>0</v>
      </c>
      <c r="AO252">
        <f>Реестр_План_Факт!AO252</f>
        <v>0</v>
      </c>
      <c r="AP252" t="str">
        <f>Реестр_План_Факт!AP252</f>
        <v/>
      </c>
      <c r="AQ252">
        <f>Реестр_План_Факт!AQ252</f>
        <v>0</v>
      </c>
    </row>
    <row r="253" spans="1:43" x14ac:dyDescent="0.2">
      <c r="A253" s="201">
        <f>Реестр_План_Факт!A253</f>
        <v>46274</v>
      </c>
      <c r="B253">
        <f>Реестр_План_Факт!B253</f>
        <v>37</v>
      </c>
      <c r="C253">
        <f>Реестр_План_Факт!C253</f>
        <v>9</v>
      </c>
      <c r="D253">
        <f>Реестр_План_Факт!D253</f>
        <v>0</v>
      </c>
      <c r="E253">
        <f>Реестр_План_Факт!E253</f>
        <v>0</v>
      </c>
      <c r="F253" t="str">
        <f>Реестр_План_Факт!F253</f>
        <v/>
      </c>
      <c r="G253">
        <f>Реестр_План_Факт!G253</f>
        <v>0</v>
      </c>
      <c r="H253">
        <f>Реестр_План_Факт!H253</f>
        <v>0</v>
      </c>
      <c r="I253" t="str">
        <f>Реестр_План_Факт!I253</f>
        <v/>
      </c>
      <c r="J253">
        <f>Реестр_План_Факт!J253</f>
        <v>0</v>
      </c>
      <c r="K253">
        <f>Реестр_План_Факт!K253</f>
        <v>0</v>
      </c>
      <c r="L253" t="str">
        <f>Реестр_План_Факт!L253</f>
        <v/>
      </c>
      <c r="M253">
        <f>Реестр_План_Факт!M253</f>
        <v>0</v>
      </c>
      <c r="N253">
        <f>Реестр_План_Факт!N253</f>
        <v>0</v>
      </c>
      <c r="O253" t="str">
        <f>Реестр_План_Факт!O253</f>
        <v/>
      </c>
      <c r="P253">
        <f>Реестр_План_Факт!P253</f>
        <v>0</v>
      </c>
      <c r="Q253">
        <f>Реестр_План_Факт!Q253</f>
        <v>0</v>
      </c>
      <c r="R253" t="str">
        <f>Реестр_План_Факт!R253</f>
        <v/>
      </c>
      <c r="S253">
        <f>Реестр_План_Факт!S253</f>
        <v>0</v>
      </c>
      <c r="T253">
        <f>Реестр_План_Факт!T253</f>
        <v>0</v>
      </c>
      <c r="U253" t="str">
        <f>Реестр_План_Факт!U253</f>
        <v/>
      </c>
      <c r="V253">
        <f>Реестр_План_Факт!V253</f>
        <v>0</v>
      </c>
      <c r="W253">
        <f>Реестр_План_Факт!W253</f>
        <v>0</v>
      </c>
      <c r="X253" t="str">
        <f>Реестр_План_Факт!X253</f>
        <v/>
      </c>
      <c r="Y253">
        <f>Реестр_План_Факт!Y253</f>
        <v>0</v>
      </c>
      <c r="Z253">
        <f>Реестр_План_Факт!Z253</f>
        <v>0</v>
      </c>
      <c r="AA253" t="str">
        <f>Реестр_План_Факт!AA253</f>
        <v/>
      </c>
      <c r="AB253">
        <f>Реестр_План_Факт!AB253</f>
        <v>0</v>
      </c>
      <c r="AC253">
        <f>Реестр_План_Факт!AC253</f>
        <v>0</v>
      </c>
      <c r="AD253" t="str">
        <f>Реестр_План_Факт!AD253</f>
        <v/>
      </c>
      <c r="AE253">
        <f>Реестр_План_Факт!AE253</f>
        <v>0</v>
      </c>
      <c r="AF253">
        <f>Реестр_План_Факт!AF253</f>
        <v>0</v>
      </c>
      <c r="AG253" t="str">
        <f>Реестр_План_Факт!AG253</f>
        <v/>
      </c>
      <c r="AH253">
        <f>Реестр_План_Факт!AH253</f>
        <v>0</v>
      </c>
      <c r="AI253">
        <f>Реестр_План_Факт!AI253</f>
        <v>0</v>
      </c>
      <c r="AJ253" t="str">
        <f>Реестр_План_Факт!AJ253</f>
        <v/>
      </c>
      <c r="AK253">
        <f>Реестр_План_Факт!AK253</f>
        <v>0</v>
      </c>
      <c r="AL253">
        <f>Реестр_План_Факт!AL253</f>
        <v>0</v>
      </c>
      <c r="AM253" t="str">
        <f>Реестр_План_Факт!AM253</f>
        <v/>
      </c>
      <c r="AN253">
        <f>Реестр_План_Факт!AN253</f>
        <v>0</v>
      </c>
      <c r="AO253">
        <f>Реестр_План_Факт!AO253</f>
        <v>0</v>
      </c>
      <c r="AP253" t="str">
        <f>Реестр_План_Факт!AP253</f>
        <v/>
      </c>
      <c r="AQ253">
        <f>Реестр_План_Факт!AQ253</f>
        <v>0</v>
      </c>
    </row>
    <row r="254" spans="1:43" x14ac:dyDescent="0.2">
      <c r="A254" s="201">
        <f>Реестр_План_Факт!A254</f>
        <v>46275</v>
      </c>
      <c r="B254">
        <f>Реестр_План_Факт!B254</f>
        <v>37</v>
      </c>
      <c r="C254">
        <f>Реестр_План_Факт!C254</f>
        <v>9</v>
      </c>
      <c r="D254">
        <f>Реестр_План_Факт!D254</f>
        <v>0</v>
      </c>
      <c r="E254">
        <f>Реестр_План_Факт!E254</f>
        <v>0</v>
      </c>
      <c r="F254" t="str">
        <f>Реестр_План_Факт!F254</f>
        <v/>
      </c>
      <c r="G254">
        <f>Реестр_План_Факт!G254</f>
        <v>0</v>
      </c>
      <c r="H254">
        <f>Реестр_План_Факт!H254</f>
        <v>0</v>
      </c>
      <c r="I254" t="str">
        <f>Реестр_План_Факт!I254</f>
        <v/>
      </c>
      <c r="J254">
        <f>Реестр_План_Факт!J254</f>
        <v>0</v>
      </c>
      <c r="K254">
        <f>Реестр_План_Факт!K254</f>
        <v>0</v>
      </c>
      <c r="L254" t="str">
        <f>Реестр_План_Факт!L254</f>
        <v/>
      </c>
      <c r="M254">
        <f>Реестр_План_Факт!M254</f>
        <v>0</v>
      </c>
      <c r="N254">
        <f>Реестр_План_Факт!N254</f>
        <v>0</v>
      </c>
      <c r="O254" t="str">
        <f>Реестр_План_Факт!O254</f>
        <v/>
      </c>
      <c r="P254">
        <f>Реестр_План_Факт!P254</f>
        <v>0</v>
      </c>
      <c r="Q254">
        <f>Реестр_План_Факт!Q254</f>
        <v>0</v>
      </c>
      <c r="R254" t="str">
        <f>Реестр_План_Факт!R254</f>
        <v/>
      </c>
      <c r="S254">
        <f>Реестр_План_Факт!S254</f>
        <v>0</v>
      </c>
      <c r="T254">
        <f>Реестр_План_Факт!T254</f>
        <v>0</v>
      </c>
      <c r="U254" t="str">
        <f>Реестр_План_Факт!U254</f>
        <v/>
      </c>
      <c r="V254">
        <f>Реестр_План_Факт!V254</f>
        <v>0</v>
      </c>
      <c r="W254">
        <f>Реестр_План_Факт!W254</f>
        <v>0</v>
      </c>
      <c r="X254" t="str">
        <f>Реестр_План_Факт!X254</f>
        <v/>
      </c>
      <c r="Y254">
        <f>Реестр_План_Факт!Y254</f>
        <v>0</v>
      </c>
      <c r="Z254">
        <f>Реестр_План_Факт!Z254</f>
        <v>0</v>
      </c>
      <c r="AA254" t="str">
        <f>Реестр_План_Факт!AA254</f>
        <v/>
      </c>
      <c r="AB254">
        <f>Реестр_План_Факт!AB254</f>
        <v>0</v>
      </c>
      <c r="AC254">
        <f>Реестр_План_Факт!AC254</f>
        <v>0</v>
      </c>
      <c r="AD254" t="str">
        <f>Реестр_План_Факт!AD254</f>
        <v/>
      </c>
      <c r="AE254">
        <f>Реестр_План_Факт!AE254</f>
        <v>0</v>
      </c>
      <c r="AF254">
        <f>Реестр_План_Факт!AF254</f>
        <v>0</v>
      </c>
      <c r="AG254" t="str">
        <f>Реестр_План_Факт!AG254</f>
        <v/>
      </c>
      <c r="AH254">
        <f>Реестр_План_Факт!AH254</f>
        <v>0</v>
      </c>
      <c r="AI254">
        <f>Реестр_План_Факт!AI254</f>
        <v>0</v>
      </c>
      <c r="AJ254" t="str">
        <f>Реестр_План_Факт!AJ254</f>
        <v/>
      </c>
      <c r="AK254">
        <f>Реестр_План_Факт!AK254</f>
        <v>0</v>
      </c>
      <c r="AL254">
        <f>Реестр_План_Факт!AL254</f>
        <v>0</v>
      </c>
      <c r="AM254" t="str">
        <f>Реестр_План_Факт!AM254</f>
        <v/>
      </c>
      <c r="AN254">
        <f>Реестр_План_Факт!AN254</f>
        <v>0</v>
      </c>
      <c r="AO254">
        <f>Реестр_План_Факт!AO254</f>
        <v>0</v>
      </c>
      <c r="AP254" t="str">
        <f>Реестр_План_Факт!AP254</f>
        <v/>
      </c>
      <c r="AQ254">
        <f>Реестр_План_Факт!AQ254</f>
        <v>0</v>
      </c>
    </row>
    <row r="255" spans="1:43" x14ac:dyDescent="0.2">
      <c r="A255" s="201">
        <f>Реестр_План_Факт!A255</f>
        <v>46276</v>
      </c>
      <c r="B255">
        <f>Реестр_План_Факт!B255</f>
        <v>37</v>
      </c>
      <c r="C255">
        <f>Реестр_План_Факт!C255</f>
        <v>9</v>
      </c>
      <c r="D255">
        <f>Реестр_План_Факт!D255</f>
        <v>0</v>
      </c>
      <c r="E255">
        <f>Реестр_План_Факт!E255</f>
        <v>0</v>
      </c>
      <c r="F255" t="str">
        <f>Реестр_План_Факт!F255</f>
        <v/>
      </c>
      <c r="G255">
        <f>Реестр_План_Факт!G255</f>
        <v>0</v>
      </c>
      <c r="H255">
        <f>Реестр_План_Факт!H255</f>
        <v>0</v>
      </c>
      <c r="I255" t="str">
        <f>Реестр_План_Факт!I255</f>
        <v/>
      </c>
      <c r="J255">
        <f>Реестр_План_Факт!J255</f>
        <v>0</v>
      </c>
      <c r="K255">
        <f>Реестр_План_Факт!K255</f>
        <v>0</v>
      </c>
      <c r="L255" t="str">
        <f>Реестр_План_Факт!L255</f>
        <v/>
      </c>
      <c r="M255">
        <f>Реестр_План_Факт!M255</f>
        <v>0</v>
      </c>
      <c r="N255">
        <f>Реестр_План_Факт!N255</f>
        <v>0</v>
      </c>
      <c r="O255" t="str">
        <f>Реестр_План_Факт!O255</f>
        <v/>
      </c>
      <c r="P255">
        <f>Реестр_План_Факт!P255</f>
        <v>0</v>
      </c>
      <c r="Q255">
        <f>Реестр_План_Факт!Q255</f>
        <v>0</v>
      </c>
      <c r="R255" t="str">
        <f>Реестр_План_Факт!R255</f>
        <v/>
      </c>
      <c r="S255">
        <f>Реестр_План_Факт!S255</f>
        <v>0</v>
      </c>
      <c r="T255">
        <f>Реестр_План_Факт!T255</f>
        <v>0</v>
      </c>
      <c r="U255" t="str">
        <f>Реестр_План_Факт!U255</f>
        <v/>
      </c>
      <c r="V255">
        <f>Реестр_План_Факт!V255</f>
        <v>0</v>
      </c>
      <c r="W255">
        <f>Реестр_План_Факт!W255</f>
        <v>0</v>
      </c>
      <c r="X255" t="str">
        <f>Реестр_План_Факт!X255</f>
        <v/>
      </c>
      <c r="Y255">
        <f>Реестр_План_Факт!Y255</f>
        <v>0</v>
      </c>
      <c r="Z255">
        <f>Реестр_План_Факт!Z255</f>
        <v>0</v>
      </c>
      <c r="AA255" t="str">
        <f>Реестр_План_Факт!AA255</f>
        <v/>
      </c>
      <c r="AB255">
        <f>Реестр_План_Факт!AB255</f>
        <v>0</v>
      </c>
      <c r="AC255">
        <f>Реестр_План_Факт!AC255</f>
        <v>0</v>
      </c>
      <c r="AD255" t="str">
        <f>Реестр_План_Факт!AD255</f>
        <v/>
      </c>
      <c r="AE255">
        <f>Реестр_План_Факт!AE255</f>
        <v>0</v>
      </c>
      <c r="AF255">
        <f>Реестр_План_Факт!AF255</f>
        <v>0</v>
      </c>
      <c r="AG255" t="str">
        <f>Реестр_План_Факт!AG255</f>
        <v/>
      </c>
      <c r="AH255">
        <f>Реестр_План_Факт!AH255</f>
        <v>0</v>
      </c>
      <c r="AI255">
        <f>Реестр_План_Факт!AI255</f>
        <v>0</v>
      </c>
      <c r="AJ255" t="str">
        <f>Реестр_План_Факт!AJ255</f>
        <v/>
      </c>
      <c r="AK255">
        <f>Реестр_План_Факт!AK255</f>
        <v>0</v>
      </c>
      <c r="AL255">
        <f>Реестр_План_Факт!AL255</f>
        <v>0</v>
      </c>
      <c r="AM255" t="str">
        <f>Реестр_План_Факт!AM255</f>
        <v/>
      </c>
      <c r="AN255">
        <f>Реестр_План_Факт!AN255</f>
        <v>0</v>
      </c>
      <c r="AO255">
        <f>Реестр_План_Факт!AO255</f>
        <v>0</v>
      </c>
      <c r="AP255" t="str">
        <f>Реестр_План_Факт!AP255</f>
        <v/>
      </c>
      <c r="AQ255">
        <f>Реестр_План_Факт!AQ255</f>
        <v>0</v>
      </c>
    </row>
    <row r="256" spans="1:43" x14ac:dyDescent="0.2">
      <c r="A256" s="201">
        <f>Реестр_План_Факт!A256</f>
        <v>46277</v>
      </c>
      <c r="B256">
        <f>Реестр_План_Факт!B256</f>
        <v>37</v>
      </c>
      <c r="C256">
        <f>Реестр_План_Факт!C256</f>
        <v>9</v>
      </c>
      <c r="D256">
        <f>Реестр_План_Факт!D256</f>
        <v>0</v>
      </c>
      <c r="E256">
        <f>Реестр_План_Факт!E256</f>
        <v>0</v>
      </c>
      <c r="F256" t="str">
        <f>Реестр_План_Факт!F256</f>
        <v/>
      </c>
      <c r="G256">
        <f>Реестр_План_Факт!G256</f>
        <v>0</v>
      </c>
      <c r="H256">
        <f>Реестр_План_Факт!H256</f>
        <v>0</v>
      </c>
      <c r="I256" t="str">
        <f>Реестр_План_Факт!I256</f>
        <v/>
      </c>
      <c r="J256">
        <f>Реестр_План_Факт!J256</f>
        <v>0</v>
      </c>
      <c r="K256">
        <f>Реестр_План_Факт!K256</f>
        <v>0</v>
      </c>
      <c r="L256" t="str">
        <f>Реестр_План_Факт!L256</f>
        <v/>
      </c>
      <c r="M256">
        <f>Реестр_План_Факт!M256</f>
        <v>0</v>
      </c>
      <c r="N256">
        <f>Реестр_План_Факт!N256</f>
        <v>0</v>
      </c>
      <c r="O256" t="str">
        <f>Реестр_План_Факт!O256</f>
        <v/>
      </c>
      <c r="P256">
        <f>Реестр_План_Факт!P256</f>
        <v>0</v>
      </c>
      <c r="Q256">
        <f>Реестр_План_Факт!Q256</f>
        <v>0</v>
      </c>
      <c r="R256" t="str">
        <f>Реестр_План_Факт!R256</f>
        <v/>
      </c>
      <c r="S256">
        <f>Реестр_План_Факт!S256</f>
        <v>0</v>
      </c>
      <c r="T256">
        <f>Реестр_План_Факт!T256</f>
        <v>0</v>
      </c>
      <c r="U256" t="str">
        <f>Реестр_План_Факт!U256</f>
        <v/>
      </c>
      <c r="V256">
        <f>Реестр_План_Факт!V256</f>
        <v>0</v>
      </c>
      <c r="W256">
        <f>Реестр_План_Факт!W256</f>
        <v>0</v>
      </c>
      <c r="X256" t="str">
        <f>Реестр_План_Факт!X256</f>
        <v/>
      </c>
      <c r="Y256">
        <f>Реестр_План_Факт!Y256</f>
        <v>0</v>
      </c>
      <c r="Z256">
        <f>Реестр_План_Факт!Z256</f>
        <v>0</v>
      </c>
      <c r="AA256" t="str">
        <f>Реестр_План_Факт!AA256</f>
        <v/>
      </c>
      <c r="AB256">
        <f>Реестр_План_Факт!AB256</f>
        <v>0</v>
      </c>
      <c r="AC256">
        <f>Реестр_План_Факт!AC256</f>
        <v>0</v>
      </c>
      <c r="AD256" t="str">
        <f>Реестр_План_Факт!AD256</f>
        <v/>
      </c>
      <c r="AE256">
        <f>Реестр_План_Факт!AE256</f>
        <v>0</v>
      </c>
      <c r="AF256">
        <f>Реестр_План_Факт!AF256</f>
        <v>0</v>
      </c>
      <c r="AG256" t="str">
        <f>Реестр_План_Факт!AG256</f>
        <v/>
      </c>
      <c r="AH256">
        <f>Реестр_План_Факт!AH256</f>
        <v>0</v>
      </c>
      <c r="AI256">
        <f>Реестр_План_Факт!AI256</f>
        <v>0</v>
      </c>
      <c r="AJ256" t="str">
        <f>Реестр_План_Факт!AJ256</f>
        <v/>
      </c>
      <c r="AK256">
        <f>Реестр_План_Факт!AK256</f>
        <v>0</v>
      </c>
      <c r="AL256">
        <f>Реестр_План_Факт!AL256</f>
        <v>0</v>
      </c>
      <c r="AM256" t="str">
        <f>Реестр_План_Факт!AM256</f>
        <v/>
      </c>
      <c r="AN256">
        <f>Реестр_План_Факт!AN256</f>
        <v>0</v>
      </c>
      <c r="AO256">
        <f>Реестр_План_Факт!AO256</f>
        <v>0</v>
      </c>
      <c r="AP256" t="str">
        <f>Реестр_План_Факт!AP256</f>
        <v/>
      </c>
      <c r="AQ256">
        <f>Реестр_План_Факт!AQ256</f>
        <v>0</v>
      </c>
    </row>
    <row r="257" spans="1:43" x14ac:dyDescent="0.2">
      <c r="A257" s="201">
        <f>Реестр_План_Факт!A257</f>
        <v>46278</v>
      </c>
      <c r="B257">
        <f>Реестр_План_Факт!B257</f>
        <v>37</v>
      </c>
      <c r="C257">
        <f>Реестр_План_Факт!C257</f>
        <v>9</v>
      </c>
      <c r="D257">
        <f>Реестр_План_Факт!D257</f>
        <v>0</v>
      </c>
      <c r="E257">
        <f>Реестр_План_Факт!E257</f>
        <v>0</v>
      </c>
      <c r="F257" t="str">
        <f>Реестр_План_Факт!F257</f>
        <v/>
      </c>
      <c r="G257">
        <f>Реестр_План_Факт!G257</f>
        <v>0</v>
      </c>
      <c r="H257">
        <f>Реестр_План_Факт!H257</f>
        <v>0</v>
      </c>
      <c r="I257" t="str">
        <f>Реестр_План_Факт!I257</f>
        <v/>
      </c>
      <c r="J257">
        <f>Реестр_План_Факт!J257</f>
        <v>0</v>
      </c>
      <c r="K257">
        <f>Реестр_План_Факт!K257</f>
        <v>0</v>
      </c>
      <c r="L257" t="str">
        <f>Реестр_План_Факт!L257</f>
        <v/>
      </c>
      <c r="M257">
        <f>Реестр_План_Факт!M257</f>
        <v>0</v>
      </c>
      <c r="N257">
        <f>Реестр_План_Факт!N257</f>
        <v>0</v>
      </c>
      <c r="O257" t="str">
        <f>Реестр_План_Факт!O257</f>
        <v/>
      </c>
      <c r="P257">
        <f>Реестр_План_Факт!P257</f>
        <v>0</v>
      </c>
      <c r="Q257">
        <f>Реестр_План_Факт!Q257</f>
        <v>0</v>
      </c>
      <c r="R257" t="str">
        <f>Реестр_План_Факт!R257</f>
        <v/>
      </c>
      <c r="S257">
        <f>Реестр_План_Факт!S257</f>
        <v>0</v>
      </c>
      <c r="T257">
        <f>Реестр_План_Факт!T257</f>
        <v>0</v>
      </c>
      <c r="U257" t="str">
        <f>Реестр_План_Факт!U257</f>
        <v/>
      </c>
      <c r="V257">
        <f>Реестр_План_Факт!V257</f>
        <v>0</v>
      </c>
      <c r="W257">
        <f>Реестр_План_Факт!W257</f>
        <v>0</v>
      </c>
      <c r="X257" t="str">
        <f>Реестр_План_Факт!X257</f>
        <v/>
      </c>
      <c r="Y257">
        <f>Реестр_План_Факт!Y257</f>
        <v>0</v>
      </c>
      <c r="Z257">
        <f>Реестр_План_Факт!Z257</f>
        <v>0</v>
      </c>
      <c r="AA257" t="str">
        <f>Реестр_План_Факт!AA257</f>
        <v/>
      </c>
      <c r="AB257">
        <f>Реестр_План_Факт!AB257</f>
        <v>0</v>
      </c>
      <c r="AC257">
        <f>Реестр_План_Факт!AC257</f>
        <v>0</v>
      </c>
      <c r="AD257" t="str">
        <f>Реестр_План_Факт!AD257</f>
        <v/>
      </c>
      <c r="AE257">
        <f>Реестр_План_Факт!AE257</f>
        <v>0</v>
      </c>
      <c r="AF257">
        <f>Реестр_План_Факт!AF257</f>
        <v>0</v>
      </c>
      <c r="AG257" t="str">
        <f>Реестр_План_Факт!AG257</f>
        <v/>
      </c>
      <c r="AH257">
        <f>Реестр_План_Факт!AH257</f>
        <v>0</v>
      </c>
      <c r="AI257">
        <f>Реестр_План_Факт!AI257</f>
        <v>0</v>
      </c>
      <c r="AJ257" t="str">
        <f>Реестр_План_Факт!AJ257</f>
        <v/>
      </c>
      <c r="AK257">
        <f>Реестр_План_Факт!AK257</f>
        <v>0</v>
      </c>
      <c r="AL257">
        <f>Реестр_План_Факт!AL257</f>
        <v>0</v>
      </c>
      <c r="AM257" t="str">
        <f>Реестр_План_Факт!AM257</f>
        <v/>
      </c>
      <c r="AN257">
        <f>Реестр_План_Факт!AN257</f>
        <v>0</v>
      </c>
      <c r="AO257">
        <f>Реестр_План_Факт!AO257</f>
        <v>0</v>
      </c>
      <c r="AP257" t="str">
        <f>Реестр_План_Факт!AP257</f>
        <v/>
      </c>
      <c r="AQ257">
        <f>Реестр_План_Факт!AQ257</f>
        <v>0</v>
      </c>
    </row>
    <row r="258" spans="1:43" x14ac:dyDescent="0.2">
      <c r="A258" s="201">
        <f>Реестр_План_Факт!A258</f>
        <v>46279</v>
      </c>
      <c r="B258">
        <f>Реестр_План_Факт!B258</f>
        <v>38</v>
      </c>
      <c r="C258">
        <f>Реестр_План_Факт!C258</f>
        <v>9</v>
      </c>
      <c r="D258">
        <f>Реестр_План_Факт!D258</f>
        <v>0</v>
      </c>
      <c r="E258">
        <f>Реестр_План_Факт!E258</f>
        <v>0</v>
      </c>
      <c r="F258" t="str">
        <f>Реестр_План_Факт!F258</f>
        <v/>
      </c>
      <c r="G258">
        <f>Реестр_План_Факт!G258</f>
        <v>0</v>
      </c>
      <c r="H258">
        <f>Реестр_План_Факт!H258</f>
        <v>0</v>
      </c>
      <c r="I258" t="str">
        <f>Реестр_План_Факт!I258</f>
        <v/>
      </c>
      <c r="J258">
        <f>Реестр_План_Факт!J258</f>
        <v>0</v>
      </c>
      <c r="K258">
        <f>Реестр_План_Факт!K258</f>
        <v>0</v>
      </c>
      <c r="L258" t="str">
        <f>Реестр_План_Факт!L258</f>
        <v/>
      </c>
      <c r="M258">
        <f>Реестр_План_Факт!M258</f>
        <v>0</v>
      </c>
      <c r="N258">
        <f>Реестр_План_Факт!N258</f>
        <v>0</v>
      </c>
      <c r="O258" t="str">
        <f>Реестр_План_Факт!O258</f>
        <v/>
      </c>
      <c r="P258">
        <f>Реестр_План_Факт!P258</f>
        <v>0</v>
      </c>
      <c r="Q258">
        <f>Реестр_План_Факт!Q258</f>
        <v>0</v>
      </c>
      <c r="R258" t="str">
        <f>Реестр_План_Факт!R258</f>
        <v/>
      </c>
      <c r="S258">
        <f>Реестр_План_Факт!S258</f>
        <v>0</v>
      </c>
      <c r="T258">
        <f>Реестр_План_Факт!T258</f>
        <v>0</v>
      </c>
      <c r="U258" t="str">
        <f>Реестр_План_Факт!U258</f>
        <v/>
      </c>
      <c r="V258">
        <f>Реестр_План_Факт!V258</f>
        <v>0</v>
      </c>
      <c r="W258">
        <f>Реестр_План_Факт!W258</f>
        <v>0</v>
      </c>
      <c r="X258" t="str">
        <f>Реестр_План_Факт!X258</f>
        <v/>
      </c>
      <c r="Y258">
        <f>Реестр_План_Факт!Y258</f>
        <v>0</v>
      </c>
      <c r="Z258">
        <f>Реестр_План_Факт!Z258</f>
        <v>0</v>
      </c>
      <c r="AA258" t="str">
        <f>Реестр_План_Факт!AA258</f>
        <v/>
      </c>
      <c r="AB258">
        <f>Реестр_План_Факт!AB258</f>
        <v>0</v>
      </c>
      <c r="AC258">
        <f>Реестр_План_Факт!AC258</f>
        <v>0</v>
      </c>
      <c r="AD258" t="str">
        <f>Реестр_План_Факт!AD258</f>
        <v/>
      </c>
      <c r="AE258">
        <f>Реестр_План_Факт!AE258</f>
        <v>0</v>
      </c>
      <c r="AF258">
        <f>Реестр_План_Факт!AF258</f>
        <v>0</v>
      </c>
      <c r="AG258" t="str">
        <f>Реестр_План_Факт!AG258</f>
        <v/>
      </c>
      <c r="AH258">
        <f>Реестр_План_Факт!AH258</f>
        <v>0</v>
      </c>
      <c r="AI258">
        <f>Реестр_План_Факт!AI258</f>
        <v>0</v>
      </c>
      <c r="AJ258" t="str">
        <f>Реестр_План_Факт!AJ258</f>
        <v/>
      </c>
      <c r="AK258">
        <f>Реестр_План_Факт!AK258</f>
        <v>0</v>
      </c>
      <c r="AL258">
        <f>Реестр_План_Факт!AL258</f>
        <v>0</v>
      </c>
      <c r="AM258" t="str">
        <f>Реестр_План_Факт!AM258</f>
        <v/>
      </c>
      <c r="AN258">
        <f>Реестр_План_Факт!AN258</f>
        <v>0</v>
      </c>
      <c r="AO258">
        <f>Реестр_План_Факт!AO258</f>
        <v>0</v>
      </c>
      <c r="AP258" t="str">
        <f>Реестр_План_Факт!AP258</f>
        <v/>
      </c>
      <c r="AQ258">
        <f>Реестр_План_Факт!AQ258</f>
        <v>0</v>
      </c>
    </row>
    <row r="259" spans="1:43" x14ac:dyDescent="0.2">
      <c r="A259" s="201">
        <f>Реестр_План_Факт!A259</f>
        <v>46280</v>
      </c>
      <c r="B259">
        <f>Реестр_План_Факт!B259</f>
        <v>38</v>
      </c>
      <c r="C259">
        <f>Реестр_План_Факт!C259</f>
        <v>9</v>
      </c>
      <c r="D259">
        <f>Реестр_План_Факт!D259</f>
        <v>0</v>
      </c>
      <c r="E259">
        <f>Реестр_План_Факт!E259</f>
        <v>0</v>
      </c>
      <c r="F259" t="str">
        <f>Реестр_План_Факт!F259</f>
        <v/>
      </c>
      <c r="G259">
        <f>Реестр_План_Факт!G259</f>
        <v>0</v>
      </c>
      <c r="H259">
        <f>Реестр_План_Факт!H259</f>
        <v>0</v>
      </c>
      <c r="I259" t="str">
        <f>Реестр_План_Факт!I259</f>
        <v/>
      </c>
      <c r="J259">
        <f>Реестр_План_Факт!J259</f>
        <v>0</v>
      </c>
      <c r="K259">
        <f>Реестр_План_Факт!K259</f>
        <v>0</v>
      </c>
      <c r="L259" t="str">
        <f>Реестр_План_Факт!L259</f>
        <v/>
      </c>
      <c r="M259">
        <f>Реестр_План_Факт!M259</f>
        <v>0</v>
      </c>
      <c r="N259">
        <f>Реестр_План_Факт!N259</f>
        <v>0</v>
      </c>
      <c r="O259" t="str">
        <f>Реестр_План_Факт!O259</f>
        <v/>
      </c>
      <c r="P259">
        <f>Реестр_План_Факт!P259</f>
        <v>0</v>
      </c>
      <c r="Q259">
        <f>Реестр_План_Факт!Q259</f>
        <v>0</v>
      </c>
      <c r="R259" t="str">
        <f>Реестр_План_Факт!R259</f>
        <v/>
      </c>
      <c r="S259">
        <f>Реестр_План_Факт!S259</f>
        <v>0</v>
      </c>
      <c r="T259">
        <f>Реестр_План_Факт!T259</f>
        <v>0</v>
      </c>
      <c r="U259" t="str">
        <f>Реестр_План_Факт!U259</f>
        <v/>
      </c>
      <c r="V259">
        <f>Реестр_План_Факт!V259</f>
        <v>0</v>
      </c>
      <c r="W259">
        <f>Реестр_План_Факт!W259</f>
        <v>0</v>
      </c>
      <c r="X259" t="str">
        <f>Реестр_План_Факт!X259</f>
        <v/>
      </c>
      <c r="Y259">
        <f>Реестр_План_Факт!Y259</f>
        <v>0</v>
      </c>
      <c r="Z259">
        <f>Реестр_План_Факт!Z259</f>
        <v>0</v>
      </c>
      <c r="AA259" t="str">
        <f>Реестр_План_Факт!AA259</f>
        <v/>
      </c>
      <c r="AB259">
        <f>Реестр_План_Факт!AB259</f>
        <v>0</v>
      </c>
      <c r="AC259">
        <f>Реестр_План_Факт!AC259</f>
        <v>0</v>
      </c>
      <c r="AD259" t="str">
        <f>Реестр_План_Факт!AD259</f>
        <v/>
      </c>
      <c r="AE259">
        <f>Реестр_План_Факт!AE259</f>
        <v>0</v>
      </c>
      <c r="AF259">
        <f>Реестр_План_Факт!AF259</f>
        <v>0</v>
      </c>
      <c r="AG259" t="str">
        <f>Реестр_План_Факт!AG259</f>
        <v/>
      </c>
      <c r="AH259">
        <f>Реестр_План_Факт!AH259</f>
        <v>0</v>
      </c>
      <c r="AI259">
        <f>Реестр_План_Факт!AI259</f>
        <v>0</v>
      </c>
      <c r="AJ259" t="str">
        <f>Реестр_План_Факт!AJ259</f>
        <v/>
      </c>
      <c r="AK259">
        <f>Реестр_План_Факт!AK259</f>
        <v>0</v>
      </c>
      <c r="AL259">
        <f>Реестр_План_Факт!AL259</f>
        <v>0</v>
      </c>
      <c r="AM259" t="str">
        <f>Реестр_План_Факт!AM259</f>
        <v/>
      </c>
      <c r="AN259">
        <f>Реестр_План_Факт!AN259</f>
        <v>0</v>
      </c>
      <c r="AO259">
        <f>Реестр_План_Факт!AO259</f>
        <v>0</v>
      </c>
      <c r="AP259" t="str">
        <f>Реестр_План_Факт!AP259</f>
        <v/>
      </c>
      <c r="AQ259">
        <f>Реестр_План_Факт!AQ259</f>
        <v>0</v>
      </c>
    </row>
    <row r="260" spans="1:43" x14ac:dyDescent="0.2">
      <c r="A260" s="201">
        <f>Реестр_План_Факт!A260</f>
        <v>46281</v>
      </c>
      <c r="B260">
        <f>Реестр_План_Факт!B260</f>
        <v>38</v>
      </c>
      <c r="C260">
        <f>Реестр_План_Факт!C260</f>
        <v>9</v>
      </c>
      <c r="D260">
        <f>Реестр_План_Факт!D260</f>
        <v>0</v>
      </c>
      <c r="E260">
        <f>Реестр_План_Факт!E260</f>
        <v>0</v>
      </c>
      <c r="F260" t="str">
        <f>Реестр_План_Факт!F260</f>
        <v/>
      </c>
      <c r="G260">
        <f>Реестр_План_Факт!G260</f>
        <v>0</v>
      </c>
      <c r="H260">
        <f>Реестр_План_Факт!H260</f>
        <v>0</v>
      </c>
      <c r="I260" t="str">
        <f>Реестр_План_Факт!I260</f>
        <v/>
      </c>
      <c r="J260">
        <f>Реестр_План_Факт!J260</f>
        <v>0</v>
      </c>
      <c r="K260">
        <f>Реестр_План_Факт!K260</f>
        <v>0</v>
      </c>
      <c r="L260" t="str">
        <f>Реестр_План_Факт!L260</f>
        <v/>
      </c>
      <c r="M260">
        <f>Реестр_План_Факт!M260</f>
        <v>0</v>
      </c>
      <c r="N260">
        <f>Реестр_План_Факт!N260</f>
        <v>0</v>
      </c>
      <c r="O260" t="str">
        <f>Реестр_План_Факт!O260</f>
        <v/>
      </c>
      <c r="P260">
        <f>Реестр_План_Факт!P260</f>
        <v>0</v>
      </c>
      <c r="Q260">
        <f>Реестр_План_Факт!Q260</f>
        <v>0</v>
      </c>
      <c r="R260" t="str">
        <f>Реестр_План_Факт!R260</f>
        <v/>
      </c>
      <c r="S260">
        <f>Реестр_План_Факт!S260</f>
        <v>0</v>
      </c>
      <c r="T260">
        <f>Реестр_План_Факт!T260</f>
        <v>0</v>
      </c>
      <c r="U260" t="str">
        <f>Реестр_План_Факт!U260</f>
        <v/>
      </c>
      <c r="V260">
        <f>Реестр_План_Факт!V260</f>
        <v>0</v>
      </c>
      <c r="W260">
        <f>Реестр_План_Факт!W260</f>
        <v>0</v>
      </c>
      <c r="X260" t="str">
        <f>Реестр_План_Факт!X260</f>
        <v/>
      </c>
      <c r="Y260">
        <f>Реестр_План_Факт!Y260</f>
        <v>0</v>
      </c>
      <c r="Z260">
        <f>Реестр_План_Факт!Z260</f>
        <v>0</v>
      </c>
      <c r="AA260" t="str">
        <f>Реестр_План_Факт!AA260</f>
        <v/>
      </c>
      <c r="AB260">
        <f>Реестр_План_Факт!AB260</f>
        <v>0</v>
      </c>
      <c r="AC260">
        <f>Реестр_План_Факт!AC260</f>
        <v>0</v>
      </c>
      <c r="AD260" t="str">
        <f>Реестр_План_Факт!AD260</f>
        <v/>
      </c>
      <c r="AE260">
        <f>Реестр_План_Факт!AE260</f>
        <v>0</v>
      </c>
      <c r="AF260">
        <f>Реестр_План_Факт!AF260</f>
        <v>0</v>
      </c>
      <c r="AG260" t="str">
        <f>Реестр_План_Факт!AG260</f>
        <v/>
      </c>
      <c r="AH260">
        <f>Реестр_План_Факт!AH260</f>
        <v>0</v>
      </c>
      <c r="AI260">
        <f>Реестр_План_Факт!AI260</f>
        <v>0</v>
      </c>
      <c r="AJ260" t="str">
        <f>Реестр_План_Факт!AJ260</f>
        <v/>
      </c>
      <c r="AK260">
        <f>Реестр_План_Факт!AK260</f>
        <v>0</v>
      </c>
      <c r="AL260">
        <f>Реестр_План_Факт!AL260</f>
        <v>0</v>
      </c>
      <c r="AM260" t="str">
        <f>Реестр_План_Факт!AM260</f>
        <v/>
      </c>
      <c r="AN260">
        <f>Реестр_План_Факт!AN260</f>
        <v>0</v>
      </c>
      <c r="AO260">
        <f>Реестр_План_Факт!AO260</f>
        <v>0</v>
      </c>
      <c r="AP260" t="str">
        <f>Реестр_План_Факт!AP260</f>
        <v/>
      </c>
      <c r="AQ260">
        <f>Реестр_План_Факт!AQ260</f>
        <v>0</v>
      </c>
    </row>
    <row r="261" spans="1:43" x14ac:dyDescent="0.2">
      <c r="A261" s="201">
        <f>Реестр_План_Факт!A261</f>
        <v>46282</v>
      </c>
      <c r="B261">
        <f>Реестр_План_Факт!B261</f>
        <v>38</v>
      </c>
      <c r="C261">
        <f>Реестр_План_Факт!C261</f>
        <v>9</v>
      </c>
      <c r="D261">
        <f>Реестр_План_Факт!D261</f>
        <v>0</v>
      </c>
      <c r="E261">
        <f>Реестр_План_Факт!E261</f>
        <v>0</v>
      </c>
      <c r="F261" t="str">
        <f>Реестр_План_Факт!F261</f>
        <v/>
      </c>
      <c r="G261">
        <f>Реестр_План_Факт!G261</f>
        <v>0</v>
      </c>
      <c r="H261">
        <f>Реестр_План_Факт!H261</f>
        <v>0</v>
      </c>
      <c r="I261" t="str">
        <f>Реестр_План_Факт!I261</f>
        <v/>
      </c>
      <c r="J261">
        <f>Реестр_План_Факт!J261</f>
        <v>0</v>
      </c>
      <c r="K261">
        <f>Реестр_План_Факт!K261</f>
        <v>0</v>
      </c>
      <c r="L261" t="str">
        <f>Реестр_План_Факт!L261</f>
        <v/>
      </c>
      <c r="M261">
        <f>Реестр_План_Факт!M261</f>
        <v>0</v>
      </c>
      <c r="N261">
        <f>Реестр_План_Факт!N261</f>
        <v>0</v>
      </c>
      <c r="O261" t="str">
        <f>Реестр_План_Факт!O261</f>
        <v/>
      </c>
      <c r="P261">
        <f>Реестр_План_Факт!P261</f>
        <v>0</v>
      </c>
      <c r="Q261">
        <f>Реестр_План_Факт!Q261</f>
        <v>0</v>
      </c>
      <c r="R261" t="str">
        <f>Реестр_План_Факт!R261</f>
        <v/>
      </c>
      <c r="S261">
        <f>Реестр_План_Факт!S261</f>
        <v>0</v>
      </c>
      <c r="T261">
        <f>Реестр_План_Факт!T261</f>
        <v>0</v>
      </c>
      <c r="U261" t="str">
        <f>Реестр_План_Факт!U261</f>
        <v/>
      </c>
      <c r="V261">
        <f>Реестр_План_Факт!V261</f>
        <v>0</v>
      </c>
      <c r="W261">
        <f>Реестр_План_Факт!W261</f>
        <v>0</v>
      </c>
      <c r="X261" t="str">
        <f>Реестр_План_Факт!X261</f>
        <v/>
      </c>
      <c r="Y261">
        <f>Реестр_План_Факт!Y261</f>
        <v>0</v>
      </c>
      <c r="Z261">
        <f>Реестр_План_Факт!Z261</f>
        <v>0</v>
      </c>
      <c r="AA261" t="str">
        <f>Реестр_План_Факт!AA261</f>
        <v/>
      </c>
      <c r="AB261">
        <f>Реестр_План_Факт!AB261</f>
        <v>0</v>
      </c>
      <c r="AC261">
        <f>Реестр_План_Факт!AC261</f>
        <v>0</v>
      </c>
      <c r="AD261" t="str">
        <f>Реестр_План_Факт!AD261</f>
        <v/>
      </c>
      <c r="AE261">
        <f>Реестр_План_Факт!AE261</f>
        <v>0</v>
      </c>
      <c r="AF261">
        <f>Реестр_План_Факт!AF261</f>
        <v>0</v>
      </c>
      <c r="AG261" t="str">
        <f>Реестр_План_Факт!AG261</f>
        <v/>
      </c>
      <c r="AH261">
        <f>Реестр_План_Факт!AH261</f>
        <v>0</v>
      </c>
      <c r="AI261">
        <f>Реестр_План_Факт!AI261</f>
        <v>0</v>
      </c>
      <c r="AJ261" t="str">
        <f>Реестр_План_Факт!AJ261</f>
        <v/>
      </c>
      <c r="AK261">
        <f>Реестр_План_Факт!AK261</f>
        <v>0</v>
      </c>
      <c r="AL261">
        <f>Реестр_План_Факт!AL261</f>
        <v>0</v>
      </c>
      <c r="AM261" t="str">
        <f>Реестр_План_Факт!AM261</f>
        <v/>
      </c>
      <c r="AN261">
        <f>Реестр_План_Факт!AN261</f>
        <v>0</v>
      </c>
      <c r="AO261">
        <f>Реестр_План_Факт!AO261</f>
        <v>0</v>
      </c>
      <c r="AP261" t="str">
        <f>Реестр_План_Факт!AP261</f>
        <v/>
      </c>
      <c r="AQ261">
        <f>Реестр_План_Факт!AQ261</f>
        <v>0</v>
      </c>
    </row>
    <row r="262" spans="1:43" x14ac:dyDescent="0.2">
      <c r="A262" s="201">
        <f>Реестр_План_Факт!A262</f>
        <v>46283</v>
      </c>
      <c r="B262">
        <f>Реестр_План_Факт!B262</f>
        <v>38</v>
      </c>
      <c r="C262">
        <f>Реестр_План_Факт!C262</f>
        <v>9</v>
      </c>
      <c r="D262">
        <f>Реестр_План_Факт!D262</f>
        <v>0</v>
      </c>
      <c r="E262">
        <f>Реестр_План_Факт!E262</f>
        <v>0</v>
      </c>
      <c r="F262" t="str">
        <f>Реестр_План_Факт!F262</f>
        <v/>
      </c>
      <c r="G262">
        <f>Реестр_План_Факт!G262</f>
        <v>0</v>
      </c>
      <c r="H262">
        <f>Реестр_План_Факт!H262</f>
        <v>0</v>
      </c>
      <c r="I262" t="str">
        <f>Реестр_План_Факт!I262</f>
        <v/>
      </c>
      <c r="J262">
        <f>Реестр_План_Факт!J262</f>
        <v>0</v>
      </c>
      <c r="K262">
        <f>Реестр_План_Факт!K262</f>
        <v>0</v>
      </c>
      <c r="L262" t="str">
        <f>Реестр_План_Факт!L262</f>
        <v/>
      </c>
      <c r="M262">
        <f>Реестр_План_Факт!M262</f>
        <v>0</v>
      </c>
      <c r="N262">
        <f>Реестр_План_Факт!N262</f>
        <v>0</v>
      </c>
      <c r="O262" t="str">
        <f>Реестр_План_Факт!O262</f>
        <v/>
      </c>
      <c r="P262">
        <f>Реестр_План_Факт!P262</f>
        <v>0</v>
      </c>
      <c r="Q262">
        <f>Реестр_План_Факт!Q262</f>
        <v>0</v>
      </c>
      <c r="R262" t="str">
        <f>Реестр_План_Факт!R262</f>
        <v/>
      </c>
      <c r="S262">
        <f>Реестр_План_Факт!S262</f>
        <v>0</v>
      </c>
      <c r="T262">
        <f>Реестр_План_Факт!T262</f>
        <v>0</v>
      </c>
      <c r="U262" t="str">
        <f>Реестр_План_Факт!U262</f>
        <v/>
      </c>
      <c r="V262">
        <f>Реестр_План_Факт!V262</f>
        <v>0</v>
      </c>
      <c r="W262">
        <f>Реестр_План_Факт!W262</f>
        <v>0</v>
      </c>
      <c r="X262" t="str">
        <f>Реестр_План_Факт!X262</f>
        <v/>
      </c>
      <c r="Y262">
        <f>Реестр_План_Факт!Y262</f>
        <v>0</v>
      </c>
      <c r="Z262">
        <f>Реестр_План_Факт!Z262</f>
        <v>0</v>
      </c>
      <c r="AA262" t="str">
        <f>Реестр_План_Факт!AA262</f>
        <v/>
      </c>
      <c r="AB262">
        <f>Реестр_План_Факт!AB262</f>
        <v>0</v>
      </c>
      <c r="AC262">
        <f>Реестр_План_Факт!AC262</f>
        <v>0</v>
      </c>
      <c r="AD262" t="str">
        <f>Реестр_План_Факт!AD262</f>
        <v/>
      </c>
      <c r="AE262">
        <f>Реестр_План_Факт!AE262</f>
        <v>0</v>
      </c>
      <c r="AF262">
        <f>Реестр_План_Факт!AF262</f>
        <v>0</v>
      </c>
      <c r="AG262" t="str">
        <f>Реестр_План_Факт!AG262</f>
        <v/>
      </c>
      <c r="AH262">
        <f>Реестр_План_Факт!AH262</f>
        <v>0</v>
      </c>
      <c r="AI262">
        <f>Реестр_План_Факт!AI262</f>
        <v>0</v>
      </c>
      <c r="AJ262" t="str">
        <f>Реестр_План_Факт!AJ262</f>
        <v/>
      </c>
      <c r="AK262">
        <f>Реестр_План_Факт!AK262</f>
        <v>0</v>
      </c>
      <c r="AL262">
        <f>Реестр_План_Факт!AL262</f>
        <v>0</v>
      </c>
      <c r="AM262" t="str">
        <f>Реестр_План_Факт!AM262</f>
        <v/>
      </c>
      <c r="AN262">
        <f>Реестр_План_Факт!AN262</f>
        <v>0</v>
      </c>
      <c r="AO262">
        <f>Реестр_План_Факт!AO262</f>
        <v>0</v>
      </c>
      <c r="AP262" t="str">
        <f>Реестр_План_Факт!AP262</f>
        <v/>
      </c>
      <c r="AQ262">
        <f>Реестр_План_Факт!AQ262</f>
        <v>0</v>
      </c>
    </row>
    <row r="263" spans="1:43" x14ac:dyDescent="0.2">
      <c r="A263" s="201">
        <f>Реестр_План_Факт!A263</f>
        <v>46284</v>
      </c>
      <c r="B263">
        <f>Реестр_План_Факт!B263</f>
        <v>38</v>
      </c>
      <c r="C263">
        <f>Реестр_План_Факт!C263</f>
        <v>9</v>
      </c>
      <c r="D263">
        <f>Реестр_План_Факт!D263</f>
        <v>0</v>
      </c>
      <c r="E263">
        <f>Реестр_План_Факт!E263</f>
        <v>0</v>
      </c>
      <c r="F263" t="str">
        <f>Реестр_План_Факт!F263</f>
        <v/>
      </c>
      <c r="G263">
        <f>Реестр_План_Факт!G263</f>
        <v>0</v>
      </c>
      <c r="H263">
        <f>Реестр_План_Факт!H263</f>
        <v>0</v>
      </c>
      <c r="I263" t="str">
        <f>Реестр_План_Факт!I263</f>
        <v/>
      </c>
      <c r="J263">
        <f>Реестр_План_Факт!J263</f>
        <v>0</v>
      </c>
      <c r="K263">
        <f>Реестр_План_Факт!K263</f>
        <v>0</v>
      </c>
      <c r="L263" t="str">
        <f>Реестр_План_Факт!L263</f>
        <v/>
      </c>
      <c r="M263">
        <f>Реестр_План_Факт!M263</f>
        <v>0</v>
      </c>
      <c r="N263">
        <f>Реестр_План_Факт!N263</f>
        <v>0</v>
      </c>
      <c r="O263" t="str">
        <f>Реестр_План_Факт!O263</f>
        <v/>
      </c>
      <c r="P263">
        <f>Реестр_План_Факт!P263</f>
        <v>0</v>
      </c>
      <c r="Q263">
        <f>Реестр_План_Факт!Q263</f>
        <v>0</v>
      </c>
      <c r="R263" t="str">
        <f>Реестр_План_Факт!R263</f>
        <v/>
      </c>
      <c r="S263">
        <f>Реестр_План_Факт!S263</f>
        <v>0</v>
      </c>
      <c r="T263">
        <f>Реестр_План_Факт!T263</f>
        <v>0</v>
      </c>
      <c r="U263" t="str">
        <f>Реестр_План_Факт!U263</f>
        <v/>
      </c>
      <c r="V263">
        <f>Реестр_План_Факт!V263</f>
        <v>0</v>
      </c>
      <c r="W263">
        <f>Реестр_План_Факт!W263</f>
        <v>0</v>
      </c>
      <c r="X263" t="str">
        <f>Реестр_План_Факт!X263</f>
        <v/>
      </c>
      <c r="Y263">
        <f>Реестр_План_Факт!Y263</f>
        <v>0</v>
      </c>
      <c r="Z263">
        <f>Реестр_План_Факт!Z263</f>
        <v>0</v>
      </c>
      <c r="AA263" t="str">
        <f>Реестр_План_Факт!AA263</f>
        <v/>
      </c>
      <c r="AB263">
        <f>Реестр_План_Факт!AB263</f>
        <v>0</v>
      </c>
      <c r="AC263">
        <f>Реестр_План_Факт!AC263</f>
        <v>0</v>
      </c>
      <c r="AD263" t="str">
        <f>Реестр_План_Факт!AD263</f>
        <v/>
      </c>
      <c r="AE263">
        <f>Реестр_План_Факт!AE263</f>
        <v>0</v>
      </c>
      <c r="AF263">
        <f>Реестр_План_Факт!AF263</f>
        <v>0</v>
      </c>
      <c r="AG263" t="str">
        <f>Реестр_План_Факт!AG263</f>
        <v/>
      </c>
      <c r="AH263">
        <f>Реестр_План_Факт!AH263</f>
        <v>0</v>
      </c>
      <c r="AI263">
        <f>Реестр_План_Факт!AI263</f>
        <v>0</v>
      </c>
      <c r="AJ263" t="str">
        <f>Реестр_План_Факт!AJ263</f>
        <v/>
      </c>
      <c r="AK263">
        <f>Реестр_План_Факт!AK263</f>
        <v>0</v>
      </c>
      <c r="AL263">
        <f>Реестр_План_Факт!AL263</f>
        <v>0</v>
      </c>
      <c r="AM263" t="str">
        <f>Реестр_План_Факт!AM263</f>
        <v/>
      </c>
      <c r="AN263">
        <f>Реестр_План_Факт!AN263</f>
        <v>0</v>
      </c>
      <c r="AO263">
        <f>Реестр_План_Факт!AO263</f>
        <v>0</v>
      </c>
      <c r="AP263" t="str">
        <f>Реестр_План_Факт!AP263</f>
        <v/>
      </c>
      <c r="AQ263">
        <f>Реестр_План_Факт!AQ263</f>
        <v>0</v>
      </c>
    </row>
    <row r="264" spans="1:43" x14ac:dyDescent="0.2">
      <c r="A264" s="201">
        <f>Реестр_План_Факт!A264</f>
        <v>46285</v>
      </c>
      <c r="B264">
        <f>Реестр_План_Факт!B264</f>
        <v>38</v>
      </c>
      <c r="C264">
        <f>Реестр_План_Факт!C264</f>
        <v>9</v>
      </c>
      <c r="D264">
        <f>Реестр_План_Факт!D264</f>
        <v>0</v>
      </c>
      <c r="E264">
        <f>Реестр_План_Факт!E264</f>
        <v>0</v>
      </c>
      <c r="F264" t="str">
        <f>Реестр_План_Факт!F264</f>
        <v/>
      </c>
      <c r="G264">
        <f>Реестр_План_Факт!G264</f>
        <v>0</v>
      </c>
      <c r="H264">
        <f>Реестр_План_Факт!H264</f>
        <v>0</v>
      </c>
      <c r="I264" t="str">
        <f>Реестр_План_Факт!I264</f>
        <v/>
      </c>
      <c r="J264">
        <f>Реестр_План_Факт!J264</f>
        <v>0</v>
      </c>
      <c r="K264">
        <f>Реестр_План_Факт!K264</f>
        <v>0</v>
      </c>
      <c r="L264" t="str">
        <f>Реестр_План_Факт!L264</f>
        <v/>
      </c>
      <c r="M264">
        <f>Реестр_План_Факт!M264</f>
        <v>0</v>
      </c>
      <c r="N264">
        <f>Реестр_План_Факт!N264</f>
        <v>0</v>
      </c>
      <c r="O264" t="str">
        <f>Реестр_План_Факт!O264</f>
        <v/>
      </c>
      <c r="P264">
        <f>Реестр_План_Факт!P264</f>
        <v>0</v>
      </c>
      <c r="Q264">
        <f>Реестр_План_Факт!Q264</f>
        <v>0</v>
      </c>
      <c r="R264" t="str">
        <f>Реестр_План_Факт!R264</f>
        <v/>
      </c>
      <c r="S264">
        <f>Реестр_План_Факт!S264</f>
        <v>0</v>
      </c>
      <c r="T264">
        <f>Реестр_План_Факт!T264</f>
        <v>0</v>
      </c>
      <c r="U264" t="str">
        <f>Реестр_План_Факт!U264</f>
        <v/>
      </c>
      <c r="V264">
        <f>Реестр_План_Факт!V264</f>
        <v>0</v>
      </c>
      <c r="W264">
        <f>Реестр_План_Факт!W264</f>
        <v>0</v>
      </c>
      <c r="X264" t="str">
        <f>Реестр_План_Факт!X264</f>
        <v/>
      </c>
      <c r="Y264">
        <f>Реестр_План_Факт!Y264</f>
        <v>0</v>
      </c>
      <c r="Z264">
        <f>Реестр_План_Факт!Z264</f>
        <v>0</v>
      </c>
      <c r="AA264" t="str">
        <f>Реестр_План_Факт!AA264</f>
        <v/>
      </c>
      <c r="AB264">
        <f>Реестр_План_Факт!AB264</f>
        <v>0</v>
      </c>
      <c r="AC264">
        <f>Реестр_План_Факт!AC264</f>
        <v>0</v>
      </c>
      <c r="AD264" t="str">
        <f>Реестр_План_Факт!AD264</f>
        <v/>
      </c>
      <c r="AE264">
        <f>Реестр_План_Факт!AE264</f>
        <v>0</v>
      </c>
      <c r="AF264">
        <f>Реестр_План_Факт!AF264</f>
        <v>0</v>
      </c>
      <c r="AG264" t="str">
        <f>Реестр_План_Факт!AG264</f>
        <v/>
      </c>
      <c r="AH264">
        <f>Реестр_План_Факт!AH264</f>
        <v>0</v>
      </c>
      <c r="AI264">
        <f>Реестр_План_Факт!AI264</f>
        <v>0</v>
      </c>
      <c r="AJ264" t="str">
        <f>Реестр_План_Факт!AJ264</f>
        <v/>
      </c>
      <c r="AK264">
        <f>Реестр_План_Факт!AK264</f>
        <v>0</v>
      </c>
      <c r="AL264">
        <f>Реестр_План_Факт!AL264</f>
        <v>0</v>
      </c>
      <c r="AM264" t="str">
        <f>Реестр_План_Факт!AM264</f>
        <v/>
      </c>
      <c r="AN264">
        <f>Реестр_План_Факт!AN264</f>
        <v>0</v>
      </c>
      <c r="AO264">
        <f>Реестр_План_Факт!AO264</f>
        <v>0</v>
      </c>
      <c r="AP264" t="str">
        <f>Реестр_План_Факт!AP264</f>
        <v/>
      </c>
      <c r="AQ264">
        <f>Реестр_План_Факт!AQ264</f>
        <v>0</v>
      </c>
    </row>
    <row r="265" spans="1:43" x14ac:dyDescent="0.2">
      <c r="A265" s="201">
        <f>Реестр_План_Факт!A265</f>
        <v>46286</v>
      </c>
      <c r="B265">
        <f>Реестр_План_Факт!B265</f>
        <v>39</v>
      </c>
      <c r="C265">
        <f>Реестр_План_Факт!C265</f>
        <v>9</v>
      </c>
      <c r="D265">
        <f>Реестр_План_Факт!D265</f>
        <v>0</v>
      </c>
      <c r="E265">
        <f>Реестр_План_Факт!E265</f>
        <v>0</v>
      </c>
      <c r="F265" t="str">
        <f>Реестр_План_Факт!F265</f>
        <v/>
      </c>
      <c r="G265">
        <f>Реестр_План_Факт!G265</f>
        <v>0</v>
      </c>
      <c r="H265">
        <f>Реестр_План_Факт!H265</f>
        <v>0</v>
      </c>
      <c r="I265" t="str">
        <f>Реестр_План_Факт!I265</f>
        <v/>
      </c>
      <c r="J265">
        <f>Реестр_План_Факт!J265</f>
        <v>0</v>
      </c>
      <c r="K265">
        <f>Реестр_План_Факт!K265</f>
        <v>0</v>
      </c>
      <c r="L265" t="str">
        <f>Реестр_План_Факт!L265</f>
        <v/>
      </c>
      <c r="M265">
        <f>Реестр_План_Факт!M265</f>
        <v>0</v>
      </c>
      <c r="N265">
        <f>Реестр_План_Факт!N265</f>
        <v>0</v>
      </c>
      <c r="O265" t="str">
        <f>Реестр_План_Факт!O265</f>
        <v/>
      </c>
      <c r="P265">
        <f>Реестр_План_Факт!P265</f>
        <v>0</v>
      </c>
      <c r="Q265">
        <f>Реестр_План_Факт!Q265</f>
        <v>0</v>
      </c>
      <c r="R265" t="str">
        <f>Реестр_План_Факт!R265</f>
        <v/>
      </c>
      <c r="S265">
        <f>Реестр_План_Факт!S265</f>
        <v>0</v>
      </c>
      <c r="T265">
        <f>Реестр_План_Факт!T265</f>
        <v>0</v>
      </c>
      <c r="U265" t="str">
        <f>Реестр_План_Факт!U265</f>
        <v/>
      </c>
      <c r="V265">
        <f>Реестр_План_Факт!V265</f>
        <v>0</v>
      </c>
      <c r="W265">
        <f>Реестр_План_Факт!W265</f>
        <v>0</v>
      </c>
      <c r="X265" t="str">
        <f>Реестр_План_Факт!X265</f>
        <v/>
      </c>
      <c r="Y265">
        <f>Реестр_План_Факт!Y265</f>
        <v>0</v>
      </c>
      <c r="Z265">
        <f>Реестр_План_Факт!Z265</f>
        <v>0</v>
      </c>
      <c r="AA265" t="str">
        <f>Реестр_План_Факт!AA265</f>
        <v/>
      </c>
      <c r="AB265">
        <f>Реестр_План_Факт!AB265</f>
        <v>0</v>
      </c>
      <c r="AC265">
        <f>Реестр_План_Факт!AC265</f>
        <v>0</v>
      </c>
      <c r="AD265" t="str">
        <f>Реестр_План_Факт!AD265</f>
        <v/>
      </c>
      <c r="AE265">
        <f>Реестр_План_Факт!AE265</f>
        <v>0</v>
      </c>
      <c r="AF265">
        <f>Реестр_План_Факт!AF265</f>
        <v>0</v>
      </c>
      <c r="AG265" t="str">
        <f>Реестр_План_Факт!AG265</f>
        <v/>
      </c>
      <c r="AH265">
        <f>Реестр_План_Факт!AH265</f>
        <v>0</v>
      </c>
      <c r="AI265">
        <f>Реестр_План_Факт!AI265</f>
        <v>0</v>
      </c>
      <c r="AJ265" t="str">
        <f>Реестр_План_Факт!AJ265</f>
        <v/>
      </c>
      <c r="AK265">
        <f>Реестр_План_Факт!AK265</f>
        <v>0</v>
      </c>
      <c r="AL265">
        <f>Реестр_План_Факт!AL265</f>
        <v>0</v>
      </c>
      <c r="AM265" t="str">
        <f>Реестр_План_Факт!AM265</f>
        <v/>
      </c>
      <c r="AN265">
        <f>Реестр_План_Факт!AN265</f>
        <v>0</v>
      </c>
      <c r="AO265">
        <f>Реестр_План_Факт!AO265</f>
        <v>0</v>
      </c>
      <c r="AP265" t="str">
        <f>Реестр_План_Факт!AP265</f>
        <v/>
      </c>
      <c r="AQ265">
        <f>Реестр_План_Факт!AQ265</f>
        <v>0</v>
      </c>
    </row>
    <row r="266" spans="1:43" x14ac:dyDescent="0.2">
      <c r="A266" s="201">
        <f>Реестр_План_Факт!A266</f>
        <v>46287</v>
      </c>
      <c r="B266">
        <f>Реестр_План_Факт!B266</f>
        <v>39</v>
      </c>
      <c r="C266">
        <f>Реестр_План_Факт!C266</f>
        <v>9</v>
      </c>
      <c r="D266">
        <f>Реестр_План_Факт!D266</f>
        <v>0</v>
      </c>
      <c r="E266">
        <f>Реестр_План_Факт!E266</f>
        <v>0</v>
      </c>
      <c r="F266" t="str">
        <f>Реестр_План_Факт!F266</f>
        <v/>
      </c>
      <c r="G266">
        <f>Реестр_План_Факт!G266</f>
        <v>0</v>
      </c>
      <c r="H266">
        <f>Реестр_План_Факт!H266</f>
        <v>0</v>
      </c>
      <c r="I266" t="str">
        <f>Реестр_План_Факт!I266</f>
        <v/>
      </c>
      <c r="J266">
        <f>Реестр_План_Факт!J266</f>
        <v>0</v>
      </c>
      <c r="K266">
        <f>Реестр_План_Факт!K266</f>
        <v>0</v>
      </c>
      <c r="L266" t="str">
        <f>Реестр_План_Факт!L266</f>
        <v/>
      </c>
      <c r="M266">
        <f>Реестр_План_Факт!M266</f>
        <v>0</v>
      </c>
      <c r="N266">
        <f>Реестр_План_Факт!N266</f>
        <v>0</v>
      </c>
      <c r="O266" t="str">
        <f>Реестр_План_Факт!O266</f>
        <v/>
      </c>
      <c r="P266">
        <f>Реестр_План_Факт!P266</f>
        <v>0</v>
      </c>
      <c r="Q266">
        <f>Реестр_План_Факт!Q266</f>
        <v>0</v>
      </c>
      <c r="R266" t="str">
        <f>Реестр_План_Факт!R266</f>
        <v/>
      </c>
      <c r="S266">
        <f>Реестр_План_Факт!S266</f>
        <v>0</v>
      </c>
      <c r="T266">
        <f>Реестр_План_Факт!T266</f>
        <v>0</v>
      </c>
      <c r="U266" t="str">
        <f>Реестр_План_Факт!U266</f>
        <v/>
      </c>
      <c r="V266">
        <f>Реестр_План_Факт!V266</f>
        <v>0</v>
      </c>
      <c r="W266">
        <f>Реестр_План_Факт!W266</f>
        <v>0</v>
      </c>
      <c r="X266" t="str">
        <f>Реестр_План_Факт!X266</f>
        <v/>
      </c>
      <c r="Y266">
        <f>Реестр_План_Факт!Y266</f>
        <v>0</v>
      </c>
      <c r="Z266">
        <f>Реестр_План_Факт!Z266</f>
        <v>0</v>
      </c>
      <c r="AA266" t="str">
        <f>Реестр_План_Факт!AA266</f>
        <v/>
      </c>
      <c r="AB266">
        <f>Реестр_План_Факт!AB266</f>
        <v>0</v>
      </c>
      <c r="AC266">
        <f>Реестр_План_Факт!AC266</f>
        <v>0</v>
      </c>
      <c r="AD266" t="str">
        <f>Реестр_План_Факт!AD266</f>
        <v/>
      </c>
      <c r="AE266">
        <f>Реестр_План_Факт!AE266</f>
        <v>0</v>
      </c>
      <c r="AF266">
        <f>Реестр_План_Факт!AF266</f>
        <v>0</v>
      </c>
      <c r="AG266" t="str">
        <f>Реестр_План_Факт!AG266</f>
        <v/>
      </c>
      <c r="AH266">
        <f>Реестр_План_Факт!AH266</f>
        <v>0</v>
      </c>
      <c r="AI266">
        <f>Реестр_План_Факт!AI266</f>
        <v>0</v>
      </c>
      <c r="AJ266" t="str">
        <f>Реестр_План_Факт!AJ266</f>
        <v/>
      </c>
      <c r="AK266">
        <f>Реестр_План_Факт!AK266</f>
        <v>0</v>
      </c>
      <c r="AL266">
        <f>Реестр_План_Факт!AL266</f>
        <v>0</v>
      </c>
      <c r="AM266" t="str">
        <f>Реестр_План_Факт!AM266</f>
        <v/>
      </c>
      <c r="AN266">
        <f>Реестр_План_Факт!AN266</f>
        <v>0</v>
      </c>
      <c r="AO266">
        <f>Реестр_План_Факт!AO266</f>
        <v>0</v>
      </c>
      <c r="AP266" t="str">
        <f>Реестр_План_Факт!AP266</f>
        <v/>
      </c>
      <c r="AQ266">
        <f>Реестр_План_Факт!AQ266</f>
        <v>0</v>
      </c>
    </row>
    <row r="267" spans="1:43" x14ac:dyDescent="0.2">
      <c r="A267" s="201">
        <f>Реестр_План_Факт!A267</f>
        <v>46288</v>
      </c>
      <c r="B267">
        <f>Реестр_План_Факт!B267</f>
        <v>39</v>
      </c>
      <c r="C267">
        <f>Реестр_План_Факт!C267</f>
        <v>9</v>
      </c>
      <c r="D267">
        <f>Реестр_План_Факт!D267</f>
        <v>0</v>
      </c>
      <c r="E267">
        <f>Реестр_План_Факт!E267</f>
        <v>0</v>
      </c>
      <c r="F267" t="str">
        <f>Реестр_План_Факт!F267</f>
        <v/>
      </c>
      <c r="G267">
        <f>Реестр_План_Факт!G267</f>
        <v>0</v>
      </c>
      <c r="H267">
        <f>Реестр_План_Факт!H267</f>
        <v>0</v>
      </c>
      <c r="I267" t="str">
        <f>Реестр_План_Факт!I267</f>
        <v/>
      </c>
      <c r="J267">
        <f>Реестр_План_Факт!J267</f>
        <v>0</v>
      </c>
      <c r="K267">
        <f>Реестр_План_Факт!K267</f>
        <v>0</v>
      </c>
      <c r="L267" t="str">
        <f>Реестр_План_Факт!L267</f>
        <v/>
      </c>
      <c r="M267">
        <f>Реестр_План_Факт!M267</f>
        <v>0</v>
      </c>
      <c r="N267">
        <f>Реестр_План_Факт!N267</f>
        <v>0</v>
      </c>
      <c r="O267" t="str">
        <f>Реестр_План_Факт!O267</f>
        <v/>
      </c>
      <c r="P267">
        <f>Реестр_План_Факт!P267</f>
        <v>0</v>
      </c>
      <c r="Q267">
        <f>Реестр_План_Факт!Q267</f>
        <v>0</v>
      </c>
      <c r="R267" t="str">
        <f>Реестр_План_Факт!R267</f>
        <v/>
      </c>
      <c r="S267">
        <f>Реестр_План_Факт!S267</f>
        <v>0</v>
      </c>
      <c r="T267">
        <f>Реестр_План_Факт!T267</f>
        <v>0</v>
      </c>
      <c r="U267" t="str">
        <f>Реестр_План_Факт!U267</f>
        <v/>
      </c>
      <c r="V267">
        <f>Реестр_План_Факт!V267</f>
        <v>0</v>
      </c>
      <c r="W267">
        <f>Реестр_План_Факт!W267</f>
        <v>0</v>
      </c>
      <c r="X267" t="str">
        <f>Реестр_План_Факт!X267</f>
        <v/>
      </c>
      <c r="Y267">
        <f>Реестр_План_Факт!Y267</f>
        <v>0</v>
      </c>
      <c r="Z267">
        <f>Реестр_План_Факт!Z267</f>
        <v>0</v>
      </c>
      <c r="AA267" t="str">
        <f>Реестр_План_Факт!AA267</f>
        <v/>
      </c>
      <c r="AB267">
        <f>Реестр_План_Факт!AB267</f>
        <v>0</v>
      </c>
      <c r="AC267">
        <f>Реестр_План_Факт!AC267</f>
        <v>0</v>
      </c>
      <c r="AD267" t="str">
        <f>Реестр_План_Факт!AD267</f>
        <v/>
      </c>
      <c r="AE267">
        <f>Реестр_План_Факт!AE267</f>
        <v>0</v>
      </c>
      <c r="AF267">
        <f>Реестр_План_Факт!AF267</f>
        <v>0</v>
      </c>
      <c r="AG267" t="str">
        <f>Реестр_План_Факт!AG267</f>
        <v/>
      </c>
      <c r="AH267">
        <f>Реестр_План_Факт!AH267</f>
        <v>0</v>
      </c>
      <c r="AI267">
        <f>Реестр_План_Факт!AI267</f>
        <v>0</v>
      </c>
      <c r="AJ267" t="str">
        <f>Реестр_План_Факт!AJ267</f>
        <v/>
      </c>
      <c r="AK267">
        <f>Реестр_План_Факт!AK267</f>
        <v>0</v>
      </c>
      <c r="AL267">
        <f>Реестр_План_Факт!AL267</f>
        <v>0</v>
      </c>
      <c r="AM267" t="str">
        <f>Реестр_План_Факт!AM267</f>
        <v/>
      </c>
      <c r="AN267">
        <f>Реестр_План_Факт!AN267</f>
        <v>0</v>
      </c>
      <c r="AO267">
        <f>Реестр_План_Факт!AO267</f>
        <v>0</v>
      </c>
      <c r="AP267" t="str">
        <f>Реестр_План_Факт!AP267</f>
        <v/>
      </c>
      <c r="AQ267">
        <f>Реестр_План_Факт!AQ267</f>
        <v>0</v>
      </c>
    </row>
    <row r="268" spans="1:43" x14ac:dyDescent="0.2">
      <c r="A268" s="201">
        <f>Реестр_План_Факт!A268</f>
        <v>46289</v>
      </c>
      <c r="B268">
        <f>Реестр_План_Факт!B268</f>
        <v>39</v>
      </c>
      <c r="C268">
        <f>Реестр_План_Факт!C268</f>
        <v>9</v>
      </c>
      <c r="D268">
        <f>Реестр_План_Факт!D268</f>
        <v>0</v>
      </c>
      <c r="E268">
        <f>Реестр_План_Факт!E268</f>
        <v>0</v>
      </c>
      <c r="F268" t="str">
        <f>Реестр_План_Факт!F268</f>
        <v/>
      </c>
      <c r="G268">
        <f>Реестр_План_Факт!G268</f>
        <v>0</v>
      </c>
      <c r="H268">
        <f>Реестр_План_Факт!H268</f>
        <v>0</v>
      </c>
      <c r="I268" t="str">
        <f>Реестр_План_Факт!I268</f>
        <v/>
      </c>
      <c r="J268">
        <f>Реестр_План_Факт!J268</f>
        <v>0</v>
      </c>
      <c r="K268">
        <f>Реестр_План_Факт!K268</f>
        <v>0</v>
      </c>
      <c r="L268" t="str">
        <f>Реестр_План_Факт!L268</f>
        <v/>
      </c>
      <c r="M268">
        <f>Реестр_План_Факт!M268</f>
        <v>0</v>
      </c>
      <c r="N268">
        <f>Реестр_План_Факт!N268</f>
        <v>0</v>
      </c>
      <c r="O268" t="str">
        <f>Реестр_План_Факт!O268</f>
        <v/>
      </c>
      <c r="P268">
        <f>Реестр_План_Факт!P268</f>
        <v>0</v>
      </c>
      <c r="Q268">
        <f>Реестр_План_Факт!Q268</f>
        <v>0</v>
      </c>
      <c r="R268" t="str">
        <f>Реестр_План_Факт!R268</f>
        <v/>
      </c>
      <c r="S268">
        <f>Реестр_План_Факт!S268</f>
        <v>0</v>
      </c>
      <c r="T268">
        <f>Реестр_План_Факт!T268</f>
        <v>0</v>
      </c>
      <c r="U268" t="str">
        <f>Реестр_План_Факт!U268</f>
        <v/>
      </c>
      <c r="V268">
        <f>Реестр_План_Факт!V268</f>
        <v>0</v>
      </c>
      <c r="W268">
        <f>Реестр_План_Факт!W268</f>
        <v>0</v>
      </c>
      <c r="X268" t="str">
        <f>Реестр_План_Факт!X268</f>
        <v/>
      </c>
      <c r="Y268">
        <f>Реестр_План_Факт!Y268</f>
        <v>0</v>
      </c>
      <c r="Z268">
        <f>Реестр_План_Факт!Z268</f>
        <v>0</v>
      </c>
      <c r="AA268" t="str">
        <f>Реестр_План_Факт!AA268</f>
        <v/>
      </c>
      <c r="AB268">
        <f>Реестр_План_Факт!AB268</f>
        <v>0</v>
      </c>
      <c r="AC268">
        <f>Реестр_План_Факт!AC268</f>
        <v>0</v>
      </c>
      <c r="AD268" t="str">
        <f>Реестр_План_Факт!AD268</f>
        <v/>
      </c>
      <c r="AE268">
        <f>Реестр_План_Факт!AE268</f>
        <v>0</v>
      </c>
      <c r="AF268">
        <f>Реестр_План_Факт!AF268</f>
        <v>0</v>
      </c>
      <c r="AG268" t="str">
        <f>Реестр_План_Факт!AG268</f>
        <v/>
      </c>
      <c r="AH268">
        <f>Реестр_План_Факт!AH268</f>
        <v>0</v>
      </c>
      <c r="AI268">
        <f>Реестр_План_Факт!AI268</f>
        <v>0</v>
      </c>
      <c r="AJ268" t="str">
        <f>Реестр_План_Факт!AJ268</f>
        <v/>
      </c>
      <c r="AK268">
        <f>Реестр_План_Факт!AK268</f>
        <v>0</v>
      </c>
      <c r="AL268">
        <f>Реестр_План_Факт!AL268</f>
        <v>0</v>
      </c>
      <c r="AM268" t="str">
        <f>Реестр_План_Факт!AM268</f>
        <v/>
      </c>
      <c r="AN268">
        <f>Реестр_План_Факт!AN268</f>
        <v>0</v>
      </c>
      <c r="AO268">
        <f>Реестр_План_Факт!AO268</f>
        <v>0</v>
      </c>
      <c r="AP268" t="str">
        <f>Реестр_План_Факт!AP268</f>
        <v/>
      </c>
      <c r="AQ268">
        <f>Реестр_План_Факт!AQ268</f>
        <v>0</v>
      </c>
    </row>
    <row r="269" spans="1:43" x14ac:dyDescent="0.2">
      <c r="A269" s="201">
        <f>Реестр_План_Факт!A269</f>
        <v>46290</v>
      </c>
      <c r="B269">
        <f>Реестр_План_Факт!B269</f>
        <v>39</v>
      </c>
      <c r="C269">
        <f>Реестр_План_Факт!C269</f>
        <v>9</v>
      </c>
      <c r="D269">
        <f>Реестр_План_Факт!D269</f>
        <v>0</v>
      </c>
      <c r="E269">
        <f>Реестр_План_Факт!E269</f>
        <v>0</v>
      </c>
      <c r="F269" t="str">
        <f>Реестр_План_Факт!F269</f>
        <v/>
      </c>
      <c r="G269">
        <f>Реестр_План_Факт!G269</f>
        <v>0</v>
      </c>
      <c r="H269">
        <f>Реестр_План_Факт!H269</f>
        <v>0</v>
      </c>
      <c r="I269" t="str">
        <f>Реестр_План_Факт!I269</f>
        <v/>
      </c>
      <c r="J269">
        <f>Реестр_План_Факт!J269</f>
        <v>0</v>
      </c>
      <c r="K269">
        <f>Реестр_План_Факт!K269</f>
        <v>0</v>
      </c>
      <c r="L269" t="str">
        <f>Реестр_План_Факт!L269</f>
        <v/>
      </c>
      <c r="M269">
        <f>Реестр_План_Факт!M269</f>
        <v>0</v>
      </c>
      <c r="N269">
        <f>Реестр_План_Факт!N269</f>
        <v>0</v>
      </c>
      <c r="O269" t="str">
        <f>Реестр_План_Факт!O269</f>
        <v/>
      </c>
      <c r="P269">
        <f>Реестр_План_Факт!P269</f>
        <v>0</v>
      </c>
      <c r="Q269">
        <f>Реестр_План_Факт!Q269</f>
        <v>0</v>
      </c>
      <c r="R269" t="str">
        <f>Реестр_План_Факт!R269</f>
        <v/>
      </c>
      <c r="S269">
        <f>Реестр_План_Факт!S269</f>
        <v>0</v>
      </c>
      <c r="T269">
        <f>Реестр_План_Факт!T269</f>
        <v>0</v>
      </c>
      <c r="U269" t="str">
        <f>Реестр_План_Факт!U269</f>
        <v/>
      </c>
      <c r="V269">
        <f>Реестр_План_Факт!V269</f>
        <v>0</v>
      </c>
      <c r="W269">
        <f>Реестр_План_Факт!W269</f>
        <v>0</v>
      </c>
      <c r="X269" t="str">
        <f>Реестр_План_Факт!X269</f>
        <v/>
      </c>
      <c r="Y269">
        <f>Реестр_План_Факт!Y269</f>
        <v>0</v>
      </c>
      <c r="Z269">
        <f>Реестр_План_Факт!Z269</f>
        <v>0</v>
      </c>
      <c r="AA269" t="str">
        <f>Реестр_План_Факт!AA269</f>
        <v/>
      </c>
      <c r="AB269">
        <f>Реестр_План_Факт!AB269</f>
        <v>0</v>
      </c>
      <c r="AC269">
        <f>Реестр_План_Факт!AC269</f>
        <v>0</v>
      </c>
      <c r="AD269" t="str">
        <f>Реестр_План_Факт!AD269</f>
        <v/>
      </c>
      <c r="AE269">
        <f>Реестр_План_Факт!AE269</f>
        <v>0</v>
      </c>
      <c r="AF269">
        <f>Реестр_План_Факт!AF269</f>
        <v>0</v>
      </c>
      <c r="AG269" t="str">
        <f>Реестр_План_Факт!AG269</f>
        <v/>
      </c>
      <c r="AH269">
        <f>Реестр_План_Факт!AH269</f>
        <v>0</v>
      </c>
      <c r="AI269">
        <f>Реестр_План_Факт!AI269</f>
        <v>0</v>
      </c>
      <c r="AJ269" t="str">
        <f>Реестр_План_Факт!AJ269</f>
        <v/>
      </c>
      <c r="AK269">
        <f>Реестр_План_Факт!AK269</f>
        <v>0</v>
      </c>
      <c r="AL269">
        <f>Реестр_План_Факт!AL269</f>
        <v>0</v>
      </c>
      <c r="AM269" t="str">
        <f>Реестр_План_Факт!AM269</f>
        <v/>
      </c>
      <c r="AN269">
        <f>Реестр_План_Факт!AN269</f>
        <v>0</v>
      </c>
      <c r="AO269">
        <f>Реестр_План_Факт!AO269</f>
        <v>0</v>
      </c>
      <c r="AP269" t="str">
        <f>Реестр_План_Факт!AP269</f>
        <v/>
      </c>
      <c r="AQ269">
        <f>Реестр_План_Факт!AQ269</f>
        <v>0</v>
      </c>
    </row>
    <row r="270" spans="1:43" x14ac:dyDescent="0.2">
      <c r="A270" s="201">
        <f>Реестр_План_Факт!A270</f>
        <v>46291</v>
      </c>
      <c r="B270">
        <f>Реестр_План_Факт!B270</f>
        <v>39</v>
      </c>
      <c r="C270">
        <f>Реестр_План_Факт!C270</f>
        <v>9</v>
      </c>
      <c r="D270">
        <f>Реестр_План_Факт!D270</f>
        <v>0</v>
      </c>
      <c r="E270">
        <f>Реестр_План_Факт!E270</f>
        <v>0</v>
      </c>
      <c r="F270" t="str">
        <f>Реестр_План_Факт!F270</f>
        <v/>
      </c>
      <c r="G270">
        <f>Реестр_План_Факт!G270</f>
        <v>0</v>
      </c>
      <c r="H270">
        <f>Реестр_План_Факт!H270</f>
        <v>0</v>
      </c>
      <c r="I270" t="str">
        <f>Реестр_План_Факт!I270</f>
        <v/>
      </c>
      <c r="J270">
        <f>Реестр_План_Факт!J270</f>
        <v>0</v>
      </c>
      <c r="K270">
        <f>Реестр_План_Факт!K270</f>
        <v>0</v>
      </c>
      <c r="L270" t="str">
        <f>Реестр_План_Факт!L270</f>
        <v/>
      </c>
      <c r="M270">
        <f>Реестр_План_Факт!M270</f>
        <v>0</v>
      </c>
      <c r="N270">
        <f>Реестр_План_Факт!N270</f>
        <v>0</v>
      </c>
      <c r="O270" t="str">
        <f>Реестр_План_Факт!O270</f>
        <v/>
      </c>
      <c r="P270">
        <f>Реестр_План_Факт!P270</f>
        <v>0</v>
      </c>
      <c r="Q270">
        <f>Реестр_План_Факт!Q270</f>
        <v>0</v>
      </c>
      <c r="R270" t="str">
        <f>Реестр_План_Факт!R270</f>
        <v/>
      </c>
      <c r="S270">
        <f>Реестр_План_Факт!S270</f>
        <v>0</v>
      </c>
      <c r="T270">
        <f>Реестр_План_Факт!T270</f>
        <v>0</v>
      </c>
      <c r="U270" t="str">
        <f>Реестр_План_Факт!U270</f>
        <v/>
      </c>
      <c r="V270">
        <f>Реестр_План_Факт!V270</f>
        <v>0</v>
      </c>
      <c r="W270">
        <f>Реестр_План_Факт!W270</f>
        <v>0</v>
      </c>
      <c r="X270" t="str">
        <f>Реестр_План_Факт!X270</f>
        <v/>
      </c>
      <c r="Y270">
        <f>Реестр_План_Факт!Y270</f>
        <v>0</v>
      </c>
      <c r="Z270">
        <f>Реестр_План_Факт!Z270</f>
        <v>0</v>
      </c>
      <c r="AA270" t="str">
        <f>Реестр_План_Факт!AA270</f>
        <v/>
      </c>
      <c r="AB270">
        <f>Реестр_План_Факт!AB270</f>
        <v>0</v>
      </c>
      <c r="AC270">
        <f>Реестр_План_Факт!AC270</f>
        <v>0</v>
      </c>
      <c r="AD270" t="str">
        <f>Реестр_План_Факт!AD270</f>
        <v/>
      </c>
      <c r="AE270">
        <f>Реестр_План_Факт!AE270</f>
        <v>0</v>
      </c>
      <c r="AF270">
        <f>Реестр_План_Факт!AF270</f>
        <v>0</v>
      </c>
      <c r="AG270" t="str">
        <f>Реестр_План_Факт!AG270</f>
        <v/>
      </c>
      <c r="AH270">
        <f>Реестр_План_Факт!AH270</f>
        <v>0</v>
      </c>
      <c r="AI270">
        <f>Реестр_План_Факт!AI270</f>
        <v>0</v>
      </c>
      <c r="AJ270" t="str">
        <f>Реестр_План_Факт!AJ270</f>
        <v/>
      </c>
      <c r="AK270">
        <f>Реестр_План_Факт!AK270</f>
        <v>0</v>
      </c>
      <c r="AL270">
        <f>Реестр_План_Факт!AL270</f>
        <v>0</v>
      </c>
      <c r="AM270" t="str">
        <f>Реестр_План_Факт!AM270</f>
        <v/>
      </c>
      <c r="AN270">
        <f>Реестр_План_Факт!AN270</f>
        <v>0</v>
      </c>
      <c r="AO270">
        <f>Реестр_План_Факт!AO270</f>
        <v>0</v>
      </c>
      <c r="AP270" t="str">
        <f>Реестр_План_Факт!AP270</f>
        <v/>
      </c>
      <c r="AQ270">
        <f>Реестр_План_Факт!AQ270</f>
        <v>0</v>
      </c>
    </row>
    <row r="271" spans="1:43" x14ac:dyDescent="0.2">
      <c r="A271" s="201">
        <f>Реестр_План_Факт!A271</f>
        <v>46292</v>
      </c>
      <c r="B271">
        <f>Реестр_План_Факт!B271</f>
        <v>39</v>
      </c>
      <c r="C271">
        <f>Реестр_План_Факт!C271</f>
        <v>9</v>
      </c>
      <c r="D271">
        <f>Реестр_План_Факт!D271</f>
        <v>0</v>
      </c>
      <c r="E271">
        <f>Реестр_План_Факт!E271</f>
        <v>0</v>
      </c>
      <c r="F271" t="str">
        <f>Реестр_План_Факт!F271</f>
        <v/>
      </c>
      <c r="G271">
        <f>Реестр_План_Факт!G271</f>
        <v>0</v>
      </c>
      <c r="H271">
        <f>Реестр_План_Факт!H271</f>
        <v>0</v>
      </c>
      <c r="I271" t="str">
        <f>Реестр_План_Факт!I271</f>
        <v/>
      </c>
      <c r="J271">
        <f>Реестр_План_Факт!J271</f>
        <v>0</v>
      </c>
      <c r="K271">
        <f>Реестр_План_Факт!K271</f>
        <v>0</v>
      </c>
      <c r="L271" t="str">
        <f>Реестр_План_Факт!L271</f>
        <v/>
      </c>
      <c r="M271">
        <f>Реестр_План_Факт!M271</f>
        <v>0</v>
      </c>
      <c r="N271">
        <f>Реестр_План_Факт!N271</f>
        <v>0</v>
      </c>
      <c r="O271" t="str">
        <f>Реестр_План_Факт!O271</f>
        <v/>
      </c>
      <c r="P271">
        <f>Реестр_План_Факт!P271</f>
        <v>0</v>
      </c>
      <c r="Q271">
        <f>Реестр_План_Факт!Q271</f>
        <v>0</v>
      </c>
      <c r="R271" t="str">
        <f>Реестр_План_Факт!R271</f>
        <v/>
      </c>
      <c r="S271">
        <f>Реестр_План_Факт!S271</f>
        <v>0</v>
      </c>
      <c r="T271">
        <f>Реестр_План_Факт!T271</f>
        <v>0</v>
      </c>
      <c r="U271" t="str">
        <f>Реестр_План_Факт!U271</f>
        <v/>
      </c>
      <c r="V271">
        <f>Реестр_План_Факт!V271</f>
        <v>0</v>
      </c>
      <c r="W271">
        <f>Реестр_План_Факт!W271</f>
        <v>0</v>
      </c>
      <c r="X271" t="str">
        <f>Реестр_План_Факт!X271</f>
        <v/>
      </c>
      <c r="Y271">
        <f>Реестр_План_Факт!Y271</f>
        <v>0</v>
      </c>
      <c r="Z271">
        <f>Реестр_План_Факт!Z271</f>
        <v>0</v>
      </c>
      <c r="AA271" t="str">
        <f>Реестр_План_Факт!AA271</f>
        <v/>
      </c>
      <c r="AB271">
        <f>Реестр_План_Факт!AB271</f>
        <v>0</v>
      </c>
      <c r="AC271">
        <f>Реестр_План_Факт!AC271</f>
        <v>0</v>
      </c>
      <c r="AD271" t="str">
        <f>Реестр_План_Факт!AD271</f>
        <v/>
      </c>
      <c r="AE271">
        <f>Реестр_План_Факт!AE271</f>
        <v>0</v>
      </c>
      <c r="AF271">
        <f>Реестр_План_Факт!AF271</f>
        <v>0</v>
      </c>
      <c r="AG271" t="str">
        <f>Реестр_План_Факт!AG271</f>
        <v/>
      </c>
      <c r="AH271">
        <f>Реестр_План_Факт!AH271</f>
        <v>0</v>
      </c>
      <c r="AI271">
        <f>Реестр_План_Факт!AI271</f>
        <v>0</v>
      </c>
      <c r="AJ271" t="str">
        <f>Реестр_План_Факт!AJ271</f>
        <v/>
      </c>
      <c r="AK271">
        <f>Реестр_План_Факт!AK271</f>
        <v>0</v>
      </c>
      <c r="AL271">
        <f>Реестр_План_Факт!AL271</f>
        <v>0</v>
      </c>
      <c r="AM271" t="str">
        <f>Реестр_План_Факт!AM271</f>
        <v/>
      </c>
      <c r="AN271">
        <f>Реестр_План_Факт!AN271</f>
        <v>0</v>
      </c>
      <c r="AO271">
        <f>Реестр_План_Факт!AO271</f>
        <v>0</v>
      </c>
      <c r="AP271" t="str">
        <f>Реестр_План_Факт!AP271</f>
        <v/>
      </c>
      <c r="AQ271">
        <f>Реестр_План_Факт!AQ271</f>
        <v>0</v>
      </c>
    </row>
    <row r="272" spans="1:43" x14ac:dyDescent="0.2">
      <c r="A272" s="201">
        <f>Реестр_План_Факт!A272</f>
        <v>46293</v>
      </c>
      <c r="B272">
        <f>Реестр_План_Факт!B272</f>
        <v>40</v>
      </c>
      <c r="C272">
        <f>Реестр_План_Факт!C272</f>
        <v>9</v>
      </c>
      <c r="D272">
        <f>Реестр_План_Факт!D272</f>
        <v>0</v>
      </c>
      <c r="E272">
        <f>Реестр_План_Факт!E272</f>
        <v>0</v>
      </c>
      <c r="F272" t="str">
        <f>Реестр_План_Факт!F272</f>
        <v/>
      </c>
      <c r="G272">
        <f>Реестр_План_Факт!G272</f>
        <v>0</v>
      </c>
      <c r="H272">
        <f>Реестр_План_Факт!H272</f>
        <v>0</v>
      </c>
      <c r="I272" t="str">
        <f>Реестр_План_Факт!I272</f>
        <v/>
      </c>
      <c r="J272">
        <f>Реестр_План_Факт!J272</f>
        <v>0</v>
      </c>
      <c r="K272">
        <f>Реестр_План_Факт!K272</f>
        <v>0</v>
      </c>
      <c r="L272" t="str">
        <f>Реестр_План_Факт!L272</f>
        <v/>
      </c>
      <c r="M272">
        <f>Реестр_План_Факт!M272</f>
        <v>0</v>
      </c>
      <c r="N272">
        <f>Реестр_План_Факт!N272</f>
        <v>0</v>
      </c>
      <c r="O272" t="str">
        <f>Реестр_План_Факт!O272</f>
        <v/>
      </c>
      <c r="P272">
        <f>Реестр_План_Факт!P272</f>
        <v>0</v>
      </c>
      <c r="Q272">
        <f>Реестр_План_Факт!Q272</f>
        <v>0</v>
      </c>
      <c r="R272" t="str">
        <f>Реестр_План_Факт!R272</f>
        <v/>
      </c>
      <c r="S272">
        <f>Реестр_План_Факт!S272</f>
        <v>0</v>
      </c>
      <c r="T272">
        <f>Реестр_План_Факт!T272</f>
        <v>0</v>
      </c>
      <c r="U272" t="str">
        <f>Реестр_План_Факт!U272</f>
        <v/>
      </c>
      <c r="V272">
        <f>Реестр_План_Факт!V272</f>
        <v>0</v>
      </c>
      <c r="W272">
        <f>Реестр_План_Факт!W272</f>
        <v>0</v>
      </c>
      <c r="X272" t="str">
        <f>Реестр_План_Факт!X272</f>
        <v/>
      </c>
      <c r="Y272">
        <f>Реестр_План_Факт!Y272</f>
        <v>0</v>
      </c>
      <c r="Z272">
        <f>Реестр_План_Факт!Z272</f>
        <v>0</v>
      </c>
      <c r="AA272" t="str">
        <f>Реестр_План_Факт!AA272</f>
        <v/>
      </c>
      <c r="AB272">
        <f>Реестр_План_Факт!AB272</f>
        <v>0</v>
      </c>
      <c r="AC272">
        <f>Реестр_План_Факт!AC272</f>
        <v>0</v>
      </c>
      <c r="AD272" t="str">
        <f>Реестр_План_Факт!AD272</f>
        <v/>
      </c>
      <c r="AE272">
        <f>Реестр_План_Факт!AE272</f>
        <v>0</v>
      </c>
      <c r="AF272">
        <f>Реестр_План_Факт!AF272</f>
        <v>0</v>
      </c>
      <c r="AG272" t="str">
        <f>Реестр_План_Факт!AG272</f>
        <v/>
      </c>
      <c r="AH272">
        <f>Реестр_План_Факт!AH272</f>
        <v>0</v>
      </c>
      <c r="AI272">
        <f>Реестр_План_Факт!AI272</f>
        <v>0</v>
      </c>
      <c r="AJ272" t="str">
        <f>Реестр_План_Факт!AJ272</f>
        <v/>
      </c>
      <c r="AK272">
        <f>Реестр_План_Факт!AK272</f>
        <v>0</v>
      </c>
      <c r="AL272">
        <f>Реестр_План_Факт!AL272</f>
        <v>0</v>
      </c>
      <c r="AM272" t="str">
        <f>Реестр_План_Факт!AM272</f>
        <v/>
      </c>
      <c r="AN272">
        <f>Реестр_План_Факт!AN272</f>
        <v>0</v>
      </c>
      <c r="AO272">
        <f>Реестр_План_Факт!AO272</f>
        <v>0</v>
      </c>
      <c r="AP272" t="str">
        <f>Реестр_План_Факт!AP272</f>
        <v/>
      </c>
      <c r="AQ272">
        <f>Реестр_План_Факт!AQ272</f>
        <v>0</v>
      </c>
    </row>
    <row r="273" spans="1:43" x14ac:dyDescent="0.2">
      <c r="A273" s="201">
        <f>Реестр_План_Факт!A273</f>
        <v>46294</v>
      </c>
      <c r="B273">
        <f>Реестр_План_Факт!B273</f>
        <v>40</v>
      </c>
      <c r="C273">
        <f>Реестр_План_Факт!C273</f>
        <v>9</v>
      </c>
      <c r="D273">
        <f>Реестр_План_Факт!D273</f>
        <v>0</v>
      </c>
      <c r="E273">
        <f>Реестр_План_Факт!E273</f>
        <v>0</v>
      </c>
      <c r="F273" t="str">
        <f>Реестр_План_Факт!F273</f>
        <v/>
      </c>
      <c r="G273">
        <f>Реестр_План_Факт!G273</f>
        <v>0</v>
      </c>
      <c r="H273">
        <f>Реестр_План_Факт!H273</f>
        <v>0</v>
      </c>
      <c r="I273" t="str">
        <f>Реестр_План_Факт!I273</f>
        <v/>
      </c>
      <c r="J273">
        <f>Реестр_План_Факт!J273</f>
        <v>0</v>
      </c>
      <c r="K273">
        <f>Реестр_План_Факт!K273</f>
        <v>0</v>
      </c>
      <c r="L273" t="str">
        <f>Реестр_План_Факт!L273</f>
        <v/>
      </c>
      <c r="M273">
        <f>Реестр_План_Факт!M273</f>
        <v>0</v>
      </c>
      <c r="N273">
        <f>Реестр_План_Факт!N273</f>
        <v>0</v>
      </c>
      <c r="O273" t="str">
        <f>Реестр_План_Факт!O273</f>
        <v/>
      </c>
      <c r="P273">
        <f>Реестр_План_Факт!P273</f>
        <v>0</v>
      </c>
      <c r="Q273">
        <f>Реестр_План_Факт!Q273</f>
        <v>0</v>
      </c>
      <c r="R273" t="str">
        <f>Реестр_План_Факт!R273</f>
        <v/>
      </c>
      <c r="S273">
        <f>Реестр_План_Факт!S273</f>
        <v>0</v>
      </c>
      <c r="T273">
        <f>Реестр_План_Факт!T273</f>
        <v>0</v>
      </c>
      <c r="U273" t="str">
        <f>Реестр_План_Факт!U273</f>
        <v/>
      </c>
      <c r="V273">
        <f>Реестр_План_Факт!V273</f>
        <v>0</v>
      </c>
      <c r="W273">
        <f>Реестр_План_Факт!W273</f>
        <v>0</v>
      </c>
      <c r="X273" t="str">
        <f>Реестр_План_Факт!X273</f>
        <v/>
      </c>
      <c r="Y273">
        <f>Реестр_План_Факт!Y273</f>
        <v>0</v>
      </c>
      <c r="Z273">
        <f>Реестр_План_Факт!Z273</f>
        <v>0</v>
      </c>
      <c r="AA273" t="str">
        <f>Реестр_План_Факт!AA273</f>
        <v/>
      </c>
      <c r="AB273">
        <f>Реестр_План_Факт!AB273</f>
        <v>0</v>
      </c>
      <c r="AC273">
        <f>Реестр_План_Факт!AC273</f>
        <v>0</v>
      </c>
      <c r="AD273" t="str">
        <f>Реестр_План_Факт!AD273</f>
        <v/>
      </c>
      <c r="AE273">
        <f>Реестр_План_Факт!AE273</f>
        <v>0</v>
      </c>
      <c r="AF273">
        <f>Реестр_План_Факт!AF273</f>
        <v>0</v>
      </c>
      <c r="AG273" t="str">
        <f>Реестр_План_Факт!AG273</f>
        <v/>
      </c>
      <c r="AH273">
        <f>Реестр_План_Факт!AH273</f>
        <v>0</v>
      </c>
      <c r="AI273">
        <f>Реестр_План_Факт!AI273</f>
        <v>0</v>
      </c>
      <c r="AJ273" t="str">
        <f>Реестр_План_Факт!AJ273</f>
        <v/>
      </c>
      <c r="AK273">
        <f>Реестр_План_Факт!AK273</f>
        <v>0</v>
      </c>
      <c r="AL273">
        <f>Реестр_План_Факт!AL273</f>
        <v>0</v>
      </c>
      <c r="AM273" t="str">
        <f>Реестр_План_Факт!AM273</f>
        <v/>
      </c>
      <c r="AN273">
        <f>Реестр_План_Факт!AN273</f>
        <v>0</v>
      </c>
      <c r="AO273">
        <f>Реестр_План_Факт!AO273</f>
        <v>0</v>
      </c>
      <c r="AP273" t="str">
        <f>Реестр_План_Факт!AP273</f>
        <v/>
      </c>
      <c r="AQ273">
        <f>Реестр_План_Факт!AQ273</f>
        <v>0</v>
      </c>
    </row>
    <row r="274" spans="1:43" x14ac:dyDescent="0.2">
      <c r="A274" s="201">
        <f>Реестр_План_Факт!A274</f>
        <v>46295</v>
      </c>
      <c r="B274">
        <f>Реестр_План_Факт!B274</f>
        <v>40</v>
      </c>
      <c r="C274">
        <f>Реестр_План_Факт!C274</f>
        <v>9</v>
      </c>
      <c r="D274">
        <f>Реестр_План_Факт!D274</f>
        <v>0</v>
      </c>
      <c r="E274">
        <f>Реестр_План_Факт!E274</f>
        <v>0</v>
      </c>
      <c r="F274" t="str">
        <f>Реестр_План_Факт!F274</f>
        <v/>
      </c>
      <c r="G274">
        <f>Реестр_План_Факт!G274</f>
        <v>0</v>
      </c>
      <c r="H274">
        <f>Реестр_План_Факт!H274</f>
        <v>0</v>
      </c>
      <c r="I274" t="str">
        <f>Реестр_План_Факт!I274</f>
        <v/>
      </c>
      <c r="J274">
        <f>Реестр_План_Факт!J274</f>
        <v>0</v>
      </c>
      <c r="K274">
        <f>Реестр_План_Факт!K274</f>
        <v>0</v>
      </c>
      <c r="L274" t="str">
        <f>Реестр_План_Факт!L274</f>
        <v/>
      </c>
      <c r="M274">
        <f>Реестр_План_Факт!M274</f>
        <v>0</v>
      </c>
      <c r="N274">
        <f>Реестр_План_Факт!N274</f>
        <v>0</v>
      </c>
      <c r="O274" t="str">
        <f>Реестр_План_Факт!O274</f>
        <v/>
      </c>
      <c r="P274">
        <f>Реестр_План_Факт!P274</f>
        <v>0</v>
      </c>
      <c r="Q274">
        <f>Реестр_План_Факт!Q274</f>
        <v>0</v>
      </c>
      <c r="R274" t="str">
        <f>Реестр_План_Факт!R274</f>
        <v/>
      </c>
      <c r="S274">
        <f>Реестр_План_Факт!S274</f>
        <v>0</v>
      </c>
      <c r="T274">
        <f>Реестр_План_Факт!T274</f>
        <v>0</v>
      </c>
      <c r="U274" t="str">
        <f>Реестр_План_Факт!U274</f>
        <v/>
      </c>
      <c r="V274">
        <f>Реестр_План_Факт!V274</f>
        <v>0</v>
      </c>
      <c r="W274">
        <f>Реестр_План_Факт!W274</f>
        <v>0</v>
      </c>
      <c r="X274" t="str">
        <f>Реестр_План_Факт!X274</f>
        <v/>
      </c>
      <c r="Y274">
        <f>Реестр_План_Факт!Y274</f>
        <v>0</v>
      </c>
      <c r="Z274">
        <f>Реестр_План_Факт!Z274</f>
        <v>0</v>
      </c>
      <c r="AA274" t="str">
        <f>Реестр_План_Факт!AA274</f>
        <v/>
      </c>
      <c r="AB274">
        <f>Реестр_План_Факт!AB274</f>
        <v>0</v>
      </c>
      <c r="AC274">
        <f>Реестр_План_Факт!AC274</f>
        <v>0</v>
      </c>
      <c r="AD274" t="str">
        <f>Реестр_План_Факт!AD274</f>
        <v/>
      </c>
      <c r="AE274">
        <f>Реестр_План_Факт!AE274</f>
        <v>0</v>
      </c>
      <c r="AF274">
        <f>Реестр_План_Факт!AF274</f>
        <v>0</v>
      </c>
      <c r="AG274" t="str">
        <f>Реестр_План_Факт!AG274</f>
        <v/>
      </c>
      <c r="AH274">
        <f>Реестр_План_Факт!AH274</f>
        <v>0</v>
      </c>
      <c r="AI274">
        <f>Реестр_План_Факт!AI274</f>
        <v>0</v>
      </c>
      <c r="AJ274" t="str">
        <f>Реестр_План_Факт!AJ274</f>
        <v/>
      </c>
      <c r="AK274">
        <f>Реестр_План_Факт!AK274</f>
        <v>0</v>
      </c>
      <c r="AL274">
        <f>Реестр_План_Факт!AL274</f>
        <v>0</v>
      </c>
      <c r="AM274" t="str">
        <f>Реестр_План_Факт!AM274</f>
        <v/>
      </c>
      <c r="AN274">
        <f>Реестр_План_Факт!AN274</f>
        <v>0</v>
      </c>
      <c r="AO274">
        <f>Реестр_План_Факт!AO274</f>
        <v>0</v>
      </c>
      <c r="AP274" t="str">
        <f>Реестр_План_Факт!AP274</f>
        <v/>
      </c>
      <c r="AQ274">
        <f>Реестр_План_Факт!AQ274</f>
        <v>0</v>
      </c>
    </row>
    <row r="275" spans="1:43" x14ac:dyDescent="0.2">
      <c r="A275" s="201">
        <f>Реестр_План_Факт!A275</f>
        <v>46296</v>
      </c>
      <c r="B275">
        <f>Реестр_План_Факт!B275</f>
        <v>40</v>
      </c>
      <c r="C275">
        <f>Реестр_План_Факт!C275</f>
        <v>10</v>
      </c>
      <c r="D275">
        <f>Реестр_План_Факт!D275</f>
        <v>0</v>
      </c>
      <c r="E275">
        <f>Реестр_План_Факт!E275</f>
        <v>0</v>
      </c>
      <c r="F275" t="str">
        <f>Реестр_План_Факт!F275</f>
        <v/>
      </c>
      <c r="G275">
        <f>Реестр_План_Факт!G275</f>
        <v>0</v>
      </c>
      <c r="H275">
        <f>Реестр_План_Факт!H275</f>
        <v>0</v>
      </c>
      <c r="I275" t="str">
        <f>Реестр_План_Факт!I275</f>
        <v/>
      </c>
      <c r="J275">
        <f>Реестр_План_Факт!J275</f>
        <v>0</v>
      </c>
      <c r="K275">
        <f>Реестр_План_Факт!K275</f>
        <v>0</v>
      </c>
      <c r="L275" t="str">
        <f>Реестр_План_Факт!L275</f>
        <v/>
      </c>
      <c r="M275">
        <f>Реестр_План_Факт!M275</f>
        <v>0</v>
      </c>
      <c r="N275">
        <f>Реестр_План_Факт!N275</f>
        <v>0</v>
      </c>
      <c r="O275" t="str">
        <f>Реестр_План_Факт!O275</f>
        <v/>
      </c>
      <c r="P275">
        <f>Реестр_План_Факт!P275</f>
        <v>0</v>
      </c>
      <c r="Q275">
        <f>Реестр_План_Факт!Q275</f>
        <v>0</v>
      </c>
      <c r="R275" t="str">
        <f>Реестр_План_Факт!R275</f>
        <v/>
      </c>
      <c r="S275">
        <f>Реестр_План_Факт!S275</f>
        <v>0</v>
      </c>
      <c r="T275">
        <f>Реестр_План_Факт!T275</f>
        <v>0</v>
      </c>
      <c r="U275" t="str">
        <f>Реестр_План_Факт!U275</f>
        <v/>
      </c>
      <c r="V275">
        <f>Реестр_План_Факт!V275</f>
        <v>0</v>
      </c>
      <c r="W275">
        <f>Реестр_План_Факт!W275</f>
        <v>0</v>
      </c>
      <c r="X275" t="str">
        <f>Реестр_План_Факт!X275</f>
        <v/>
      </c>
      <c r="Y275">
        <f>Реестр_План_Факт!Y275</f>
        <v>0</v>
      </c>
      <c r="Z275">
        <f>Реестр_План_Факт!Z275</f>
        <v>0</v>
      </c>
      <c r="AA275" t="str">
        <f>Реестр_План_Факт!AA275</f>
        <v/>
      </c>
      <c r="AB275">
        <f>Реестр_План_Факт!AB275</f>
        <v>0</v>
      </c>
      <c r="AC275">
        <f>Реестр_План_Факт!AC275</f>
        <v>0</v>
      </c>
      <c r="AD275" t="str">
        <f>Реестр_План_Факт!AD275</f>
        <v/>
      </c>
      <c r="AE275">
        <f>Реестр_План_Факт!AE275</f>
        <v>0</v>
      </c>
      <c r="AF275">
        <f>Реестр_План_Факт!AF275</f>
        <v>0</v>
      </c>
      <c r="AG275" t="str">
        <f>Реестр_План_Факт!AG275</f>
        <v/>
      </c>
      <c r="AH275">
        <f>Реестр_План_Факт!AH275</f>
        <v>0</v>
      </c>
      <c r="AI275">
        <f>Реестр_План_Факт!AI275</f>
        <v>0</v>
      </c>
      <c r="AJ275" t="str">
        <f>Реестр_План_Факт!AJ275</f>
        <v/>
      </c>
      <c r="AK275">
        <f>Реестр_План_Факт!AK275</f>
        <v>0</v>
      </c>
      <c r="AL275">
        <f>Реестр_План_Факт!AL275</f>
        <v>0</v>
      </c>
      <c r="AM275" t="str">
        <f>Реестр_План_Факт!AM275</f>
        <v/>
      </c>
      <c r="AN275">
        <f>Реестр_План_Факт!AN275</f>
        <v>0</v>
      </c>
      <c r="AO275">
        <f>Реестр_План_Факт!AO275</f>
        <v>0</v>
      </c>
      <c r="AP275" t="str">
        <f>Реестр_План_Факт!AP275</f>
        <v/>
      </c>
      <c r="AQ275">
        <f>Реестр_План_Факт!AQ275</f>
        <v>0</v>
      </c>
    </row>
    <row r="276" spans="1:43" x14ac:dyDescent="0.2">
      <c r="A276" s="201">
        <f>Реестр_План_Факт!A276</f>
        <v>46297</v>
      </c>
      <c r="B276">
        <f>Реестр_План_Факт!B276</f>
        <v>40</v>
      </c>
      <c r="C276">
        <f>Реестр_План_Факт!C276</f>
        <v>10</v>
      </c>
      <c r="D276">
        <f>Реестр_План_Факт!D276</f>
        <v>0</v>
      </c>
      <c r="E276">
        <f>Реестр_План_Факт!E276</f>
        <v>0</v>
      </c>
      <c r="F276" t="str">
        <f>Реестр_План_Факт!F276</f>
        <v/>
      </c>
      <c r="G276">
        <f>Реестр_План_Факт!G276</f>
        <v>0</v>
      </c>
      <c r="H276">
        <f>Реестр_План_Факт!H276</f>
        <v>0</v>
      </c>
      <c r="I276" t="str">
        <f>Реестр_План_Факт!I276</f>
        <v/>
      </c>
      <c r="J276">
        <f>Реестр_План_Факт!J276</f>
        <v>0</v>
      </c>
      <c r="K276">
        <f>Реестр_План_Факт!K276</f>
        <v>0</v>
      </c>
      <c r="L276" t="str">
        <f>Реестр_План_Факт!L276</f>
        <v/>
      </c>
      <c r="M276">
        <f>Реестр_План_Факт!M276</f>
        <v>0</v>
      </c>
      <c r="N276">
        <f>Реестр_План_Факт!N276</f>
        <v>0</v>
      </c>
      <c r="O276" t="str">
        <f>Реестр_План_Факт!O276</f>
        <v/>
      </c>
      <c r="P276">
        <f>Реестр_План_Факт!P276</f>
        <v>0</v>
      </c>
      <c r="Q276">
        <f>Реестр_План_Факт!Q276</f>
        <v>0</v>
      </c>
      <c r="R276" t="str">
        <f>Реестр_План_Факт!R276</f>
        <v/>
      </c>
      <c r="S276">
        <f>Реестр_План_Факт!S276</f>
        <v>0</v>
      </c>
      <c r="T276">
        <f>Реестр_План_Факт!T276</f>
        <v>0</v>
      </c>
      <c r="U276" t="str">
        <f>Реестр_План_Факт!U276</f>
        <v/>
      </c>
      <c r="V276">
        <f>Реестр_План_Факт!V276</f>
        <v>0</v>
      </c>
      <c r="W276">
        <f>Реестр_План_Факт!W276</f>
        <v>0</v>
      </c>
      <c r="X276" t="str">
        <f>Реестр_План_Факт!X276</f>
        <v/>
      </c>
      <c r="Y276">
        <f>Реестр_План_Факт!Y276</f>
        <v>0</v>
      </c>
      <c r="Z276">
        <f>Реестр_План_Факт!Z276</f>
        <v>0</v>
      </c>
      <c r="AA276" t="str">
        <f>Реестр_План_Факт!AA276</f>
        <v/>
      </c>
      <c r="AB276">
        <f>Реестр_План_Факт!AB276</f>
        <v>0</v>
      </c>
      <c r="AC276">
        <f>Реестр_План_Факт!AC276</f>
        <v>0</v>
      </c>
      <c r="AD276" t="str">
        <f>Реестр_План_Факт!AD276</f>
        <v/>
      </c>
      <c r="AE276">
        <f>Реестр_План_Факт!AE276</f>
        <v>0</v>
      </c>
      <c r="AF276">
        <f>Реестр_План_Факт!AF276</f>
        <v>0</v>
      </c>
      <c r="AG276" t="str">
        <f>Реестр_План_Факт!AG276</f>
        <v/>
      </c>
      <c r="AH276">
        <f>Реестр_План_Факт!AH276</f>
        <v>0</v>
      </c>
      <c r="AI276">
        <f>Реестр_План_Факт!AI276</f>
        <v>0</v>
      </c>
      <c r="AJ276" t="str">
        <f>Реестр_План_Факт!AJ276</f>
        <v/>
      </c>
      <c r="AK276">
        <f>Реестр_План_Факт!AK276</f>
        <v>0</v>
      </c>
      <c r="AL276">
        <f>Реестр_План_Факт!AL276</f>
        <v>0</v>
      </c>
      <c r="AM276" t="str">
        <f>Реестр_План_Факт!AM276</f>
        <v/>
      </c>
      <c r="AN276">
        <f>Реестр_План_Факт!AN276</f>
        <v>0</v>
      </c>
      <c r="AO276">
        <f>Реестр_План_Факт!AO276</f>
        <v>0</v>
      </c>
      <c r="AP276" t="str">
        <f>Реестр_План_Факт!AP276</f>
        <v/>
      </c>
      <c r="AQ276">
        <f>Реестр_План_Факт!AQ276</f>
        <v>0</v>
      </c>
    </row>
    <row r="277" spans="1:43" x14ac:dyDescent="0.2">
      <c r="A277" s="201">
        <f>Реестр_План_Факт!A277</f>
        <v>46298</v>
      </c>
      <c r="B277">
        <f>Реестр_План_Факт!B277</f>
        <v>40</v>
      </c>
      <c r="C277">
        <f>Реестр_План_Факт!C277</f>
        <v>10</v>
      </c>
      <c r="D277">
        <f>Реестр_План_Факт!D277</f>
        <v>0</v>
      </c>
      <c r="E277">
        <f>Реестр_План_Факт!E277</f>
        <v>0</v>
      </c>
      <c r="F277" t="str">
        <f>Реестр_План_Факт!F277</f>
        <v/>
      </c>
      <c r="G277">
        <f>Реестр_План_Факт!G277</f>
        <v>0</v>
      </c>
      <c r="H277">
        <f>Реестр_План_Факт!H277</f>
        <v>0</v>
      </c>
      <c r="I277" t="str">
        <f>Реестр_План_Факт!I277</f>
        <v/>
      </c>
      <c r="J277">
        <f>Реестр_План_Факт!J277</f>
        <v>0</v>
      </c>
      <c r="K277">
        <f>Реестр_План_Факт!K277</f>
        <v>0</v>
      </c>
      <c r="L277" t="str">
        <f>Реестр_План_Факт!L277</f>
        <v/>
      </c>
      <c r="M277">
        <f>Реестр_План_Факт!M277</f>
        <v>0</v>
      </c>
      <c r="N277">
        <f>Реестр_План_Факт!N277</f>
        <v>0</v>
      </c>
      <c r="O277" t="str">
        <f>Реестр_План_Факт!O277</f>
        <v/>
      </c>
      <c r="P277">
        <f>Реестр_План_Факт!P277</f>
        <v>0</v>
      </c>
      <c r="Q277">
        <f>Реестр_План_Факт!Q277</f>
        <v>0</v>
      </c>
      <c r="R277" t="str">
        <f>Реестр_План_Факт!R277</f>
        <v/>
      </c>
      <c r="S277">
        <f>Реестр_План_Факт!S277</f>
        <v>0</v>
      </c>
      <c r="T277">
        <f>Реестр_План_Факт!T277</f>
        <v>0</v>
      </c>
      <c r="U277" t="str">
        <f>Реестр_План_Факт!U277</f>
        <v/>
      </c>
      <c r="V277">
        <f>Реестр_План_Факт!V277</f>
        <v>0</v>
      </c>
      <c r="W277">
        <f>Реестр_План_Факт!W277</f>
        <v>0</v>
      </c>
      <c r="X277" t="str">
        <f>Реестр_План_Факт!X277</f>
        <v/>
      </c>
      <c r="Y277">
        <f>Реестр_План_Факт!Y277</f>
        <v>0</v>
      </c>
      <c r="Z277">
        <f>Реестр_План_Факт!Z277</f>
        <v>0</v>
      </c>
      <c r="AA277" t="str">
        <f>Реестр_План_Факт!AA277</f>
        <v/>
      </c>
      <c r="AB277">
        <f>Реестр_План_Факт!AB277</f>
        <v>0</v>
      </c>
      <c r="AC277">
        <f>Реестр_План_Факт!AC277</f>
        <v>0</v>
      </c>
      <c r="AD277" t="str">
        <f>Реестр_План_Факт!AD277</f>
        <v/>
      </c>
      <c r="AE277">
        <f>Реестр_План_Факт!AE277</f>
        <v>0</v>
      </c>
      <c r="AF277">
        <f>Реестр_План_Факт!AF277</f>
        <v>0</v>
      </c>
      <c r="AG277" t="str">
        <f>Реестр_План_Факт!AG277</f>
        <v/>
      </c>
      <c r="AH277">
        <f>Реестр_План_Факт!AH277</f>
        <v>0</v>
      </c>
      <c r="AI277">
        <f>Реестр_План_Факт!AI277</f>
        <v>0</v>
      </c>
      <c r="AJ277" t="str">
        <f>Реестр_План_Факт!AJ277</f>
        <v/>
      </c>
      <c r="AK277">
        <f>Реестр_План_Факт!AK277</f>
        <v>0</v>
      </c>
      <c r="AL277">
        <f>Реестр_План_Факт!AL277</f>
        <v>0</v>
      </c>
      <c r="AM277" t="str">
        <f>Реестр_План_Факт!AM277</f>
        <v/>
      </c>
      <c r="AN277">
        <f>Реестр_План_Факт!AN277</f>
        <v>0</v>
      </c>
      <c r="AO277">
        <f>Реестр_План_Факт!AO277</f>
        <v>0</v>
      </c>
      <c r="AP277" t="str">
        <f>Реестр_План_Факт!AP277</f>
        <v/>
      </c>
      <c r="AQ277">
        <f>Реестр_План_Факт!AQ277</f>
        <v>0</v>
      </c>
    </row>
    <row r="278" spans="1:43" x14ac:dyDescent="0.2">
      <c r="A278" s="201">
        <f>Реестр_План_Факт!A278</f>
        <v>46299</v>
      </c>
      <c r="B278">
        <f>Реестр_План_Факт!B278</f>
        <v>40</v>
      </c>
      <c r="C278">
        <f>Реестр_План_Факт!C278</f>
        <v>10</v>
      </c>
      <c r="D278">
        <f>Реестр_План_Факт!D278</f>
        <v>0</v>
      </c>
      <c r="E278">
        <f>Реестр_План_Факт!E278</f>
        <v>0</v>
      </c>
      <c r="F278" t="str">
        <f>Реестр_План_Факт!F278</f>
        <v/>
      </c>
      <c r="G278">
        <f>Реестр_План_Факт!G278</f>
        <v>0</v>
      </c>
      <c r="H278">
        <f>Реестр_План_Факт!H278</f>
        <v>0</v>
      </c>
      <c r="I278" t="str">
        <f>Реестр_План_Факт!I278</f>
        <v/>
      </c>
      <c r="J278">
        <f>Реестр_План_Факт!J278</f>
        <v>0</v>
      </c>
      <c r="K278">
        <f>Реестр_План_Факт!K278</f>
        <v>0</v>
      </c>
      <c r="L278" t="str">
        <f>Реестр_План_Факт!L278</f>
        <v/>
      </c>
      <c r="M278">
        <f>Реестр_План_Факт!M278</f>
        <v>0</v>
      </c>
      <c r="N278">
        <f>Реестр_План_Факт!N278</f>
        <v>0</v>
      </c>
      <c r="O278" t="str">
        <f>Реестр_План_Факт!O278</f>
        <v/>
      </c>
      <c r="P278">
        <f>Реестр_План_Факт!P278</f>
        <v>0</v>
      </c>
      <c r="Q278">
        <f>Реестр_План_Факт!Q278</f>
        <v>0</v>
      </c>
      <c r="R278" t="str">
        <f>Реестр_План_Факт!R278</f>
        <v/>
      </c>
      <c r="S278">
        <f>Реестр_План_Факт!S278</f>
        <v>0</v>
      </c>
      <c r="T278">
        <f>Реестр_План_Факт!T278</f>
        <v>0</v>
      </c>
      <c r="U278" t="str">
        <f>Реестр_План_Факт!U278</f>
        <v/>
      </c>
      <c r="V278">
        <f>Реестр_План_Факт!V278</f>
        <v>0</v>
      </c>
      <c r="W278">
        <f>Реестр_План_Факт!W278</f>
        <v>0</v>
      </c>
      <c r="X278" t="str">
        <f>Реестр_План_Факт!X278</f>
        <v/>
      </c>
      <c r="Y278">
        <f>Реестр_План_Факт!Y278</f>
        <v>0</v>
      </c>
      <c r="Z278">
        <f>Реестр_План_Факт!Z278</f>
        <v>0</v>
      </c>
      <c r="AA278" t="str">
        <f>Реестр_План_Факт!AA278</f>
        <v/>
      </c>
      <c r="AB278">
        <f>Реестр_План_Факт!AB278</f>
        <v>0</v>
      </c>
      <c r="AC278">
        <f>Реестр_План_Факт!AC278</f>
        <v>0</v>
      </c>
      <c r="AD278" t="str">
        <f>Реестр_План_Факт!AD278</f>
        <v/>
      </c>
      <c r="AE278">
        <f>Реестр_План_Факт!AE278</f>
        <v>0</v>
      </c>
      <c r="AF278">
        <f>Реестр_План_Факт!AF278</f>
        <v>0</v>
      </c>
      <c r="AG278" t="str">
        <f>Реестр_План_Факт!AG278</f>
        <v/>
      </c>
      <c r="AH278">
        <f>Реестр_План_Факт!AH278</f>
        <v>0</v>
      </c>
      <c r="AI278">
        <f>Реестр_План_Факт!AI278</f>
        <v>0</v>
      </c>
      <c r="AJ278" t="str">
        <f>Реестр_План_Факт!AJ278</f>
        <v/>
      </c>
      <c r="AK278">
        <f>Реестр_План_Факт!AK278</f>
        <v>0</v>
      </c>
      <c r="AL278">
        <f>Реестр_План_Факт!AL278</f>
        <v>0</v>
      </c>
      <c r="AM278" t="str">
        <f>Реестр_План_Факт!AM278</f>
        <v/>
      </c>
      <c r="AN278">
        <f>Реестр_План_Факт!AN278</f>
        <v>0</v>
      </c>
      <c r="AO278">
        <f>Реестр_План_Факт!AO278</f>
        <v>0</v>
      </c>
      <c r="AP278" t="str">
        <f>Реестр_План_Факт!AP278</f>
        <v/>
      </c>
      <c r="AQ278">
        <f>Реестр_План_Факт!AQ278</f>
        <v>0</v>
      </c>
    </row>
    <row r="279" spans="1:43" x14ac:dyDescent="0.2">
      <c r="A279" s="201">
        <f>Реестр_План_Факт!A279</f>
        <v>46300</v>
      </c>
      <c r="B279">
        <f>Реестр_План_Факт!B279</f>
        <v>41</v>
      </c>
      <c r="C279">
        <f>Реестр_План_Факт!C279</f>
        <v>10</v>
      </c>
      <c r="D279">
        <f>Реестр_План_Факт!D279</f>
        <v>0</v>
      </c>
      <c r="E279">
        <f>Реестр_План_Факт!E279</f>
        <v>0</v>
      </c>
      <c r="F279" t="str">
        <f>Реестр_План_Факт!F279</f>
        <v/>
      </c>
      <c r="G279">
        <f>Реестр_План_Факт!G279</f>
        <v>0</v>
      </c>
      <c r="H279">
        <f>Реестр_План_Факт!H279</f>
        <v>0</v>
      </c>
      <c r="I279" t="str">
        <f>Реестр_План_Факт!I279</f>
        <v/>
      </c>
      <c r="J279">
        <f>Реестр_План_Факт!J279</f>
        <v>0</v>
      </c>
      <c r="K279">
        <f>Реестр_План_Факт!K279</f>
        <v>0</v>
      </c>
      <c r="L279" t="str">
        <f>Реестр_План_Факт!L279</f>
        <v/>
      </c>
      <c r="M279">
        <f>Реестр_План_Факт!M279</f>
        <v>0</v>
      </c>
      <c r="N279">
        <f>Реестр_План_Факт!N279</f>
        <v>0</v>
      </c>
      <c r="O279" t="str">
        <f>Реестр_План_Факт!O279</f>
        <v/>
      </c>
      <c r="P279">
        <f>Реестр_План_Факт!P279</f>
        <v>0</v>
      </c>
      <c r="Q279">
        <f>Реестр_План_Факт!Q279</f>
        <v>0</v>
      </c>
      <c r="R279" t="str">
        <f>Реестр_План_Факт!R279</f>
        <v/>
      </c>
      <c r="S279">
        <f>Реестр_План_Факт!S279</f>
        <v>0</v>
      </c>
      <c r="T279">
        <f>Реестр_План_Факт!T279</f>
        <v>0</v>
      </c>
      <c r="U279" t="str">
        <f>Реестр_План_Факт!U279</f>
        <v/>
      </c>
      <c r="V279">
        <f>Реестр_План_Факт!V279</f>
        <v>0</v>
      </c>
      <c r="W279">
        <f>Реестр_План_Факт!W279</f>
        <v>0</v>
      </c>
      <c r="X279" t="str">
        <f>Реестр_План_Факт!X279</f>
        <v/>
      </c>
      <c r="Y279">
        <f>Реестр_План_Факт!Y279</f>
        <v>0</v>
      </c>
      <c r="Z279">
        <f>Реестр_План_Факт!Z279</f>
        <v>0</v>
      </c>
      <c r="AA279" t="str">
        <f>Реестр_План_Факт!AA279</f>
        <v/>
      </c>
      <c r="AB279">
        <f>Реестр_План_Факт!AB279</f>
        <v>0</v>
      </c>
      <c r="AC279">
        <f>Реестр_План_Факт!AC279</f>
        <v>0</v>
      </c>
      <c r="AD279" t="str">
        <f>Реестр_План_Факт!AD279</f>
        <v/>
      </c>
      <c r="AE279">
        <f>Реестр_План_Факт!AE279</f>
        <v>0</v>
      </c>
      <c r="AF279">
        <f>Реестр_План_Факт!AF279</f>
        <v>0</v>
      </c>
      <c r="AG279" t="str">
        <f>Реестр_План_Факт!AG279</f>
        <v/>
      </c>
      <c r="AH279">
        <f>Реестр_План_Факт!AH279</f>
        <v>0</v>
      </c>
      <c r="AI279">
        <f>Реестр_План_Факт!AI279</f>
        <v>0</v>
      </c>
      <c r="AJ279" t="str">
        <f>Реестр_План_Факт!AJ279</f>
        <v/>
      </c>
      <c r="AK279">
        <f>Реестр_План_Факт!AK279</f>
        <v>0</v>
      </c>
      <c r="AL279">
        <f>Реестр_План_Факт!AL279</f>
        <v>0</v>
      </c>
      <c r="AM279" t="str">
        <f>Реестр_План_Факт!AM279</f>
        <v/>
      </c>
      <c r="AN279">
        <f>Реестр_План_Факт!AN279</f>
        <v>0</v>
      </c>
      <c r="AO279">
        <f>Реестр_План_Факт!AO279</f>
        <v>0</v>
      </c>
      <c r="AP279" t="str">
        <f>Реестр_План_Факт!AP279</f>
        <v/>
      </c>
      <c r="AQ279">
        <f>Реестр_План_Факт!AQ279</f>
        <v>0</v>
      </c>
    </row>
    <row r="280" spans="1:43" x14ac:dyDescent="0.2">
      <c r="A280" s="201">
        <f>Реестр_План_Факт!A280</f>
        <v>46301</v>
      </c>
      <c r="B280">
        <f>Реестр_План_Факт!B280</f>
        <v>41</v>
      </c>
      <c r="C280">
        <f>Реестр_План_Факт!C280</f>
        <v>10</v>
      </c>
      <c r="D280">
        <f>Реестр_План_Факт!D280</f>
        <v>0</v>
      </c>
      <c r="E280">
        <f>Реестр_План_Факт!E280</f>
        <v>0</v>
      </c>
      <c r="F280" t="str">
        <f>Реестр_План_Факт!F280</f>
        <v/>
      </c>
      <c r="G280">
        <f>Реестр_План_Факт!G280</f>
        <v>0</v>
      </c>
      <c r="H280">
        <f>Реестр_План_Факт!H280</f>
        <v>0</v>
      </c>
      <c r="I280" t="str">
        <f>Реестр_План_Факт!I280</f>
        <v/>
      </c>
      <c r="J280">
        <f>Реестр_План_Факт!J280</f>
        <v>0</v>
      </c>
      <c r="K280">
        <f>Реестр_План_Факт!K280</f>
        <v>0</v>
      </c>
      <c r="L280" t="str">
        <f>Реестр_План_Факт!L280</f>
        <v/>
      </c>
      <c r="M280">
        <f>Реестр_План_Факт!M280</f>
        <v>0</v>
      </c>
      <c r="N280">
        <f>Реестр_План_Факт!N280</f>
        <v>0</v>
      </c>
      <c r="O280" t="str">
        <f>Реестр_План_Факт!O280</f>
        <v/>
      </c>
      <c r="P280">
        <f>Реестр_План_Факт!P280</f>
        <v>0</v>
      </c>
      <c r="Q280">
        <f>Реестр_План_Факт!Q280</f>
        <v>0</v>
      </c>
      <c r="R280" t="str">
        <f>Реестр_План_Факт!R280</f>
        <v/>
      </c>
      <c r="S280">
        <f>Реестр_План_Факт!S280</f>
        <v>0</v>
      </c>
      <c r="T280">
        <f>Реестр_План_Факт!T280</f>
        <v>0</v>
      </c>
      <c r="U280" t="str">
        <f>Реестр_План_Факт!U280</f>
        <v/>
      </c>
      <c r="V280">
        <f>Реестр_План_Факт!V280</f>
        <v>0</v>
      </c>
      <c r="W280">
        <f>Реестр_План_Факт!W280</f>
        <v>0</v>
      </c>
      <c r="X280" t="str">
        <f>Реестр_План_Факт!X280</f>
        <v/>
      </c>
      <c r="Y280">
        <f>Реестр_План_Факт!Y280</f>
        <v>0</v>
      </c>
      <c r="Z280">
        <f>Реестр_План_Факт!Z280</f>
        <v>0</v>
      </c>
      <c r="AA280" t="str">
        <f>Реестр_План_Факт!AA280</f>
        <v/>
      </c>
      <c r="AB280">
        <f>Реестр_План_Факт!AB280</f>
        <v>0</v>
      </c>
      <c r="AC280">
        <f>Реестр_План_Факт!AC280</f>
        <v>0</v>
      </c>
      <c r="AD280" t="str">
        <f>Реестр_План_Факт!AD280</f>
        <v/>
      </c>
      <c r="AE280">
        <f>Реестр_План_Факт!AE280</f>
        <v>0</v>
      </c>
      <c r="AF280">
        <f>Реестр_План_Факт!AF280</f>
        <v>0</v>
      </c>
      <c r="AG280" t="str">
        <f>Реестр_План_Факт!AG280</f>
        <v/>
      </c>
      <c r="AH280">
        <f>Реестр_План_Факт!AH280</f>
        <v>0</v>
      </c>
      <c r="AI280">
        <f>Реестр_План_Факт!AI280</f>
        <v>0</v>
      </c>
      <c r="AJ280" t="str">
        <f>Реестр_План_Факт!AJ280</f>
        <v/>
      </c>
      <c r="AK280">
        <f>Реестр_План_Факт!AK280</f>
        <v>0</v>
      </c>
      <c r="AL280">
        <f>Реестр_План_Факт!AL280</f>
        <v>0</v>
      </c>
      <c r="AM280" t="str">
        <f>Реестр_План_Факт!AM280</f>
        <v/>
      </c>
      <c r="AN280">
        <f>Реестр_План_Факт!AN280</f>
        <v>0</v>
      </c>
      <c r="AO280">
        <f>Реестр_План_Факт!AO280</f>
        <v>0</v>
      </c>
      <c r="AP280" t="str">
        <f>Реестр_План_Факт!AP280</f>
        <v/>
      </c>
      <c r="AQ280">
        <f>Реестр_План_Факт!AQ280</f>
        <v>0</v>
      </c>
    </row>
    <row r="281" spans="1:43" x14ac:dyDescent="0.2">
      <c r="A281" s="201">
        <f>Реестр_План_Факт!A281</f>
        <v>46302</v>
      </c>
      <c r="B281">
        <f>Реестр_План_Факт!B281</f>
        <v>41</v>
      </c>
      <c r="C281">
        <f>Реестр_План_Факт!C281</f>
        <v>10</v>
      </c>
      <c r="D281">
        <f>Реестр_План_Факт!D281</f>
        <v>0</v>
      </c>
      <c r="E281">
        <f>Реестр_План_Факт!E281</f>
        <v>0</v>
      </c>
      <c r="F281" t="str">
        <f>Реестр_План_Факт!F281</f>
        <v/>
      </c>
      <c r="G281">
        <f>Реестр_План_Факт!G281</f>
        <v>0</v>
      </c>
      <c r="H281">
        <f>Реестр_План_Факт!H281</f>
        <v>0</v>
      </c>
      <c r="I281" t="str">
        <f>Реестр_План_Факт!I281</f>
        <v/>
      </c>
      <c r="J281">
        <f>Реестр_План_Факт!J281</f>
        <v>0</v>
      </c>
      <c r="K281">
        <f>Реестр_План_Факт!K281</f>
        <v>0</v>
      </c>
      <c r="L281" t="str">
        <f>Реестр_План_Факт!L281</f>
        <v/>
      </c>
      <c r="M281">
        <f>Реестр_План_Факт!M281</f>
        <v>0</v>
      </c>
      <c r="N281">
        <f>Реестр_План_Факт!N281</f>
        <v>0</v>
      </c>
      <c r="O281" t="str">
        <f>Реестр_План_Факт!O281</f>
        <v/>
      </c>
      <c r="P281">
        <f>Реестр_План_Факт!P281</f>
        <v>0</v>
      </c>
      <c r="Q281">
        <f>Реестр_План_Факт!Q281</f>
        <v>0</v>
      </c>
      <c r="R281" t="str">
        <f>Реестр_План_Факт!R281</f>
        <v/>
      </c>
      <c r="S281">
        <f>Реестр_План_Факт!S281</f>
        <v>0</v>
      </c>
      <c r="T281">
        <f>Реестр_План_Факт!T281</f>
        <v>0</v>
      </c>
      <c r="U281" t="str">
        <f>Реестр_План_Факт!U281</f>
        <v/>
      </c>
      <c r="V281">
        <f>Реестр_План_Факт!V281</f>
        <v>0</v>
      </c>
      <c r="W281">
        <f>Реестр_План_Факт!W281</f>
        <v>0</v>
      </c>
      <c r="X281" t="str">
        <f>Реестр_План_Факт!X281</f>
        <v/>
      </c>
      <c r="Y281">
        <f>Реестр_План_Факт!Y281</f>
        <v>0</v>
      </c>
      <c r="Z281">
        <f>Реестр_План_Факт!Z281</f>
        <v>0</v>
      </c>
      <c r="AA281" t="str">
        <f>Реестр_План_Факт!AA281</f>
        <v/>
      </c>
      <c r="AB281">
        <f>Реестр_План_Факт!AB281</f>
        <v>0</v>
      </c>
      <c r="AC281">
        <f>Реестр_План_Факт!AC281</f>
        <v>0</v>
      </c>
      <c r="AD281" t="str">
        <f>Реестр_План_Факт!AD281</f>
        <v/>
      </c>
      <c r="AE281">
        <f>Реестр_План_Факт!AE281</f>
        <v>0</v>
      </c>
      <c r="AF281">
        <f>Реестр_План_Факт!AF281</f>
        <v>0</v>
      </c>
      <c r="AG281" t="str">
        <f>Реестр_План_Факт!AG281</f>
        <v/>
      </c>
      <c r="AH281">
        <f>Реестр_План_Факт!AH281</f>
        <v>0</v>
      </c>
      <c r="AI281">
        <f>Реестр_План_Факт!AI281</f>
        <v>0</v>
      </c>
      <c r="AJ281" t="str">
        <f>Реестр_План_Факт!AJ281</f>
        <v/>
      </c>
      <c r="AK281">
        <f>Реестр_План_Факт!AK281</f>
        <v>0</v>
      </c>
      <c r="AL281">
        <f>Реестр_План_Факт!AL281</f>
        <v>0</v>
      </c>
      <c r="AM281" t="str">
        <f>Реестр_План_Факт!AM281</f>
        <v/>
      </c>
      <c r="AN281">
        <f>Реестр_План_Факт!AN281</f>
        <v>0</v>
      </c>
      <c r="AO281">
        <f>Реестр_План_Факт!AO281</f>
        <v>0</v>
      </c>
      <c r="AP281" t="str">
        <f>Реестр_План_Факт!AP281</f>
        <v/>
      </c>
      <c r="AQ281">
        <f>Реестр_План_Факт!AQ281</f>
        <v>0</v>
      </c>
    </row>
    <row r="282" spans="1:43" x14ac:dyDescent="0.2">
      <c r="A282" s="201">
        <f>Реестр_План_Факт!A282</f>
        <v>46303</v>
      </c>
      <c r="B282">
        <f>Реестр_План_Факт!B282</f>
        <v>41</v>
      </c>
      <c r="C282">
        <f>Реестр_План_Факт!C282</f>
        <v>10</v>
      </c>
      <c r="D282">
        <f>Реестр_План_Факт!D282</f>
        <v>0</v>
      </c>
      <c r="E282">
        <f>Реестр_План_Факт!E282</f>
        <v>0</v>
      </c>
      <c r="F282" t="str">
        <f>Реестр_План_Факт!F282</f>
        <v/>
      </c>
      <c r="G282">
        <f>Реестр_План_Факт!G282</f>
        <v>0</v>
      </c>
      <c r="H282">
        <f>Реестр_План_Факт!H282</f>
        <v>0</v>
      </c>
      <c r="I282" t="str">
        <f>Реестр_План_Факт!I282</f>
        <v/>
      </c>
      <c r="J282">
        <f>Реестр_План_Факт!J282</f>
        <v>0</v>
      </c>
      <c r="K282">
        <f>Реестр_План_Факт!K282</f>
        <v>0</v>
      </c>
      <c r="L282" t="str">
        <f>Реестр_План_Факт!L282</f>
        <v/>
      </c>
      <c r="M282">
        <f>Реестр_План_Факт!M282</f>
        <v>0</v>
      </c>
      <c r="N282">
        <f>Реестр_План_Факт!N282</f>
        <v>0</v>
      </c>
      <c r="O282" t="str">
        <f>Реестр_План_Факт!O282</f>
        <v/>
      </c>
      <c r="P282">
        <f>Реестр_План_Факт!P282</f>
        <v>0</v>
      </c>
      <c r="Q282">
        <f>Реестр_План_Факт!Q282</f>
        <v>0</v>
      </c>
      <c r="R282" t="str">
        <f>Реестр_План_Факт!R282</f>
        <v/>
      </c>
      <c r="S282">
        <f>Реестр_План_Факт!S282</f>
        <v>0</v>
      </c>
      <c r="T282">
        <f>Реестр_План_Факт!T282</f>
        <v>0</v>
      </c>
      <c r="U282" t="str">
        <f>Реестр_План_Факт!U282</f>
        <v/>
      </c>
      <c r="V282">
        <f>Реестр_План_Факт!V282</f>
        <v>0</v>
      </c>
      <c r="W282">
        <f>Реестр_План_Факт!W282</f>
        <v>0</v>
      </c>
      <c r="X282" t="str">
        <f>Реестр_План_Факт!X282</f>
        <v/>
      </c>
      <c r="Y282">
        <f>Реестр_План_Факт!Y282</f>
        <v>0</v>
      </c>
      <c r="Z282">
        <f>Реестр_План_Факт!Z282</f>
        <v>0</v>
      </c>
      <c r="AA282" t="str">
        <f>Реестр_План_Факт!AA282</f>
        <v/>
      </c>
      <c r="AB282">
        <f>Реестр_План_Факт!AB282</f>
        <v>0</v>
      </c>
      <c r="AC282">
        <f>Реестр_План_Факт!AC282</f>
        <v>0</v>
      </c>
      <c r="AD282" t="str">
        <f>Реестр_План_Факт!AD282</f>
        <v/>
      </c>
      <c r="AE282">
        <f>Реестр_План_Факт!AE282</f>
        <v>0</v>
      </c>
      <c r="AF282">
        <f>Реестр_План_Факт!AF282</f>
        <v>0</v>
      </c>
      <c r="AG282" t="str">
        <f>Реестр_План_Факт!AG282</f>
        <v/>
      </c>
      <c r="AH282">
        <f>Реестр_План_Факт!AH282</f>
        <v>0</v>
      </c>
      <c r="AI282">
        <f>Реестр_План_Факт!AI282</f>
        <v>0</v>
      </c>
      <c r="AJ282" t="str">
        <f>Реестр_План_Факт!AJ282</f>
        <v/>
      </c>
      <c r="AK282">
        <f>Реестр_План_Факт!AK282</f>
        <v>0</v>
      </c>
      <c r="AL282">
        <f>Реестр_План_Факт!AL282</f>
        <v>0</v>
      </c>
      <c r="AM282" t="str">
        <f>Реестр_План_Факт!AM282</f>
        <v/>
      </c>
      <c r="AN282">
        <f>Реестр_План_Факт!AN282</f>
        <v>0</v>
      </c>
      <c r="AO282">
        <f>Реестр_План_Факт!AO282</f>
        <v>0</v>
      </c>
      <c r="AP282" t="str">
        <f>Реестр_План_Факт!AP282</f>
        <v/>
      </c>
      <c r="AQ282">
        <f>Реестр_План_Факт!AQ282</f>
        <v>0</v>
      </c>
    </row>
    <row r="283" spans="1:43" x14ac:dyDescent="0.2">
      <c r="A283" s="201">
        <f>Реестр_План_Факт!A283</f>
        <v>46304</v>
      </c>
      <c r="B283">
        <f>Реестр_План_Факт!B283</f>
        <v>41</v>
      </c>
      <c r="C283">
        <f>Реестр_План_Факт!C283</f>
        <v>10</v>
      </c>
      <c r="D283">
        <f>Реестр_План_Факт!D283</f>
        <v>0</v>
      </c>
      <c r="E283">
        <f>Реестр_План_Факт!E283</f>
        <v>0</v>
      </c>
      <c r="F283" t="str">
        <f>Реестр_План_Факт!F283</f>
        <v/>
      </c>
      <c r="G283">
        <f>Реестр_План_Факт!G283</f>
        <v>0</v>
      </c>
      <c r="H283">
        <f>Реестр_План_Факт!H283</f>
        <v>0</v>
      </c>
      <c r="I283" t="str">
        <f>Реестр_План_Факт!I283</f>
        <v/>
      </c>
      <c r="J283">
        <f>Реестр_План_Факт!J283</f>
        <v>0</v>
      </c>
      <c r="K283">
        <f>Реестр_План_Факт!K283</f>
        <v>0</v>
      </c>
      <c r="L283" t="str">
        <f>Реестр_План_Факт!L283</f>
        <v/>
      </c>
      <c r="M283">
        <f>Реестр_План_Факт!M283</f>
        <v>0</v>
      </c>
      <c r="N283">
        <f>Реестр_План_Факт!N283</f>
        <v>0</v>
      </c>
      <c r="O283" t="str">
        <f>Реестр_План_Факт!O283</f>
        <v/>
      </c>
      <c r="P283">
        <f>Реестр_План_Факт!P283</f>
        <v>0</v>
      </c>
      <c r="Q283">
        <f>Реестр_План_Факт!Q283</f>
        <v>0</v>
      </c>
      <c r="R283" t="str">
        <f>Реестр_План_Факт!R283</f>
        <v/>
      </c>
      <c r="S283">
        <f>Реестр_План_Факт!S283</f>
        <v>0</v>
      </c>
      <c r="T283">
        <f>Реестр_План_Факт!T283</f>
        <v>0</v>
      </c>
      <c r="U283" t="str">
        <f>Реестр_План_Факт!U283</f>
        <v/>
      </c>
      <c r="V283">
        <f>Реестр_План_Факт!V283</f>
        <v>0</v>
      </c>
      <c r="W283">
        <f>Реестр_План_Факт!W283</f>
        <v>0</v>
      </c>
      <c r="X283" t="str">
        <f>Реестр_План_Факт!X283</f>
        <v/>
      </c>
      <c r="Y283">
        <f>Реестр_План_Факт!Y283</f>
        <v>0</v>
      </c>
      <c r="Z283">
        <f>Реестр_План_Факт!Z283</f>
        <v>0</v>
      </c>
      <c r="AA283" t="str">
        <f>Реестр_План_Факт!AA283</f>
        <v/>
      </c>
      <c r="AB283">
        <f>Реестр_План_Факт!AB283</f>
        <v>0</v>
      </c>
      <c r="AC283">
        <f>Реестр_План_Факт!AC283</f>
        <v>0</v>
      </c>
      <c r="AD283" t="str">
        <f>Реестр_План_Факт!AD283</f>
        <v/>
      </c>
      <c r="AE283">
        <f>Реестр_План_Факт!AE283</f>
        <v>0</v>
      </c>
      <c r="AF283">
        <f>Реестр_План_Факт!AF283</f>
        <v>0</v>
      </c>
      <c r="AG283" t="str">
        <f>Реестр_План_Факт!AG283</f>
        <v/>
      </c>
      <c r="AH283">
        <f>Реестр_План_Факт!AH283</f>
        <v>0</v>
      </c>
      <c r="AI283">
        <f>Реестр_План_Факт!AI283</f>
        <v>0</v>
      </c>
      <c r="AJ283" t="str">
        <f>Реестр_План_Факт!AJ283</f>
        <v/>
      </c>
      <c r="AK283">
        <f>Реестр_План_Факт!AK283</f>
        <v>0</v>
      </c>
      <c r="AL283">
        <f>Реестр_План_Факт!AL283</f>
        <v>0</v>
      </c>
      <c r="AM283" t="str">
        <f>Реестр_План_Факт!AM283</f>
        <v/>
      </c>
      <c r="AN283">
        <f>Реестр_План_Факт!AN283</f>
        <v>0</v>
      </c>
      <c r="AO283">
        <f>Реестр_План_Факт!AO283</f>
        <v>0</v>
      </c>
      <c r="AP283" t="str">
        <f>Реестр_План_Факт!AP283</f>
        <v/>
      </c>
      <c r="AQ283">
        <f>Реестр_План_Факт!AQ283</f>
        <v>0</v>
      </c>
    </row>
    <row r="284" spans="1:43" x14ac:dyDescent="0.2">
      <c r="A284" s="201">
        <f>Реестр_План_Факт!A284</f>
        <v>46305</v>
      </c>
      <c r="B284">
        <f>Реестр_План_Факт!B284</f>
        <v>41</v>
      </c>
      <c r="C284">
        <f>Реестр_План_Факт!C284</f>
        <v>10</v>
      </c>
      <c r="D284">
        <f>Реестр_План_Факт!D284</f>
        <v>0</v>
      </c>
      <c r="E284">
        <f>Реестр_План_Факт!E284</f>
        <v>0</v>
      </c>
      <c r="F284" t="str">
        <f>Реестр_План_Факт!F284</f>
        <v/>
      </c>
      <c r="G284">
        <f>Реестр_План_Факт!G284</f>
        <v>0</v>
      </c>
      <c r="H284">
        <f>Реестр_План_Факт!H284</f>
        <v>0</v>
      </c>
      <c r="I284" t="str">
        <f>Реестр_План_Факт!I284</f>
        <v/>
      </c>
      <c r="J284">
        <f>Реестр_План_Факт!J284</f>
        <v>0</v>
      </c>
      <c r="K284">
        <f>Реестр_План_Факт!K284</f>
        <v>0</v>
      </c>
      <c r="L284" t="str">
        <f>Реестр_План_Факт!L284</f>
        <v/>
      </c>
      <c r="M284">
        <f>Реестр_План_Факт!M284</f>
        <v>0</v>
      </c>
      <c r="N284">
        <f>Реестр_План_Факт!N284</f>
        <v>0</v>
      </c>
      <c r="O284" t="str">
        <f>Реестр_План_Факт!O284</f>
        <v/>
      </c>
      <c r="P284">
        <f>Реестр_План_Факт!P284</f>
        <v>0</v>
      </c>
      <c r="Q284">
        <f>Реестр_План_Факт!Q284</f>
        <v>0</v>
      </c>
      <c r="R284" t="str">
        <f>Реестр_План_Факт!R284</f>
        <v/>
      </c>
      <c r="S284">
        <f>Реестр_План_Факт!S284</f>
        <v>0</v>
      </c>
      <c r="T284">
        <f>Реестр_План_Факт!T284</f>
        <v>0</v>
      </c>
      <c r="U284" t="str">
        <f>Реестр_План_Факт!U284</f>
        <v/>
      </c>
      <c r="V284">
        <f>Реестр_План_Факт!V284</f>
        <v>0</v>
      </c>
      <c r="W284">
        <f>Реестр_План_Факт!W284</f>
        <v>0</v>
      </c>
      <c r="X284" t="str">
        <f>Реестр_План_Факт!X284</f>
        <v/>
      </c>
      <c r="Y284">
        <f>Реестр_План_Факт!Y284</f>
        <v>0</v>
      </c>
      <c r="Z284">
        <f>Реестр_План_Факт!Z284</f>
        <v>0</v>
      </c>
      <c r="AA284" t="str">
        <f>Реестр_План_Факт!AA284</f>
        <v/>
      </c>
      <c r="AB284">
        <f>Реестр_План_Факт!AB284</f>
        <v>0</v>
      </c>
      <c r="AC284">
        <f>Реестр_План_Факт!AC284</f>
        <v>0</v>
      </c>
      <c r="AD284" t="str">
        <f>Реестр_План_Факт!AD284</f>
        <v/>
      </c>
      <c r="AE284">
        <f>Реестр_План_Факт!AE284</f>
        <v>0</v>
      </c>
      <c r="AF284">
        <f>Реестр_План_Факт!AF284</f>
        <v>0</v>
      </c>
      <c r="AG284" t="str">
        <f>Реестр_План_Факт!AG284</f>
        <v/>
      </c>
      <c r="AH284">
        <f>Реестр_План_Факт!AH284</f>
        <v>0</v>
      </c>
      <c r="AI284">
        <f>Реестр_План_Факт!AI284</f>
        <v>0</v>
      </c>
      <c r="AJ284" t="str">
        <f>Реестр_План_Факт!AJ284</f>
        <v/>
      </c>
      <c r="AK284">
        <f>Реестр_План_Факт!AK284</f>
        <v>0</v>
      </c>
      <c r="AL284">
        <f>Реестр_План_Факт!AL284</f>
        <v>0</v>
      </c>
      <c r="AM284" t="str">
        <f>Реестр_План_Факт!AM284</f>
        <v/>
      </c>
      <c r="AN284">
        <f>Реестр_План_Факт!AN284</f>
        <v>0</v>
      </c>
      <c r="AO284">
        <f>Реестр_План_Факт!AO284</f>
        <v>0</v>
      </c>
      <c r="AP284" t="str">
        <f>Реестр_План_Факт!AP284</f>
        <v/>
      </c>
      <c r="AQ284">
        <f>Реестр_План_Факт!AQ284</f>
        <v>0</v>
      </c>
    </row>
    <row r="285" spans="1:43" x14ac:dyDescent="0.2">
      <c r="A285" s="201">
        <f>Реестр_План_Факт!A285</f>
        <v>46306</v>
      </c>
      <c r="B285">
        <f>Реестр_План_Факт!B285</f>
        <v>41</v>
      </c>
      <c r="C285">
        <f>Реестр_План_Факт!C285</f>
        <v>10</v>
      </c>
      <c r="D285">
        <f>Реестр_План_Факт!D285</f>
        <v>0</v>
      </c>
      <c r="E285">
        <f>Реестр_План_Факт!E285</f>
        <v>0</v>
      </c>
      <c r="F285" t="str">
        <f>Реестр_План_Факт!F285</f>
        <v/>
      </c>
      <c r="G285">
        <f>Реестр_План_Факт!G285</f>
        <v>0</v>
      </c>
      <c r="H285">
        <f>Реестр_План_Факт!H285</f>
        <v>0</v>
      </c>
      <c r="I285" t="str">
        <f>Реестр_План_Факт!I285</f>
        <v/>
      </c>
      <c r="J285">
        <f>Реестр_План_Факт!J285</f>
        <v>0</v>
      </c>
      <c r="K285">
        <f>Реестр_План_Факт!K285</f>
        <v>0</v>
      </c>
      <c r="L285" t="str">
        <f>Реестр_План_Факт!L285</f>
        <v/>
      </c>
      <c r="M285">
        <f>Реестр_План_Факт!M285</f>
        <v>0</v>
      </c>
      <c r="N285">
        <f>Реестр_План_Факт!N285</f>
        <v>0</v>
      </c>
      <c r="O285" t="str">
        <f>Реестр_План_Факт!O285</f>
        <v/>
      </c>
      <c r="P285">
        <f>Реестр_План_Факт!P285</f>
        <v>0</v>
      </c>
      <c r="Q285">
        <f>Реестр_План_Факт!Q285</f>
        <v>0</v>
      </c>
      <c r="R285" t="str">
        <f>Реестр_План_Факт!R285</f>
        <v/>
      </c>
      <c r="S285">
        <f>Реестр_План_Факт!S285</f>
        <v>0</v>
      </c>
      <c r="T285">
        <f>Реестр_План_Факт!T285</f>
        <v>0</v>
      </c>
      <c r="U285" t="str">
        <f>Реестр_План_Факт!U285</f>
        <v/>
      </c>
      <c r="V285">
        <f>Реестр_План_Факт!V285</f>
        <v>0</v>
      </c>
      <c r="W285">
        <f>Реестр_План_Факт!W285</f>
        <v>0</v>
      </c>
      <c r="X285" t="str">
        <f>Реестр_План_Факт!X285</f>
        <v/>
      </c>
      <c r="Y285">
        <f>Реестр_План_Факт!Y285</f>
        <v>0</v>
      </c>
      <c r="Z285">
        <f>Реестр_План_Факт!Z285</f>
        <v>0</v>
      </c>
      <c r="AA285" t="str">
        <f>Реестр_План_Факт!AA285</f>
        <v/>
      </c>
      <c r="AB285">
        <f>Реестр_План_Факт!AB285</f>
        <v>0</v>
      </c>
      <c r="AC285">
        <f>Реестр_План_Факт!AC285</f>
        <v>0</v>
      </c>
      <c r="AD285" t="str">
        <f>Реестр_План_Факт!AD285</f>
        <v/>
      </c>
      <c r="AE285">
        <f>Реестр_План_Факт!AE285</f>
        <v>0</v>
      </c>
      <c r="AF285">
        <f>Реестр_План_Факт!AF285</f>
        <v>0</v>
      </c>
      <c r="AG285" t="str">
        <f>Реестр_План_Факт!AG285</f>
        <v/>
      </c>
      <c r="AH285">
        <f>Реестр_План_Факт!AH285</f>
        <v>0</v>
      </c>
      <c r="AI285">
        <f>Реестр_План_Факт!AI285</f>
        <v>0</v>
      </c>
      <c r="AJ285" t="str">
        <f>Реестр_План_Факт!AJ285</f>
        <v/>
      </c>
      <c r="AK285">
        <f>Реестр_План_Факт!AK285</f>
        <v>0</v>
      </c>
      <c r="AL285">
        <f>Реестр_План_Факт!AL285</f>
        <v>0</v>
      </c>
      <c r="AM285" t="str">
        <f>Реестр_План_Факт!AM285</f>
        <v/>
      </c>
      <c r="AN285">
        <f>Реестр_План_Факт!AN285</f>
        <v>0</v>
      </c>
      <c r="AO285">
        <f>Реестр_План_Факт!AO285</f>
        <v>0</v>
      </c>
      <c r="AP285" t="str">
        <f>Реестр_План_Факт!AP285</f>
        <v/>
      </c>
      <c r="AQ285">
        <f>Реестр_План_Факт!AQ285</f>
        <v>0</v>
      </c>
    </row>
    <row r="286" spans="1:43" x14ac:dyDescent="0.2">
      <c r="A286" s="201">
        <f>Реестр_План_Факт!A286</f>
        <v>46307</v>
      </c>
      <c r="B286">
        <f>Реестр_План_Факт!B286</f>
        <v>42</v>
      </c>
      <c r="C286">
        <f>Реестр_План_Факт!C286</f>
        <v>10</v>
      </c>
      <c r="D286">
        <f>Реестр_План_Факт!D286</f>
        <v>0</v>
      </c>
      <c r="E286">
        <f>Реестр_План_Факт!E286</f>
        <v>0</v>
      </c>
      <c r="F286" t="str">
        <f>Реестр_План_Факт!F286</f>
        <v/>
      </c>
      <c r="G286">
        <f>Реестр_План_Факт!G286</f>
        <v>0</v>
      </c>
      <c r="H286">
        <f>Реестр_План_Факт!H286</f>
        <v>0</v>
      </c>
      <c r="I286" t="str">
        <f>Реестр_План_Факт!I286</f>
        <v/>
      </c>
      <c r="J286">
        <f>Реестр_План_Факт!J286</f>
        <v>0</v>
      </c>
      <c r="K286">
        <f>Реестр_План_Факт!K286</f>
        <v>0</v>
      </c>
      <c r="L286" t="str">
        <f>Реестр_План_Факт!L286</f>
        <v/>
      </c>
      <c r="M286">
        <f>Реестр_План_Факт!M286</f>
        <v>0</v>
      </c>
      <c r="N286">
        <f>Реестр_План_Факт!N286</f>
        <v>0</v>
      </c>
      <c r="O286" t="str">
        <f>Реестр_План_Факт!O286</f>
        <v/>
      </c>
      <c r="P286">
        <f>Реестр_План_Факт!P286</f>
        <v>0</v>
      </c>
      <c r="Q286">
        <f>Реестр_План_Факт!Q286</f>
        <v>0</v>
      </c>
      <c r="R286" t="str">
        <f>Реестр_План_Факт!R286</f>
        <v/>
      </c>
      <c r="S286">
        <f>Реестр_План_Факт!S286</f>
        <v>0</v>
      </c>
      <c r="T286">
        <f>Реестр_План_Факт!T286</f>
        <v>0</v>
      </c>
      <c r="U286" t="str">
        <f>Реестр_План_Факт!U286</f>
        <v/>
      </c>
      <c r="V286">
        <f>Реестр_План_Факт!V286</f>
        <v>0</v>
      </c>
      <c r="W286">
        <f>Реестр_План_Факт!W286</f>
        <v>0</v>
      </c>
      <c r="X286" t="str">
        <f>Реестр_План_Факт!X286</f>
        <v/>
      </c>
      <c r="Y286">
        <f>Реестр_План_Факт!Y286</f>
        <v>0</v>
      </c>
      <c r="Z286">
        <f>Реестр_План_Факт!Z286</f>
        <v>0</v>
      </c>
      <c r="AA286" t="str">
        <f>Реестр_План_Факт!AA286</f>
        <v/>
      </c>
      <c r="AB286">
        <f>Реестр_План_Факт!AB286</f>
        <v>0</v>
      </c>
      <c r="AC286">
        <f>Реестр_План_Факт!AC286</f>
        <v>0</v>
      </c>
      <c r="AD286" t="str">
        <f>Реестр_План_Факт!AD286</f>
        <v/>
      </c>
      <c r="AE286">
        <f>Реестр_План_Факт!AE286</f>
        <v>0</v>
      </c>
      <c r="AF286">
        <f>Реестр_План_Факт!AF286</f>
        <v>0</v>
      </c>
      <c r="AG286" t="str">
        <f>Реестр_План_Факт!AG286</f>
        <v/>
      </c>
      <c r="AH286">
        <f>Реестр_План_Факт!AH286</f>
        <v>0</v>
      </c>
      <c r="AI286">
        <f>Реестр_План_Факт!AI286</f>
        <v>0</v>
      </c>
      <c r="AJ286" t="str">
        <f>Реестр_План_Факт!AJ286</f>
        <v/>
      </c>
      <c r="AK286">
        <f>Реестр_План_Факт!AK286</f>
        <v>0</v>
      </c>
      <c r="AL286">
        <f>Реестр_План_Факт!AL286</f>
        <v>0</v>
      </c>
      <c r="AM286" t="str">
        <f>Реестр_План_Факт!AM286</f>
        <v/>
      </c>
      <c r="AN286">
        <f>Реестр_План_Факт!AN286</f>
        <v>0</v>
      </c>
      <c r="AO286">
        <f>Реестр_План_Факт!AO286</f>
        <v>0</v>
      </c>
      <c r="AP286" t="str">
        <f>Реестр_План_Факт!AP286</f>
        <v/>
      </c>
      <c r="AQ286">
        <f>Реестр_План_Факт!AQ286</f>
        <v>0</v>
      </c>
    </row>
    <row r="287" spans="1:43" x14ac:dyDescent="0.2">
      <c r="A287" s="201">
        <f>Реестр_План_Факт!A287</f>
        <v>46308</v>
      </c>
      <c r="B287">
        <f>Реестр_План_Факт!B287</f>
        <v>42</v>
      </c>
      <c r="C287">
        <f>Реестр_План_Факт!C287</f>
        <v>10</v>
      </c>
      <c r="D287">
        <f>Реестр_План_Факт!D287</f>
        <v>0</v>
      </c>
      <c r="E287">
        <f>Реестр_План_Факт!E287</f>
        <v>0</v>
      </c>
      <c r="F287" t="str">
        <f>Реестр_План_Факт!F287</f>
        <v/>
      </c>
      <c r="G287">
        <f>Реестр_План_Факт!G287</f>
        <v>0</v>
      </c>
      <c r="H287">
        <f>Реестр_План_Факт!H287</f>
        <v>0</v>
      </c>
      <c r="I287" t="str">
        <f>Реестр_План_Факт!I287</f>
        <v/>
      </c>
      <c r="J287">
        <f>Реестр_План_Факт!J287</f>
        <v>0</v>
      </c>
      <c r="K287">
        <f>Реестр_План_Факт!K287</f>
        <v>0</v>
      </c>
      <c r="L287" t="str">
        <f>Реестр_План_Факт!L287</f>
        <v/>
      </c>
      <c r="M287">
        <f>Реестр_План_Факт!M287</f>
        <v>0</v>
      </c>
      <c r="N287">
        <f>Реестр_План_Факт!N287</f>
        <v>0</v>
      </c>
      <c r="O287" t="str">
        <f>Реестр_План_Факт!O287</f>
        <v/>
      </c>
      <c r="P287">
        <f>Реестр_План_Факт!P287</f>
        <v>0</v>
      </c>
      <c r="Q287">
        <f>Реестр_План_Факт!Q287</f>
        <v>0</v>
      </c>
      <c r="R287" t="str">
        <f>Реестр_План_Факт!R287</f>
        <v/>
      </c>
      <c r="S287">
        <f>Реестр_План_Факт!S287</f>
        <v>0</v>
      </c>
      <c r="T287">
        <f>Реестр_План_Факт!T287</f>
        <v>0</v>
      </c>
      <c r="U287" t="str">
        <f>Реестр_План_Факт!U287</f>
        <v/>
      </c>
      <c r="V287">
        <f>Реестр_План_Факт!V287</f>
        <v>0</v>
      </c>
      <c r="W287">
        <f>Реестр_План_Факт!W287</f>
        <v>0</v>
      </c>
      <c r="X287" t="str">
        <f>Реестр_План_Факт!X287</f>
        <v/>
      </c>
      <c r="Y287">
        <f>Реестр_План_Факт!Y287</f>
        <v>0</v>
      </c>
      <c r="Z287">
        <f>Реестр_План_Факт!Z287</f>
        <v>0</v>
      </c>
      <c r="AA287" t="str">
        <f>Реестр_План_Факт!AA287</f>
        <v/>
      </c>
      <c r="AB287">
        <f>Реестр_План_Факт!AB287</f>
        <v>0</v>
      </c>
      <c r="AC287">
        <f>Реестр_План_Факт!AC287</f>
        <v>0</v>
      </c>
      <c r="AD287" t="str">
        <f>Реестр_План_Факт!AD287</f>
        <v/>
      </c>
      <c r="AE287">
        <f>Реестр_План_Факт!AE287</f>
        <v>0</v>
      </c>
      <c r="AF287">
        <f>Реестр_План_Факт!AF287</f>
        <v>0</v>
      </c>
      <c r="AG287" t="str">
        <f>Реестр_План_Факт!AG287</f>
        <v/>
      </c>
      <c r="AH287">
        <f>Реестр_План_Факт!AH287</f>
        <v>0</v>
      </c>
      <c r="AI287">
        <f>Реестр_План_Факт!AI287</f>
        <v>0</v>
      </c>
      <c r="AJ287" t="str">
        <f>Реестр_План_Факт!AJ287</f>
        <v/>
      </c>
      <c r="AK287">
        <f>Реестр_План_Факт!AK287</f>
        <v>0</v>
      </c>
      <c r="AL287">
        <f>Реестр_План_Факт!AL287</f>
        <v>0</v>
      </c>
      <c r="AM287" t="str">
        <f>Реестр_План_Факт!AM287</f>
        <v/>
      </c>
      <c r="AN287">
        <f>Реестр_План_Факт!AN287</f>
        <v>0</v>
      </c>
      <c r="AO287">
        <f>Реестр_План_Факт!AO287</f>
        <v>0</v>
      </c>
      <c r="AP287" t="str">
        <f>Реестр_План_Факт!AP287</f>
        <v/>
      </c>
      <c r="AQ287">
        <f>Реестр_План_Факт!AQ287</f>
        <v>0</v>
      </c>
    </row>
    <row r="288" spans="1:43" x14ac:dyDescent="0.2">
      <c r="A288" s="201">
        <f>Реестр_План_Факт!A288</f>
        <v>46309</v>
      </c>
      <c r="B288">
        <f>Реестр_План_Факт!B288</f>
        <v>42</v>
      </c>
      <c r="C288">
        <f>Реестр_План_Факт!C288</f>
        <v>10</v>
      </c>
      <c r="D288">
        <f>Реестр_План_Факт!D288</f>
        <v>0</v>
      </c>
      <c r="E288">
        <f>Реестр_План_Факт!E288</f>
        <v>0</v>
      </c>
      <c r="F288" t="str">
        <f>Реестр_План_Факт!F288</f>
        <v/>
      </c>
      <c r="G288">
        <f>Реестр_План_Факт!G288</f>
        <v>0</v>
      </c>
      <c r="H288">
        <f>Реестр_План_Факт!H288</f>
        <v>0</v>
      </c>
      <c r="I288" t="str">
        <f>Реестр_План_Факт!I288</f>
        <v/>
      </c>
      <c r="J288">
        <f>Реестр_План_Факт!J288</f>
        <v>0</v>
      </c>
      <c r="K288">
        <f>Реестр_План_Факт!K288</f>
        <v>0</v>
      </c>
      <c r="L288" t="str">
        <f>Реестр_План_Факт!L288</f>
        <v/>
      </c>
      <c r="M288">
        <f>Реестр_План_Факт!M288</f>
        <v>0</v>
      </c>
      <c r="N288">
        <f>Реестр_План_Факт!N288</f>
        <v>0</v>
      </c>
      <c r="O288" t="str">
        <f>Реестр_План_Факт!O288</f>
        <v/>
      </c>
      <c r="P288">
        <f>Реестр_План_Факт!P288</f>
        <v>0</v>
      </c>
      <c r="Q288">
        <f>Реестр_План_Факт!Q288</f>
        <v>0</v>
      </c>
      <c r="R288" t="str">
        <f>Реестр_План_Факт!R288</f>
        <v/>
      </c>
      <c r="S288">
        <f>Реестр_План_Факт!S288</f>
        <v>0</v>
      </c>
      <c r="T288">
        <f>Реестр_План_Факт!T288</f>
        <v>0</v>
      </c>
      <c r="U288" t="str">
        <f>Реестр_План_Факт!U288</f>
        <v/>
      </c>
      <c r="V288">
        <f>Реестр_План_Факт!V288</f>
        <v>0</v>
      </c>
      <c r="W288">
        <f>Реестр_План_Факт!W288</f>
        <v>0</v>
      </c>
      <c r="X288" t="str">
        <f>Реестр_План_Факт!X288</f>
        <v/>
      </c>
      <c r="Y288">
        <f>Реестр_План_Факт!Y288</f>
        <v>0</v>
      </c>
      <c r="Z288">
        <f>Реестр_План_Факт!Z288</f>
        <v>0</v>
      </c>
      <c r="AA288" t="str">
        <f>Реестр_План_Факт!AA288</f>
        <v/>
      </c>
      <c r="AB288">
        <f>Реестр_План_Факт!AB288</f>
        <v>0</v>
      </c>
      <c r="AC288">
        <f>Реестр_План_Факт!AC288</f>
        <v>0</v>
      </c>
      <c r="AD288" t="str">
        <f>Реестр_План_Факт!AD288</f>
        <v/>
      </c>
      <c r="AE288">
        <f>Реестр_План_Факт!AE288</f>
        <v>0</v>
      </c>
      <c r="AF288">
        <f>Реестр_План_Факт!AF288</f>
        <v>0</v>
      </c>
      <c r="AG288" t="str">
        <f>Реестр_План_Факт!AG288</f>
        <v/>
      </c>
      <c r="AH288">
        <f>Реестр_План_Факт!AH288</f>
        <v>0</v>
      </c>
      <c r="AI288">
        <f>Реестр_План_Факт!AI288</f>
        <v>0</v>
      </c>
      <c r="AJ288" t="str">
        <f>Реестр_План_Факт!AJ288</f>
        <v/>
      </c>
      <c r="AK288">
        <f>Реестр_План_Факт!AK288</f>
        <v>0</v>
      </c>
      <c r="AL288">
        <f>Реестр_План_Факт!AL288</f>
        <v>0</v>
      </c>
      <c r="AM288" t="str">
        <f>Реестр_План_Факт!AM288</f>
        <v/>
      </c>
      <c r="AN288">
        <f>Реестр_План_Факт!AN288</f>
        <v>0</v>
      </c>
      <c r="AO288">
        <f>Реестр_План_Факт!AO288</f>
        <v>0</v>
      </c>
      <c r="AP288" t="str">
        <f>Реестр_План_Факт!AP288</f>
        <v/>
      </c>
      <c r="AQ288">
        <f>Реестр_План_Факт!AQ288</f>
        <v>0</v>
      </c>
    </row>
    <row r="289" spans="1:43" x14ac:dyDescent="0.2">
      <c r="A289" s="201">
        <f>Реестр_План_Факт!A289</f>
        <v>46310</v>
      </c>
      <c r="B289">
        <f>Реестр_План_Факт!B289</f>
        <v>42</v>
      </c>
      <c r="C289">
        <f>Реестр_План_Факт!C289</f>
        <v>10</v>
      </c>
      <c r="D289">
        <f>Реестр_План_Факт!D289</f>
        <v>0</v>
      </c>
      <c r="E289">
        <f>Реестр_План_Факт!E289</f>
        <v>0</v>
      </c>
      <c r="F289" t="str">
        <f>Реестр_План_Факт!F289</f>
        <v/>
      </c>
      <c r="G289">
        <f>Реестр_План_Факт!G289</f>
        <v>0</v>
      </c>
      <c r="H289">
        <f>Реестр_План_Факт!H289</f>
        <v>0</v>
      </c>
      <c r="I289" t="str">
        <f>Реестр_План_Факт!I289</f>
        <v/>
      </c>
      <c r="J289">
        <f>Реестр_План_Факт!J289</f>
        <v>0</v>
      </c>
      <c r="K289">
        <f>Реестр_План_Факт!K289</f>
        <v>0</v>
      </c>
      <c r="L289" t="str">
        <f>Реестр_План_Факт!L289</f>
        <v/>
      </c>
      <c r="M289">
        <f>Реестр_План_Факт!M289</f>
        <v>0</v>
      </c>
      <c r="N289">
        <f>Реестр_План_Факт!N289</f>
        <v>0</v>
      </c>
      <c r="O289" t="str">
        <f>Реестр_План_Факт!O289</f>
        <v/>
      </c>
      <c r="P289">
        <f>Реестр_План_Факт!P289</f>
        <v>0</v>
      </c>
      <c r="Q289">
        <f>Реестр_План_Факт!Q289</f>
        <v>0</v>
      </c>
      <c r="R289" t="str">
        <f>Реестр_План_Факт!R289</f>
        <v/>
      </c>
      <c r="S289">
        <f>Реестр_План_Факт!S289</f>
        <v>0</v>
      </c>
      <c r="T289">
        <f>Реестр_План_Факт!T289</f>
        <v>0</v>
      </c>
      <c r="U289" t="str">
        <f>Реестр_План_Факт!U289</f>
        <v/>
      </c>
      <c r="V289">
        <f>Реестр_План_Факт!V289</f>
        <v>0</v>
      </c>
      <c r="W289">
        <f>Реестр_План_Факт!W289</f>
        <v>0</v>
      </c>
      <c r="X289" t="str">
        <f>Реестр_План_Факт!X289</f>
        <v/>
      </c>
      <c r="Y289">
        <f>Реестр_План_Факт!Y289</f>
        <v>0</v>
      </c>
      <c r="Z289">
        <f>Реестр_План_Факт!Z289</f>
        <v>0</v>
      </c>
      <c r="AA289" t="str">
        <f>Реестр_План_Факт!AA289</f>
        <v/>
      </c>
      <c r="AB289">
        <f>Реестр_План_Факт!AB289</f>
        <v>0</v>
      </c>
      <c r="AC289">
        <f>Реестр_План_Факт!AC289</f>
        <v>0</v>
      </c>
      <c r="AD289" t="str">
        <f>Реестр_План_Факт!AD289</f>
        <v/>
      </c>
      <c r="AE289">
        <f>Реестр_План_Факт!AE289</f>
        <v>0</v>
      </c>
      <c r="AF289">
        <f>Реестр_План_Факт!AF289</f>
        <v>0</v>
      </c>
      <c r="AG289" t="str">
        <f>Реестр_План_Факт!AG289</f>
        <v/>
      </c>
      <c r="AH289">
        <f>Реестр_План_Факт!AH289</f>
        <v>0</v>
      </c>
      <c r="AI289">
        <f>Реестр_План_Факт!AI289</f>
        <v>0</v>
      </c>
      <c r="AJ289" t="str">
        <f>Реестр_План_Факт!AJ289</f>
        <v/>
      </c>
      <c r="AK289">
        <f>Реестр_План_Факт!AK289</f>
        <v>0</v>
      </c>
      <c r="AL289">
        <f>Реестр_План_Факт!AL289</f>
        <v>0</v>
      </c>
      <c r="AM289" t="str">
        <f>Реестр_План_Факт!AM289</f>
        <v/>
      </c>
      <c r="AN289">
        <f>Реестр_План_Факт!AN289</f>
        <v>0</v>
      </c>
      <c r="AO289">
        <f>Реестр_План_Факт!AO289</f>
        <v>0</v>
      </c>
      <c r="AP289" t="str">
        <f>Реестр_План_Факт!AP289</f>
        <v/>
      </c>
      <c r="AQ289">
        <f>Реестр_План_Факт!AQ289</f>
        <v>0</v>
      </c>
    </row>
    <row r="290" spans="1:43" x14ac:dyDescent="0.2">
      <c r="A290" s="201">
        <f>Реестр_План_Факт!A290</f>
        <v>46311</v>
      </c>
      <c r="B290">
        <f>Реестр_План_Факт!B290</f>
        <v>42</v>
      </c>
      <c r="C290">
        <f>Реестр_План_Факт!C290</f>
        <v>10</v>
      </c>
      <c r="D290">
        <f>Реестр_План_Факт!D290</f>
        <v>0</v>
      </c>
      <c r="E290">
        <f>Реестр_План_Факт!E290</f>
        <v>0</v>
      </c>
      <c r="F290" t="str">
        <f>Реестр_План_Факт!F290</f>
        <v/>
      </c>
      <c r="G290">
        <f>Реестр_План_Факт!G290</f>
        <v>0</v>
      </c>
      <c r="H290">
        <f>Реестр_План_Факт!H290</f>
        <v>0</v>
      </c>
      <c r="I290" t="str">
        <f>Реестр_План_Факт!I290</f>
        <v/>
      </c>
      <c r="J290">
        <f>Реестр_План_Факт!J290</f>
        <v>0</v>
      </c>
      <c r="K290">
        <f>Реестр_План_Факт!K290</f>
        <v>0</v>
      </c>
      <c r="L290" t="str">
        <f>Реестр_План_Факт!L290</f>
        <v/>
      </c>
      <c r="M290">
        <f>Реестр_План_Факт!M290</f>
        <v>0</v>
      </c>
      <c r="N290">
        <f>Реестр_План_Факт!N290</f>
        <v>0</v>
      </c>
      <c r="O290" t="str">
        <f>Реестр_План_Факт!O290</f>
        <v/>
      </c>
      <c r="P290">
        <f>Реестр_План_Факт!P290</f>
        <v>0</v>
      </c>
      <c r="Q290">
        <f>Реестр_План_Факт!Q290</f>
        <v>0</v>
      </c>
      <c r="R290" t="str">
        <f>Реестр_План_Факт!R290</f>
        <v/>
      </c>
      <c r="S290">
        <f>Реестр_План_Факт!S290</f>
        <v>0</v>
      </c>
      <c r="T290">
        <f>Реестр_План_Факт!T290</f>
        <v>0</v>
      </c>
      <c r="U290" t="str">
        <f>Реестр_План_Факт!U290</f>
        <v/>
      </c>
      <c r="V290">
        <f>Реестр_План_Факт!V290</f>
        <v>0</v>
      </c>
      <c r="W290">
        <f>Реестр_План_Факт!W290</f>
        <v>0</v>
      </c>
      <c r="X290" t="str">
        <f>Реестр_План_Факт!X290</f>
        <v/>
      </c>
      <c r="Y290">
        <f>Реестр_План_Факт!Y290</f>
        <v>0</v>
      </c>
      <c r="Z290">
        <f>Реестр_План_Факт!Z290</f>
        <v>0</v>
      </c>
      <c r="AA290" t="str">
        <f>Реестр_План_Факт!AA290</f>
        <v/>
      </c>
      <c r="AB290">
        <f>Реестр_План_Факт!AB290</f>
        <v>0</v>
      </c>
      <c r="AC290">
        <f>Реестр_План_Факт!AC290</f>
        <v>0</v>
      </c>
      <c r="AD290" t="str">
        <f>Реестр_План_Факт!AD290</f>
        <v/>
      </c>
      <c r="AE290">
        <f>Реестр_План_Факт!AE290</f>
        <v>0</v>
      </c>
      <c r="AF290">
        <f>Реестр_План_Факт!AF290</f>
        <v>0</v>
      </c>
      <c r="AG290" t="str">
        <f>Реестр_План_Факт!AG290</f>
        <v/>
      </c>
      <c r="AH290">
        <f>Реестр_План_Факт!AH290</f>
        <v>0</v>
      </c>
      <c r="AI290">
        <f>Реестр_План_Факт!AI290</f>
        <v>0</v>
      </c>
      <c r="AJ290" t="str">
        <f>Реестр_План_Факт!AJ290</f>
        <v/>
      </c>
      <c r="AK290">
        <f>Реестр_План_Факт!AK290</f>
        <v>0</v>
      </c>
      <c r="AL290">
        <f>Реестр_План_Факт!AL290</f>
        <v>0</v>
      </c>
      <c r="AM290" t="str">
        <f>Реестр_План_Факт!AM290</f>
        <v/>
      </c>
      <c r="AN290">
        <f>Реестр_План_Факт!AN290</f>
        <v>0</v>
      </c>
      <c r="AO290">
        <f>Реестр_План_Факт!AO290</f>
        <v>0</v>
      </c>
      <c r="AP290" t="str">
        <f>Реестр_План_Факт!AP290</f>
        <v/>
      </c>
      <c r="AQ290">
        <f>Реестр_План_Факт!AQ290</f>
        <v>0</v>
      </c>
    </row>
    <row r="291" spans="1:43" x14ac:dyDescent="0.2">
      <c r="A291" s="201">
        <f>Реестр_План_Факт!A291</f>
        <v>46312</v>
      </c>
      <c r="B291">
        <f>Реестр_План_Факт!B291</f>
        <v>42</v>
      </c>
      <c r="C291">
        <f>Реестр_План_Факт!C291</f>
        <v>10</v>
      </c>
      <c r="D291">
        <f>Реестр_План_Факт!D291</f>
        <v>0</v>
      </c>
      <c r="E291">
        <f>Реестр_План_Факт!E291</f>
        <v>0</v>
      </c>
      <c r="F291" t="str">
        <f>Реестр_План_Факт!F291</f>
        <v/>
      </c>
      <c r="G291">
        <f>Реестр_План_Факт!G291</f>
        <v>0</v>
      </c>
      <c r="H291">
        <f>Реестр_План_Факт!H291</f>
        <v>0</v>
      </c>
      <c r="I291" t="str">
        <f>Реестр_План_Факт!I291</f>
        <v/>
      </c>
      <c r="J291">
        <f>Реестр_План_Факт!J291</f>
        <v>0</v>
      </c>
      <c r="K291">
        <f>Реестр_План_Факт!K291</f>
        <v>0</v>
      </c>
      <c r="L291" t="str">
        <f>Реестр_План_Факт!L291</f>
        <v/>
      </c>
      <c r="M291">
        <f>Реестр_План_Факт!M291</f>
        <v>0</v>
      </c>
      <c r="N291">
        <f>Реестр_План_Факт!N291</f>
        <v>0</v>
      </c>
      <c r="O291" t="str">
        <f>Реестр_План_Факт!O291</f>
        <v/>
      </c>
      <c r="P291">
        <f>Реестр_План_Факт!P291</f>
        <v>0</v>
      </c>
      <c r="Q291">
        <f>Реестр_План_Факт!Q291</f>
        <v>0</v>
      </c>
      <c r="R291" t="str">
        <f>Реестр_План_Факт!R291</f>
        <v/>
      </c>
      <c r="S291">
        <f>Реестр_План_Факт!S291</f>
        <v>0</v>
      </c>
      <c r="T291">
        <f>Реестр_План_Факт!T291</f>
        <v>0</v>
      </c>
      <c r="U291" t="str">
        <f>Реестр_План_Факт!U291</f>
        <v/>
      </c>
      <c r="V291">
        <f>Реестр_План_Факт!V291</f>
        <v>0</v>
      </c>
      <c r="W291">
        <f>Реестр_План_Факт!W291</f>
        <v>0</v>
      </c>
      <c r="X291" t="str">
        <f>Реестр_План_Факт!X291</f>
        <v/>
      </c>
      <c r="Y291">
        <f>Реестр_План_Факт!Y291</f>
        <v>0</v>
      </c>
      <c r="Z291">
        <f>Реестр_План_Факт!Z291</f>
        <v>0</v>
      </c>
      <c r="AA291" t="str">
        <f>Реестр_План_Факт!AA291</f>
        <v/>
      </c>
      <c r="AB291">
        <f>Реестр_План_Факт!AB291</f>
        <v>0</v>
      </c>
      <c r="AC291">
        <f>Реестр_План_Факт!AC291</f>
        <v>0</v>
      </c>
      <c r="AD291" t="str">
        <f>Реестр_План_Факт!AD291</f>
        <v/>
      </c>
      <c r="AE291">
        <f>Реестр_План_Факт!AE291</f>
        <v>0</v>
      </c>
      <c r="AF291">
        <f>Реестр_План_Факт!AF291</f>
        <v>0</v>
      </c>
      <c r="AG291" t="str">
        <f>Реестр_План_Факт!AG291</f>
        <v/>
      </c>
      <c r="AH291">
        <f>Реестр_План_Факт!AH291</f>
        <v>0</v>
      </c>
      <c r="AI291">
        <f>Реестр_План_Факт!AI291</f>
        <v>0</v>
      </c>
      <c r="AJ291" t="str">
        <f>Реестр_План_Факт!AJ291</f>
        <v/>
      </c>
      <c r="AK291">
        <f>Реестр_План_Факт!AK291</f>
        <v>0</v>
      </c>
      <c r="AL291">
        <f>Реестр_План_Факт!AL291</f>
        <v>0</v>
      </c>
      <c r="AM291" t="str">
        <f>Реестр_План_Факт!AM291</f>
        <v/>
      </c>
      <c r="AN291">
        <f>Реестр_План_Факт!AN291</f>
        <v>0</v>
      </c>
      <c r="AO291">
        <f>Реестр_План_Факт!AO291</f>
        <v>0</v>
      </c>
      <c r="AP291" t="str">
        <f>Реестр_План_Факт!AP291</f>
        <v/>
      </c>
      <c r="AQ291">
        <f>Реестр_План_Факт!AQ291</f>
        <v>0</v>
      </c>
    </row>
    <row r="292" spans="1:43" x14ac:dyDescent="0.2">
      <c r="A292" s="201">
        <f>Реестр_План_Факт!A292</f>
        <v>46313</v>
      </c>
      <c r="B292">
        <f>Реестр_План_Факт!B292</f>
        <v>42</v>
      </c>
      <c r="C292">
        <f>Реестр_План_Факт!C292</f>
        <v>10</v>
      </c>
      <c r="D292">
        <f>Реестр_План_Факт!D292</f>
        <v>0</v>
      </c>
      <c r="E292">
        <f>Реестр_План_Факт!E292</f>
        <v>0</v>
      </c>
      <c r="F292" t="str">
        <f>Реестр_План_Факт!F292</f>
        <v/>
      </c>
      <c r="G292">
        <f>Реестр_План_Факт!G292</f>
        <v>0</v>
      </c>
      <c r="H292">
        <f>Реестр_План_Факт!H292</f>
        <v>0</v>
      </c>
      <c r="I292" t="str">
        <f>Реестр_План_Факт!I292</f>
        <v/>
      </c>
      <c r="J292">
        <f>Реестр_План_Факт!J292</f>
        <v>0</v>
      </c>
      <c r="K292">
        <f>Реестр_План_Факт!K292</f>
        <v>0</v>
      </c>
      <c r="L292" t="str">
        <f>Реестр_План_Факт!L292</f>
        <v/>
      </c>
      <c r="M292">
        <f>Реестр_План_Факт!M292</f>
        <v>0</v>
      </c>
      <c r="N292">
        <f>Реестр_План_Факт!N292</f>
        <v>0</v>
      </c>
      <c r="O292" t="str">
        <f>Реестр_План_Факт!O292</f>
        <v/>
      </c>
      <c r="P292">
        <f>Реестр_План_Факт!P292</f>
        <v>0</v>
      </c>
      <c r="Q292">
        <f>Реестр_План_Факт!Q292</f>
        <v>0</v>
      </c>
      <c r="R292" t="str">
        <f>Реестр_План_Факт!R292</f>
        <v/>
      </c>
      <c r="S292">
        <f>Реестр_План_Факт!S292</f>
        <v>0</v>
      </c>
      <c r="T292">
        <f>Реестр_План_Факт!T292</f>
        <v>0</v>
      </c>
      <c r="U292" t="str">
        <f>Реестр_План_Факт!U292</f>
        <v/>
      </c>
      <c r="V292">
        <f>Реестр_План_Факт!V292</f>
        <v>0</v>
      </c>
      <c r="W292">
        <f>Реестр_План_Факт!W292</f>
        <v>0</v>
      </c>
      <c r="X292" t="str">
        <f>Реестр_План_Факт!X292</f>
        <v/>
      </c>
      <c r="Y292">
        <f>Реестр_План_Факт!Y292</f>
        <v>0</v>
      </c>
      <c r="Z292">
        <f>Реестр_План_Факт!Z292</f>
        <v>0</v>
      </c>
      <c r="AA292" t="str">
        <f>Реестр_План_Факт!AA292</f>
        <v/>
      </c>
      <c r="AB292">
        <f>Реестр_План_Факт!AB292</f>
        <v>0</v>
      </c>
      <c r="AC292">
        <f>Реестр_План_Факт!AC292</f>
        <v>0</v>
      </c>
      <c r="AD292" t="str">
        <f>Реестр_План_Факт!AD292</f>
        <v/>
      </c>
      <c r="AE292">
        <f>Реестр_План_Факт!AE292</f>
        <v>0</v>
      </c>
      <c r="AF292">
        <f>Реестр_План_Факт!AF292</f>
        <v>0</v>
      </c>
      <c r="AG292" t="str">
        <f>Реестр_План_Факт!AG292</f>
        <v/>
      </c>
      <c r="AH292">
        <f>Реестр_План_Факт!AH292</f>
        <v>0</v>
      </c>
      <c r="AI292">
        <f>Реестр_План_Факт!AI292</f>
        <v>0</v>
      </c>
      <c r="AJ292" t="str">
        <f>Реестр_План_Факт!AJ292</f>
        <v/>
      </c>
      <c r="AK292">
        <f>Реестр_План_Факт!AK292</f>
        <v>0</v>
      </c>
      <c r="AL292">
        <f>Реестр_План_Факт!AL292</f>
        <v>0</v>
      </c>
      <c r="AM292" t="str">
        <f>Реестр_План_Факт!AM292</f>
        <v/>
      </c>
      <c r="AN292">
        <f>Реестр_План_Факт!AN292</f>
        <v>0</v>
      </c>
      <c r="AO292">
        <f>Реестр_План_Факт!AO292</f>
        <v>0</v>
      </c>
      <c r="AP292" t="str">
        <f>Реестр_План_Факт!AP292</f>
        <v/>
      </c>
      <c r="AQ292">
        <f>Реестр_План_Факт!AQ292</f>
        <v>0</v>
      </c>
    </row>
    <row r="293" spans="1:43" x14ac:dyDescent="0.2">
      <c r="A293" s="201">
        <f>Реестр_План_Факт!A293</f>
        <v>46314</v>
      </c>
      <c r="B293">
        <f>Реестр_План_Факт!B293</f>
        <v>43</v>
      </c>
      <c r="C293">
        <f>Реестр_План_Факт!C293</f>
        <v>10</v>
      </c>
      <c r="D293">
        <f>Реестр_План_Факт!D293</f>
        <v>0</v>
      </c>
      <c r="E293">
        <f>Реестр_План_Факт!E293</f>
        <v>0</v>
      </c>
      <c r="F293" t="str">
        <f>Реестр_План_Факт!F293</f>
        <v/>
      </c>
      <c r="G293">
        <f>Реестр_План_Факт!G293</f>
        <v>0</v>
      </c>
      <c r="H293">
        <f>Реестр_План_Факт!H293</f>
        <v>0</v>
      </c>
      <c r="I293" t="str">
        <f>Реестр_План_Факт!I293</f>
        <v/>
      </c>
      <c r="J293">
        <f>Реестр_План_Факт!J293</f>
        <v>0</v>
      </c>
      <c r="K293">
        <f>Реестр_План_Факт!K293</f>
        <v>0</v>
      </c>
      <c r="L293" t="str">
        <f>Реестр_План_Факт!L293</f>
        <v/>
      </c>
      <c r="M293">
        <f>Реестр_План_Факт!M293</f>
        <v>0</v>
      </c>
      <c r="N293">
        <f>Реестр_План_Факт!N293</f>
        <v>0</v>
      </c>
      <c r="O293" t="str">
        <f>Реестр_План_Факт!O293</f>
        <v/>
      </c>
      <c r="P293">
        <f>Реестр_План_Факт!P293</f>
        <v>0</v>
      </c>
      <c r="Q293">
        <f>Реестр_План_Факт!Q293</f>
        <v>0</v>
      </c>
      <c r="R293" t="str">
        <f>Реестр_План_Факт!R293</f>
        <v/>
      </c>
      <c r="S293">
        <f>Реестр_План_Факт!S293</f>
        <v>0</v>
      </c>
      <c r="T293">
        <f>Реестр_План_Факт!T293</f>
        <v>0</v>
      </c>
      <c r="U293" t="str">
        <f>Реестр_План_Факт!U293</f>
        <v/>
      </c>
      <c r="V293">
        <f>Реестр_План_Факт!V293</f>
        <v>0</v>
      </c>
      <c r="W293">
        <f>Реестр_План_Факт!W293</f>
        <v>0</v>
      </c>
      <c r="X293" t="str">
        <f>Реестр_План_Факт!X293</f>
        <v/>
      </c>
      <c r="Y293">
        <f>Реестр_План_Факт!Y293</f>
        <v>0</v>
      </c>
      <c r="Z293">
        <f>Реестр_План_Факт!Z293</f>
        <v>0</v>
      </c>
      <c r="AA293" t="str">
        <f>Реестр_План_Факт!AA293</f>
        <v/>
      </c>
      <c r="AB293">
        <f>Реестр_План_Факт!AB293</f>
        <v>0</v>
      </c>
      <c r="AC293">
        <f>Реестр_План_Факт!AC293</f>
        <v>0</v>
      </c>
      <c r="AD293" t="str">
        <f>Реестр_План_Факт!AD293</f>
        <v/>
      </c>
      <c r="AE293">
        <f>Реестр_План_Факт!AE293</f>
        <v>0</v>
      </c>
      <c r="AF293">
        <f>Реестр_План_Факт!AF293</f>
        <v>0</v>
      </c>
      <c r="AG293" t="str">
        <f>Реестр_План_Факт!AG293</f>
        <v/>
      </c>
      <c r="AH293">
        <f>Реестр_План_Факт!AH293</f>
        <v>0</v>
      </c>
      <c r="AI293">
        <f>Реестр_План_Факт!AI293</f>
        <v>0</v>
      </c>
      <c r="AJ293" t="str">
        <f>Реестр_План_Факт!AJ293</f>
        <v/>
      </c>
      <c r="AK293">
        <f>Реестр_План_Факт!AK293</f>
        <v>0</v>
      </c>
      <c r="AL293">
        <f>Реестр_План_Факт!AL293</f>
        <v>0</v>
      </c>
      <c r="AM293" t="str">
        <f>Реестр_План_Факт!AM293</f>
        <v/>
      </c>
      <c r="AN293">
        <f>Реестр_План_Факт!AN293</f>
        <v>0</v>
      </c>
      <c r="AO293">
        <f>Реестр_План_Факт!AO293</f>
        <v>0</v>
      </c>
      <c r="AP293" t="str">
        <f>Реестр_План_Факт!AP293</f>
        <v/>
      </c>
      <c r="AQ293">
        <f>Реестр_План_Факт!AQ293</f>
        <v>0</v>
      </c>
    </row>
    <row r="294" spans="1:43" x14ac:dyDescent="0.2">
      <c r="A294" s="201">
        <f>Реестр_План_Факт!A294</f>
        <v>46315</v>
      </c>
      <c r="B294">
        <f>Реестр_План_Факт!B294</f>
        <v>43</v>
      </c>
      <c r="C294">
        <f>Реестр_План_Факт!C294</f>
        <v>10</v>
      </c>
      <c r="D294">
        <f>Реестр_План_Факт!D294</f>
        <v>0</v>
      </c>
      <c r="E294">
        <f>Реестр_План_Факт!E294</f>
        <v>0</v>
      </c>
      <c r="F294" t="str">
        <f>Реестр_План_Факт!F294</f>
        <v/>
      </c>
      <c r="G294">
        <f>Реестр_План_Факт!G294</f>
        <v>0</v>
      </c>
      <c r="H294">
        <f>Реестр_План_Факт!H294</f>
        <v>0</v>
      </c>
      <c r="I294" t="str">
        <f>Реестр_План_Факт!I294</f>
        <v/>
      </c>
      <c r="J294">
        <f>Реестр_План_Факт!J294</f>
        <v>0</v>
      </c>
      <c r="K294">
        <f>Реестр_План_Факт!K294</f>
        <v>0</v>
      </c>
      <c r="L294" t="str">
        <f>Реестр_План_Факт!L294</f>
        <v/>
      </c>
      <c r="M294">
        <f>Реестр_План_Факт!M294</f>
        <v>0</v>
      </c>
      <c r="N294">
        <f>Реестр_План_Факт!N294</f>
        <v>0</v>
      </c>
      <c r="O294" t="str">
        <f>Реестр_План_Факт!O294</f>
        <v/>
      </c>
      <c r="P294">
        <f>Реестр_План_Факт!P294</f>
        <v>0</v>
      </c>
      <c r="Q294">
        <f>Реестр_План_Факт!Q294</f>
        <v>0</v>
      </c>
      <c r="R294" t="str">
        <f>Реестр_План_Факт!R294</f>
        <v/>
      </c>
      <c r="S294">
        <f>Реестр_План_Факт!S294</f>
        <v>0</v>
      </c>
      <c r="T294">
        <f>Реестр_План_Факт!T294</f>
        <v>0</v>
      </c>
      <c r="U294" t="str">
        <f>Реестр_План_Факт!U294</f>
        <v/>
      </c>
      <c r="V294">
        <f>Реестр_План_Факт!V294</f>
        <v>0</v>
      </c>
      <c r="W294">
        <f>Реестр_План_Факт!W294</f>
        <v>0</v>
      </c>
      <c r="X294" t="str">
        <f>Реестр_План_Факт!X294</f>
        <v/>
      </c>
      <c r="Y294">
        <f>Реестр_План_Факт!Y294</f>
        <v>0</v>
      </c>
      <c r="Z294">
        <f>Реестр_План_Факт!Z294</f>
        <v>0</v>
      </c>
      <c r="AA294" t="str">
        <f>Реестр_План_Факт!AA294</f>
        <v/>
      </c>
      <c r="AB294">
        <f>Реестр_План_Факт!AB294</f>
        <v>0</v>
      </c>
      <c r="AC294">
        <f>Реестр_План_Факт!AC294</f>
        <v>0</v>
      </c>
      <c r="AD294" t="str">
        <f>Реестр_План_Факт!AD294</f>
        <v/>
      </c>
      <c r="AE294">
        <f>Реестр_План_Факт!AE294</f>
        <v>0</v>
      </c>
      <c r="AF294">
        <f>Реестр_План_Факт!AF294</f>
        <v>0</v>
      </c>
      <c r="AG294" t="str">
        <f>Реестр_План_Факт!AG294</f>
        <v/>
      </c>
      <c r="AH294">
        <f>Реестр_План_Факт!AH294</f>
        <v>0</v>
      </c>
      <c r="AI294">
        <f>Реестр_План_Факт!AI294</f>
        <v>0</v>
      </c>
      <c r="AJ294" t="str">
        <f>Реестр_План_Факт!AJ294</f>
        <v/>
      </c>
      <c r="AK294">
        <f>Реестр_План_Факт!AK294</f>
        <v>0</v>
      </c>
      <c r="AL294">
        <f>Реестр_План_Факт!AL294</f>
        <v>0</v>
      </c>
      <c r="AM294" t="str">
        <f>Реестр_План_Факт!AM294</f>
        <v/>
      </c>
      <c r="AN294">
        <f>Реестр_План_Факт!AN294</f>
        <v>0</v>
      </c>
      <c r="AO294">
        <f>Реестр_План_Факт!AO294</f>
        <v>0</v>
      </c>
      <c r="AP294" t="str">
        <f>Реестр_План_Факт!AP294</f>
        <v/>
      </c>
      <c r="AQ294">
        <f>Реестр_План_Факт!AQ294</f>
        <v>0</v>
      </c>
    </row>
    <row r="295" spans="1:43" x14ac:dyDescent="0.2">
      <c r="A295" s="201">
        <f>Реестр_План_Факт!A295</f>
        <v>46316</v>
      </c>
      <c r="B295">
        <f>Реестр_План_Факт!B295</f>
        <v>43</v>
      </c>
      <c r="C295">
        <f>Реестр_План_Факт!C295</f>
        <v>10</v>
      </c>
      <c r="D295">
        <f>Реестр_План_Факт!D295</f>
        <v>0</v>
      </c>
      <c r="E295">
        <f>Реестр_План_Факт!E295</f>
        <v>0</v>
      </c>
      <c r="F295" t="str">
        <f>Реестр_План_Факт!F295</f>
        <v/>
      </c>
      <c r="G295">
        <f>Реестр_План_Факт!G295</f>
        <v>0</v>
      </c>
      <c r="H295">
        <f>Реестр_План_Факт!H295</f>
        <v>0</v>
      </c>
      <c r="I295" t="str">
        <f>Реестр_План_Факт!I295</f>
        <v/>
      </c>
      <c r="J295">
        <f>Реестр_План_Факт!J295</f>
        <v>0</v>
      </c>
      <c r="K295">
        <f>Реестр_План_Факт!K295</f>
        <v>0</v>
      </c>
      <c r="L295" t="str">
        <f>Реестр_План_Факт!L295</f>
        <v/>
      </c>
      <c r="M295">
        <f>Реестр_План_Факт!M295</f>
        <v>0</v>
      </c>
      <c r="N295">
        <f>Реестр_План_Факт!N295</f>
        <v>0</v>
      </c>
      <c r="O295" t="str">
        <f>Реестр_План_Факт!O295</f>
        <v/>
      </c>
      <c r="P295">
        <f>Реестр_План_Факт!P295</f>
        <v>0</v>
      </c>
      <c r="Q295">
        <f>Реестр_План_Факт!Q295</f>
        <v>0</v>
      </c>
      <c r="R295" t="str">
        <f>Реестр_План_Факт!R295</f>
        <v/>
      </c>
      <c r="S295">
        <f>Реестр_План_Факт!S295</f>
        <v>0</v>
      </c>
      <c r="T295">
        <f>Реестр_План_Факт!T295</f>
        <v>0</v>
      </c>
      <c r="U295" t="str">
        <f>Реестр_План_Факт!U295</f>
        <v/>
      </c>
      <c r="V295">
        <f>Реестр_План_Факт!V295</f>
        <v>0</v>
      </c>
      <c r="W295">
        <f>Реестр_План_Факт!W295</f>
        <v>0</v>
      </c>
      <c r="X295" t="str">
        <f>Реестр_План_Факт!X295</f>
        <v/>
      </c>
      <c r="Y295">
        <f>Реестр_План_Факт!Y295</f>
        <v>0</v>
      </c>
      <c r="Z295">
        <f>Реестр_План_Факт!Z295</f>
        <v>0</v>
      </c>
      <c r="AA295" t="str">
        <f>Реестр_План_Факт!AA295</f>
        <v/>
      </c>
      <c r="AB295">
        <f>Реестр_План_Факт!AB295</f>
        <v>0</v>
      </c>
      <c r="AC295">
        <f>Реестр_План_Факт!AC295</f>
        <v>0</v>
      </c>
      <c r="AD295" t="str">
        <f>Реестр_План_Факт!AD295</f>
        <v/>
      </c>
      <c r="AE295">
        <f>Реестр_План_Факт!AE295</f>
        <v>0</v>
      </c>
      <c r="AF295">
        <f>Реестр_План_Факт!AF295</f>
        <v>0</v>
      </c>
      <c r="AG295" t="str">
        <f>Реестр_План_Факт!AG295</f>
        <v/>
      </c>
      <c r="AH295">
        <f>Реестр_План_Факт!AH295</f>
        <v>0</v>
      </c>
      <c r="AI295">
        <f>Реестр_План_Факт!AI295</f>
        <v>0</v>
      </c>
      <c r="AJ295" t="str">
        <f>Реестр_План_Факт!AJ295</f>
        <v/>
      </c>
      <c r="AK295">
        <f>Реестр_План_Факт!AK295</f>
        <v>0</v>
      </c>
      <c r="AL295">
        <f>Реестр_План_Факт!AL295</f>
        <v>0</v>
      </c>
      <c r="AM295" t="str">
        <f>Реестр_План_Факт!AM295</f>
        <v/>
      </c>
      <c r="AN295">
        <f>Реестр_План_Факт!AN295</f>
        <v>0</v>
      </c>
      <c r="AO295">
        <f>Реестр_План_Факт!AO295</f>
        <v>0</v>
      </c>
      <c r="AP295" t="str">
        <f>Реестр_План_Факт!AP295</f>
        <v/>
      </c>
      <c r="AQ295">
        <f>Реестр_План_Факт!AQ295</f>
        <v>0</v>
      </c>
    </row>
    <row r="296" spans="1:43" x14ac:dyDescent="0.2">
      <c r="A296" s="201">
        <f>Реестр_План_Факт!A296</f>
        <v>46317</v>
      </c>
      <c r="B296">
        <f>Реестр_План_Факт!B296</f>
        <v>43</v>
      </c>
      <c r="C296">
        <f>Реестр_План_Факт!C296</f>
        <v>10</v>
      </c>
      <c r="D296">
        <f>Реестр_План_Факт!D296</f>
        <v>0</v>
      </c>
      <c r="E296">
        <f>Реестр_План_Факт!E296</f>
        <v>0</v>
      </c>
      <c r="F296" t="str">
        <f>Реестр_План_Факт!F296</f>
        <v/>
      </c>
      <c r="G296">
        <f>Реестр_План_Факт!G296</f>
        <v>0</v>
      </c>
      <c r="H296">
        <f>Реестр_План_Факт!H296</f>
        <v>0</v>
      </c>
      <c r="I296" t="str">
        <f>Реестр_План_Факт!I296</f>
        <v/>
      </c>
      <c r="J296">
        <f>Реестр_План_Факт!J296</f>
        <v>0</v>
      </c>
      <c r="K296">
        <f>Реестр_План_Факт!K296</f>
        <v>0</v>
      </c>
      <c r="L296" t="str">
        <f>Реестр_План_Факт!L296</f>
        <v/>
      </c>
      <c r="M296">
        <f>Реестр_План_Факт!M296</f>
        <v>0</v>
      </c>
      <c r="N296">
        <f>Реестр_План_Факт!N296</f>
        <v>0</v>
      </c>
      <c r="O296" t="str">
        <f>Реестр_План_Факт!O296</f>
        <v/>
      </c>
      <c r="P296">
        <f>Реестр_План_Факт!P296</f>
        <v>0</v>
      </c>
      <c r="Q296">
        <f>Реестр_План_Факт!Q296</f>
        <v>0</v>
      </c>
      <c r="R296" t="str">
        <f>Реестр_План_Факт!R296</f>
        <v/>
      </c>
      <c r="S296">
        <f>Реестр_План_Факт!S296</f>
        <v>0</v>
      </c>
      <c r="T296">
        <f>Реестр_План_Факт!T296</f>
        <v>0</v>
      </c>
      <c r="U296" t="str">
        <f>Реестр_План_Факт!U296</f>
        <v/>
      </c>
      <c r="V296">
        <f>Реестр_План_Факт!V296</f>
        <v>0</v>
      </c>
      <c r="W296">
        <f>Реестр_План_Факт!W296</f>
        <v>0</v>
      </c>
      <c r="X296" t="str">
        <f>Реестр_План_Факт!X296</f>
        <v/>
      </c>
      <c r="Y296">
        <f>Реестр_План_Факт!Y296</f>
        <v>0</v>
      </c>
      <c r="Z296">
        <f>Реестр_План_Факт!Z296</f>
        <v>0</v>
      </c>
      <c r="AA296" t="str">
        <f>Реестр_План_Факт!AA296</f>
        <v/>
      </c>
      <c r="AB296">
        <f>Реестр_План_Факт!AB296</f>
        <v>0</v>
      </c>
      <c r="AC296">
        <f>Реестр_План_Факт!AC296</f>
        <v>0</v>
      </c>
      <c r="AD296" t="str">
        <f>Реестр_План_Факт!AD296</f>
        <v/>
      </c>
      <c r="AE296">
        <f>Реестр_План_Факт!AE296</f>
        <v>0</v>
      </c>
      <c r="AF296">
        <f>Реестр_План_Факт!AF296</f>
        <v>0</v>
      </c>
      <c r="AG296" t="str">
        <f>Реестр_План_Факт!AG296</f>
        <v/>
      </c>
      <c r="AH296">
        <f>Реестр_План_Факт!AH296</f>
        <v>0</v>
      </c>
      <c r="AI296">
        <f>Реестр_План_Факт!AI296</f>
        <v>0</v>
      </c>
      <c r="AJ296" t="str">
        <f>Реестр_План_Факт!AJ296</f>
        <v/>
      </c>
      <c r="AK296">
        <f>Реестр_План_Факт!AK296</f>
        <v>0</v>
      </c>
      <c r="AL296">
        <f>Реестр_План_Факт!AL296</f>
        <v>0</v>
      </c>
      <c r="AM296" t="str">
        <f>Реестр_План_Факт!AM296</f>
        <v/>
      </c>
      <c r="AN296">
        <f>Реестр_План_Факт!AN296</f>
        <v>0</v>
      </c>
      <c r="AO296">
        <f>Реестр_План_Факт!AO296</f>
        <v>0</v>
      </c>
      <c r="AP296" t="str">
        <f>Реестр_План_Факт!AP296</f>
        <v/>
      </c>
      <c r="AQ296">
        <f>Реестр_План_Факт!AQ296</f>
        <v>0</v>
      </c>
    </row>
    <row r="297" spans="1:43" x14ac:dyDescent="0.2">
      <c r="A297" s="201">
        <f>Реестр_План_Факт!A297</f>
        <v>46318</v>
      </c>
      <c r="B297">
        <f>Реестр_План_Факт!B297</f>
        <v>43</v>
      </c>
      <c r="C297">
        <f>Реестр_План_Факт!C297</f>
        <v>10</v>
      </c>
      <c r="D297">
        <f>Реестр_План_Факт!D297</f>
        <v>0</v>
      </c>
      <c r="E297">
        <f>Реестр_План_Факт!E297</f>
        <v>0</v>
      </c>
      <c r="F297" t="str">
        <f>Реестр_План_Факт!F297</f>
        <v/>
      </c>
      <c r="G297">
        <f>Реестр_План_Факт!G297</f>
        <v>0</v>
      </c>
      <c r="H297">
        <f>Реестр_План_Факт!H297</f>
        <v>0</v>
      </c>
      <c r="I297" t="str">
        <f>Реестр_План_Факт!I297</f>
        <v/>
      </c>
      <c r="J297">
        <f>Реестр_План_Факт!J297</f>
        <v>0</v>
      </c>
      <c r="K297">
        <f>Реестр_План_Факт!K297</f>
        <v>0</v>
      </c>
      <c r="L297" t="str">
        <f>Реестр_План_Факт!L297</f>
        <v/>
      </c>
      <c r="M297">
        <f>Реестр_План_Факт!M297</f>
        <v>0</v>
      </c>
      <c r="N297">
        <f>Реестр_План_Факт!N297</f>
        <v>0</v>
      </c>
      <c r="O297" t="str">
        <f>Реестр_План_Факт!O297</f>
        <v/>
      </c>
      <c r="P297">
        <f>Реестр_План_Факт!P297</f>
        <v>0</v>
      </c>
      <c r="Q297">
        <f>Реестр_План_Факт!Q297</f>
        <v>0</v>
      </c>
      <c r="R297" t="str">
        <f>Реестр_План_Факт!R297</f>
        <v/>
      </c>
      <c r="S297">
        <f>Реестр_План_Факт!S297</f>
        <v>0</v>
      </c>
      <c r="T297">
        <f>Реестр_План_Факт!T297</f>
        <v>0</v>
      </c>
      <c r="U297" t="str">
        <f>Реестр_План_Факт!U297</f>
        <v/>
      </c>
      <c r="V297">
        <f>Реестр_План_Факт!V297</f>
        <v>0</v>
      </c>
      <c r="W297">
        <f>Реестр_План_Факт!W297</f>
        <v>0</v>
      </c>
      <c r="X297" t="str">
        <f>Реестр_План_Факт!X297</f>
        <v/>
      </c>
      <c r="Y297">
        <f>Реестр_План_Факт!Y297</f>
        <v>0</v>
      </c>
      <c r="Z297">
        <f>Реестр_План_Факт!Z297</f>
        <v>0</v>
      </c>
      <c r="AA297" t="str">
        <f>Реестр_План_Факт!AA297</f>
        <v/>
      </c>
      <c r="AB297">
        <f>Реестр_План_Факт!AB297</f>
        <v>0</v>
      </c>
      <c r="AC297">
        <f>Реестр_План_Факт!AC297</f>
        <v>0</v>
      </c>
      <c r="AD297" t="str">
        <f>Реестр_План_Факт!AD297</f>
        <v/>
      </c>
      <c r="AE297">
        <f>Реестр_План_Факт!AE297</f>
        <v>0</v>
      </c>
      <c r="AF297">
        <f>Реестр_План_Факт!AF297</f>
        <v>0</v>
      </c>
      <c r="AG297" t="str">
        <f>Реестр_План_Факт!AG297</f>
        <v/>
      </c>
      <c r="AH297">
        <f>Реестр_План_Факт!AH297</f>
        <v>0</v>
      </c>
      <c r="AI297">
        <f>Реестр_План_Факт!AI297</f>
        <v>0</v>
      </c>
      <c r="AJ297" t="str">
        <f>Реестр_План_Факт!AJ297</f>
        <v/>
      </c>
      <c r="AK297">
        <f>Реестр_План_Факт!AK297</f>
        <v>0</v>
      </c>
      <c r="AL297">
        <f>Реестр_План_Факт!AL297</f>
        <v>0</v>
      </c>
      <c r="AM297" t="str">
        <f>Реестр_План_Факт!AM297</f>
        <v/>
      </c>
      <c r="AN297">
        <f>Реестр_План_Факт!AN297</f>
        <v>0</v>
      </c>
      <c r="AO297">
        <f>Реестр_План_Факт!AO297</f>
        <v>0</v>
      </c>
      <c r="AP297" t="str">
        <f>Реестр_План_Факт!AP297</f>
        <v/>
      </c>
      <c r="AQ297">
        <f>Реестр_План_Факт!AQ297</f>
        <v>0</v>
      </c>
    </row>
    <row r="298" spans="1:43" x14ac:dyDescent="0.2">
      <c r="A298" s="201">
        <f>Реестр_План_Факт!A298</f>
        <v>46319</v>
      </c>
      <c r="B298">
        <f>Реестр_План_Факт!B298</f>
        <v>43</v>
      </c>
      <c r="C298">
        <f>Реестр_План_Факт!C298</f>
        <v>10</v>
      </c>
      <c r="D298">
        <f>Реестр_План_Факт!D298</f>
        <v>0</v>
      </c>
      <c r="E298">
        <f>Реестр_План_Факт!E298</f>
        <v>0</v>
      </c>
      <c r="F298" t="str">
        <f>Реестр_План_Факт!F298</f>
        <v/>
      </c>
      <c r="G298">
        <f>Реестр_План_Факт!G298</f>
        <v>0</v>
      </c>
      <c r="H298">
        <f>Реестр_План_Факт!H298</f>
        <v>0</v>
      </c>
      <c r="I298" t="str">
        <f>Реестр_План_Факт!I298</f>
        <v/>
      </c>
      <c r="J298">
        <f>Реестр_План_Факт!J298</f>
        <v>0</v>
      </c>
      <c r="K298">
        <f>Реестр_План_Факт!K298</f>
        <v>0</v>
      </c>
      <c r="L298" t="str">
        <f>Реестр_План_Факт!L298</f>
        <v/>
      </c>
      <c r="M298">
        <f>Реестр_План_Факт!M298</f>
        <v>0</v>
      </c>
      <c r="N298">
        <f>Реестр_План_Факт!N298</f>
        <v>0</v>
      </c>
      <c r="O298" t="str">
        <f>Реестр_План_Факт!O298</f>
        <v/>
      </c>
      <c r="P298">
        <f>Реестр_План_Факт!P298</f>
        <v>0</v>
      </c>
      <c r="Q298">
        <f>Реестр_План_Факт!Q298</f>
        <v>0</v>
      </c>
      <c r="R298" t="str">
        <f>Реестр_План_Факт!R298</f>
        <v/>
      </c>
      <c r="S298">
        <f>Реестр_План_Факт!S298</f>
        <v>0</v>
      </c>
      <c r="T298">
        <f>Реестр_План_Факт!T298</f>
        <v>0</v>
      </c>
      <c r="U298" t="str">
        <f>Реестр_План_Факт!U298</f>
        <v/>
      </c>
      <c r="V298">
        <f>Реестр_План_Факт!V298</f>
        <v>0</v>
      </c>
      <c r="W298">
        <f>Реестр_План_Факт!W298</f>
        <v>0</v>
      </c>
      <c r="X298" t="str">
        <f>Реестр_План_Факт!X298</f>
        <v/>
      </c>
      <c r="Y298">
        <f>Реестр_План_Факт!Y298</f>
        <v>0</v>
      </c>
      <c r="Z298">
        <f>Реестр_План_Факт!Z298</f>
        <v>0</v>
      </c>
      <c r="AA298" t="str">
        <f>Реестр_План_Факт!AA298</f>
        <v/>
      </c>
      <c r="AB298">
        <f>Реестр_План_Факт!AB298</f>
        <v>0</v>
      </c>
      <c r="AC298">
        <f>Реестр_План_Факт!AC298</f>
        <v>0</v>
      </c>
      <c r="AD298" t="str">
        <f>Реестр_План_Факт!AD298</f>
        <v/>
      </c>
      <c r="AE298">
        <f>Реестр_План_Факт!AE298</f>
        <v>0</v>
      </c>
      <c r="AF298">
        <f>Реестр_План_Факт!AF298</f>
        <v>0</v>
      </c>
      <c r="AG298" t="str">
        <f>Реестр_План_Факт!AG298</f>
        <v/>
      </c>
      <c r="AH298">
        <f>Реестр_План_Факт!AH298</f>
        <v>0</v>
      </c>
      <c r="AI298">
        <f>Реестр_План_Факт!AI298</f>
        <v>0</v>
      </c>
      <c r="AJ298" t="str">
        <f>Реестр_План_Факт!AJ298</f>
        <v/>
      </c>
      <c r="AK298">
        <f>Реестр_План_Факт!AK298</f>
        <v>0</v>
      </c>
      <c r="AL298">
        <f>Реестр_План_Факт!AL298</f>
        <v>0</v>
      </c>
      <c r="AM298" t="str">
        <f>Реестр_План_Факт!AM298</f>
        <v/>
      </c>
      <c r="AN298">
        <f>Реестр_План_Факт!AN298</f>
        <v>0</v>
      </c>
      <c r="AO298">
        <f>Реестр_План_Факт!AO298</f>
        <v>0</v>
      </c>
      <c r="AP298" t="str">
        <f>Реестр_План_Факт!AP298</f>
        <v/>
      </c>
      <c r="AQ298">
        <f>Реестр_План_Факт!AQ298</f>
        <v>0</v>
      </c>
    </row>
    <row r="299" spans="1:43" x14ac:dyDescent="0.2">
      <c r="A299" s="201">
        <f>Реестр_План_Факт!A299</f>
        <v>46320</v>
      </c>
      <c r="B299">
        <f>Реестр_План_Факт!B299</f>
        <v>43</v>
      </c>
      <c r="C299">
        <f>Реестр_План_Факт!C299</f>
        <v>10</v>
      </c>
      <c r="D299">
        <f>Реестр_План_Факт!D299</f>
        <v>0</v>
      </c>
      <c r="E299">
        <f>Реестр_План_Факт!E299</f>
        <v>0</v>
      </c>
      <c r="F299" t="str">
        <f>Реестр_План_Факт!F299</f>
        <v/>
      </c>
      <c r="G299">
        <f>Реестр_План_Факт!G299</f>
        <v>0</v>
      </c>
      <c r="H299">
        <f>Реестр_План_Факт!H299</f>
        <v>0</v>
      </c>
      <c r="I299" t="str">
        <f>Реестр_План_Факт!I299</f>
        <v/>
      </c>
      <c r="J299">
        <f>Реестр_План_Факт!J299</f>
        <v>0</v>
      </c>
      <c r="K299">
        <f>Реестр_План_Факт!K299</f>
        <v>0</v>
      </c>
      <c r="L299" t="str">
        <f>Реестр_План_Факт!L299</f>
        <v/>
      </c>
      <c r="M299">
        <f>Реестр_План_Факт!M299</f>
        <v>0</v>
      </c>
      <c r="N299">
        <f>Реестр_План_Факт!N299</f>
        <v>0</v>
      </c>
      <c r="O299" t="str">
        <f>Реестр_План_Факт!O299</f>
        <v/>
      </c>
      <c r="P299">
        <f>Реестр_План_Факт!P299</f>
        <v>0</v>
      </c>
      <c r="Q299">
        <f>Реестр_План_Факт!Q299</f>
        <v>0</v>
      </c>
      <c r="R299" t="str">
        <f>Реестр_План_Факт!R299</f>
        <v/>
      </c>
      <c r="S299">
        <f>Реестр_План_Факт!S299</f>
        <v>0</v>
      </c>
      <c r="T299">
        <f>Реестр_План_Факт!T299</f>
        <v>0</v>
      </c>
      <c r="U299" t="str">
        <f>Реестр_План_Факт!U299</f>
        <v/>
      </c>
      <c r="V299">
        <f>Реестр_План_Факт!V299</f>
        <v>0</v>
      </c>
      <c r="W299">
        <f>Реестр_План_Факт!W299</f>
        <v>0</v>
      </c>
      <c r="X299" t="str">
        <f>Реестр_План_Факт!X299</f>
        <v/>
      </c>
      <c r="Y299">
        <f>Реестр_План_Факт!Y299</f>
        <v>0</v>
      </c>
      <c r="Z299">
        <f>Реестр_План_Факт!Z299</f>
        <v>0</v>
      </c>
      <c r="AA299" t="str">
        <f>Реестр_План_Факт!AA299</f>
        <v/>
      </c>
      <c r="AB299">
        <f>Реестр_План_Факт!AB299</f>
        <v>0</v>
      </c>
      <c r="AC299">
        <f>Реестр_План_Факт!AC299</f>
        <v>0</v>
      </c>
      <c r="AD299" t="str">
        <f>Реестр_План_Факт!AD299</f>
        <v/>
      </c>
      <c r="AE299">
        <f>Реестр_План_Факт!AE299</f>
        <v>0</v>
      </c>
      <c r="AF299">
        <f>Реестр_План_Факт!AF299</f>
        <v>0</v>
      </c>
      <c r="AG299" t="str">
        <f>Реестр_План_Факт!AG299</f>
        <v/>
      </c>
      <c r="AH299">
        <f>Реестр_План_Факт!AH299</f>
        <v>0</v>
      </c>
      <c r="AI299">
        <f>Реестр_План_Факт!AI299</f>
        <v>0</v>
      </c>
      <c r="AJ299" t="str">
        <f>Реестр_План_Факт!AJ299</f>
        <v/>
      </c>
      <c r="AK299">
        <f>Реестр_План_Факт!AK299</f>
        <v>0</v>
      </c>
      <c r="AL299">
        <f>Реестр_План_Факт!AL299</f>
        <v>0</v>
      </c>
      <c r="AM299" t="str">
        <f>Реестр_План_Факт!AM299</f>
        <v/>
      </c>
      <c r="AN299">
        <f>Реестр_План_Факт!AN299</f>
        <v>0</v>
      </c>
      <c r="AO299">
        <f>Реестр_План_Факт!AO299</f>
        <v>0</v>
      </c>
      <c r="AP299" t="str">
        <f>Реестр_План_Факт!AP299</f>
        <v/>
      </c>
      <c r="AQ299">
        <f>Реестр_План_Факт!AQ299</f>
        <v>0</v>
      </c>
    </row>
    <row r="300" spans="1:43" x14ac:dyDescent="0.2">
      <c r="A300" s="201">
        <f>Реестр_План_Факт!A300</f>
        <v>46321</v>
      </c>
      <c r="B300">
        <f>Реестр_План_Факт!B300</f>
        <v>44</v>
      </c>
      <c r="C300">
        <f>Реестр_План_Факт!C300</f>
        <v>10</v>
      </c>
      <c r="D300">
        <f>Реестр_План_Факт!D300</f>
        <v>0</v>
      </c>
      <c r="E300">
        <f>Реестр_План_Факт!E300</f>
        <v>0</v>
      </c>
      <c r="F300" t="str">
        <f>Реестр_План_Факт!F300</f>
        <v/>
      </c>
      <c r="G300">
        <f>Реестр_План_Факт!G300</f>
        <v>0</v>
      </c>
      <c r="H300">
        <f>Реестр_План_Факт!H300</f>
        <v>0</v>
      </c>
      <c r="I300" t="str">
        <f>Реестр_План_Факт!I300</f>
        <v/>
      </c>
      <c r="J300">
        <f>Реестр_План_Факт!J300</f>
        <v>0</v>
      </c>
      <c r="K300">
        <f>Реестр_План_Факт!K300</f>
        <v>0</v>
      </c>
      <c r="L300" t="str">
        <f>Реестр_План_Факт!L300</f>
        <v/>
      </c>
      <c r="M300">
        <f>Реестр_План_Факт!M300</f>
        <v>0</v>
      </c>
      <c r="N300">
        <f>Реестр_План_Факт!N300</f>
        <v>0</v>
      </c>
      <c r="O300" t="str">
        <f>Реестр_План_Факт!O300</f>
        <v/>
      </c>
      <c r="P300">
        <f>Реестр_План_Факт!P300</f>
        <v>0</v>
      </c>
      <c r="Q300">
        <f>Реестр_План_Факт!Q300</f>
        <v>0</v>
      </c>
      <c r="R300" t="str">
        <f>Реестр_План_Факт!R300</f>
        <v/>
      </c>
      <c r="S300">
        <f>Реестр_План_Факт!S300</f>
        <v>0</v>
      </c>
      <c r="T300">
        <f>Реестр_План_Факт!T300</f>
        <v>0</v>
      </c>
      <c r="U300" t="str">
        <f>Реестр_План_Факт!U300</f>
        <v/>
      </c>
      <c r="V300">
        <f>Реестр_План_Факт!V300</f>
        <v>0</v>
      </c>
      <c r="W300">
        <f>Реестр_План_Факт!W300</f>
        <v>0</v>
      </c>
      <c r="X300" t="str">
        <f>Реестр_План_Факт!X300</f>
        <v/>
      </c>
      <c r="Y300">
        <f>Реестр_План_Факт!Y300</f>
        <v>0</v>
      </c>
      <c r="Z300">
        <f>Реестр_План_Факт!Z300</f>
        <v>0</v>
      </c>
      <c r="AA300" t="str">
        <f>Реестр_План_Факт!AA300</f>
        <v/>
      </c>
      <c r="AB300">
        <f>Реестр_План_Факт!AB300</f>
        <v>0</v>
      </c>
      <c r="AC300">
        <f>Реестр_План_Факт!AC300</f>
        <v>0</v>
      </c>
      <c r="AD300" t="str">
        <f>Реестр_План_Факт!AD300</f>
        <v/>
      </c>
      <c r="AE300">
        <f>Реестр_План_Факт!AE300</f>
        <v>0</v>
      </c>
      <c r="AF300">
        <f>Реестр_План_Факт!AF300</f>
        <v>0</v>
      </c>
      <c r="AG300" t="str">
        <f>Реестр_План_Факт!AG300</f>
        <v/>
      </c>
      <c r="AH300">
        <f>Реестр_План_Факт!AH300</f>
        <v>0</v>
      </c>
      <c r="AI300">
        <f>Реестр_План_Факт!AI300</f>
        <v>0</v>
      </c>
      <c r="AJ300" t="str">
        <f>Реестр_План_Факт!AJ300</f>
        <v/>
      </c>
      <c r="AK300">
        <f>Реестр_План_Факт!AK300</f>
        <v>0</v>
      </c>
      <c r="AL300">
        <f>Реестр_План_Факт!AL300</f>
        <v>0</v>
      </c>
      <c r="AM300" t="str">
        <f>Реестр_План_Факт!AM300</f>
        <v/>
      </c>
      <c r="AN300">
        <f>Реестр_План_Факт!AN300</f>
        <v>0</v>
      </c>
      <c r="AO300">
        <f>Реестр_План_Факт!AO300</f>
        <v>0</v>
      </c>
      <c r="AP300" t="str">
        <f>Реестр_План_Факт!AP300</f>
        <v/>
      </c>
      <c r="AQ300">
        <f>Реестр_План_Факт!AQ300</f>
        <v>0</v>
      </c>
    </row>
    <row r="301" spans="1:43" x14ac:dyDescent="0.2">
      <c r="A301" s="201">
        <f>Реестр_План_Факт!A301</f>
        <v>46322</v>
      </c>
      <c r="B301">
        <f>Реестр_План_Факт!B301</f>
        <v>44</v>
      </c>
      <c r="C301">
        <f>Реестр_План_Факт!C301</f>
        <v>10</v>
      </c>
      <c r="D301">
        <f>Реестр_План_Факт!D301</f>
        <v>0</v>
      </c>
      <c r="E301">
        <f>Реестр_План_Факт!E301</f>
        <v>0</v>
      </c>
      <c r="F301" t="str">
        <f>Реестр_План_Факт!F301</f>
        <v/>
      </c>
      <c r="G301">
        <f>Реестр_План_Факт!G301</f>
        <v>0</v>
      </c>
      <c r="H301">
        <f>Реестр_План_Факт!H301</f>
        <v>0</v>
      </c>
      <c r="I301" t="str">
        <f>Реестр_План_Факт!I301</f>
        <v/>
      </c>
      <c r="J301">
        <f>Реестр_План_Факт!J301</f>
        <v>0</v>
      </c>
      <c r="K301">
        <f>Реестр_План_Факт!K301</f>
        <v>0</v>
      </c>
      <c r="L301" t="str">
        <f>Реестр_План_Факт!L301</f>
        <v/>
      </c>
      <c r="M301">
        <f>Реестр_План_Факт!M301</f>
        <v>0</v>
      </c>
      <c r="N301">
        <f>Реестр_План_Факт!N301</f>
        <v>0</v>
      </c>
      <c r="O301" t="str">
        <f>Реестр_План_Факт!O301</f>
        <v/>
      </c>
      <c r="P301">
        <f>Реестр_План_Факт!P301</f>
        <v>0</v>
      </c>
      <c r="Q301">
        <f>Реестр_План_Факт!Q301</f>
        <v>0</v>
      </c>
      <c r="R301" t="str">
        <f>Реестр_План_Факт!R301</f>
        <v/>
      </c>
      <c r="S301">
        <f>Реестр_План_Факт!S301</f>
        <v>0</v>
      </c>
      <c r="T301">
        <f>Реестр_План_Факт!T301</f>
        <v>0</v>
      </c>
      <c r="U301" t="str">
        <f>Реестр_План_Факт!U301</f>
        <v/>
      </c>
      <c r="V301">
        <f>Реестр_План_Факт!V301</f>
        <v>0</v>
      </c>
      <c r="W301">
        <f>Реестр_План_Факт!W301</f>
        <v>0</v>
      </c>
      <c r="X301" t="str">
        <f>Реестр_План_Факт!X301</f>
        <v/>
      </c>
      <c r="Y301">
        <f>Реестр_План_Факт!Y301</f>
        <v>0</v>
      </c>
      <c r="Z301">
        <f>Реестр_План_Факт!Z301</f>
        <v>0</v>
      </c>
      <c r="AA301" t="str">
        <f>Реестр_План_Факт!AA301</f>
        <v/>
      </c>
      <c r="AB301">
        <f>Реестр_План_Факт!AB301</f>
        <v>0</v>
      </c>
      <c r="AC301">
        <f>Реестр_План_Факт!AC301</f>
        <v>0</v>
      </c>
      <c r="AD301" t="str">
        <f>Реестр_План_Факт!AD301</f>
        <v/>
      </c>
      <c r="AE301">
        <f>Реестр_План_Факт!AE301</f>
        <v>0</v>
      </c>
      <c r="AF301">
        <f>Реестр_План_Факт!AF301</f>
        <v>0</v>
      </c>
      <c r="AG301" t="str">
        <f>Реестр_План_Факт!AG301</f>
        <v/>
      </c>
      <c r="AH301">
        <f>Реестр_План_Факт!AH301</f>
        <v>0</v>
      </c>
      <c r="AI301">
        <f>Реестр_План_Факт!AI301</f>
        <v>0</v>
      </c>
      <c r="AJ301" t="str">
        <f>Реестр_План_Факт!AJ301</f>
        <v/>
      </c>
      <c r="AK301">
        <f>Реестр_План_Факт!AK301</f>
        <v>0</v>
      </c>
      <c r="AL301">
        <f>Реестр_План_Факт!AL301</f>
        <v>0</v>
      </c>
      <c r="AM301" t="str">
        <f>Реестр_План_Факт!AM301</f>
        <v/>
      </c>
      <c r="AN301">
        <f>Реестр_План_Факт!AN301</f>
        <v>0</v>
      </c>
      <c r="AO301">
        <f>Реестр_План_Факт!AO301</f>
        <v>0</v>
      </c>
      <c r="AP301" t="str">
        <f>Реестр_План_Факт!AP301</f>
        <v/>
      </c>
      <c r="AQ301">
        <f>Реестр_План_Факт!AQ301</f>
        <v>0</v>
      </c>
    </row>
    <row r="302" spans="1:43" x14ac:dyDescent="0.2">
      <c r="A302" s="201">
        <f>Реестр_План_Факт!A302</f>
        <v>46323</v>
      </c>
      <c r="B302">
        <f>Реестр_План_Факт!B302</f>
        <v>44</v>
      </c>
      <c r="C302">
        <f>Реестр_План_Факт!C302</f>
        <v>10</v>
      </c>
      <c r="D302">
        <f>Реестр_План_Факт!D302</f>
        <v>0</v>
      </c>
      <c r="E302">
        <f>Реестр_План_Факт!E302</f>
        <v>0</v>
      </c>
      <c r="F302" t="str">
        <f>Реестр_План_Факт!F302</f>
        <v/>
      </c>
      <c r="G302">
        <f>Реестр_План_Факт!G302</f>
        <v>0</v>
      </c>
      <c r="H302">
        <f>Реестр_План_Факт!H302</f>
        <v>0</v>
      </c>
      <c r="I302" t="str">
        <f>Реестр_План_Факт!I302</f>
        <v/>
      </c>
      <c r="J302">
        <f>Реестр_План_Факт!J302</f>
        <v>0</v>
      </c>
      <c r="K302">
        <f>Реестр_План_Факт!K302</f>
        <v>0</v>
      </c>
      <c r="L302" t="str">
        <f>Реестр_План_Факт!L302</f>
        <v/>
      </c>
      <c r="M302">
        <f>Реестр_План_Факт!M302</f>
        <v>0</v>
      </c>
      <c r="N302">
        <f>Реестр_План_Факт!N302</f>
        <v>0</v>
      </c>
      <c r="O302" t="str">
        <f>Реестр_План_Факт!O302</f>
        <v/>
      </c>
      <c r="P302">
        <f>Реестр_План_Факт!P302</f>
        <v>0</v>
      </c>
      <c r="Q302">
        <f>Реестр_План_Факт!Q302</f>
        <v>0</v>
      </c>
      <c r="R302" t="str">
        <f>Реестр_План_Факт!R302</f>
        <v/>
      </c>
      <c r="S302">
        <f>Реестр_План_Факт!S302</f>
        <v>0</v>
      </c>
      <c r="T302">
        <f>Реестр_План_Факт!T302</f>
        <v>0</v>
      </c>
      <c r="U302" t="str">
        <f>Реестр_План_Факт!U302</f>
        <v/>
      </c>
      <c r="V302">
        <f>Реестр_План_Факт!V302</f>
        <v>0</v>
      </c>
      <c r="W302">
        <f>Реестр_План_Факт!W302</f>
        <v>0</v>
      </c>
      <c r="X302" t="str">
        <f>Реестр_План_Факт!X302</f>
        <v/>
      </c>
      <c r="Y302">
        <f>Реестр_План_Факт!Y302</f>
        <v>0</v>
      </c>
      <c r="Z302">
        <f>Реестр_План_Факт!Z302</f>
        <v>0</v>
      </c>
      <c r="AA302" t="str">
        <f>Реестр_План_Факт!AA302</f>
        <v/>
      </c>
      <c r="AB302">
        <f>Реестр_План_Факт!AB302</f>
        <v>0</v>
      </c>
      <c r="AC302">
        <f>Реестр_План_Факт!AC302</f>
        <v>0</v>
      </c>
      <c r="AD302" t="str">
        <f>Реестр_План_Факт!AD302</f>
        <v/>
      </c>
      <c r="AE302">
        <f>Реестр_План_Факт!AE302</f>
        <v>0</v>
      </c>
      <c r="AF302">
        <f>Реестр_План_Факт!AF302</f>
        <v>0</v>
      </c>
      <c r="AG302" t="str">
        <f>Реестр_План_Факт!AG302</f>
        <v/>
      </c>
      <c r="AH302">
        <f>Реестр_План_Факт!AH302</f>
        <v>0</v>
      </c>
      <c r="AI302">
        <f>Реестр_План_Факт!AI302</f>
        <v>0</v>
      </c>
      <c r="AJ302" t="str">
        <f>Реестр_План_Факт!AJ302</f>
        <v/>
      </c>
      <c r="AK302">
        <f>Реестр_План_Факт!AK302</f>
        <v>0</v>
      </c>
      <c r="AL302">
        <f>Реестр_План_Факт!AL302</f>
        <v>0</v>
      </c>
      <c r="AM302" t="str">
        <f>Реестр_План_Факт!AM302</f>
        <v/>
      </c>
      <c r="AN302">
        <f>Реестр_План_Факт!AN302</f>
        <v>0</v>
      </c>
      <c r="AO302">
        <f>Реестр_План_Факт!AO302</f>
        <v>0</v>
      </c>
      <c r="AP302" t="str">
        <f>Реестр_План_Факт!AP302</f>
        <v/>
      </c>
      <c r="AQ302">
        <f>Реестр_План_Факт!AQ302</f>
        <v>0</v>
      </c>
    </row>
    <row r="303" spans="1:43" x14ac:dyDescent="0.2">
      <c r="A303" s="201">
        <f>Реестр_План_Факт!A303</f>
        <v>46324</v>
      </c>
      <c r="B303">
        <f>Реестр_План_Факт!B303</f>
        <v>44</v>
      </c>
      <c r="C303">
        <f>Реестр_План_Факт!C303</f>
        <v>10</v>
      </c>
      <c r="D303">
        <f>Реестр_План_Факт!D303</f>
        <v>0</v>
      </c>
      <c r="E303">
        <f>Реестр_План_Факт!E303</f>
        <v>0</v>
      </c>
      <c r="F303" t="str">
        <f>Реестр_План_Факт!F303</f>
        <v/>
      </c>
      <c r="G303">
        <f>Реестр_План_Факт!G303</f>
        <v>0</v>
      </c>
      <c r="H303">
        <f>Реестр_План_Факт!H303</f>
        <v>0</v>
      </c>
      <c r="I303" t="str">
        <f>Реестр_План_Факт!I303</f>
        <v/>
      </c>
      <c r="J303">
        <f>Реестр_План_Факт!J303</f>
        <v>0</v>
      </c>
      <c r="K303">
        <f>Реестр_План_Факт!K303</f>
        <v>0</v>
      </c>
      <c r="L303" t="str">
        <f>Реестр_План_Факт!L303</f>
        <v/>
      </c>
      <c r="M303">
        <f>Реестр_План_Факт!M303</f>
        <v>0</v>
      </c>
      <c r="N303">
        <f>Реестр_План_Факт!N303</f>
        <v>0</v>
      </c>
      <c r="O303" t="str">
        <f>Реестр_План_Факт!O303</f>
        <v/>
      </c>
      <c r="P303">
        <f>Реестр_План_Факт!P303</f>
        <v>0</v>
      </c>
      <c r="Q303">
        <f>Реестр_План_Факт!Q303</f>
        <v>0</v>
      </c>
      <c r="R303" t="str">
        <f>Реестр_План_Факт!R303</f>
        <v/>
      </c>
      <c r="S303">
        <f>Реестр_План_Факт!S303</f>
        <v>0</v>
      </c>
      <c r="T303">
        <f>Реестр_План_Факт!T303</f>
        <v>0</v>
      </c>
      <c r="U303" t="str">
        <f>Реестр_План_Факт!U303</f>
        <v/>
      </c>
      <c r="V303">
        <f>Реестр_План_Факт!V303</f>
        <v>0</v>
      </c>
      <c r="W303">
        <f>Реестр_План_Факт!W303</f>
        <v>0</v>
      </c>
      <c r="X303" t="str">
        <f>Реестр_План_Факт!X303</f>
        <v/>
      </c>
      <c r="Y303">
        <f>Реестр_План_Факт!Y303</f>
        <v>0</v>
      </c>
      <c r="Z303">
        <f>Реестр_План_Факт!Z303</f>
        <v>0</v>
      </c>
      <c r="AA303" t="str">
        <f>Реестр_План_Факт!AA303</f>
        <v/>
      </c>
      <c r="AB303">
        <f>Реестр_План_Факт!AB303</f>
        <v>0</v>
      </c>
      <c r="AC303">
        <f>Реестр_План_Факт!AC303</f>
        <v>0</v>
      </c>
      <c r="AD303" t="str">
        <f>Реестр_План_Факт!AD303</f>
        <v/>
      </c>
      <c r="AE303">
        <f>Реестр_План_Факт!AE303</f>
        <v>0</v>
      </c>
      <c r="AF303">
        <f>Реестр_План_Факт!AF303</f>
        <v>0</v>
      </c>
      <c r="AG303" t="str">
        <f>Реестр_План_Факт!AG303</f>
        <v/>
      </c>
      <c r="AH303">
        <f>Реестр_План_Факт!AH303</f>
        <v>0</v>
      </c>
      <c r="AI303">
        <f>Реестр_План_Факт!AI303</f>
        <v>0</v>
      </c>
      <c r="AJ303" t="str">
        <f>Реестр_План_Факт!AJ303</f>
        <v/>
      </c>
      <c r="AK303">
        <f>Реестр_План_Факт!AK303</f>
        <v>0</v>
      </c>
      <c r="AL303">
        <f>Реестр_План_Факт!AL303</f>
        <v>0</v>
      </c>
      <c r="AM303" t="str">
        <f>Реестр_План_Факт!AM303</f>
        <v/>
      </c>
      <c r="AN303">
        <f>Реестр_План_Факт!AN303</f>
        <v>0</v>
      </c>
      <c r="AO303">
        <f>Реестр_План_Факт!AO303</f>
        <v>0</v>
      </c>
      <c r="AP303" t="str">
        <f>Реестр_План_Факт!AP303</f>
        <v/>
      </c>
      <c r="AQ303">
        <f>Реестр_План_Факт!AQ303</f>
        <v>0</v>
      </c>
    </row>
    <row r="304" spans="1:43" x14ac:dyDescent="0.2">
      <c r="A304" s="201">
        <f>Реестр_План_Факт!A304</f>
        <v>46325</v>
      </c>
      <c r="B304">
        <f>Реестр_План_Факт!B304</f>
        <v>44</v>
      </c>
      <c r="C304">
        <f>Реестр_План_Факт!C304</f>
        <v>10</v>
      </c>
      <c r="D304">
        <f>Реестр_План_Факт!D304</f>
        <v>0</v>
      </c>
      <c r="E304">
        <f>Реестр_План_Факт!E304</f>
        <v>0</v>
      </c>
      <c r="F304" t="str">
        <f>Реестр_План_Факт!F304</f>
        <v/>
      </c>
      <c r="G304">
        <f>Реестр_План_Факт!G304</f>
        <v>0</v>
      </c>
      <c r="H304">
        <f>Реестр_План_Факт!H304</f>
        <v>0</v>
      </c>
      <c r="I304" t="str">
        <f>Реестр_План_Факт!I304</f>
        <v/>
      </c>
      <c r="J304">
        <f>Реестр_План_Факт!J304</f>
        <v>0</v>
      </c>
      <c r="K304">
        <f>Реестр_План_Факт!K304</f>
        <v>0</v>
      </c>
      <c r="L304" t="str">
        <f>Реестр_План_Факт!L304</f>
        <v/>
      </c>
      <c r="M304">
        <f>Реестр_План_Факт!M304</f>
        <v>0</v>
      </c>
      <c r="N304">
        <f>Реестр_План_Факт!N304</f>
        <v>0</v>
      </c>
      <c r="O304" t="str">
        <f>Реестр_План_Факт!O304</f>
        <v/>
      </c>
      <c r="P304">
        <f>Реестр_План_Факт!P304</f>
        <v>0</v>
      </c>
      <c r="Q304">
        <f>Реестр_План_Факт!Q304</f>
        <v>0</v>
      </c>
      <c r="R304" t="str">
        <f>Реестр_План_Факт!R304</f>
        <v/>
      </c>
      <c r="S304">
        <f>Реестр_План_Факт!S304</f>
        <v>0</v>
      </c>
      <c r="T304">
        <f>Реестр_План_Факт!T304</f>
        <v>0</v>
      </c>
      <c r="U304" t="str">
        <f>Реестр_План_Факт!U304</f>
        <v/>
      </c>
      <c r="V304">
        <f>Реестр_План_Факт!V304</f>
        <v>0</v>
      </c>
      <c r="W304">
        <f>Реестр_План_Факт!W304</f>
        <v>0</v>
      </c>
      <c r="X304" t="str">
        <f>Реестр_План_Факт!X304</f>
        <v/>
      </c>
      <c r="Y304">
        <f>Реестр_План_Факт!Y304</f>
        <v>0</v>
      </c>
      <c r="Z304">
        <f>Реестр_План_Факт!Z304</f>
        <v>0</v>
      </c>
      <c r="AA304" t="str">
        <f>Реестр_План_Факт!AA304</f>
        <v/>
      </c>
      <c r="AB304">
        <f>Реестр_План_Факт!AB304</f>
        <v>0</v>
      </c>
      <c r="AC304">
        <f>Реестр_План_Факт!AC304</f>
        <v>0</v>
      </c>
      <c r="AD304" t="str">
        <f>Реестр_План_Факт!AD304</f>
        <v/>
      </c>
      <c r="AE304">
        <f>Реестр_План_Факт!AE304</f>
        <v>0</v>
      </c>
      <c r="AF304">
        <f>Реестр_План_Факт!AF304</f>
        <v>0</v>
      </c>
      <c r="AG304" t="str">
        <f>Реестр_План_Факт!AG304</f>
        <v/>
      </c>
      <c r="AH304">
        <f>Реестр_План_Факт!AH304</f>
        <v>0</v>
      </c>
      <c r="AI304">
        <f>Реестр_План_Факт!AI304</f>
        <v>0</v>
      </c>
      <c r="AJ304" t="str">
        <f>Реестр_План_Факт!AJ304</f>
        <v/>
      </c>
      <c r="AK304">
        <f>Реестр_План_Факт!AK304</f>
        <v>0</v>
      </c>
      <c r="AL304">
        <f>Реестр_План_Факт!AL304</f>
        <v>0</v>
      </c>
      <c r="AM304" t="str">
        <f>Реестр_План_Факт!AM304</f>
        <v/>
      </c>
      <c r="AN304">
        <f>Реестр_План_Факт!AN304</f>
        <v>0</v>
      </c>
      <c r="AO304">
        <f>Реестр_План_Факт!AO304</f>
        <v>0</v>
      </c>
      <c r="AP304" t="str">
        <f>Реестр_План_Факт!AP304</f>
        <v/>
      </c>
      <c r="AQ304">
        <f>Реестр_План_Факт!AQ304</f>
        <v>0</v>
      </c>
    </row>
    <row r="305" spans="1:43" x14ac:dyDescent="0.2">
      <c r="A305" s="201">
        <f>Реестр_План_Факт!A305</f>
        <v>46326</v>
      </c>
      <c r="B305">
        <f>Реестр_План_Факт!B305</f>
        <v>44</v>
      </c>
      <c r="C305">
        <f>Реестр_План_Факт!C305</f>
        <v>10</v>
      </c>
      <c r="D305">
        <f>Реестр_План_Факт!D305</f>
        <v>0</v>
      </c>
      <c r="E305">
        <f>Реестр_План_Факт!E305</f>
        <v>0</v>
      </c>
      <c r="F305" t="str">
        <f>Реестр_План_Факт!F305</f>
        <v/>
      </c>
      <c r="G305">
        <f>Реестр_План_Факт!G305</f>
        <v>0</v>
      </c>
      <c r="H305">
        <f>Реестр_План_Факт!H305</f>
        <v>0</v>
      </c>
      <c r="I305" t="str">
        <f>Реестр_План_Факт!I305</f>
        <v/>
      </c>
      <c r="J305">
        <f>Реестр_План_Факт!J305</f>
        <v>0</v>
      </c>
      <c r="K305">
        <f>Реестр_План_Факт!K305</f>
        <v>0</v>
      </c>
      <c r="L305" t="str">
        <f>Реестр_План_Факт!L305</f>
        <v/>
      </c>
      <c r="M305">
        <f>Реестр_План_Факт!M305</f>
        <v>0</v>
      </c>
      <c r="N305">
        <f>Реестр_План_Факт!N305</f>
        <v>0</v>
      </c>
      <c r="O305" t="str">
        <f>Реестр_План_Факт!O305</f>
        <v/>
      </c>
      <c r="P305">
        <f>Реестр_План_Факт!P305</f>
        <v>0</v>
      </c>
      <c r="Q305">
        <f>Реестр_План_Факт!Q305</f>
        <v>0</v>
      </c>
      <c r="R305" t="str">
        <f>Реестр_План_Факт!R305</f>
        <v/>
      </c>
      <c r="S305">
        <f>Реестр_План_Факт!S305</f>
        <v>0</v>
      </c>
      <c r="T305">
        <f>Реестр_План_Факт!T305</f>
        <v>0</v>
      </c>
      <c r="U305" t="str">
        <f>Реестр_План_Факт!U305</f>
        <v/>
      </c>
      <c r="V305">
        <f>Реестр_План_Факт!V305</f>
        <v>0</v>
      </c>
      <c r="W305">
        <f>Реестр_План_Факт!W305</f>
        <v>0</v>
      </c>
      <c r="X305" t="str">
        <f>Реестр_План_Факт!X305</f>
        <v/>
      </c>
      <c r="Y305">
        <f>Реестр_План_Факт!Y305</f>
        <v>0</v>
      </c>
      <c r="Z305">
        <f>Реестр_План_Факт!Z305</f>
        <v>0</v>
      </c>
      <c r="AA305" t="str">
        <f>Реестр_План_Факт!AA305</f>
        <v/>
      </c>
      <c r="AB305">
        <f>Реестр_План_Факт!AB305</f>
        <v>0</v>
      </c>
      <c r="AC305">
        <f>Реестр_План_Факт!AC305</f>
        <v>0</v>
      </c>
      <c r="AD305" t="str">
        <f>Реестр_План_Факт!AD305</f>
        <v/>
      </c>
      <c r="AE305">
        <f>Реестр_План_Факт!AE305</f>
        <v>0</v>
      </c>
      <c r="AF305">
        <f>Реестр_План_Факт!AF305</f>
        <v>0</v>
      </c>
      <c r="AG305" t="str">
        <f>Реестр_План_Факт!AG305</f>
        <v/>
      </c>
      <c r="AH305">
        <f>Реестр_План_Факт!AH305</f>
        <v>0</v>
      </c>
      <c r="AI305">
        <f>Реестр_План_Факт!AI305</f>
        <v>0</v>
      </c>
      <c r="AJ305" t="str">
        <f>Реестр_План_Факт!AJ305</f>
        <v/>
      </c>
      <c r="AK305">
        <f>Реестр_План_Факт!AK305</f>
        <v>0</v>
      </c>
      <c r="AL305">
        <f>Реестр_План_Факт!AL305</f>
        <v>0</v>
      </c>
      <c r="AM305" t="str">
        <f>Реестр_План_Факт!AM305</f>
        <v/>
      </c>
      <c r="AN305">
        <f>Реестр_План_Факт!AN305</f>
        <v>0</v>
      </c>
      <c r="AO305">
        <f>Реестр_План_Факт!AO305</f>
        <v>0</v>
      </c>
      <c r="AP305" t="str">
        <f>Реестр_План_Факт!AP305</f>
        <v/>
      </c>
      <c r="AQ305">
        <f>Реестр_План_Факт!AQ305</f>
        <v>0</v>
      </c>
    </row>
    <row r="306" spans="1:43" x14ac:dyDescent="0.2">
      <c r="A306" s="201">
        <f>Реестр_План_Факт!A306</f>
        <v>46327</v>
      </c>
      <c r="B306">
        <f>Реестр_План_Факт!B306</f>
        <v>44</v>
      </c>
      <c r="C306">
        <f>Реестр_План_Факт!C306</f>
        <v>11</v>
      </c>
      <c r="D306">
        <f>Реестр_План_Факт!D306</f>
        <v>0</v>
      </c>
      <c r="E306">
        <f>Реестр_План_Факт!E306</f>
        <v>0</v>
      </c>
      <c r="F306" t="str">
        <f>Реестр_План_Факт!F306</f>
        <v/>
      </c>
      <c r="G306">
        <f>Реестр_План_Факт!G306</f>
        <v>0</v>
      </c>
      <c r="H306">
        <f>Реестр_План_Факт!H306</f>
        <v>0</v>
      </c>
      <c r="I306" t="str">
        <f>Реестр_План_Факт!I306</f>
        <v/>
      </c>
      <c r="J306">
        <f>Реестр_План_Факт!J306</f>
        <v>0</v>
      </c>
      <c r="K306">
        <f>Реестр_План_Факт!K306</f>
        <v>0</v>
      </c>
      <c r="L306" t="str">
        <f>Реестр_План_Факт!L306</f>
        <v/>
      </c>
      <c r="M306">
        <f>Реестр_План_Факт!M306</f>
        <v>0</v>
      </c>
      <c r="N306">
        <f>Реестр_План_Факт!N306</f>
        <v>0</v>
      </c>
      <c r="O306" t="str">
        <f>Реестр_План_Факт!O306</f>
        <v/>
      </c>
      <c r="P306">
        <f>Реестр_План_Факт!P306</f>
        <v>0</v>
      </c>
      <c r="Q306">
        <f>Реестр_План_Факт!Q306</f>
        <v>0</v>
      </c>
      <c r="R306" t="str">
        <f>Реестр_План_Факт!R306</f>
        <v/>
      </c>
      <c r="S306">
        <f>Реестр_План_Факт!S306</f>
        <v>0</v>
      </c>
      <c r="T306">
        <f>Реестр_План_Факт!T306</f>
        <v>0</v>
      </c>
      <c r="U306" t="str">
        <f>Реестр_План_Факт!U306</f>
        <v/>
      </c>
      <c r="V306">
        <f>Реестр_План_Факт!V306</f>
        <v>0</v>
      </c>
      <c r="W306">
        <f>Реестр_План_Факт!W306</f>
        <v>0</v>
      </c>
      <c r="X306" t="str">
        <f>Реестр_План_Факт!X306</f>
        <v/>
      </c>
      <c r="Y306">
        <f>Реестр_План_Факт!Y306</f>
        <v>0</v>
      </c>
      <c r="Z306">
        <f>Реестр_План_Факт!Z306</f>
        <v>0</v>
      </c>
      <c r="AA306" t="str">
        <f>Реестр_План_Факт!AA306</f>
        <v/>
      </c>
      <c r="AB306">
        <f>Реестр_План_Факт!AB306</f>
        <v>0</v>
      </c>
      <c r="AC306">
        <f>Реестр_План_Факт!AC306</f>
        <v>0</v>
      </c>
      <c r="AD306" t="str">
        <f>Реестр_План_Факт!AD306</f>
        <v/>
      </c>
      <c r="AE306">
        <f>Реестр_План_Факт!AE306</f>
        <v>0</v>
      </c>
      <c r="AF306">
        <f>Реестр_План_Факт!AF306</f>
        <v>0</v>
      </c>
      <c r="AG306" t="str">
        <f>Реестр_План_Факт!AG306</f>
        <v/>
      </c>
      <c r="AH306">
        <f>Реестр_План_Факт!AH306</f>
        <v>0</v>
      </c>
      <c r="AI306">
        <f>Реестр_План_Факт!AI306</f>
        <v>0</v>
      </c>
      <c r="AJ306" t="str">
        <f>Реестр_План_Факт!AJ306</f>
        <v/>
      </c>
      <c r="AK306">
        <f>Реестр_План_Факт!AK306</f>
        <v>0</v>
      </c>
      <c r="AL306">
        <f>Реестр_План_Факт!AL306</f>
        <v>0</v>
      </c>
      <c r="AM306" t="str">
        <f>Реестр_План_Факт!AM306</f>
        <v/>
      </c>
      <c r="AN306">
        <f>Реестр_План_Факт!AN306</f>
        <v>0</v>
      </c>
      <c r="AO306">
        <f>Реестр_План_Факт!AO306</f>
        <v>0</v>
      </c>
      <c r="AP306" t="str">
        <f>Реестр_План_Факт!AP306</f>
        <v/>
      </c>
      <c r="AQ306">
        <f>Реестр_План_Факт!AQ306</f>
        <v>0</v>
      </c>
    </row>
    <row r="307" spans="1:43" x14ac:dyDescent="0.2">
      <c r="A307" s="201">
        <f>Реестр_План_Факт!A307</f>
        <v>46328</v>
      </c>
      <c r="B307">
        <f>Реестр_План_Факт!B307</f>
        <v>45</v>
      </c>
      <c r="C307">
        <f>Реестр_План_Факт!C307</f>
        <v>11</v>
      </c>
      <c r="D307">
        <f>Реестр_План_Факт!D307</f>
        <v>0</v>
      </c>
      <c r="E307">
        <f>Реестр_План_Факт!E307</f>
        <v>0</v>
      </c>
      <c r="F307" t="str">
        <f>Реестр_План_Факт!F307</f>
        <v/>
      </c>
      <c r="G307">
        <f>Реестр_План_Факт!G307</f>
        <v>0</v>
      </c>
      <c r="H307">
        <f>Реестр_План_Факт!H307</f>
        <v>0</v>
      </c>
      <c r="I307" t="str">
        <f>Реестр_План_Факт!I307</f>
        <v/>
      </c>
      <c r="J307">
        <f>Реестр_План_Факт!J307</f>
        <v>0</v>
      </c>
      <c r="K307">
        <f>Реестр_План_Факт!K307</f>
        <v>0</v>
      </c>
      <c r="L307" t="str">
        <f>Реестр_План_Факт!L307</f>
        <v/>
      </c>
      <c r="M307">
        <f>Реестр_План_Факт!M307</f>
        <v>0</v>
      </c>
      <c r="N307">
        <f>Реестр_План_Факт!N307</f>
        <v>0</v>
      </c>
      <c r="O307" t="str">
        <f>Реестр_План_Факт!O307</f>
        <v/>
      </c>
      <c r="P307">
        <f>Реестр_План_Факт!P307</f>
        <v>0</v>
      </c>
      <c r="Q307">
        <f>Реестр_План_Факт!Q307</f>
        <v>0</v>
      </c>
      <c r="R307" t="str">
        <f>Реестр_План_Факт!R307</f>
        <v/>
      </c>
      <c r="S307">
        <f>Реестр_План_Факт!S307</f>
        <v>0</v>
      </c>
      <c r="T307">
        <f>Реестр_План_Факт!T307</f>
        <v>0</v>
      </c>
      <c r="U307" t="str">
        <f>Реестр_План_Факт!U307</f>
        <v/>
      </c>
      <c r="V307">
        <f>Реестр_План_Факт!V307</f>
        <v>0</v>
      </c>
      <c r="W307">
        <f>Реестр_План_Факт!W307</f>
        <v>0</v>
      </c>
      <c r="X307" t="str">
        <f>Реестр_План_Факт!X307</f>
        <v/>
      </c>
      <c r="Y307">
        <f>Реестр_План_Факт!Y307</f>
        <v>0</v>
      </c>
      <c r="Z307">
        <f>Реестр_План_Факт!Z307</f>
        <v>0</v>
      </c>
      <c r="AA307" t="str">
        <f>Реестр_План_Факт!AA307</f>
        <v/>
      </c>
      <c r="AB307">
        <f>Реестр_План_Факт!AB307</f>
        <v>0</v>
      </c>
      <c r="AC307">
        <f>Реестр_План_Факт!AC307</f>
        <v>0</v>
      </c>
      <c r="AD307" t="str">
        <f>Реестр_План_Факт!AD307</f>
        <v/>
      </c>
      <c r="AE307">
        <f>Реестр_План_Факт!AE307</f>
        <v>0</v>
      </c>
      <c r="AF307">
        <f>Реестр_План_Факт!AF307</f>
        <v>0</v>
      </c>
      <c r="AG307" t="str">
        <f>Реестр_План_Факт!AG307</f>
        <v/>
      </c>
      <c r="AH307">
        <f>Реестр_План_Факт!AH307</f>
        <v>0</v>
      </c>
      <c r="AI307">
        <f>Реестр_План_Факт!AI307</f>
        <v>0</v>
      </c>
      <c r="AJ307" t="str">
        <f>Реестр_План_Факт!AJ307</f>
        <v/>
      </c>
      <c r="AK307">
        <f>Реестр_План_Факт!AK307</f>
        <v>0</v>
      </c>
      <c r="AL307">
        <f>Реестр_План_Факт!AL307</f>
        <v>0</v>
      </c>
      <c r="AM307" t="str">
        <f>Реестр_План_Факт!AM307</f>
        <v/>
      </c>
      <c r="AN307">
        <f>Реестр_План_Факт!AN307</f>
        <v>0</v>
      </c>
      <c r="AO307">
        <f>Реестр_План_Факт!AO307</f>
        <v>0</v>
      </c>
      <c r="AP307" t="str">
        <f>Реестр_План_Факт!AP307</f>
        <v/>
      </c>
      <c r="AQ307">
        <f>Реестр_План_Факт!AQ307</f>
        <v>0</v>
      </c>
    </row>
    <row r="308" spans="1:43" x14ac:dyDescent="0.2">
      <c r="A308" s="201">
        <f>Реестр_План_Факт!A308</f>
        <v>46329</v>
      </c>
      <c r="B308">
        <f>Реестр_План_Факт!B308</f>
        <v>45</v>
      </c>
      <c r="C308">
        <f>Реестр_План_Факт!C308</f>
        <v>11</v>
      </c>
      <c r="D308">
        <f>Реестр_План_Факт!D308</f>
        <v>0</v>
      </c>
      <c r="E308">
        <f>Реестр_План_Факт!E308</f>
        <v>0</v>
      </c>
      <c r="F308" t="str">
        <f>Реестр_План_Факт!F308</f>
        <v/>
      </c>
      <c r="G308">
        <f>Реестр_План_Факт!G308</f>
        <v>0</v>
      </c>
      <c r="H308">
        <f>Реестр_План_Факт!H308</f>
        <v>0</v>
      </c>
      <c r="I308" t="str">
        <f>Реестр_План_Факт!I308</f>
        <v/>
      </c>
      <c r="J308">
        <f>Реестр_План_Факт!J308</f>
        <v>0</v>
      </c>
      <c r="K308">
        <f>Реестр_План_Факт!K308</f>
        <v>0</v>
      </c>
      <c r="L308" t="str">
        <f>Реестр_План_Факт!L308</f>
        <v/>
      </c>
      <c r="M308">
        <f>Реестр_План_Факт!M308</f>
        <v>0</v>
      </c>
      <c r="N308">
        <f>Реестр_План_Факт!N308</f>
        <v>0</v>
      </c>
      <c r="O308" t="str">
        <f>Реестр_План_Факт!O308</f>
        <v/>
      </c>
      <c r="P308">
        <f>Реестр_План_Факт!P308</f>
        <v>0</v>
      </c>
      <c r="Q308">
        <f>Реестр_План_Факт!Q308</f>
        <v>0</v>
      </c>
      <c r="R308" t="str">
        <f>Реестр_План_Факт!R308</f>
        <v/>
      </c>
      <c r="S308">
        <f>Реестр_План_Факт!S308</f>
        <v>0</v>
      </c>
      <c r="T308">
        <f>Реестр_План_Факт!T308</f>
        <v>0</v>
      </c>
      <c r="U308" t="str">
        <f>Реестр_План_Факт!U308</f>
        <v/>
      </c>
      <c r="V308">
        <f>Реестр_План_Факт!V308</f>
        <v>0</v>
      </c>
      <c r="W308">
        <f>Реестр_План_Факт!W308</f>
        <v>0</v>
      </c>
      <c r="X308" t="str">
        <f>Реестр_План_Факт!X308</f>
        <v/>
      </c>
      <c r="Y308">
        <f>Реестр_План_Факт!Y308</f>
        <v>0</v>
      </c>
      <c r="Z308">
        <f>Реестр_План_Факт!Z308</f>
        <v>0</v>
      </c>
      <c r="AA308" t="str">
        <f>Реестр_План_Факт!AA308</f>
        <v/>
      </c>
      <c r="AB308">
        <f>Реестр_План_Факт!AB308</f>
        <v>0</v>
      </c>
      <c r="AC308">
        <f>Реестр_План_Факт!AC308</f>
        <v>0</v>
      </c>
      <c r="AD308" t="str">
        <f>Реестр_План_Факт!AD308</f>
        <v/>
      </c>
      <c r="AE308">
        <f>Реестр_План_Факт!AE308</f>
        <v>0</v>
      </c>
      <c r="AF308">
        <f>Реестр_План_Факт!AF308</f>
        <v>0</v>
      </c>
      <c r="AG308" t="str">
        <f>Реестр_План_Факт!AG308</f>
        <v/>
      </c>
      <c r="AH308">
        <f>Реестр_План_Факт!AH308</f>
        <v>0</v>
      </c>
      <c r="AI308">
        <f>Реестр_План_Факт!AI308</f>
        <v>0</v>
      </c>
      <c r="AJ308" t="str">
        <f>Реестр_План_Факт!AJ308</f>
        <v/>
      </c>
      <c r="AK308">
        <f>Реестр_План_Факт!AK308</f>
        <v>0</v>
      </c>
      <c r="AL308">
        <f>Реестр_План_Факт!AL308</f>
        <v>0</v>
      </c>
      <c r="AM308" t="str">
        <f>Реестр_План_Факт!AM308</f>
        <v/>
      </c>
      <c r="AN308">
        <f>Реестр_План_Факт!AN308</f>
        <v>0</v>
      </c>
      <c r="AO308">
        <f>Реестр_План_Факт!AO308</f>
        <v>0</v>
      </c>
      <c r="AP308" t="str">
        <f>Реестр_План_Факт!AP308</f>
        <v/>
      </c>
      <c r="AQ308">
        <f>Реестр_План_Факт!AQ308</f>
        <v>0</v>
      </c>
    </row>
    <row r="309" spans="1:43" x14ac:dyDescent="0.2">
      <c r="A309" s="201">
        <f>Реестр_План_Факт!A309</f>
        <v>46330</v>
      </c>
      <c r="B309">
        <f>Реестр_План_Факт!B309</f>
        <v>45</v>
      </c>
      <c r="C309">
        <f>Реестр_План_Факт!C309</f>
        <v>11</v>
      </c>
      <c r="D309">
        <f>Реестр_План_Факт!D309</f>
        <v>0</v>
      </c>
      <c r="E309">
        <f>Реестр_План_Факт!E309</f>
        <v>0</v>
      </c>
      <c r="F309" t="str">
        <f>Реестр_План_Факт!F309</f>
        <v/>
      </c>
      <c r="G309">
        <f>Реестр_План_Факт!G309</f>
        <v>0</v>
      </c>
      <c r="H309">
        <f>Реестр_План_Факт!H309</f>
        <v>0</v>
      </c>
      <c r="I309" t="str">
        <f>Реестр_План_Факт!I309</f>
        <v/>
      </c>
      <c r="J309">
        <f>Реестр_План_Факт!J309</f>
        <v>0</v>
      </c>
      <c r="K309">
        <f>Реестр_План_Факт!K309</f>
        <v>0</v>
      </c>
      <c r="L309" t="str">
        <f>Реестр_План_Факт!L309</f>
        <v/>
      </c>
      <c r="M309">
        <f>Реестр_План_Факт!M309</f>
        <v>0</v>
      </c>
      <c r="N309">
        <f>Реестр_План_Факт!N309</f>
        <v>0</v>
      </c>
      <c r="O309" t="str">
        <f>Реестр_План_Факт!O309</f>
        <v/>
      </c>
      <c r="P309">
        <f>Реестр_План_Факт!P309</f>
        <v>0</v>
      </c>
      <c r="Q309">
        <f>Реестр_План_Факт!Q309</f>
        <v>0</v>
      </c>
      <c r="R309" t="str">
        <f>Реестр_План_Факт!R309</f>
        <v/>
      </c>
      <c r="S309">
        <f>Реестр_План_Факт!S309</f>
        <v>0</v>
      </c>
      <c r="T309">
        <f>Реестр_План_Факт!T309</f>
        <v>0</v>
      </c>
      <c r="U309" t="str">
        <f>Реестр_План_Факт!U309</f>
        <v/>
      </c>
      <c r="V309">
        <f>Реестр_План_Факт!V309</f>
        <v>0</v>
      </c>
      <c r="W309">
        <f>Реестр_План_Факт!W309</f>
        <v>0</v>
      </c>
      <c r="X309" t="str">
        <f>Реестр_План_Факт!X309</f>
        <v/>
      </c>
      <c r="Y309">
        <f>Реестр_План_Факт!Y309</f>
        <v>0</v>
      </c>
      <c r="Z309">
        <f>Реестр_План_Факт!Z309</f>
        <v>0</v>
      </c>
      <c r="AA309" t="str">
        <f>Реестр_План_Факт!AA309</f>
        <v/>
      </c>
      <c r="AB309">
        <f>Реестр_План_Факт!AB309</f>
        <v>0</v>
      </c>
      <c r="AC309">
        <f>Реестр_План_Факт!AC309</f>
        <v>0</v>
      </c>
      <c r="AD309" t="str">
        <f>Реестр_План_Факт!AD309</f>
        <v/>
      </c>
      <c r="AE309">
        <f>Реестр_План_Факт!AE309</f>
        <v>0</v>
      </c>
      <c r="AF309">
        <f>Реестр_План_Факт!AF309</f>
        <v>0</v>
      </c>
      <c r="AG309" t="str">
        <f>Реестр_План_Факт!AG309</f>
        <v/>
      </c>
      <c r="AH309">
        <f>Реестр_План_Факт!AH309</f>
        <v>0</v>
      </c>
      <c r="AI309">
        <f>Реестр_План_Факт!AI309</f>
        <v>0</v>
      </c>
      <c r="AJ309" t="str">
        <f>Реестр_План_Факт!AJ309</f>
        <v/>
      </c>
      <c r="AK309">
        <f>Реестр_План_Факт!AK309</f>
        <v>0</v>
      </c>
      <c r="AL309">
        <f>Реестр_План_Факт!AL309</f>
        <v>0</v>
      </c>
      <c r="AM309" t="str">
        <f>Реестр_План_Факт!AM309</f>
        <v/>
      </c>
      <c r="AN309">
        <f>Реестр_План_Факт!AN309</f>
        <v>0</v>
      </c>
      <c r="AO309">
        <f>Реестр_План_Факт!AO309</f>
        <v>0</v>
      </c>
      <c r="AP309" t="str">
        <f>Реестр_План_Факт!AP309</f>
        <v/>
      </c>
      <c r="AQ309">
        <f>Реестр_План_Факт!AQ309</f>
        <v>0</v>
      </c>
    </row>
    <row r="310" spans="1:43" x14ac:dyDescent="0.2">
      <c r="A310" s="201">
        <f>Реестр_План_Факт!A310</f>
        <v>46331</v>
      </c>
      <c r="B310">
        <f>Реестр_План_Факт!B310</f>
        <v>45</v>
      </c>
      <c r="C310">
        <f>Реестр_План_Факт!C310</f>
        <v>11</v>
      </c>
      <c r="D310">
        <f>Реестр_План_Факт!D310</f>
        <v>0</v>
      </c>
      <c r="E310">
        <f>Реестр_План_Факт!E310</f>
        <v>0</v>
      </c>
      <c r="F310" t="str">
        <f>Реестр_План_Факт!F310</f>
        <v/>
      </c>
      <c r="G310">
        <f>Реестр_План_Факт!G310</f>
        <v>0</v>
      </c>
      <c r="H310">
        <f>Реестр_План_Факт!H310</f>
        <v>0</v>
      </c>
      <c r="I310" t="str">
        <f>Реестр_План_Факт!I310</f>
        <v/>
      </c>
      <c r="J310">
        <f>Реестр_План_Факт!J310</f>
        <v>0</v>
      </c>
      <c r="K310">
        <f>Реестр_План_Факт!K310</f>
        <v>0</v>
      </c>
      <c r="L310" t="str">
        <f>Реестр_План_Факт!L310</f>
        <v/>
      </c>
      <c r="M310">
        <f>Реестр_План_Факт!M310</f>
        <v>0</v>
      </c>
      <c r="N310">
        <f>Реестр_План_Факт!N310</f>
        <v>0</v>
      </c>
      <c r="O310" t="str">
        <f>Реестр_План_Факт!O310</f>
        <v/>
      </c>
      <c r="P310">
        <f>Реестр_План_Факт!P310</f>
        <v>0</v>
      </c>
      <c r="Q310">
        <f>Реестр_План_Факт!Q310</f>
        <v>0</v>
      </c>
      <c r="R310" t="str">
        <f>Реестр_План_Факт!R310</f>
        <v/>
      </c>
      <c r="S310">
        <f>Реестр_План_Факт!S310</f>
        <v>0</v>
      </c>
      <c r="T310">
        <f>Реестр_План_Факт!T310</f>
        <v>0</v>
      </c>
      <c r="U310" t="str">
        <f>Реестр_План_Факт!U310</f>
        <v/>
      </c>
      <c r="V310">
        <f>Реестр_План_Факт!V310</f>
        <v>0</v>
      </c>
      <c r="W310">
        <f>Реестр_План_Факт!W310</f>
        <v>0</v>
      </c>
      <c r="X310" t="str">
        <f>Реестр_План_Факт!X310</f>
        <v/>
      </c>
      <c r="Y310">
        <f>Реестр_План_Факт!Y310</f>
        <v>0</v>
      </c>
      <c r="Z310">
        <f>Реестр_План_Факт!Z310</f>
        <v>0</v>
      </c>
      <c r="AA310" t="str">
        <f>Реестр_План_Факт!AA310</f>
        <v/>
      </c>
      <c r="AB310">
        <f>Реестр_План_Факт!AB310</f>
        <v>0</v>
      </c>
      <c r="AC310">
        <f>Реестр_План_Факт!AC310</f>
        <v>0</v>
      </c>
      <c r="AD310" t="str">
        <f>Реестр_План_Факт!AD310</f>
        <v/>
      </c>
      <c r="AE310">
        <f>Реестр_План_Факт!AE310</f>
        <v>0</v>
      </c>
      <c r="AF310">
        <f>Реестр_План_Факт!AF310</f>
        <v>0</v>
      </c>
      <c r="AG310" t="str">
        <f>Реестр_План_Факт!AG310</f>
        <v/>
      </c>
      <c r="AH310">
        <f>Реестр_План_Факт!AH310</f>
        <v>0</v>
      </c>
      <c r="AI310">
        <f>Реестр_План_Факт!AI310</f>
        <v>0</v>
      </c>
      <c r="AJ310" t="str">
        <f>Реестр_План_Факт!AJ310</f>
        <v/>
      </c>
      <c r="AK310">
        <f>Реестр_План_Факт!AK310</f>
        <v>0</v>
      </c>
      <c r="AL310">
        <f>Реестр_План_Факт!AL310</f>
        <v>0</v>
      </c>
      <c r="AM310" t="str">
        <f>Реестр_План_Факт!AM310</f>
        <v/>
      </c>
      <c r="AN310">
        <f>Реестр_План_Факт!AN310</f>
        <v>0</v>
      </c>
      <c r="AO310">
        <f>Реестр_План_Факт!AO310</f>
        <v>0</v>
      </c>
      <c r="AP310" t="str">
        <f>Реестр_План_Факт!AP310</f>
        <v/>
      </c>
      <c r="AQ310">
        <f>Реестр_План_Факт!AQ310</f>
        <v>0</v>
      </c>
    </row>
    <row r="311" spans="1:43" x14ac:dyDescent="0.2">
      <c r="A311" s="201">
        <f>Реестр_План_Факт!A311</f>
        <v>46332</v>
      </c>
      <c r="B311">
        <f>Реестр_План_Факт!B311</f>
        <v>45</v>
      </c>
      <c r="C311">
        <f>Реестр_План_Факт!C311</f>
        <v>11</v>
      </c>
      <c r="D311">
        <f>Реестр_План_Факт!D311</f>
        <v>0</v>
      </c>
      <c r="E311">
        <f>Реестр_План_Факт!E311</f>
        <v>0</v>
      </c>
      <c r="F311" t="str">
        <f>Реестр_План_Факт!F311</f>
        <v/>
      </c>
      <c r="G311">
        <f>Реестр_План_Факт!G311</f>
        <v>0</v>
      </c>
      <c r="H311">
        <f>Реестр_План_Факт!H311</f>
        <v>0</v>
      </c>
      <c r="I311" t="str">
        <f>Реестр_План_Факт!I311</f>
        <v/>
      </c>
      <c r="J311">
        <f>Реестр_План_Факт!J311</f>
        <v>0</v>
      </c>
      <c r="K311">
        <f>Реестр_План_Факт!K311</f>
        <v>0</v>
      </c>
      <c r="L311" t="str">
        <f>Реестр_План_Факт!L311</f>
        <v/>
      </c>
      <c r="M311">
        <f>Реестр_План_Факт!M311</f>
        <v>0</v>
      </c>
      <c r="N311">
        <f>Реестр_План_Факт!N311</f>
        <v>0</v>
      </c>
      <c r="O311" t="str">
        <f>Реестр_План_Факт!O311</f>
        <v/>
      </c>
      <c r="P311">
        <f>Реестр_План_Факт!P311</f>
        <v>0</v>
      </c>
      <c r="Q311">
        <f>Реестр_План_Факт!Q311</f>
        <v>0</v>
      </c>
      <c r="R311" t="str">
        <f>Реестр_План_Факт!R311</f>
        <v/>
      </c>
      <c r="S311">
        <f>Реестр_План_Факт!S311</f>
        <v>0</v>
      </c>
      <c r="T311">
        <f>Реестр_План_Факт!T311</f>
        <v>0</v>
      </c>
      <c r="U311" t="str">
        <f>Реестр_План_Факт!U311</f>
        <v/>
      </c>
      <c r="V311">
        <f>Реестр_План_Факт!V311</f>
        <v>0</v>
      </c>
      <c r="W311">
        <f>Реестр_План_Факт!W311</f>
        <v>0</v>
      </c>
      <c r="X311" t="str">
        <f>Реестр_План_Факт!X311</f>
        <v/>
      </c>
      <c r="Y311">
        <f>Реестр_План_Факт!Y311</f>
        <v>0</v>
      </c>
      <c r="Z311">
        <f>Реестр_План_Факт!Z311</f>
        <v>0</v>
      </c>
      <c r="AA311" t="str">
        <f>Реестр_План_Факт!AA311</f>
        <v/>
      </c>
      <c r="AB311">
        <f>Реестр_План_Факт!AB311</f>
        <v>0</v>
      </c>
      <c r="AC311">
        <f>Реестр_План_Факт!AC311</f>
        <v>0</v>
      </c>
      <c r="AD311" t="str">
        <f>Реестр_План_Факт!AD311</f>
        <v/>
      </c>
      <c r="AE311">
        <f>Реестр_План_Факт!AE311</f>
        <v>0</v>
      </c>
      <c r="AF311">
        <f>Реестр_План_Факт!AF311</f>
        <v>0</v>
      </c>
      <c r="AG311" t="str">
        <f>Реестр_План_Факт!AG311</f>
        <v/>
      </c>
      <c r="AH311">
        <f>Реестр_План_Факт!AH311</f>
        <v>0</v>
      </c>
      <c r="AI311">
        <f>Реестр_План_Факт!AI311</f>
        <v>0</v>
      </c>
      <c r="AJ311" t="str">
        <f>Реестр_План_Факт!AJ311</f>
        <v/>
      </c>
      <c r="AK311">
        <f>Реестр_План_Факт!AK311</f>
        <v>0</v>
      </c>
      <c r="AL311">
        <f>Реестр_План_Факт!AL311</f>
        <v>0</v>
      </c>
      <c r="AM311" t="str">
        <f>Реестр_План_Факт!AM311</f>
        <v/>
      </c>
      <c r="AN311">
        <f>Реестр_План_Факт!AN311</f>
        <v>0</v>
      </c>
      <c r="AO311">
        <f>Реестр_План_Факт!AO311</f>
        <v>0</v>
      </c>
      <c r="AP311" t="str">
        <f>Реестр_План_Факт!AP311</f>
        <v/>
      </c>
      <c r="AQ311">
        <f>Реестр_План_Факт!AQ311</f>
        <v>0</v>
      </c>
    </row>
    <row r="312" spans="1:43" x14ac:dyDescent="0.2">
      <c r="A312" s="201">
        <f>Реестр_План_Факт!A312</f>
        <v>46333</v>
      </c>
      <c r="B312">
        <f>Реестр_План_Факт!B312</f>
        <v>45</v>
      </c>
      <c r="C312">
        <f>Реестр_План_Факт!C312</f>
        <v>11</v>
      </c>
      <c r="D312">
        <f>Реестр_План_Факт!D312</f>
        <v>0</v>
      </c>
      <c r="E312">
        <f>Реестр_План_Факт!E312</f>
        <v>0</v>
      </c>
      <c r="F312" t="str">
        <f>Реестр_План_Факт!F312</f>
        <v/>
      </c>
      <c r="G312">
        <f>Реестр_План_Факт!G312</f>
        <v>0</v>
      </c>
      <c r="H312">
        <f>Реестр_План_Факт!H312</f>
        <v>0</v>
      </c>
      <c r="I312" t="str">
        <f>Реестр_План_Факт!I312</f>
        <v/>
      </c>
      <c r="J312">
        <f>Реестр_План_Факт!J312</f>
        <v>0</v>
      </c>
      <c r="K312">
        <f>Реестр_План_Факт!K312</f>
        <v>0</v>
      </c>
      <c r="L312" t="str">
        <f>Реестр_План_Факт!L312</f>
        <v/>
      </c>
      <c r="M312">
        <f>Реестр_План_Факт!M312</f>
        <v>0</v>
      </c>
      <c r="N312">
        <f>Реестр_План_Факт!N312</f>
        <v>0</v>
      </c>
      <c r="O312" t="str">
        <f>Реестр_План_Факт!O312</f>
        <v/>
      </c>
      <c r="P312">
        <f>Реестр_План_Факт!P312</f>
        <v>0</v>
      </c>
      <c r="Q312">
        <f>Реестр_План_Факт!Q312</f>
        <v>0</v>
      </c>
      <c r="R312" t="str">
        <f>Реестр_План_Факт!R312</f>
        <v/>
      </c>
      <c r="S312">
        <f>Реестр_План_Факт!S312</f>
        <v>0</v>
      </c>
      <c r="T312">
        <f>Реестр_План_Факт!T312</f>
        <v>0</v>
      </c>
      <c r="U312" t="str">
        <f>Реестр_План_Факт!U312</f>
        <v/>
      </c>
      <c r="V312">
        <f>Реестр_План_Факт!V312</f>
        <v>0</v>
      </c>
      <c r="W312">
        <f>Реестр_План_Факт!W312</f>
        <v>0</v>
      </c>
      <c r="X312" t="str">
        <f>Реестр_План_Факт!X312</f>
        <v/>
      </c>
      <c r="Y312">
        <f>Реестр_План_Факт!Y312</f>
        <v>0</v>
      </c>
      <c r="Z312">
        <f>Реестр_План_Факт!Z312</f>
        <v>0</v>
      </c>
      <c r="AA312" t="str">
        <f>Реестр_План_Факт!AA312</f>
        <v/>
      </c>
      <c r="AB312">
        <f>Реестр_План_Факт!AB312</f>
        <v>0</v>
      </c>
      <c r="AC312">
        <f>Реестр_План_Факт!AC312</f>
        <v>0</v>
      </c>
      <c r="AD312" t="str">
        <f>Реестр_План_Факт!AD312</f>
        <v/>
      </c>
      <c r="AE312">
        <f>Реестр_План_Факт!AE312</f>
        <v>0</v>
      </c>
      <c r="AF312">
        <f>Реестр_План_Факт!AF312</f>
        <v>0</v>
      </c>
      <c r="AG312" t="str">
        <f>Реестр_План_Факт!AG312</f>
        <v/>
      </c>
      <c r="AH312">
        <f>Реестр_План_Факт!AH312</f>
        <v>0</v>
      </c>
      <c r="AI312">
        <f>Реестр_План_Факт!AI312</f>
        <v>0</v>
      </c>
      <c r="AJ312" t="str">
        <f>Реестр_План_Факт!AJ312</f>
        <v/>
      </c>
      <c r="AK312">
        <f>Реестр_План_Факт!AK312</f>
        <v>0</v>
      </c>
      <c r="AL312">
        <f>Реестр_План_Факт!AL312</f>
        <v>0</v>
      </c>
      <c r="AM312" t="str">
        <f>Реестр_План_Факт!AM312</f>
        <v/>
      </c>
      <c r="AN312">
        <f>Реестр_План_Факт!AN312</f>
        <v>0</v>
      </c>
      <c r="AO312">
        <f>Реестр_План_Факт!AO312</f>
        <v>0</v>
      </c>
      <c r="AP312" t="str">
        <f>Реестр_План_Факт!AP312</f>
        <v/>
      </c>
      <c r="AQ312">
        <f>Реестр_План_Факт!AQ312</f>
        <v>0</v>
      </c>
    </row>
    <row r="313" spans="1:43" x14ac:dyDescent="0.2">
      <c r="A313" s="201">
        <f>Реестр_План_Факт!A313</f>
        <v>46334</v>
      </c>
      <c r="B313">
        <f>Реестр_План_Факт!B313</f>
        <v>45</v>
      </c>
      <c r="C313">
        <f>Реестр_План_Факт!C313</f>
        <v>11</v>
      </c>
      <c r="D313">
        <f>Реестр_План_Факт!D313</f>
        <v>0</v>
      </c>
      <c r="E313">
        <f>Реестр_План_Факт!E313</f>
        <v>0</v>
      </c>
      <c r="F313" t="str">
        <f>Реестр_План_Факт!F313</f>
        <v/>
      </c>
      <c r="G313">
        <f>Реестр_План_Факт!G313</f>
        <v>0</v>
      </c>
      <c r="H313">
        <f>Реестр_План_Факт!H313</f>
        <v>0</v>
      </c>
      <c r="I313" t="str">
        <f>Реестр_План_Факт!I313</f>
        <v/>
      </c>
      <c r="J313">
        <f>Реестр_План_Факт!J313</f>
        <v>0</v>
      </c>
      <c r="K313">
        <f>Реестр_План_Факт!K313</f>
        <v>0</v>
      </c>
      <c r="L313" t="str">
        <f>Реестр_План_Факт!L313</f>
        <v/>
      </c>
      <c r="M313">
        <f>Реестр_План_Факт!M313</f>
        <v>0</v>
      </c>
      <c r="N313">
        <f>Реестр_План_Факт!N313</f>
        <v>0</v>
      </c>
      <c r="O313" t="str">
        <f>Реестр_План_Факт!O313</f>
        <v/>
      </c>
      <c r="P313">
        <f>Реестр_План_Факт!P313</f>
        <v>0</v>
      </c>
      <c r="Q313">
        <f>Реестр_План_Факт!Q313</f>
        <v>0</v>
      </c>
      <c r="R313" t="str">
        <f>Реестр_План_Факт!R313</f>
        <v/>
      </c>
      <c r="S313">
        <f>Реестр_План_Факт!S313</f>
        <v>0</v>
      </c>
      <c r="T313">
        <f>Реестр_План_Факт!T313</f>
        <v>0</v>
      </c>
      <c r="U313" t="str">
        <f>Реестр_План_Факт!U313</f>
        <v/>
      </c>
      <c r="V313">
        <f>Реестр_План_Факт!V313</f>
        <v>0</v>
      </c>
      <c r="W313">
        <f>Реестр_План_Факт!W313</f>
        <v>0</v>
      </c>
      <c r="X313" t="str">
        <f>Реестр_План_Факт!X313</f>
        <v/>
      </c>
      <c r="Y313">
        <f>Реестр_План_Факт!Y313</f>
        <v>0</v>
      </c>
      <c r="Z313">
        <f>Реестр_План_Факт!Z313</f>
        <v>0</v>
      </c>
      <c r="AA313" t="str">
        <f>Реестр_План_Факт!AA313</f>
        <v/>
      </c>
      <c r="AB313">
        <f>Реестр_План_Факт!AB313</f>
        <v>0</v>
      </c>
      <c r="AC313">
        <f>Реестр_План_Факт!AC313</f>
        <v>0</v>
      </c>
      <c r="AD313" t="str">
        <f>Реестр_План_Факт!AD313</f>
        <v/>
      </c>
      <c r="AE313">
        <f>Реестр_План_Факт!AE313</f>
        <v>0</v>
      </c>
      <c r="AF313">
        <f>Реестр_План_Факт!AF313</f>
        <v>0</v>
      </c>
      <c r="AG313" t="str">
        <f>Реестр_План_Факт!AG313</f>
        <v/>
      </c>
      <c r="AH313">
        <f>Реестр_План_Факт!AH313</f>
        <v>0</v>
      </c>
      <c r="AI313">
        <f>Реестр_План_Факт!AI313</f>
        <v>0</v>
      </c>
      <c r="AJ313" t="str">
        <f>Реестр_План_Факт!AJ313</f>
        <v/>
      </c>
      <c r="AK313">
        <f>Реестр_План_Факт!AK313</f>
        <v>0</v>
      </c>
      <c r="AL313">
        <f>Реестр_План_Факт!AL313</f>
        <v>0</v>
      </c>
      <c r="AM313" t="str">
        <f>Реестр_План_Факт!AM313</f>
        <v/>
      </c>
      <c r="AN313">
        <f>Реестр_План_Факт!AN313</f>
        <v>0</v>
      </c>
      <c r="AO313">
        <f>Реестр_План_Факт!AO313</f>
        <v>0</v>
      </c>
      <c r="AP313" t="str">
        <f>Реестр_План_Факт!AP313</f>
        <v/>
      </c>
      <c r="AQ313">
        <f>Реестр_План_Факт!AQ313</f>
        <v>0</v>
      </c>
    </row>
    <row r="314" spans="1:43" x14ac:dyDescent="0.2">
      <c r="A314" s="201">
        <f>Реестр_План_Факт!A314</f>
        <v>46335</v>
      </c>
      <c r="B314">
        <f>Реестр_План_Факт!B314</f>
        <v>46</v>
      </c>
      <c r="C314">
        <f>Реестр_План_Факт!C314</f>
        <v>11</v>
      </c>
      <c r="D314">
        <f>Реестр_План_Факт!D314</f>
        <v>0</v>
      </c>
      <c r="E314">
        <f>Реестр_План_Факт!E314</f>
        <v>0</v>
      </c>
      <c r="F314" t="str">
        <f>Реестр_План_Факт!F314</f>
        <v/>
      </c>
      <c r="G314">
        <f>Реестр_План_Факт!G314</f>
        <v>0</v>
      </c>
      <c r="H314">
        <f>Реестр_План_Факт!H314</f>
        <v>0</v>
      </c>
      <c r="I314" t="str">
        <f>Реестр_План_Факт!I314</f>
        <v/>
      </c>
      <c r="J314">
        <f>Реестр_План_Факт!J314</f>
        <v>0</v>
      </c>
      <c r="K314">
        <f>Реестр_План_Факт!K314</f>
        <v>0</v>
      </c>
      <c r="L314" t="str">
        <f>Реестр_План_Факт!L314</f>
        <v/>
      </c>
      <c r="M314">
        <f>Реестр_План_Факт!M314</f>
        <v>0</v>
      </c>
      <c r="N314">
        <f>Реестр_План_Факт!N314</f>
        <v>0</v>
      </c>
      <c r="O314" t="str">
        <f>Реестр_План_Факт!O314</f>
        <v/>
      </c>
      <c r="P314">
        <f>Реестр_План_Факт!P314</f>
        <v>0</v>
      </c>
      <c r="Q314">
        <f>Реестр_План_Факт!Q314</f>
        <v>0</v>
      </c>
      <c r="R314" t="str">
        <f>Реестр_План_Факт!R314</f>
        <v/>
      </c>
      <c r="S314">
        <f>Реестр_План_Факт!S314</f>
        <v>0</v>
      </c>
      <c r="T314">
        <f>Реестр_План_Факт!T314</f>
        <v>0</v>
      </c>
      <c r="U314" t="str">
        <f>Реестр_План_Факт!U314</f>
        <v/>
      </c>
      <c r="V314">
        <f>Реестр_План_Факт!V314</f>
        <v>0</v>
      </c>
      <c r="W314">
        <f>Реестр_План_Факт!W314</f>
        <v>0</v>
      </c>
      <c r="X314" t="str">
        <f>Реестр_План_Факт!X314</f>
        <v/>
      </c>
      <c r="Y314">
        <f>Реестр_План_Факт!Y314</f>
        <v>0</v>
      </c>
      <c r="Z314">
        <f>Реестр_План_Факт!Z314</f>
        <v>0</v>
      </c>
      <c r="AA314" t="str">
        <f>Реестр_План_Факт!AA314</f>
        <v/>
      </c>
      <c r="AB314">
        <f>Реестр_План_Факт!AB314</f>
        <v>0</v>
      </c>
      <c r="AC314">
        <f>Реестр_План_Факт!AC314</f>
        <v>0</v>
      </c>
      <c r="AD314" t="str">
        <f>Реестр_План_Факт!AD314</f>
        <v/>
      </c>
      <c r="AE314">
        <f>Реестр_План_Факт!AE314</f>
        <v>0</v>
      </c>
      <c r="AF314">
        <f>Реестр_План_Факт!AF314</f>
        <v>0</v>
      </c>
      <c r="AG314" t="str">
        <f>Реестр_План_Факт!AG314</f>
        <v/>
      </c>
      <c r="AH314">
        <f>Реестр_План_Факт!AH314</f>
        <v>0</v>
      </c>
      <c r="AI314">
        <f>Реестр_План_Факт!AI314</f>
        <v>0</v>
      </c>
      <c r="AJ314" t="str">
        <f>Реестр_План_Факт!AJ314</f>
        <v/>
      </c>
      <c r="AK314">
        <f>Реестр_План_Факт!AK314</f>
        <v>0</v>
      </c>
      <c r="AL314">
        <f>Реестр_План_Факт!AL314</f>
        <v>0</v>
      </c>
      <c r="AM314" t="str">
        <f>Реестр_План_Факт!AM314</f>
        <v/>
      </c>
      <c r="AN314">
        <f>Реестр_План_Факт!AN314</f>
        <v>0</v>
      </c>
      <c r="AO314">
        <f>Реестр_План_Факт!AO314</f>
        <v>0</v>
      </c>
      <c r="AP314" t="str">
        <f>Реестр_План_Факт!AP314</f>
        <v/>
      </c>
      <c r="AQ314">
        <f>Реестр_План_Факт!AQ314</f>
        <v>0</v>
      </c>
    </row>
    <row r="315" spans="1:43" x14ac:dyDescent="0.2">
      <c r="A315" s="201">
        <f>Реестр_План_Факт!A315</f>
        <v>46336</v>
      </c>
      <c r="B315">
        <f>Реестр_План_Факт!B315</f>
        <v>46</v>
      </c>
      <c r="C315">
        <f>Реестр_План_Факт!C315</f>
        <v>11</v>
      </c>
      <c r="D315">
        <f>Реестр_План_Факт!D315</f>
        <v>0</v>
      </c>
      <c r="E315">
        <f>Реестр_План_Факт!E315</f>
        <v>0</v>
      </c>
      <c r="F315" t="str">
        <f>Реестр_План_Факт!F315</f>
        <v/>
      </c>
      <c r="G315">
        <f>Реестр_План_Факт!G315</f>
        <v>0</v>
      </c>
      <c r="H315">
        <f>Реестр_План_Факт!H315</f>
        <v>0</v>
      </c>
      <c r="I315" t="str">
        <f>Реестр_План_Факт!I315</f>
        <v/>
      </c>
      <c r="J315">
        <f>Реестр_План_Факт!J315</f>
        <v>0</v>
      </c>
      <c r="K315">
        <f>Реестр_План_Факт!K315</f>
        <v>0</v>
      </c>
      <c r="L315" t="str">
        <f>Реестр_План_Факт!L315</f>
        <v/>
      </c>
      <c r="M315">
        <f>Реестр_План_Факт!M315</f>
        <v>0</v>
      </c>
      <c r="N315">
        <f>Реестр_План_Факт!N315</f>
        <v>0</v>
      </c>
      <c r="O315" t="str">
        <f>Реестр_План_Факт!O315</f>
        <v/>
      </c>
      <c r="P315">
        <f>Реестр_План_Факт!P315</f>
        <v>0</v>
      </c>
      <c r="Q315">
        <f>Реестр_План_Факт!Q315</f>
        <v>0</v>
      </c>
      <c r="R315" t="str">
        <f>Реестр_План_Факт!R315</f>
        <v/>
      </c>
      <c r="S315">
        <f>Реестр_План_Факт!S315</f>
        <v>0</v>
      </c>
      <c r="T315">
        <f>Реестр_План_Факт!T315</f>
        <v>0</v>
      </c>
      <c r="U315" t="str">
        <f>Реестр_План_Факт!U315</f>
        <v/>
      </c>
      <c r="V315">
        <f>Реестр_План_Факт!V315</f>
        <v>0</v>
      </c>
      <c r="W315">
        <f>Реестр_План_Факт!W315</f>
        <v>0</v>
      </c>
      <c r="X315" t="str">
        <f>Реестр_План_Факт!X315</f>
        <v/>
      </c>
      <c r="Y315">
        <f>Реестр_План_Факт!Y315</f>
        <v>0</v>
      </c>
      <c r="Z315">
        <f>Реестр_План_Факт!Z315</f>
        <v>0</v>
      </c>
      <c r="AA315" t="str">
        <f>Реестр_План_Факт!AA315</f>
        <v/>
      </c>
      <c r="AB315">
        <f>Реестр_План_Факт!AB315</f>
        <v>0</v>
      </c>
      <c r="AC315">
        <f>Реестр_План_Факт!AC315</f>
        <v>0</v>
      </c>
      <c r="AD315" t="str">
        <f>Реестр_План_Факт!AD315</f>
        <v/>
      </c>
      <c r="AE315">
        <f>Реестр_План_Факт!AE315</f>
        <v>0</v>
      </c>
      <c r="AF315">
        <f>Реестр_План_Факт!AF315</f>
        <v>0</v>
      </c>
      <c r="AG315" t="str">
        <f>Реестр_План_Факт!AG315</f>
        <v/>
      </c>
      <c r="AH315">
        <f>Реестр_План_Факт!AH315</f>
        <v>0</v>
      </c>
      <c r="AI315">
        <f>Реестр_План_Факт!AI315</f>
        <v>0</v>
      </c>
      <c r="AJ315" t="str">
        <f>Реестр_План_Факт!AJ315</f>
        <v/>
      </c>
      <c r="AK315">
        <f>Реестр_План_Факт!AK315</f>
        <v>0</v>
      </c>
      <c r="AL315">
        <f>Реестр_План_Факт!AL315</f>
        <v>0</v>
      </c>
      <c r="AM315" t="str">
        <f>Реестр_План_Факт!AM315</f>
        <v/>
      </c>
      <c r="AN315">
        <f>Реестр_План_Факт!AN315</f>
        <v>0</v>
      </c>
      <c r="AO315">
        <f>Реестр_План_Факт!AO315</f>
        <v>0</v>
      </c>
      <c r="AP315" t="str">
        <f>Реестр_План_Факт!AP315</f>
        <v/>
      </c>
      <c r="AQ315">
        <f>Реестр_План_Факт!AQ315</f>
        <v>0</v>
      </c>
    </row>
    <row r="316" spans="1:43" x14ac:dyDescent="0.2">
      <c r="A316" s="201">
        <f>Реестр_План_Факт!A316</f>
        <v>46337</v>
      </c>
      <c r="B316">
        <f>Реестр_План_Факт!B316</f>
        <v>46</v>
      </c>
      <c r="C316">
        <f>Реестр_План_Факт!C316</f>
        <v>11</v>
      </c>
      <c r="D316">
        <f>Реестр_План_Факт!D316</f>
        <v>0</v>
      </c>
      <c r="E316">
        <f>Реестр_План_Факт!E316</f>
        <v>0</v>
      </c>
      <c r="F316" t="str">
        <f>Реестр_План_Факт!F316</f>
        <v/>
      </c>
      <c r="G316">
        <f>Реестр_План_Факт!G316</f>
        <v>0</v>
      </c>
      <c r="H316">
        <f>Реестр_План_Факт!H316</f>
        <v>0</v>
      </c>
      <c r="I316" t="str">
        <f>Реестр_План_Факт!I316</f>
        <v/>
      </c>
      <c r="J316">
        <f>Реестр_План_Факт!J316</f>
        <v>0</v>
      </c>
      <c r="K316">
        <f>Реестр_План_Факт!K316</f>
        <v>0</v>
      </c>
      <c r="L316" t="str">
        <f>Реестр_План_Факт!L316</f>
        <v/>
      </c>
      <c r="M316">
        <f>Реестр_План_Факт!M316</f>
        <v>0</v>
      </c>
      <c r="N316">
        <f>Реестр_План_Факт!N316</f>
        <v>0</v>
      </c>
      <c r="O316" t="str">
        <f>Реестр_План_Факт!O316</f>
        <v/>
      </c>
      <c r="P316">
        <f>Реестр_План_Факт!P316</f>
        <v>0</v>
      </c>
      <c r="Q316">
        <f>Реестр_План_Факт!Q316</f>
        <v>0</v>
      </c>
      <c r="R316" t="str">
        <f>Реестр_План_Факт!R316</f>
        <v/>
      </c>
      <c r="S316">
        <f>Реестр_План_Факт!S316</f>
        <v>0</v>
      </c>
      <c r="T316">
        <f>Реестр_План_Факт!T316</f>
        <v>0</v>
      </c>
      <c r="U316" t="str">
        <f>Реестр_План_Факт!U316</f>
        <v/>
      </c>
      <c r="V316">
        <f>Реестр_План_Факт!V316</f>
        <v>0</v>
      </c>
      <c r="W316">
        <f>Реестр_План_Факт!W316</f>
        <v>0</v>
      </c>
      <c r="X316" t="str">
        <f>Реестр_План_Факт!X316</f>
        <v/>
      </c>
      <c r="Y316">
        <f>Реестр_План_Факт!Y316</f>
        <v>0</v>
      </c>
      <c r="Z316">
        <f>Реестр_План_Факт!Z316</f>
        <v>0</v>
      </c>
      <c r="AA316" t="str">
        <f>Реестр_План_Факт!AA316</f>
        <v/>
      </c>
      <c r="AB316">
        <f>Реестр_План_Факт!AB316</f>
        <v>0</v>
      </c>
      <c r="AC316">
        <f>Реестр_План_Факт!AC316</f>
        <v>0</v>
      </c>
      <c r="AD316" t="str">
        <f>Реестр_План_Факт!AD316</f>
        <v/>
      </c>
      <c r="AE316">
        <f>Реестр_План_Факт!AE316</f>
        <v>0</v>
      </c>
      <c r="AF316">
        <f>Реестр_План_Факт!AF316</f>
        <v>0</v>
      </c>
      <c r="AG316" t="str">
        <f>Реестр_План_Факт!AG316</f>
        <v/>
      </c>
      <c r="AH316">
        <f>Реестр_План_Факт!AH316</f>
        <v>0</v>
      </c>
      <c r="AI316">
        <f>Реестр_План_Факт!AI316</f>
        <v>0</v>
      </c>
      <c r="AJ316" t="str">
        <f>Реестр_План_Факт!AJ316</f>
        <v/>
      </c>
      <c r="AK316">
        <f>Реестр_План_Факт!AK316</f>
        <v>0</v>
      </c>
      <c r="AL316">
        <f>Реестр_План_Факт!AL316</f>
        <v>0</v>
      </c>
      <c r="AM316" t="str">
        <f>Реестр_План_Факт!AM316</f>
        <v/>
      </c>
      <c r="AN316">
        <f>Реестр_План_Факт!AN316</f>
        <v>0</v>
      </c>
      <c r="AO316">
        <f>Реестр_План_Факт!AO316</f>
        <v>0</v>
      </c>
      <c r="AP316" t="str">
        <f>Реестр_План_Факт!AP316</f>
        <v/>
      </c>
      <c r="AQ316">
        <f>Реестр_План_Факт!AQ316</f>
        <v>0</v>
      </c>
    </row>
    <row r="317" spans="1:43" x14ac:dyDescent="0.2">
      <c r="A317" s="201">
        <f>Реестр_План_Факт!A317</f>
        <v>46338</v>
      </c>
      <c r="B317">
        <f>Реестр_План_Факт!B317</f>
        <v>46</v>
      </c>
      <c r="C317">
        <f>Реестр_План_Факт!C317</f>
        <v>11</v>
      </c>
      <c r="D317">
        <f>Реестр_План_Факт!D317</f>
        <v>0</v>
      </c>
      <c r="E317">
        <f>Реестр_План_Факт!E317</f>
        <v>0</v>
      </c>
      <c r="F317" t="str">
        <f>Реестр_План_Факт!F317</f>
        <v/>
      </c>
      <c r="G317">
        <f>Реестр_План_Факт!G317</f>
        <v>0</v>
      </c>
      <c r="H317">
        <f>Реестр_План_Факт!H317</f>
        <v>0</v>
      </c>
      <c r="I317" t="str">
        <f>Реестр_План_Факт!I317</f>
        <v/>
      </c>
      <c r="J317">
        <f>Реестр_План_Факт!J317</f>
        <v>0</v>
      </c>
      <c r="K317">
        <f>Реестр_План_Факт!K317</f>
        <v>0</v>
      </c>
      <c r="L317" t="str">
        <f>Реестр_План_Факт!L317</f>
        <v/>
      </c>
      <c r="M317">
        <f>Реестр_План_Факт!M317</f>
        <v>0</v>
      </c>
      <c r="N317">
        <f>Реестр_План_Факт!N317</f>
        <v>0</v>
      </c>
      <c r="O317" t="str">
        <f>Реестр_План_Факт!O317</f>
        <v/>
      </c>
      <c r="P317">
        <f>Реестр_План_Факт!P317</f>
        <v>0</v>
      </c>
      <c r="Q317">
        <f>Реестр_План_Факт!Q317</f>
        <v>0</v>
      </c>
      <c r="R317" t="str">
        <f>Реестр_План_Факт!R317</f>
        <v/>
      </c>
      <c r="S317">
        <f>Реестр_План_Факт!S317</f>
        <v>0</v>
      </c>
      <c r="T317">
        <f>Реестр_План_Факт!T317</f>
        <v>0</v>
      </c>
      <c r="U317" t="str">
        <f>Реестр_План_Факт!U317</f>
        <v/>
      </c>
      <c r="V317">
        <f>Реестр_План_Факт!V317</f>
        <v>0</v>
      </c>
      <c r="W317">
        <f>Реестр_План_Факт!W317</f>
        <v>0</v>
      </c>
      <c r="X317" t="str">
        <f>Реестр_План_Факт!X317</f>
        <v/>
      </c>
      <c r="Y317">
        <f>Реестр_План_Факт!Y317</f>
        <v>0</v>
      </c>
      <c r="Z317">
        <f>Реестр_План_Факт!Z317</f>
        <v>0</v>
      </c>
      <c r="AA317" t="str">
        <f>Реестр_План_Факт!AA317</f>
        <v/>
      </c>
      <c r="AB317">
        <f>Реестр_План_Факт!AB317</f>
        <v>0</v>
      </c>
      <c r="AC317">
        <f>Реестр_План_Факт!AC317</f>
        <v>0</v>
      </c>
      <c r="AD317" t="str">
        <f>Реестр_План_Факт!AD317</f>
        <v/>
      </c>
      <c r="AE317">
        <f>Реестр_План_Факт!AE317</f>
        <v>0</v>
      </c>
      <c r="AF317">
        <f>Реестр_План_Факт!AF317</f>
        <v>0</v>
      </c>
      <c r="AG317" t="str">
        <f>Реестр_План_Факт!AG317</f>
        <v/>
      </c>
      <c r="AH317">
        <f>Реестр_План_Факт!AH317</f>
        <v>0</v>
      </c>
      <c r="AI317">
        <f>Реестр_План_Факт!AI317</f>
        <v>0</v>
      </c>
      <c r="AJ317" t="str">
        <f>Реестр_План_Факт!AJ317</f>
        <v/>
      </c>
      <c r="AK317">
        <f>Реестр_План_Факт!AK317</f>
        <v>0</v>
      </c>
      <c r="AL317">
        <f>Реестр_План_Факт!AL317</f>
        <v>0</v>
      </c>
      <c r="AM317" t="str">
        <f>Реестр_План_Факт!AM317</f>
        <v/>
      </c>
      <c r="AN317">
        <f>Реестр_План_Факт!AN317</f>
        <v>0</v>
      </c>
      <c r="AO317">
        <f>Реестр_План_Факт!AO317</f>
        <v>0</v>
      </c>
      <c r="AP317" t="str">
        <f>Реестр_План_Факт!AP317</f>
        <v/>
      </c>
      <c r="AQ317">
        <f>Реестр_План_Факт!AQ317</f>
        <v>0</v>
      </c>
    </row>
    <row r="318" spans="1:43" x14ac:dyDescent="0.2">
      <c r="A318" s="201">
        <f>Реестр_План_Факт!A318</f>
        <v>46339</v>
      </c>
      <c r="B318">
        <f>Реестр_План_Факт!B318</f>
        <v>46</v>
      </c>
      <c r="C318">
        <f>Реестр_План_Факт!C318</f>
        <v>11</v>
      </c>
      <c r="D318">
        <f>Реестр_План_Факт!D318</f>
        <v>0</v>
      </c>
      <c r="E318">
        <f>Реестр_План_Факт!E318</f>
        <v>0</v>
      </c>
      <c r="F318" t="str">
        <f>Реестр_План_Факт!F318</f>
        <v/>
      </c>
      <c r="G318">
        <f>Реестр_План_Факт!G318</f>
        <v>0</v>
      </c>
      <c r="H318">
        <f>Реестр_План_Факт!H318</f>
        <v>0</v>
      </c>
      <c r="I318" t="str">
        <f>Реестр_План_Факт!I318</f>
        <v/>
      </c>
      <c r="J318">
        <f>Реестр_План_Факт!J318</f>
        <v>0</v>
      </c>
      <c r="K318">
        <f>Реестр_План_Факт!K318</f>
        <v>0</v>
      </c>
      <c r="L318" t="str">
        <f>Реестр_План_Факт!L318</f>
        <v/>
      </c>
      <c r="M318">
        <f>Реестр_План_Факт!M318</f>
        <v>0</v>
      </c>
      <c r="N318">
        <f>Реестр_План_Факт!N318</f>
        <v>0</v>
      </c>
      <c r="O318" t="str">
        <f>Реестр_План_Факт!O318</f>
        <v/>
      </c>
      <c r="P318">
        <f>Реестр_План_Факт!P318</f>
        <v>0</v>
      </c>
      <c r="Q318">
        <f>Реестр_План_Факт!Q318</f>
        <v>0</v>
      </c>
      <c r="R318" t="str">
        <f>Реестр_План_Факт!R318</f>
        <v/>
      </c>
      <c r="S318">
        <f>Реестр_План_Факт!S318</f>
        <v>0</v>
      </c>
      <c r="T318">
        <f>Реестр_План_Факт!T318</f>
        <v>0</v>
      </c>
      <c r="U318" t="str">
        <f>Реестр_План_Факт!U318</f>
        <v/>
      </c>
      <c r="V318">
        <f>Реестр_План_Факт!V318</f>
        <v>0</v>
      </c>
      <c r="W318">
        <f>Реестр_План_Факт!W318</f>
        <v>0</v>
      </c>
      <c r="X318" t="str">
        <f>Реестр_План_Факт!X318</f>
        <v/>
      </c>
      <c r="Y318">
        <f>Реестр_План_Факт!Y318</f>
        <v>0</v>
      </c>
      <c r="Z318">
        <f>Реестр_План_Факт!Z318</f>
        <v>0</v>
      </c>
      <c r="AA318" t="str">
        <f>Реестр_План_Факт!AA318</f>
        <v/>
      </c>
      <c r="AB318">
        <f>Реестр_План_Факт!AB318</f>
        <v>0</v>
      </c>
      <c r="AC318">
        <f>Реестр_План_Факт!AC318</f>
        <v>0</v>
      </c>
      <c r="AD318" t="str">
        <f>Реестр_План_Факт!AD318</f>
        <v/>
      </c>
      <c r="AE318">
        <f>Реестр_План_Факт!AE318</f>
        <v>0</v>
      </c>
      <c r="AF318">
        <f>Реестр_План_Факт!AF318</f>
        <v>0</v>
      </c>
      <c r="AG318" t="str">
        <f>Реестр_План_Факт!AG318</f>
        <v/>
      </c>
      <c r="AH318">
        <f>Реестр_План_Факт!AH318</f>
        <v>0</v>
      </c>
      <c r="AI318">
        <f>Реестр_План_Факт!AI318</f>
        <v>0</v>
      </c>
      <c r="AJ318" t="str">
        <f>Реестр_План_Факт!AJ318</f>
        <v/>
      </c>
      <c r="AK318">
        <f>Реестр_План_Факт!AK318</f>
        <v>0</v>
      </c>
      <c r="AL318">
        <f>Реестр_План_Факт!AL318</f>
        <v>0</v>
      </c>
      <c r="AM318" t="str">
        <f>Реестр_План_Факт!AM318</f>
        <v/>
      </c>
      <c r="AN318">
        <f>Реестр_План_Факт!AN318</f>
        <v>0</v>
      </c>
      <c r="AO318">
        <f>Реестр_План_Факт!AO318</f>
        <v>0</v>
      </c>
      <c r="AP318" t="str">
        <f>Реестр_План_Факт!AP318</f>
        <v/>
      </c>
      <c r="AQ318">
        <f>Реестр_План_Факт!AQ318</f>
        <v>0</v>
      </c>
    </row>
    <row r="319" spans="1:43" x14ac:dyDescent="0.2">
      <c r="A319" s="201">
        <f>Реестр_План_Факт!A319</f>
        <v>46340</v>
      </c>
      <c r="B319">
        <f>Реестр_План_Факт!B319</f>
        <v>46</v>
      </c>
      <c r="C319">
        <f>Реестр_План_Факт!C319</f>
        <v>11</v>
      </c>
      <c r="D319">
        <f>Реестр_План_Факт!D319</f>
        <v>0</v>
      </c>
      <c r="E319">
        <f>Реестр_План_Факт!E319</f>
        <v>0</v>
      </c>
      <c r="F319" t="str">
        <f>Реестр_План_Факт!F319</f>
        <v/>
      </c>
      <c r="G319">
        <f>Реестр_План_Факт!G319</f>
        <v>0</v>
      </c>
      <c r="H319">
        <f>Реестр_План_Факт!H319</f>
        <v>0</v>
      </c>
      <c r="I319" t="str">
        <f>Реестр_План_Факт!I319</f>
        <v/>
      </c>
      <c r="J319">
        <f>Реестр_План_Факт!J319</f>
        <v>0</v>
      </c>
      <c r="K319">
        <f>Реестр_План_Факт!K319</f>
        <v>0</v>
      </c>
      <c r="L319" t="str">
        <f>Реестр_План_Факт!L319</f>
        <v/>
      </c>
      <c r="M319">
        <f>Реестр_План_Факт!M319</f>
        <v>0</v>
      </c>
      <c r="N319">
        <f>Реестр_План_Факт!N319</f>
        <v>0</v>
      </c>
      <c r="O319" t="str">
        <f>Реестр_План_Факт!O319</f>
        <v/>
      </c>
      <c r="P319">
        <f>Реестр_План_Факт!P319</f>
        <v>0</v>
      </c>
      <c r="Q319">
        <f>Реестр_План_Факт!Q319</f>
        <v>0</v>
      </c>
      <c r="R319" t="str">
        <f>Реестр_План_Факт!R319</f>
        <v/>
      </c>
      <c r="S319">
        <f>Реестр_План_Факт!S319</f>
        <v>0</v>
      </c>
      <c r="T319">
        <f>Реестр_План_Факт!T319</f>
        <v>0</v>
      </c>
      <c r="U319" t="str">
        <f>Реестр_План_Факт!U319</f>
        <v/>
      </c>
      <c r="V319">
        <f>Реестр_План_Факт!V319</f>
        <v>0</v>
      </c>
      <c r="W319">
        <f>Реестр_План_Факт!W319</f>
        <v>0</v>
      </c>
      <c r="X319" t="str">
        <f>Реестр_План_Факт!X319</f>
        <v/>
      </c>
      <c r="Y319">
        <f>Реестр_План_Факт!Y319</f>
        <v>0</v>
      </c>
      <c r="Z319">
        <f>Реестр_План_Факт!Z319</f>
        <v>0</v>
      </c>
      <c r="AA319" t="str">
        <f>Реестр_План_Факт!AA319</f>
        <v/>
      </c>
      <c r="AB319">
        <f>Реестр_План_Факт!AB319</f>
        <v>0</v>
      </c>
      <c r="AC319">
        <f>Реестр_План_Факт!AC319</f>
        <v>0</v>
      </c>
      <c r="AD319" t="str">
        <f>Реестр_План_Факт!AD319</f>
        <v/>
      </c>
      <c r="AE319">
        <f>Реестр_План_Факт!AE319</f>
        <v>0</v>
      </c>
      <c r="AF319">
        <f>Реестр_План_Факт!AF319</f>
        <v>0</v>
      </c>
      <c r="AG319" t="str">
        <f>Реестр_План_Факт!AG319</f>
        <v/>
      </c>
      <c r="AH319">
        <f>Реестр_План_Факт!AH319</f>
        <v>0</v>
      </c>
      <c r="AI319">
        <f>Реестр_План_Факт!AI319</f>
        <v>0</v>
      </c>
      <c r="AJ319" t="str">
        <f>Реестр_План_Факт!AJ319</f>
        <v/>
      </c>
      <c r="AK319">
        <f>Реестр_План_Факт!AK319</f>
        <v>0</v>
      </c>
      <c r="AL319">
        <f>Реестр_План_Факт!AL319</f>
        <v>0</v>
      </c>
      <c r="AM319" t="str">
        <f>Реестр_План_Факт!AM319</f>
        <v/>
      </c>
      <c r="AN319">
        <f>Реестр_План_Факт!AN319</f>
        <v>0</v>
      </c>
      <c r="AO319">
        <f>Реестр_План_Факт!AO319</f>
        <v>0</v>
      </c>
      <c r="AP319" t="str">
        <f>Реестр_План_Факт!AP319</f>
        <v/>
      </c>
      <c r="AQ319">
        <f>Реестр_План_Факт!AQ319</f>
        <v>0</v>
      </c>
    </row>
    <row r="320" spans="1:43" x14ac:dyDescent="0.2">
      <c r="A320" s="201">
        <f>Реестр_План_Факт!A320</f>
        <v>46341</v>
      </c>
      <c r="B320">
        <f>Реестр_План_Факт!B320</f>
        <v>46</v>
      </c>
      <c r="C320">
        <f>Реестр_План_Факт!C320</f>
        <v>11</v>
      </c>
      <c r="D320">
        <f>Реестр_План_Факт!D320</f>
        <v>0</v>
      </c>
      <c r="E320">
        <f>Реестр_План_Факт!E320</f>
        <v>0</v>
      </c>
      <c r="F320" t="str">
        <f>Реестр_План_Факт!F320</f>
        <v/>
      </c>
      <c r="G320">
        <f>Реестр_План_Факт!G320</f>
        <v>0</v>
      </c>
      <c r="H320">
        <f>Реестр_План_Факт!H320</f>
        <v>0</v>
      </c>
      <c r="I320" t="str">
        <f>Реестр_План_Факт!I320</f>
        <v/>
      </c>
      <c r="J320">
        <f>Реестр_План_Факт!J320</f>
        <v>0</v>
      </c>
      <c r="K320">
        <f>Реестр_План_Факт!K320</f>
        <v>0</v>
      </c>
      <c r="L320" t="str">
        <f>Реестр_План_Факт!L320</f>
        <v/>
      </c>
      <c r="M320">
        <f>Реестр_План_Факт!M320</f>
        <v>0</v>
      </c>
      <c r="N320">
        <f>Реестр_План_Факт!N320</f>
        <v>0</v>
      </c>
      <c r="O320" t="str">
        <f>Реестр_План_Факт!O320</f>
        <v/>
      </c>
      <c r="P320">
        <f>Реестр_План_Факт!P320</f>
        <v>0</v>
      </c>
      <c r="Q320">
        <f>Реестр_План_Факт!Q320</f>
        <v>0</v>
      </c>
      <c r="R320" t="str">
        <f>Реестр_План_Факт!R320</f>
        <v/>
      </c>
      <c r="S320">
        <f>Реестр_План_Факт!S320</f>
        <v>0</v>
      </c>
      <c r="T320">
        <f>Реестр_План_Факт!T320</f>
        <v>0</v>
      </c>
      <c r="U320" t="str">
        <f>Реестр_План_Факт!U320</f>
        <v/>
      </c>
      <c r="V320">
        <f>Реестр_План_Факт!V320</f>
        <v>0</v>
      </c>
      <c r="W320">
        <f>Реестр_План_Факт!W320</f>
        <v>0</v>
      </c>
      <c r="X320" t="str">
        <f>Реестр_План_Факт!X320</f>
        <v/>
      </c>
      <c r="Y320">
        <f>Реестр_План_Факт!Y320</f>
        <v>0</v>
      </c>
      <c r="Z320">
        <f>Реестр_План_Факт!Z320</f>
        <v>0</v>
      </c>
      <c r="AA320" t="str">
        <f>Реестр_План_Факт!AA320</f>
        <v/>
      </c>
      <c r="AB320">
        <f>Реестр_План_Факт!AB320</f>
        <v>0</v>
      </c>
      <c r="AC320">
        <f>Реестр_План_Факт!AC320</f>
        <v>0</v>
      </c>
      <c r="AD320" t="str">
        <f>Реестр_План_Факт!AD320</f>
        <v/>
      </c>
      <c r="AE320">
        <f>Реестр_План_Факт!AE320</f>
        <v>0</v>
      </c>
      <c r="AF320">
        <f>Реестр_План_Факт!AF320</f>
        <v>0</v>
      </c>
      <c r="AG320" t="str">
        <f>Реестр_План_Факт!AG320</f>
        <v/>
      </c>
      <c r="AH320">
        <f>Реестр_План_Факт!AH320</f>
        <v>0</v>
      </c>
      <c r="AI320">
        <f>Реестр_План_Факт!AI320</f>
        <v>0</v>
      </c>
      <c r="AJ320" t="str">
        <f>Реестр_План_Факт!AJ320</f>
        <v/>
      </c>
      <c r="AK320">
        <f>Реестр_План_Факт!AK320</f>
        <v>0</v>
      </c>
      <c r="AL320">
        <f>Реестр_План_Факт!AL320</f>
        <v>0</v>
      </c>
      <c r="AM320" t="str">
        <f>Реестр_План_Факт!AM320</f>
        <v/>
      </c>
      <c r="AN320">
        <f>Реестр_План_Факт!AN320</f>
        <v>0</v>
      </c>
      <c r="AO320">
        <f>Реестр_План_Факт!AO320</f>
        <v>0</v>
      </c>
      <c r="AP320" t="str">
        <f>Реестр_План_Факт!AP320</f>
        <v/>
      </c>
      <c r="AQ320">
        <f>Реестр_План_Факт!AQ320</f>
        <v>0</v>
      </c>
    </row>
    <row r="321" spans="1:43" x14ac:dyDescent="0.2">
      <c r="A321" s="201">
        <f>Реестр_План_Факт!A321</f>
        <v>46342</v>
      </c>
      <c r="B321">
        <f>Реестр_План_Факт!B321</f>
        <v>47</v>
      </c>
      <c r="C321">
        <f>Реестр_План_Факт!C321</f>
        <v>11</v>
      </c>
      <c r="D321">
        <f>Реестр_План_Факт!D321</f>
        <v>0</v>
      </c>
      <c r="E321">
        <f>Реестр_План_Факт!E321</f>
        <v>0</v>
      </c>
      <c r="F321" t="str">
        <f>Реестр_План_Факт!F321</f>
        <v/>
      </c>
      <c r="G321">
        <f>Реестр_План_Факт!G321</f>
        <v>0</v>
      </c>
      <c r="H321">
        <f>Реестр_План_Факт!H321</f>
        <v>0</v>
      </c>
      <c r="I321" t="str">
        <f>Реестр_План_Факт!I321</f>
        <v/>
      </c>
      <c r="J321">
        <f>Реестр_План_Факт!J321</f>
        <v>0</v>
      </c>
      <c r="K321">
        <f>Реестр_План_Факт!K321</f>
        <v>0</v>
      </c>
      <c r="L321" t="str">
        <f>Реестр_План_Факт!L321</f>
        <v/>
      </c>
      <c r="M321">
        <f>Реестр_План_Факт!M321</f>
        <v>0</v>
      </c>
      <c r="N321">
        <f>Реестр_План_Факт!N321</f>
        <v>0</v>
      </c>
      <c r="O321" t="str">
        <f>Реестр_План_Факт!O321</f>
        <v/>
      </c>
      <c r="P321">
        <f>Реестр_План_Факт!P321</f>
        <v>0</v>
      </c>
      <c r="Q321">
        <f>Реестр_План_Факт!Q321</f>
        <v>0</v>
      </c>
      <c r="R321" t="str">
        <f>Реестр_План_Факт!R321</f>
        <v/>
      </c>
      <c r="S321">
        <f>Реестр_План_Факт!S321</f>
        <v>0</v>
      </c>
      <c r="T321">
        <f>Реестр_План_Факт!T321</f>
        <v>0</v>
      </c>
      <c r="U321" t="str">
        <f>Реестр_План_Факт!U321</f>
        <v/>
      </c>
      <c r="V321">
        <f>Реестр_План_Факт!V321</f>
        <v>0</v>
      </c>
      <c r="W321">
        <f>Реестр_План_Факт!W321</f>
        <v>0</v>
      </c>
      <c r="X321" t="str">
        <f>Реестр_План_Факт!X321</f>
        <v/>
      </c>
      <c r="Y321">
        <f>Реестр_План_Факт!Y321</f>
        <v>0</v>
      </c>
      <c r="Z321">
        <f>Реестр_План_Факт!Z321</f>
        <v>0</v>
      </c>
      <c r="AA321" t="str">
        <f>Реестр_План_Факт!AA321</f>
        <v/>
      </c>
      <c r="AB321">
        <f>Реестр_План_Факт!AB321</f>
        <v>0</v>
      </c>
      <c r="AC321">
        <f>Реестр_План_Факт!AC321</f>
        <v>0</v>
      </c>
      <c r="AD321" t="str">
        <f>Реестр_План_Факт!AD321</f>
        <v/>
      </c>
      <c r="AE321">
        <f>Реестр_План_Факт!AE321</f>
        <v>0</v>
      </c>
      <c r="AF321">
        <f>Реестр_План_Факт!AF321</f>
        <v>0</v>
      </c>
      <c r="AG321" t="str">
        <f>Реестр_План_Факт!AG321</f>
        <v/>
      </c>
      <c r="AH321">
        <f>Реестр_План_Факт!AH321</f>
        <v>0</v>
      </c>
      <c r="AI321">
        <f>Реестр_План_Факт!AI321</f>
        <v>0</v>
      </c>
      <c r="AJ321" t="str">
        <f>Реестр_План_Факт!AJ321</f>
        <v/>
      </c>
      <c r="AK321">
        <f>Реестр_План_Факт!AK321</f>
        <v>0</v>
      </c>
      <c r="AL321">
        <f>Реестр_План_Факт!AL321</f>
        <v>0</v>
      </c>
      <c r="AM321" t="str">
        <f>Реестр_План_Факт!AM321</f>
        <v/>
      </c>
      <c r="AN321">
        <f>Реестр_План_Факт!AN321</f>
        <v>0</v>
      </c>
      <c r="AO321">
        <f>Реестр_План_Факт!AO321</f>
        <v>0</v>
      </c>
      <c r="AP321" t="str">
        <f>Реестр_План_Факт!AP321</f>
        <v/>
      </c>
      <c r="AQ321">
        <f>Реестр_План_Факт!AQ321</f>
        <v>0</v>
      </c>
    </row>
    <row r="322" spans="1:43" x14ac:dyDescent="0.2">
      <c r="A322" s="201">
        <f>Реестр_План_Факт!A322</f>
        <v>46343</v>
      </c>
      <c r="B322">
        <f>Реестр_План_Факт!B322</f>
        <v>47</v>
      </c>
      <c r="C322">
        <f>Реестр_План_Факт!C322</f>
        <v>11</v>
      </c>
      <c r="D322">
        <f>Реестр_План_Факт!D322</f>
        <v>0</v>
      </c>
      <c r="E322">
        <f>Реестр_План_Факт!E322</f>
        <v>0</v>
      </c>
      <c r="F322" t="str">
        <f>Реестр_План_Факт!F322</f>
        <v/>
      </c>
      <c r="G322">
        <f>Реестр_План_Факт!G322</f>
        <v>0</v>
      </c>
      <c r="H322">
        <f>Реестр_План_Факт!H322</f>
        <v>0</v>
      </c>
      <c r="I322" t="str">
        <f>Реестр_План_Факт!I322</f>
        <v/>
      </c>
      <c r="J322">
        <f>Реестр_План_Факт!J322</f>
        <v>0</v>
      </c>
      <c r="K322">
        <f>Реестр_План_Факт!K322</f>
        <v>0</v>
      </c>
      <c r="L322" t="str">
        <f>Реестр_План_Факт!L322</f>
        <v/>
      </c>
      <c r="M322">
        <f>Реестр_План_Факт!M322</f>
        <v>0</v>
      </c>
      <c r="N322">
        <f>Реестр_План_Факт!N322</f>
        <v>0</v>
      </c>
      <c r="O322" t="str">
        <f>Реестр_План_Факт!O322</f>
        <v/>
      </c>
      <c r="P322">
        <f>Реестр_План_Факт!P322</f>
        <v>0</v>
      </c>
      <c r="Q322">
        <f>Реестр_План_Факт!Q322</f>
        <v>0</v>
      </c>
      <c r="R322" t="str">
        <f>Реестр_План_Факт!R322</f>
        <v/>
      </c>
      <c r="S322">
        <f>Реестр_План_Факт!S322</f>
        <v>0</v>
      </c>
      <c r="T322">
        <f>Реестр_План_Факт!T322</f>
        <v>0</v>
      </c>
      <c r="U322" t="str">
        <f>Реестр_План_Факт!U322</f>
        <v/>
      </c>
      <c r="V322">
        <f>Реестр_План_Факт!V322</f>
        <v>0</v>
      </c>
      <c r="W322">
        <f>Реестр_План_Факт!W322</f>
        <v>0</v>
      </c>
      <c r="X322" t="str">
        <f>Реестр_План_Факт!X322</f>
        <v/>
      </c>
      <c r="Y322">
        <f>Реестр_План_Факт!Y322</f>
        <v>0</v>
      </c>
      <c r="Z322">
        <f>Реестр_План_Факт!Z322</f>
        <v>0</v>
      </c>
      <c r="AA322" t="str">
        <f>Реестр_План_Факт!AA322</f>
        <v/>
      </c>
      <c r="AB322">
        <f>Реестр_План_Факт!AB322</f>
        <v>0</v>
      </c>
      <c r="AC322">
        <f>Реестр_План_Факт!AC322</f>
        <v>0</v>
      </c>
      <c r="AD322" t="str">
        <f>Реестр_План_Факт!AD322</f>
        <v/>
      </c>
      <c r="AE322">
        <f>Реестр_План_Факт!AE322</f>
        <v>0</v>
      </c>
      <c r="AF322">
        <f>Реестр_План_Факт!AF322</f>
        <v>0</v>
      </c>
      <c r="AG322" t="str">
        <f>Реестр_План_Факт!AG322</f>
        <v/>
      </c>
      <c r="AH322">
        <f>Реестр_План_Факт!AH322</f>
        <v>0</v>
      </c>
      <c r="AI322">
        <f>Реестр_План_Факт!AI322</f>
        <v>0</v>
      </c>
      <c r="AJ322" t="str">
        <f>Реестр_План_Факт!AJ322</f>
        <v/>
      </c>
      <c r="AK322">
        <f>Реестр_План_Факт!AK322</f>
        <v>0</v>
      </c>
      <c r="AL322">
        <f>Реестр_План_Факт!AL322</f>
        <v>0</v>
      </c>
      <c r="AM322" t="str">
        <f>Реестр_План_Факт!AM322</f>
        <v/>
      </c>
      <c r="AN322">
        <f>Реестр_План_Факт!AN322</f>
        <v>0</v>
      </c>
      <c r="AO322">
        <f>Реестр_План_Факт!AO322</f>
        <v>0</v>
      </c>
      <c r="AP322" t="str">
        <f>Реестр_План_Факт!AP322</f>
        <v/>
      </c>
      <c r="AQ322">
        <f>Реестр_План_Факт!AQ322</f>
        <v>0</v>
      </c>
    </row>
    <row r="323" spans="1:43" x14ac:dyDescent="0.2">
      <c r="A323" s="201">
        <f>Реестр_План_Факт!A323</f>
        <v>46344</v>
      </c>
      <c r="B323">
        <f>Реестр_План_Факт!B323</f>
        <v>47</v>
      </c>
      <c r="C323">
        <f>Реестр_План_Факт!C323</f>
        <v>11</v>
      </c>
      <c r="D323">
        <f>Реестр_План_Факт!D323</f>
        <v>0</v>
      </c>
      <c r="E323">
        <f>Реестр_План_Факт!E323</f>
        <v>0</v>
      </c>
      <c r="F323" t="str">
        <f>Реестр_План_Факт!F323</f>
        <v/>
      </c>
      <c r="G323">
        <f>Реестр_План_Факт!G323</f>
        <v>0</v>
      </c>
      <c r="H323">
        <f>Реестр_План_Факт!H323</f>
        <v>0</v>
      </c>
      <c r="I323" t="str">
        <f>Реестр_План_Факт!I323</f>
        <v/>
      </c>
      <c r="J323">
        <f>Реестр_План_Факт!J323</f>
        <v>0</v>
      </c>
      <c r="K323">
        <f>Реестр_План_Факт!K323</f>
        <v>0</v>
      </c>
      <c r="L323" t="str">
        <f>Реестр_План_Факт!L323</f>
        <v/>
      </c>
      <c r="M323">
        <f>Реестр_План_Факт!M323</f>
        <v>0</v>
      </c>
      <c r="N323">
        <f>Реестр_План_Факт!N323</f>
        <v>0</v>
      </c>
      <c r="O323" t="str">
        <f>Реестр_План_Факт!O323</f>
        <v/>
      </c>
      <c r="P323">
        <f>Реестр_План_Факт!P323</f>
        <v>0</v>
      </c>
      <c r="Q323">
        <f>Реестр_План_Факт!Q323</f>
        <v>0</v>
      </c>
      <c r="R323" t="str">
        <f>Реестр_План_Факт!R323</f>
        <v/>
      </c>
      <c r="S323">
        <f>Реестр_План_Факт!S323</f>
        <v>0</v>
      </c>
      <c r="T323">
        <f>Реестр_План_Факт!T323</f>
        <v>0</v>
      </c>
      <c r="U323" t="str">
        <f>Реестр_План_Факт!U323</f>
        <v/>
      </c>
      <c r="V323">
        <f>Реестр_План_Факт!V323</f>
        <v>0</v>
      </c>
      <c r="W323">
        <f>Реестр_План_Факт!W323</f>
        <v>0</v>
      </c>
      <c r="X323" t="str">
        <f>Реестр_План_Факт!X323</f>
        <v/>
      </c>
      <c r="Y323">
        <f>Реестр_План_Факт!Y323</f>
        <v>0</v>
      </c>
      <c r="Z323">
        <f>Реестр_План_Факт!Z323</f>
        <v>0</v>
      </c>
      <c r="AA323" t="str">
        <f>Реестр_План_Факт!AA323</f>
        <v/>
      </c>
      <c r="AB323">
        <f>Реестр_План_Факт!AB323</f>
        <v>0</v>
      </c>
      <c r="AC323">
        <f>Реестр_План_Факт!AC323</f>
        <v>0</v>
      </c>
      <c r="AD323" t="str">
        <f>Реестр_План_Факт!AD323</f>
        <v/>
      </c>
      <c r="AE323">
        <f>Реестр_План_Факт!AE323</f>
        <v>0</v>
      </c>
      <c r="AF323">
        <f>Реестр_План_Факт!AF323</f>
        <v>0</v>
      </c>
      <c r="AG323" t="str">
        <f>Реестр_План_Факт!AG323</f>
        <v/>
      </c>
      <c r="AH323">
        <f>Реестр_План_Факт!AH323</f>
        <v>0</v>
      </c>
      <c r="AI323">
        <f>Реестр_План_Факт!AI323</f>
        <v>0</v>
      </c>
      <c r="AJ323" t="str">
        <f>Реестр_План_Факт!AJ323</f>
        <v/>
      </c>
      <c r="AK323">
        <f>Реестр_План_Факт!AK323</f>
        <v>0</v>
      </c>
      <c r="AL323">
        <f>Реестр_План_Факт!AL323</f>
        <v>0</v>
      </c>
      <c r="AM323" t="str">
        <f>Реестр_План_Факт!AM323</f>
        <v/>
      </c>
      <c r="AN323">
        <f>Реестр_План_Факт!AN323</f>
        <v>0</v>
      </c>
      <c r="AO323">
        <f>Реестр_План_Факт!AO323</f>
        <v>0</v>
      </c>
      <c r="AP323" t="str">
        <f>Реестр_План_Факт!AP323</f>
        <v/>
      </c>
      <c r="AQ323">
        <f>Реестр_План_Факт!AQ323</f>
        <v>0</v>
      </c>
    </row>
    <row r="324" spans="1:43" x14ac:dyDescent="0.2">
      <c r="A324" s="201">
        <f>Реестр_План_Факт!A324</f>
        <v>46345</v>
      </c>
      <c r="B324">
        <f>Реестр_План_Факт!B324</f>
        <v>47</v>
      </c>
      <c r="C324">
        <f>Реестр_План_Факт!C324</f>
        <v>11</v>
      </c>
      <c r="D324">
        <f>Реестр_План_Факт!D324</f>
        <v>0</v>
      </c>
      <c r="E324">
        <f>Реестр_План_Факт!E324</f>
        <v>0</v>
      </c>
      <c r="F324" t="str">
        <f>Реестр_План_Факт!F324</f>
        <v/>
      </c>
      <c r="G324">
        <f>Реестр_План_Факт!G324</f>
        <v>0</v>
      </c>
      <c r="H324">
        <f>Реестр_План_Факт!H324</f>
        <v>0</v>
      </c>
      <c r="I324" t="str">
        <f>Реестр_План_Факт!I324</f>
        <v/>
      </c>
      <c r="J324">
        <f>Реестр_План_Факт!J324</f>
        <v>0</v>
      </c>
      <c r="K324">
        <f>Реестр_План_Факт!K324</f>
        <v>0</v>
      </c>
      <c r="L324" t="str">
        <f>Реестр_План_Факт!L324</f>
        <v/>
      </c>
      <c r="M324">
        <f>Реестр_План_Факт!M324</f>
        <v>0</v>
      </c>
      <c r="N324">
        <f>Реестр_План_Факт!N324</f>
        <v>0</v>
      </c>
      <c r="O324" t="str">
        <f>Реестр_План_Факт!O324</f>
        <v/>
      </c>
      <c r="P324">
        <f>Реестр_План_Факт!P324</f>
        <v>0</v>
      </c>
      <c r="Q324">
        <f>Реестр_План_Факт!Q324</f>
        <v>0</v>
      </c>
      <c r="R324" t="str">
        <f>Реестр_План_Факт!R324</f>
        <v/>
      </c>
      <c r="S324">
        <f>Реестр_План_Факт!S324</f>
        <v>0</v>
      </c>
      <c r="T324">
        <f>Реестр_План_Факт!T324</f>
        <v>0</v>
      </c>
      <c r="U324" t="str">
        <f>Реестр_План_Факт!U324</f>
        <v/>
      </c>
      <c r="V324">
        <f>Реестр_План_Факт!V324</f>
        <v>0</v>
      </c>
      <c r="W324">
        <f>Реестр_План_Факт!W324</f>
        <v>0</v>
      </c>
      <c r="X324" t="str">
        <f>Реестр_План_Факт!X324</f>
        <v/>
      </c>
      <c r="Y324">
        <f>Реестр_План_Факт!Y324</f>
        <v>0</v>
      </c>
      <c r="Z324">
        <f>Реестр_План_Факт!Z324</f>
        <v>0</v>
      </c>
      <c r="AA324" t="str">
        <f>Реестр_План_Факт!AA324</f>
        <v/>
      </c>
      <c r="AB324">
        <f>Реестр_План_Факт!AB324</f>
        <v>0</v>
      </c>
      <c r="AC324">
        <f>Реестр_План_Факт!AC324</f>
        <v>0</v>
      </c>
      <c r="AD324" t="str">
        <f>Реестр_План_Факт!AD324</f>
        <v/>
      </c>
      <c r="AE324">
        <f>Реестр_План_Факт!AE324</f>
        <v>0</v>
      </c>
      <c r="AF324">
        <f>Реестр_План_Факт!AF324</f>
        <v>0</v>
      </c>
      <c r="AG324" t="str">
        <f>Реестр_План_Факт!AG324</f>
        <v/>
      </c>
      <c r="AH324">
        <f>Реестр_План_Факт!AH324</f>
        <v>0</v>
      </c>
      <c r="AI324">
        <f>Реестр_План_Факт!AI324</f>
        <v>0</v>
      </c>
      <c r="AJ324" t="str">
        <f>Реестр_План_Факт!AJ324</f>
        <v/>
      </c>
      <c r="AK324">
        <f>Реестр_План_Факт!AK324</f>
        <v>0</v>
      </c>
      <c r="AL324">
        <f>Реестр_План_Факт!AL324</f>
        <v>0</v>
      </c>
      <c r="AM324" t="str">
        <f>Реестр_План_Факт!AM324</f>
        <v/>
      </c>
      <c r="AN324">
        <f>Реестр_План_Факт!AN324</f>
        <v>0</v>
      </c>
      <c r="AO324">
        <f>Реестр_План_Факт!AO324</f>
        <v>0</v>
      </c>
      <c r="AP324" t="str">
        <f>Реестр_План_Факт!AP324</f>
        <v/>
      </c>
      <c r="AQ324">
        <f>Реестр_План_Факт!AQ324</f>
        <v>0</v>
      </c>
    </row>
    <row r="325" spans="1:43" x14ac:dyDescent="0.2">
      <c r="A325" s="201">
        <f>Реестр_План_Факт!A325</f>
        <v>46346</v>
      </c>
      <c r="B325">
        <f>Реестр_План_Факт!B325</f>
        <v>47</v>
      </c>
      <c r="C325">
        <f>Реестр_План_Факт!C325</f>
        <v>11</v>
      </c>
      <c r="D325">
        <f>Реестр_План_Факт!D325</f>
        <v>0</v>
      </c>
      <c r="E325">
        <f>Реестр_План_Факт!E325</f>
        <v>0</v>
      </c>
      <c r="F325" t="str">
        <f>Реестр_План_Факт!F325</f>
        <v/>
      </c>
      <c r="G325">
        <f>Реестр_План_Факт!G325</f>
        <v>0</v>
      </c>
      <c r="H325">
        <f>Реестр_План_Факт!H325</f>
        <v>0</v>
      </c>
      <c r="I325" t="str">
        <f>Реестр_План_Факт!I325</f>
        <v/>
      </c>
      <c r="J325">
        <f>Реестр_План_Факт!J325</f>
        <v>0</v>
      </c>
      <c r="K325">
        <f>Реестр_План_Факт!K325</f>
        <v>0</v>
      </c>
      <c r="L325" t="str">
        <f>Реестр_План_Факт!L325</f>
        <v/>
      </c>
      <c r="M325">
        <f>Реестр_План_Факт!M325</f>
        <v>0</v>
      </c>
      <c r="N325">
        <f>Реестр_План_Факт!N325</f>
        <v>0</v>
      </c>
      <c r="O325" t="str">
        <f>Реестр_План_Факт!O325</f>
        <v/>
      </c>
      <c r="P325">
        <f>Реестр_План_Факт!P325</f>
        <v>0</v>
      </c>
      <c r="Q325">
        <f>Реестр_План_Факт!Q325</f>
        <v>0</v>
      </c>
      <c r="R325" t="str">
        <f>Реестр_План_Факт!R325</f>
        <v/>
      </c>
      <c r="S325">
        <f>Реестр_План_Факт!S325</f>
        <v>0</v>
      </c>
      <c r="T325">
        <f>Реестр_План_Факт!T325</f>
        <v>0</v>
      </c>
      <c r="U325" t="str">
        <f>Реестр_План_Факт!U325</f>
        <v/>
      </c>
      <c r="V325">
        <f>Реестр_План_Факт!V325</f>
        <v>0</v>
      </c>
      <c r="W325">
        <f>Реестр_План_Факт!W325</f>
        <v>0</v>
      </c>
      <c r="X325" t="str">
        <f>Реестр_План_Факт!X325</f>
        <v/>
      </c>
      <c r="Y325">
        <f>Реестр_План_Факт!Y325</f>
        <v>0</v>
      </c>
      <c r="Z325">
        <f>Реестр_План_Факт!Z325</f>
        <v>0</v>
      </c>
      <c r="AA325" t="str">
        <f>Реестр_План_Факт!AA325</f>
        <v/>
      </c>
      <c r="AB325">
        <f>Реестр_План_Факт!AB325</f>
        <v>0</v>
      </c>
      <c r="AC325">
        <f>Реестр_План_Факт!AC325</f>
        <v>0</v>
      </c>
      <c r="AD325" t="str">
        <f>Реестр_План_Факт!AD325</f>
        <v/>
      </c>
      <c r="AE325">
        <f>Реестр_План_Факт!AE325</f>
        <v>0</v>
      </c>
      <c r="AF325">
        <f>Реестр_План_Факт!AF325</f>
        <v>0</v>
      </c>
      <c r="AG325" t="str">
        <f>Реестр_План_Факт!AG325</f>
        <v/>
      </c>
      <c r="AH325">
        <f>Реестр_План_Факт!AH325</f>
        <v>0</v>
      </c>
      <c r="AI325">
        <f>Реестр_План_Факт!AI325</f>
        <v>0</v>
      </c>
      <c r="AJ325" t="str">
        <f>Реестр_План_Факт!AJ325</f>
        <v/>
      </c>
      <c r="AK325">
        <f>Реестр_План_Факт!AK325</f>
        <v>0</v>
      </c>
      <c r="AL325">
        <f>Реестр_План_Факт!AL325</f>
        <v>0</v>
      </c>
      <c r="AM325" t="str">
        <f>Реестр_План_Факт!AM325</f>
        <v/>
      </c>
      <c r="AN325">
        <f>Реестр_План_Факт!AN325</f>
        <v>0</v>
      </c>
      <c r="AO325">
        <f>Реестр_План_Факт!AO325</f>
        <v>0</v>
      </c>
      <c r="AP325" t="str">
        <f>Реестр_План_Факт!AP325</f>
        <v/>
      </c>
      <c r="AQ325">
        <f>Реестр_План_Факт!AQ325</f>
        <v>0</v>
      </c>
    </row>
    <row r="326" spans="1:43" x14ac:dyDescent="0.2">
      <c r="A326" s="201">
        <f>Реестр_План_Факт!A326</f>
        <v>46347</v>
      </c>
      <c r="B326">
        <f>Реестр_План_Факт!B326</f>
        <v>47</v>
      </c>
      <c r="C326">
        <f>Реестр_План_Факт!C326</f>
        <v>11</v>
      </c>
      <c r="D326">
        <f>Реестр_План_Факт!D326</f>
        <v>0</v>
      </c>
      <c r="E326">
        <f>Реестр_План_Факт!E326</f>
        <v>0</v>
      </c>
      <c r="F326" t="str">
        <f>Реестр_План_Факт!F326</f>
        <v/>
      </c>
      <c r="G326">
        <f>Реестр_План_Факт!G326</f>
        <v>0</v>
      </c>
      <c r="H326">
        <f>Реестр_План_Факт!H326</f>
        <v>0</v>
      </c>
      <c r="I326" t="str">
        <f>Реестр_План_Факт!I326</f>
        <v/>
      </c>
      <c r="J326">
        <f>Реестр_План_Факт!J326</f>
        <v>0</v>
      </c>
      <c r="K326">
        <f>Реестр_План_Факт!K326</f>
        <v>0</v>
      </c>
      <c r="L326" t="str">
        <f>Реестр_План_Факт!L326</f>
        <v/>
      </c>
      <c r="M326">
        <f>Реестр_План_Факт!M326</f>
        <v>0</v>
      </c>
      <c r="N326">
        <f>Реестр_План_Факт!N326</f>
        <v>0</v>
      </c>
      <c r="O326" t="str">
        <f>Реестр_План_Факт!O326</f>
        <v/>
      </c>
      <c r="P326">
        <f>Реестр_План_Факт!P326</f>
        <v>0</v>
      </c>
      <c r="Q326">
        <f>Реестр_План_Факт!Q326</f>
        <v>0</v>
      </c>
      <c r="R326" t="str">
        <f>Реестр_План_Факт!R326</f>
        <v/>
      </c>
      <c r="S326">
        <f>Реестр_План_Факт!S326</f>
        <v>0</v>
      </c>
      <c r="T326">
        <f>Реестр_План_Факт!T326</f>
        <v>0</v>
      </c>
      <c r="U326" t="str">
        <f>Реестр_План_Факт!U326</f>
        <v/>
      </c>
      <c r="V326">
        <f>Реестр_План_Факт!V326</f>
        <v>0</v>
      </c>
      <c r="W326">
        <f>Реестр_План_Факт!W326</f>
        <v>0</v>
      </c>
      <c r="X326" t="str">
        <f>Реестр_План_Факт!X326</f>
        <v/>
      </c>
      <c r="Y326">
        <f>Реестр_План_Факт!Y326</f>
        <v>0</v>
      </c>
      <c r="Z326">
        <f>Реестр_План_Факт!Z326</f>
        <v>0</v>
      </c>
      <c r="AA326" t="str">
        <f>Реестр_План_Факт!AA326</f>
        <v/>
      </c>
      <c r="AB326">
        <f>Реестр_План_Факт!AB326</f>
        <v>0</v>
      </c>
      <c r="AC326">
        <f>Реестр_План_Факт!AC326</f>
        <v>0</v>
      </c>
      <c r="AD326" t="str">
        <f>Реестр_План_Факт!AD326</f>
        <v/>
      </c>
      <c r="AE326">
        <f>Реестр_План_Факт!AE326</f>
        <v>0</v>
      </c>
      <c r="AF326">
        <f>Реестр_План_Факт!AF326</f>
        <v>0</v>
      </c>
      <c r="AG326" t="str">
        <f>Реестр_План_Факт!AG326</f>
        <v/>
      </c>
      <c r="AH326">
        <f>Реестр_План_Факт!AH326</f>
        <v>0</v>
      </c>
      <c r="AI326">
        <f>Реестр_План_Факт!AI326</f>
        <v>0</v>
      </c>
      <c r="AJ326" t="str">
        <f>Реестр_План_Факт!AJ326</f>
        <v/>
      </c>
      <c r="AK326">
        <f>Реестр_План_Факт!AK326</f>
        <v>0</v>
      </c>
      <c r="AL326">
        <f>Реестр_План_Факт!AL326</f>
        <v>0</v>
      </c>
      <c r="AM326" t="str">
        <f>Реестр_План_Факт!AM326</f>
        <v/>
      </c>
      <c r="AN326">
        <f>Реестр_План_Факт!AN326</f>
        <v>0</v>
      </c>
      <c r="AO326">
        <f>Реестр_План_Факт!AO326</f>
        <v>0</v>
      </c>
      <c r="AP326" t="str">
        <f>Реестр_План_Факт!AP326</f>
        <v/>
      </c>
      <c r="AQ326">
        <f>Реестр_План_Факт!AQ326</f>
        <v>0</v>
      </c>
    </row>
    <row r="327" spans="1:43" x14ac:dyDescent="0.2">
      <c r="A327" s="201">
        <f>Реестр_План_Факт!A327</f>
        <v>46348</v>
      </c>
      <c r="B327">
        <f>Реестр_План_Факт!B327</f>
        <v>47</v>
      </c>
      <c r="C327">
        <f>Реестр_План_Факт!C327</f>
        <v>11</v>
      </c>
      <c r="D327">
        <f>Реестр_План_Факт!D327</f>
        <v>0</v>
      </c>
      <c r="E327">
        <f>Реестр_План_Факт!E327</f>
        <v>0</v>
      </c>
      <c r="F327" t="str">
        <f>Реестр_План_Факт!F327</f>
        <v/>
      </c>
      <c r="G327">
        <f>Реестр_План_Факт!G327</f>
        <v>0</v>
      </c>
      <c r="H327">
        <f>Реестр_План_Факт!H327</f>
        <v>0</v>
      </c>
      <c r="I327" t="str">
        <f>Реестр_План_Факт!I327</f>
        <v/>
      </c>
      <c r="J327">
        <f>Реестр_План_Факт!J327</f>
        <v>0</v>
      </c>
      <c r="K327">
        <f>Реестр_План_Факт!K327</f>
        <v>0</v>
      </c>
      <c r="L327" t="str">
        <f>Реестр_План_Факт!L327</f>
        <v/>
      </c>
      <c r="M327">
        <f>Реестр_План_Факт!M327</f>
        <v>0</v>
      </c>
      <c r="N327">
        <f>Реестр_План_Факт!N327</f>
        <v>0</v>
      </c>
      <c r="O327" t="str">
        <f>Реестр_План_Факт!O327</f>
        <v/>
      </c>
      <c r="P327">
        <f>Реестр_План_Факт!P327</f>
        <v>0</v>
      </c>
      <c r="Q327">
        <f>Реестр_План_Факт!Q327</f>
        <v>0</v>
      </c>
      <c r="R327" t="str">
        <f>Реестр_План_Факт!R327</f>
        <v/>
      </c>
      <c r="S327">
        <f>Реестр_План_Факт!S327</f>
        <v>0</v>
      </c>
      <c r="T327">
        <f>Реестр_План_Факт!T327</f>
        <v>0</v>
      </c>
      <c r="U327" t="str">
        <f>Реестр_План_Факт!U327</f>
        <v/>
      </c>
      <c r="V327">
        <f>Реестр_План_Факт!V327</f>
        <v>0</v>
      </c>
      <c r="W327">
        <f>Реестр_План_Факт!W327</f>
        <v>0</v>
      </c>
      <c r="X327" t="str">
        <f>Реестр_План_Факт!X327</f>
        <v/>
      </c>
      <c r="Y327">
        <f>Реестр_План_Факт!Y327</f>
        <v>0</v>
      </c>
      <c r="Z327">
        <f>Реестр_План_Факт!Z327</f>
        <v>0</v>
      </c>
      <c r="AA327" t="str">
        <f>Реестр_План_Факт!AA327</f>
        <v/>
      </c>
      <c r="AB327">
        <f>Реестр_План_Факт!AB327</f>
        <v>0</v>
      </c>
      <c r="AC327">
        <f>Реестр_План_Факт!AC327</f>
        <v>0</v>
      </c>
      <c r="AD327" t="str">
        <f>Реестр_План_Факт!AD327</f>
        <v/>
      </c>
      <c r="AE327">
        <f>Реестр_План_Факт!AE327</f>
        <v>0</v>
      </c>
      <c r="AF327">
        <f>Реестр_План_Факт!AF327</f>
        <v>0</v>
      </c>
      <c r="AG327" t="str">
        <f>Реестр_План_Факт!AG327</f>
        <v/>
      </c>
      <c r="AH327">
        <f>Реестр_План_Факт!AH327</f>
        <v>0</v>
      </c>
      <c r="AI327">
        <f>Реестр_План_Факт!AI327</f>
        <v>0</v>
      </c>
      <c r="AJ327" t="str">
        <f>Реестр_План_Факт!AJ327</f>
        <v/>
      </c>
      <c r="AK327">
        <f>Реестр_План_Факт!AK327</f>
        <v>0</v>
      </c>
      <c r="AL327">
        <f>Реестр_План_Факт!AL327</f>
        <v>0</v>
      </c>
      <c r="AM327" t="str">
        <f>Реестр_План_Факт!AM327</f>
        <v/>
      </c>
      <c r="AN327">
        <f>Реестр_План_Факт!AN327</f>
        <v>0</v>
      </c>
      <c r="AO327">
        <f>Реестр_План_Факт!AO327</f>
        <v>0</v>
      </c>
      <c r="AP327" t="str">
        <f>Реестр_План_Факт!AP327</f>
        <v/>
      </c>
      <c r="AQ327">
        <f>Реестр_План_Факт!AQ327</f>
        <v>0</v>
      </c>
    </row>
    <row r="328" spans="1:43" x14ac:dyDescent="0.2">
      <c r="A328" s="201">
        <f>Реестр_План_Факт!A328</f>
        <v>46349</v>
      </c>
      <c r="B328">
        <f>Реестр_План_Факт!B328</f>
        <v>48</v>
      </c>
      <c r="C328">
        <f>Реестр_План_Факт!C328</f>
        <v>11</v>
      </c>
      <c r="D328">
        <f>Реестр_План_Факт!D328</f>
        <v>0</v>
      </c>
      <c r="E328">
        <f>Реестр_План_Факт!E328</f>
        <v>0</v>
      </c>
      <c r="F328" t="str">
        <f>Реестр_План_Факт!F328</f>
        <v/>
      </c>
      <c r="G328">
        <f>Реестр_План_Факт!G328</f>
        <v>0</v>
      </c>
      <c r="H328">
        <f>Реестр_План_Факт!H328</f>
        <v>0</v>
      </c>
      <c r="I328" t="str">
        <f>Реестр_План_Факт!I328</f>
        <v/>
      </c>
      <c r="J328">
        <f>Реестр_План_Факт!J328</f>
        <v>0</v>
      </c>
      <c r="K328">
        <f>Реестр_План_Факт!K328</f>
        <v>0</v>
      </c>
      <c r="L328" t="str">
        <f>Реестр_План_Факт!L328</f>
        <v/>
      </c>
      <c r="M328">
        <f>Реестр_План_Факт!M328</f>
        <v>0</v>
      </c>
      <c r="N328">
        <f>Реестр_План_Факт!N328</f>
        <v>0</v>
      </c>
      <c r="O328" t="str">
        <f>Реестр_План_Факт!O328</f>
        <v/>
      </c>
      <c r="P328">
        <f>Реестр_План_Факт!P328</f>
        <v>0</v>
      </c>
      <c r="Q328">
        <f>Реестр_План_Факт!Q328</f>
        <v>0</v>
      </c>
      <c r="R328" t="str">
        <f>Реестр_План_Факт!R328</f>
        <v/>
      </c>
      <c r="S328">
        <f>Реестр_План_Факт!S328</f>
        <v>0</v>
      </c>
      <c r="T328">
        <f>Реестр_План_Факт!T328</f>
        <v>0</v>
      </c>
      <c r="U328" t="str">
        <f>Реестр_План_Факт!U328</f>
        <v/>
      </c>
      <c r="V328">
        <f>Реестр_План_Факт!V328</f>
        <v>0</v>
      </c>
      <c r="W328">
        <f>Реестр_План_Факт!W328</f>
        <v>0</v>
      </c>
      <c r="X328" t="str">
        <f>Реестр_План_Факт!X328</f>
        <v/>
      </c>
      <c r="Y328">
        <f>Реестр_План_Факт!Y328</f>
        <v>0</v>
      </c>
      <c r="Z328">
        <f>Реестр_План_Факт!Z328</f>
        <v>0</v>
      </c>
      <c r="AA328" t="str">
        <f>Реестр_План_Факт!AA328</f>
        <v/>
      </c>
      <c r="AB328">
        <f>Реестр_План_Факт!AB328</f>
        <v>0</v>
      </c>
      <c r="AC328">
        <f>Реестр_План_Факт!AC328</f>
        <v>0</v>
      </c>
      <c r="AD328" t="str">
        <f>Реестр_План_Факт!AD328</f>
        <v/>
      </c>
      <c r="AE328">
        <f>Реестр_План_Факт!AE328</f>
        <v>0</v>
      </c>
      <c r="AF328">
        <f>Реестр_План_Факт!AF328</f>
        <v>0</v>
      </c>
      <c r="AG328" t="str">
        <f>Реестр_План_Факт!AG328</f>
        <v/>
      </c>
      <c r="AH328">
        <f>Реестр_План_Факт!AH328</f>
        <v>0</v>
      </c>
      <c r="AI328">
        <f>Реестр_План_Факт!AI328</f>
        <v>0</v>
      </c>
      <c r="AJ328" t="str">
        <f>Реестр_План_Факт!AJ328</f>
        <v/>
      </c>
      <c r="AK328">
        <f>Реестр_План_Факт!AK328</f>
        <v>0</v>
      </c>
      <c r="AL328">
        <f>Реестр_План_Факт!AL328</f>
        <v>0</v>
      </c>
      <c r="AM328" t="str">
        <f>Реестр_План_Факт!AM328</f>
        <v/>
      </c>
      <c r="AN328">
        <f>Реестр_План_Факт!AN328</f>
        <v>0</v>
      </c>
      <c r="AO328">
        <f>Реестр_План_Факт!AO328</f>
        <v>0</v>
      </c>
      <c r="AP328" t="str">
        <f>Реестр_План_Факт!AP328</f>
        <v/>
      </c>
      <c r="AQ328">
        <f>Реестр_План_Факт!AQ328</f>
        <v>0</v>
      </c>
    </row>
    <row r="329" spans="1:43" x14ac:dyDescent="0.2">
      <c r="A329" s="201">
        <f>Реестр_План_Факт!A329</f>
        <v>46350</v>
      </c>
      <c r="B329">
        <f>Реестр_План_Факт!B329</f>
        <v>48</v>
      </c>
      <c r="C329">
        <f>Реестр_План_Факт!C329</f>
        <v>11</v>
      </c>
      <c r="D329">
        <f>Реестр_План_Факт!D329</f>
        <v>0</v>
      </c>
      <c r="E329">
        <f>Реестр_План_Факт!E329</f>
        <v>0</v>
      </c>
      <c r="F329" t="str">
        <f>Реестр_План_Факт!F329</f>
        <v/>
      </c>
      <c r="G329">
        <f>Реестр_План_Факт!G329</f>
        <v>0</v>
      </c>
      <c r="H329">
        <f>Реестр_План_Факт!H329</f>
        <v>0</v>
      </c>
      <c r="I329" t="str">
        <f>Реестр_План_Факт!I329</f>
        <v/>
      </c>
      <c r="J329">
        <f>Реестр_План_Факт!J329</f>
        <v>0</v>
      </c>
      <c r="K329">
        <f>Реестр_План_Факт!K329</f>
        <v>0</v>
      </c>
      <c r="L329" t="str">
        <f>Реестр_План_Факт!L329</f>
        <v/>
      </c>
      <c r="M329">
        <f>Реестр_План_Факт!M329</f>
        <v>0</v>
      </c>
      <c r="N329">
        <f>Реестр_План_Факт!N329</f>
        <v>0</v>
      </c>
      <c r="O329" t="str">
        <f>Реестр_План_Факт!O329</f>
        <v/>
      </c>
      <c r="P329">
        <f>Реестр_План_Факт!P329</f>
        <v>0</v>
      </c>
      <c r="Q329">
        <f>Реестр_План_Факт!Q329</f>
        <v>0</v>
      </c>
      <c r="R329" t="str">
        <f>Реестр_План_Факт!R329</f>
        <v/>
      </c>
      <c r="S329">
        <f>Реестр_План_Факт!S329</f>
        <v>0</v>
      </c>
      <c r="T329">
        <f>Реестр_План_Факт!T329</f>
        <v>0</v>
      </c>
      <c r="U329" t="str">
        <f>Реестр_План_Факт!U329</f>
        <v/>
      </c>
      <c r="V329">
        <f>Реестр_План_Факт!V329</f>
        <v>0</v>
      </c>
      <c r="W329">
        <f>Реестр_План_Факт!W329</f>
        <v>0</v>
      </c>
      <c r="X329" t="str">
        <f>Реестр_План_Факт!X329</f>
        <v/>
      </c>
      <c r="Y329">
        <f>Реестр_План_Факт!Y329</f>
        <v>0</v>
      </c>
      <c r="Z329">
        <f>Реестр_План_Факт!Z329</f>
        <v>0</v>
      </c>
      <c r="AA329" t="str">
        <f>Реестр_План_Факт!AA329</f>
        <v/>
      </c>
      <c r="AB329">
        <f>Реестр_План_Факт!AB329</f>
        <v>0</v>
      </c>
      <c r="AC329">
        <f>Реестр_План_Факт!AC329</f>
        <v>0</v>
      </c>
      <c r="AD329" t="str">
        <f>Реестр_План_Факт!AD329</f>
        <v/>
      </c>
      <c r="AE329">
        <f>Реестр_План_Факт!AE329</f>
        <v>0</v>
      </c>
      <c r="AF329">
        <f>Реестр_План_Факт!AF329</f>
        <v>0</v>
      </c>
      <c r="AG329" t="str">
        <f>Реестр_План_Факт!AG329</f>
        <v/>
      </c>
      <c r="AH329">
        <f>Реестр_План_Факт!AH329</f>
        <v>0</v>
      </c>
      <c r="AI329">
        <f>Реестр_План_Факт!AI329</f>
        <v>0</v>
      </c>
      <c r="AJ329" t="str">
        <f>Реестр_План_Факт!AJ329</f>
        <v/>
      </c>
      <c r="AK329">
        <f>Реестр_План_Факт!AK329</f>
        <v>0</v>
      </c>
      <c r="AL329">
        <f>Реестр_План_Факт!AL329</f>
        <v>0</v>
      </c>
      <c r="AM329" t="str">
        <f>Реестр_План_Факт!AM329</f>
        <v/>
      </c>
      <c r="AN329">
        <f>Реестр_План_Факт!AN329</f>
        <v>0</v>
      </c>
      <c r="AO329">
        <f>Реестр_План_Факт!AO329</f>
        <v>0</v>
      </c>
      <c r="AP329" t="str">
        <f>Реестр_План_Факт!AP329</f>
        <v/>
      </c>
      <c r="AQ329">
        <f>Реестр_План_Факт!AQ329</f>
        <v>0</v>
      </c>
    </row>
    <row r="330" spans="1:43" x14ac:dyDescent="0.2">
      <c r="A330" s="201">
        <f>Реестр_План_Факт!A330</f>
        <v>46351</v>
      </c>
      <c r="B330">
        <f>Реестр_План_Факт!B330</f>
        <v>48</v>
      </c>
      <c r="C330">
        <f>Реестр_План_Факт!C330</f>
        <v>11</v>
      </c>
      <c r="D330">
        <f>Реестр_План_Факт!D330</f>
        <v>0</v>
      </c>
      <c r="E330">
        <f>Реестр_План_Факт!E330</f>
        <v>0</v>
      </c>
      <c r="F330" t="str">
        <f>Реестр_План_Факт!F330</f>
        <v/>
      </c>
      <c r="G330">
        <f>Реестр_План_Факт!G330</f>
        <v>0</v>
      </c>
      <c r="H330">
        <f>Реестр_План_Факт!H330</f>
        <v>0</v>
      </c>
      <c r="I330" t="str">
        <f>Реестр_План_Факт!I330</f>
        <v/>
      </c>
      <c r="J330">
        <f>Реестр_План_Факт!J330</f>
        <v>0</v>
      </c>
      <c r="K330">
        <f>Реестр_План_Факт!K330</f>
        <v>0</v>
      </c>
      <c r="L330" t="str">
        <f>Реестр_План_Факт!L330</f>
        <v/>
      </c>
      <c r="M330">
        <f>Реестр_План_Факт!M330</f>
        <v>0</v>
      </c>
      <c r="N330">
        <f>Реестр_План_Факт!N330</f>
        <v>0</v>
      </c>
      <c r="O330" t="str">
        <f>Реестр_План_Факт!O330</f>
        <v/>
      </c>
      <c r="P330">
        <f>Реестр_План_Факт!P330</f>
        <v>0</v>
      </c>
      <c r="Q330">
        <f>Реестр_План_Факт!Q330</f>
        <v>0</v>
      </c>
      <c r="R330" t="str">
        <f>Реестр_План_Факт!R330</f>
        <v/>
      </c>
      <c r="S330">
        <f>Реестр_План_Факт!S330</f>
        <v>0</v>
      </c>
      <c r="T330">
        <f>Реестр_План_Факт!T330</f>
        <v>0</v>
      </c>
      <c r="U330" t="str">
        <f>Реестр_План_Факт!U330</f>
        <v/>
      </c>
      <c r="V330">
        <f>Реестр_План_Факт!V330</f>
        <v>0</v>
      </c>
      <c r="W330">
        <f>Реестр_План_Факт!W330</f>
        <v>0</v>
      </c>
      <c r="X330" t="str">
        <f>Реестр_План_Факт!X330</f>
        <v/>
      </c>
      <c r="Y330">
        <f>Реестр_План_Факт!Y330</f>
        <v>0</v>
      </c>
      <c r="Z330">
        <f>Реестр_План_Факт!Z330</f>
        <v>0</v>
      </c>
      <c r="AA330" t="str">
        <f>Реестр_План_Факт!AA330</f>
        <v/>
      </c>
      <c r="AB330">
        <f>Реестр_План_Факт!AB330</f>
        <v>0</v>
      </c>
      <c r="AC330">
        <f>Реестр_План_Факт!AC330</f>
        <v>0</v>
      </c>
      <c r="AD330" t="str">
        <f>Реестр_План_Факт!AD330</f>
        <v/>
      </c>
      <c r="AE330">
        <f>Реестр_План_Факт!AE330</f>
        <v>0</v>
      </c>
      <c r="AF330">
        <f>Реестр_План_Факт!AF330</f>
        <v>0</v>
      </c>
      <c r="AG330" t="str">
        <f>Реестр_План_Факт!AG330</f>
        <v/>
      </c>
      <c r="AH330">
        <f>Реестр_План_Факт!AH330</f>
        <v>0</v>
      </c>
      <c r="AI330">
        <f>Реестр_План_Факт!AI330</f>
        <v>0</v>
      </c>
      <c r="AJ330" t="str">
        <f>Реестр_План_Факт!AJ330</f>
        <v/>
      </c>
      <c r="AK330">
        <f>Реестр_План_Факт!AK330</f>
        <v>0</v>
      </c>
      <c r="AL330">
        <f>Реестр_План_Факт!AL330</f>
        <v>0</v>
      </c>
      <c r="AM330" t="str">
        <f>Реестр_План_Факт!AM330</f>
        <v/>
      </c>
      <c r="AN330">
        <f>Реестр_План_Факт!AN330</f>
        <v>0</v>
      </c>
      <c r="AO330">
        <f>Реестр_План_Факт!AO330</f>
        <v>0</v>
      </c>
      <c r="AP330" t="str">
        <f>Реестр_План_Факт!AP330</f>
        <v/>
      </c>
      <c r="AQ330">
        <f>Реестр_План_Факт!AQ330</f>
        <v>0</v>
      </c>
    </row>
    <row r="331" spans="1:43" x14ac:dyDescent="0.2">
      <c r="A331" s="201">
        <f>Реестр_План_Факт!A331</f>
        <v>46352</v>
      </c>
      <c r="B331">
        <f>Реестр_План_Факт!B331</f>
        <v>48</v>
      </c>
      <c r="C331">
        <f>Реестр_План_Факт!C331</f>
        <v>11</v>
      </c>
      <c r="D331">
        <f>Реестр_План_Факт!D331</f>
        <v>0</v>
      </c>
      <c r="E331">
        <f>Реестр_План_Факт!E331</f>
        <v>0</v>
      </c>
      <c r="F331" t="str">
        <f>Реестр_План_Факт!F331</f>
        <v/>
      </c>
      <c r="G331">
        <f>Реестр_План_Факт!G331</f>
        <v>0</v>
      </c>
      <c r="H331">
        <f>Реестр_План_Факт!H331</f>
        <v>0</v>
      </c>
      <c r="I331" t="str">
        <f>Реестр_План_Факт!I331</f>
        <v/>
      </c>
      <c r="J331">
        <f>Реестр_План_Факт!J331</f>
        <v>0</v>
      </c>
      <c r="K331">
        <f>Реестр_План_Факт!K331</f>
        <v>0</v>
      </c>
      <c r="L331" t="str">
        <f>Реестр_План_Факт!L331</f>
        <v/>
      </c>
      <c r="M331">
        <f>Реестр_План_Факт!M331</f>
        <v>0</v>
      </c>
      <c r="N331">
        <f>Реестр_План_Факт!N331</f>
        <v>0</v>
      </c>
      <c r="O331" t="str">
        <f>Реестр_План_Факт!O331</f>
        <v/>
      </c>
      <c r="P331">
        <f>Реестр_План_Факт!P331</f>
        <v>0</v>
      </c>
      <c r="Q331">
        <f>Реестр_План_Факт!Q331</f>
        <v>0</v>
      </c>
      <c r="R331" t="str">
        <f>Реестр_План_Факт!R331</f>
        <v/>
      </c>
      <c r="S331">
        <f>Реестр_План_Факт!S331</f>
        <v>0</v>
      </c>
      <c r="T331">
        <f>Реестр_План_Факт!T331</f>
        <v>0</v>
      </c>
      <c r="U331" t="str">
        <f>Реестр_План_Факт!U331</f>
        <v/>
      </c>
      <c r="V331">
        <f>Реестр_План_Факт!V331</f>
        <v>0</v>
      </c>
      <c r="W331">
        <f>Реестр_План_Факт!W331</f>
        <v>0</v>
      </c>
      <c r="X331" t="str">
        <f>Реестр_План_Факт!X331</f>
        <v/>
      </c>
      <c r="Y331">
        <f>Реестр_План_Факт!Y331</f>
        <v>0</v>
      </c>
      <c r="Z331">
        <f>Реестр_План_Факт!Z331</f>
        <v>0</v>
      </c>
      <c r="AA331" t="str">
        <f>Реестр_План_Факт!AA331</f>
        <v/>
      </c>
      <c r="AB331">
        <f>Реестр_План_Факт!AB331</f>
        <v>0</v>
      </c>
      <c r="AC331">
        <f>Реестр_План_Факт!AC331</f>
        <v>0</v>
      </c>
      <c r="AD331" t="str">
        <f>Реестр_План_Факт!AD331</f>
        <v/>
      </c>
      <c r="AE331">
        <f>Реестр_План_Факт!AE331</f>
        <v>0</v>
      </c>
      <c r="AF331">
        <f>Реестр_План_Факт!AF331</f>
        <v>0</v>
      </c>
      <c r="AG331" t="str">
        <f>Реестр_План_Факт!AG331</f>
        <v/>
      </c>
      <c r="AH331">
        <f>Реестр_План_Факт!AH331</f>
        <v>0</v>
      </c>
      <c r="AI331">
        <f>Реестр_План_Факт!AI331</f>
        <v>0</v>
      </c>
      <c r="AJ331" t="str">
        <f>Реестр_План_Факт!AJ331</f>
        <v/>
      </c>
      <c r="AK331">
        <f>Реестр_План_Факт!AK331</f>
        <v>0</v>
      </c>
      <c r="AL331">
        <f>Реестр_План_Факт!AL331</f>
        <v>0</v>
      </c>
      <c r="AM331" t="str">
        <f>Реестр_План_Факт!AM331</f>
        <v/>
      </c>
      <c r="AN331">
        <f>Реестр_План_Факт!AN331</f>
        <v>0</v>
      </c>
      <c r="AO331">
        <f>Реестр_План_Факт!AO331</f>
        <v>0</v>
      </c>
      <c r="AP331" t="str">
        <f>Реестр_План_Факт!AP331</f>
        <v/>
      </c>
      <c r="AQ331">
        <f>Реестр_План_Факт!AQ331</f>
        <v>0</v>
      </c>
    </row>
    <row r="332" spans="1:43" x14ac:dyDescent="0.2">
      <c r="A332" s="201">
        <f>Реестр_План_Факт!A332</f>
        <v>46353</v>
      </c>
      <c r="B332">
        <f>Реестр_План_Факт!B332</f>
        <v>48</v>
      </c>
      <c r="C332">
        <f>Реестр_План_Факт!C332</f>
        <v>11</v>
      </c>
      <c r="D332">
        <f>Реестр_План_Факт!D332</f>
        <v>0</v>
      </c>
      <c r="E332">
        <f>Реестр_План_Факт!E332</f>
        <v>0</v>
      </c>
      <c r="F332" t="str">
        <f>Реестр_План_Факт!F332</f>
        <v/>
      </c>
      <c r="G332">
        <f>Реестр_План_Факт!G332</f>
        <v>0</v>
      </c>
      <c r="H332">
        <f>Реестр_План_Факт!H332</f>
        <v>0</v>
      </c>
      <c r="I332" t="str">
        <f>Реестр_План_Факт!I332</f>
        <v/>
      </c>
      <c r="J332">
        <f>Реестр_План_Факт!J332</f>
        <v>0</v>
      </c>
      <c r="K332">
        <f>Реестр_План_Факт!K332</f>
        <v>0</v>
      </c>
      <c r="L332" t="str">
        <f>Реестр_План_Факт!L332</f>
        <v/>
      </c>
      <c r="M332">
        <f>Реестр_План_Факт!M332</f>
        <v>0</v>
      </c>
      <c r="N332">
        <f>Реестр_План_Факт!N332</f>
        <v>0</v>
      </c>
      <c r="O332" t="str">
        <f>Реестр_План_Факт!O332</f>
        <v/>
      </c>
      <c r="P332">
        <f>Реестр_План_Факт!P332</f>
        <v>0</v>
      </c>
      <c r="Q332">
        <f>Реестр_План_Факт!Q332</f>
        <v>0</v>
      </c>
      <c r="R332" t="str">
        <f>Реестр_План_Факт!R332</f>
        <v/>
      </c>
      <c r="S332">
        <f>Реестр_План_Факт!S332</f>
        <v>0</v>
      </c>
      <c r="T332">
        <f>Реестр_План_Факт!T332</f>
        <v>0</v>
      </c>
      <c r="U332" t="str">
        <f>Реестр_План_Факт!U332</f>
        <v/>
      </c>
      <c r="V332">
        <f>Реестр_План_Факт!V332</f>
        <v>0</v>
      </c>
      <c r="W332">
        <f>Реестр_План_Факт!W332</f>
        <v>0</v>
      </c>
      <c r="X332" t="str">
        <f>Реестр_План_Факт!X332</f>
        <v/>
      </c>
      <c r="Y332">
        <f>Реестр_План_Факт!Y332</f>
        <v>0</v>
      </c>
      <c r="Z332">
        <f>Реестр_План_Факт!Z332</f>
        <v>0</v>
      </c>
      <c r="AA332" t="str">
        <f>Реестр_План_Факт!AA332</f>
        <v/>
      </c>
      <c r="AB332">
        <f>Реестр_План_Факт!AB332</f>
        <v>0</v>
      </c>
      <c r="AC332">
        <f>Реестр_План_Факт!AC332</f>
        <v>0</v>
      </c>
      <c r="AD332" t="str">
        <f>Реестр_План_Факт!AD332</f>
        <v/>
      </c>
      <c r="AE332">
        <f>Реестр_План_Факт!AE332</f>
        <v>0</v>
      </c>
      <c r="AF332">
        <f>Реестр_План_Факт!AF332</f>
        <v>0</v>
      </c>
      <c r="AG332" t="str">
        <f>Реестр_План_Факт!AG332</f>
        <v/>
      </c>
      <c r="AH332">
        <f>Реестр_План_Факт!AH332</f>
        <v>0</v>
      </c>
      <c r="AI332">
        <f>Реестр_План_Факт!AI332</f>
        <v>0</v>
      </c>
      <c r="AJ332" t="str">
        <f>Реестр_План_Факт!AJ332</f>
        <v/>
      </c>
      <c r="AK332">
        <f>Реестр_План_Факт!AK332</f>
        <v>0</v>
      </c>
      <c r="AL332">
        <f>Реестр_План_Факт!AL332</f>
        <v>0</v>
      </c>
      <c r="AM332" t="str">
        <f>Реестр_План_Факт!AM332</f>
        <v/>
      </c>
      <c r="AN332">
        <f>Реестр_План_Факт!AN332</f>
        <v>0</v>
      </c>
      <c r="AO332">
        <f>Реестр_План_Факт!AO332</f>
        <v>0</v>
      </c>
      <c r="AP332" t="str">
        <f>Реестр_План_Факт!AP332</f>
        <v/>
      </c>
      <c r="AQ332">
        <f>Реестр_План_Факт!AQ332</f>
        <v>0</v>
      </c>
    </row>
    <row r="333" spans="1:43" x14ac:dyDescent="0.2">
      <c r="A333" s="201">
        <f>Реестр_План_Факт!A333</f>
        <v>46354</v>
      </c>
      <c r="B333">
        <f>Реестр_План_Факт!B333</f>
        <v>48</v>
      </c>
      <c r="C333">
        <f>Реестр_План_Факт!C333</f>
        <v>11</v>
      </c>
      <c r="D333">
        <f>Реестр_План_Факт!D333</f>
        <v>0</v>
      </c>
      <c r="E333">
        <f>Реестр_План_Факт!E333</f>
        <v>0</v>
      </c>
      <c r="F333" t="str">
        <f>Реестр_План_Факт!F333</f>
        <v/>
      </c>
      <c r="G333">
        <f>Реестр_План_Факт!G333</f>
        <v>0</v>
      </c>
      <c r="H333">
        <f>Реестр_План_Факт!H333</f>
        <v>0</v>
      </c>
      <c r="I333" t="str">
        <f>Реестр_План_Факт!I333</f>
        <v/>
      </c>
      <c r="J333">
        <f>Реестр_План_Факт!J333</f>
        <v>0</v>
      </c>
      <c r="K333">
        <f>Реестр_План_Факт!K333</f>
        <v>0</v>
      </c>
      <c r="L333" t="str">
        <f>Реестр_План_Факт!L333</f>
        <v/>
      </c>
      <c r="M333">
        <f>Реестр_План_Факт!M333</f>
        <v>0</v>
      </c>
      <c r="N333">
        <f>Реестр_План_Факт!N333</f>
        <v>0</v>
      </c>
      <c r="O333" t="str">
        <f>Реестр_План_Факт!O333</f>
        <v/>
      </c>
      <c r="P333">
        <f>Реестр_План_Факт!P333</f>
        <v>0</v>
      </c>
      <c r="Q333">
        <f>Реестр_План_Факт!Q333</f>
        <v>0</v>
      </c>
      <c r="R333" t="str">
        <f>Реестр_План_Факт!R333</f>
        <v/>
      </c>
      <c r="S333">
        <f>Реестр_План_Факт!S333</f>
        <v>0</v>
      </c>
      <c r="T333">
        <f>Реестр_План_Факт!T333</f>
        <v>0</v>
      </c>
      <c r="U333" t="str">
        <f>Реестр_План_Факт!U333</f>
        <v/>
      </c>
      <c r="V333">
        <f>Реестр_План_Факт!V333</f>
        <v>0</v>
      </c>
      <c r="W333">
        <f>Реестр_План_Факт!W333</f>
        <v>0</v>
      </c>
      <c r="X333" t="str">
        <f>Реестр_План_Факт!X333</f>
        <v/>
      </c>
      <c r="Y333">
        <f>Реестр_План_Факт!Y333</f>
        <v>0</v>
      </c>
      <c r="Z333">
        <f>Реестр_План_Факт!Z333</f>
        <v>0</v>
      </c>
      <c r="AA333" t="str">
        <f>Реестр_План_Факт!AA333</f>
        <v/>
      </c>
      <c r="AB333">
        <f>Реестр_План_Факт!AB333</f>
        <v>0</v>
      </c>
      <c r="AC333">
        <f>Реестр_План_Факт!AC333</f>
        <v>0</v>
      </c>
      <c r="AD333" t="str">
        <f>Реестр_План_Факт!AD333</f>
        <v/>
      </c>
      <c r="AE333">
        <f>Реестр_План_Факт!AE333</f>
        <v>0</v>
      </c>
      <c r="AF333">
        <f>Реестр_План_Факт!AF333</f>
        <v>0</v>
      </c>
      <c r="AG333" t="str">
        <f>Реестр_План_Факт!AG333</f>
        <v/>
      </c>
      <c r="AH333">
        <f>Реестр_План_Факт!AH333</f>
        <v>0</v>
      </c>
      <c r="AI333">
        <f>Реестр_План_Факт!AI333</f>
        <v>0</v>
      </c>
      <c r="AJ333" t="str">
        <f>Реестр_План_Факт!AJ333</f>
        <v/>
      </c>
      <c r="AK333">
        <f>Реестр_План_Факт!AK333</f>
        <v>0</v>
      </c>
      <c r="AL333">
        <f>Реестр_План_Факт!AL333</f>
        <v>0</v>
      </c>
      <c r="AM333" t="str">
        <f>Реестр_План_Факт!AM333</f>
        <v/>
      </c>
      <c r="AN333">
        <f>Реестр_План_Факт!AN333</f>
        <v>0</v>
      </c>
      <c r="AO333">
        <f>Реестр_План_Факт!AO333</f>
        <v>0</v>
      </c>
      <c r="AP333" t="str">
        <f>Реестр_План_Факт!AP333</f>
        <v/>
      </c>
      <c r="AQ333">
        <f>Реестр_План_Факт!AQ333</f>
        <v>0</v>
      </c>
    </row>
    <row r="334" spans="1:43" x14ac:dyDescent="0.2">
      <c r="A334" s="201">
        <f>Реестр_План_Факт!A334</f>
        <v>46355</v>
      </c>
      <c r="B334">
        <f>Реестр_План_Факт!B334</f>
        <v>48</v>
      </c>
      <c r="C334">
        <f>Реестр_План_Факт!C334</f>
        <v>11</v>
      </c>
      <c r="D334">
        <f>Реестр_План_Факт!D334</f>
        <v>0</v>
      </c>
      <c r="E334">
        <f>Реестр_План_Факт!E334</f>
        <v>0</v>
      </c>
      <c r="F334" t="str">
        <f>Реестр_План_Факт!F334</f>
        <v/>
      </c>
      <c r="G334">
        <f>Реестр_План_Факт!G334</f>
        <v>0</v>
      </c>
      <c r="H334">
        <f>Реестр_План_Факт!H334</f>
        <v>0</v>
      </c>
      <c r="I334" t="str">
        <f>Реестр_План_Факт!I334</f>
        <v/>
      </c>
      <c r="J334">
        <f>Реестр_План_Факт!J334</f>
        <v>0</v>
      </c>
      <c r="K334">
        <f>Реестр_План_Факт!K334</f>
        <v>0</v>
      </c>
      <c r="L334" t="str">
        <f>Реестр_План_Факт!L334</f>
        <v/>
      </c>
      <c r="M334">
        <f>Реестр_План_Факт!M334</f>
        <v>0</v>
      </c>
      <c r="N334">
        <f>Реестр_План_Факт!N334</f>
        <v>0</v>
      </c>
      <c r="O334" t="str">
        <f>Реестр_План_Факт!O334</f>
        <v/>
      </c>
      <c r="P334">
        <f>Реестр_План_Факт!P334</f>
        <v>0</v>
      </c>
      <c r="Q334">
        <f>Реестр_План_Факт!Q334</f>
        <v>0</v>
      </c>
      <c r="R334" t="str">
        <f>Реестр_План_Факт!R334</f>
        <v/>
      </c>
      <c r="S334">
        <f>Реестр_План_Факт!S334</f>
        <v>0</v>
      </c>
      <c r="T334">
        <f>Реестр_План_Факт!T334</f>
        <v>0</v>
      </c>
      <c r="U334" t="str">
        <f>Реестр_План_Факт!U334</f>
        <v/>
      </c>
      <c r="V334">
        <f>Реестр_План_Факт!V334</f>
        <v>0</v>
      </c>
      <c r="W334">
        <f>Реестр_План_Факт!W334</f>
        <v>0</v>
      </c>
      <c r="X334" t="str">
        <f>Реестр_План_Факт!X334</f>
        <v/>
      </c>
      <c r="Y334">
        <f>Реестр_План_Факт!Y334</f>
        <v>0</v>
      </c>
      <c r="Z334">
        <f>Реестр_План_Факт!Z334</f>
        <v>0</v>
      </c>
      <c r="AA334" t="str">
        <f>Реестр_План_Факт!AA334</f>
        <v/>
      </c>
      <c r="AB334">
        <f>Реестр_План_Факт!AB334</f>
        <v>0</v>
      </c>
      <c r="AC334">
        <f>Реестр_План_Факт!AC334</f>
        <v>0</v>
      </c>
      <c r="AD334" t="str">
        <f>Реестр_План_Факт!AD334</f>
        <v/>
      </c>
      <c r="AE334">
        <f>Реестр_План_Факт!AE334</f>
        <v>0</v>
      </c>
      <c r="AF334">
        <f>Реестр_План_Факт!AF334</f>
        <v>0</v>
      </c>
      <c r="AG334" t="str">
        <f>Реестр_План_Факт!AG334</f>
        <v/>
      </c>
      <c r="AH334">
        <f>Реестр_План_Факт!AH334</f>
        <v>0</v>
      </c>
      <c r="AI334">
        <f>Реестр_План_Факт!AI334</f>
        <v>0</v>
      </c>
      <c r="AJ334" t="str">
        <f>Реестр_План_Факт!AJ334</f>
        <v/>
      </c>
      <c r="AK334">
        <f>Реестр_План_Факт!AK334</f>
        <v>0</v>
      </c>
      <c r="AL334">
        <f>Реестр_План_Факт!AL334</f>
        <v>0</v>
      </c>
      <c r="AM334" t="str">
        <f>Реестр_План_Факт!AM334</f>
        <v/>
      </c>
      <c r="AN334">
        <f>Реестр_План_Факт!AN334</f>
        <v>0</v>
      </c>
      <c r="AO334">
        <f>Реестр_План_Факт!AO334</f>
        <v>0</v>
      </c>
      <c r="AP334" t="str">
        <f>Реестр_План_Факт!AP334</f>
        <v/>
      </c>
      <c r="AQ334">
        <f>Реестр_План_Факт!AQ334</f>
        <v>0</v>
      </c>
    </row>
    <row r="335" spans="1:43" x14ac:dyDescent="0.2">
      <c r="A335" s="201">
        <f>Реестр_План_Факт!A335</f>
        <v>46356</v>
      </c>
      <c r="B335">
        <f>Реестр_План_Факт!B335</f>
        <v>49</v>
      </c>
      <c r="C335">
        <f>Реестр_План_Факт!C335</f>
        <v>11</v>
      </c>
      <c r="D335">
        <f>Реестр_План_Факт!D335</f>
        <v>0</v>
      </c>
      <c r="E335">
        <f>Реестр_План_Факт!E335</f>
        <v>0</v>
      </c>
      <c r="F335" t="str">
        <f>Реестр_План_Факт!F335</f>
        <v/>
      </c>
      <c r="G335">
        <f>Реестр_План_Факт!G335</f>
        <v>0</v>
      </c>
      <c r="H335">
        <f>Реестр_План_Факт!H335</f>
        <v>0</v>
      </c>
      <c r="I335" t="str">
        <f>Реестр_План_Факт!I335</f>
        <v/>
      </c>
      <c r="J335">
        <f>Реестр_План_Факт!J335</f>
        <v>0</v>
      </c>
      <c r="K335">
        <f>Реестр_План_Факт!K335</f>
        <v>0</v>
      </c>
      <c r="L335" t="str">
        <f>Реестр_План_Факт!L335</f>
        <v/>
      </c>
      <c r="M335">
        <f>Реестр_План_Факт!M335</f>
        <v>0</v>
      </c>
      <c r="N335">
        <f>Реестр_План_Факт!N335</f>
        <v>0</v>
      </c>
      <c r="O335" t="str">
        <f>Реестр_План_Факт!O335</f>
        <v/>
      </c>
      <c r="P335">
        <f>Реестр_План_Факт!P335</f>
        <v>0</v>
      </c>
      <c r="Q335">
        <f>Реестр_План_Факт!Q335</f>
        <v>0</v>
      </c>
      <c r="R335" t="str">
        <f>Реестр_План_Факт!R335</f>
        <v/>
      </c>
      <c r="S335">
        <f>Реестр_План_Факт!S335</f>
        <v>0</v>
      </c>
      <c r="T335">
        <f>Реестр_План_Факт!T335</f>
        <v>0</v>
      </c>
      <c r="U335" t="str">
        <f>Реестр_План_Факт!U335</f>
        <v/>
      </c>
      <c r="V335">
        <f>Реестр_План_Факт!V335</f>
        <v>0</v>
      </c>
      <c r="W335">
        <f>Реестр_План_Факт!W335</f>
        <v>0</v>
      </c>
      <c r="X335" t="str">
        <f>Реестр_План_Факт!X335</f>
        <v/>
      </c>
      <c r="Y335">
        <f>Реестр_План_Факт!Y335</f>
        <v>0</v>
      </c>
      <c r="Z335">
        <f>Реестр_План_Факт!Z335</f>
        <v>0</v>
      </c>
      <c r="AA335" t="str">
        <f>Реестр_План_Факт!AA335</f>
        <v/>
      </c>
      <c r="AB335">
        <f>Реестр_План_Факт!AB335</f>
        <v>0</v>
      </c>
      <c r="AC335">
        <f>Реестр_План_Факт!AC335</f>
        <v>0</v>
      </c>
      <c r="AD335" t="str">
        <f>Реестр_План_Факт!AD335</f>
        <v/>
      </c>
      <c r="AE335">
        <f>Реестр_План_Факт!AE335</f>
        <v>0</v>
      </c>
      <c r="AF335">
        <f>Реестр_План_Факт!AF335</f>
        <v>0</v>
      </c>
      <c r="AG335" t="str">
        <f>Реестр_План_Факт!AG335</f>
        <v/>
      </c>
      <c r="AH335">
        <f>Реестр_План_Факт!AH335</f>
        <v>0</v>
      </c>
      <c r="AI335">
        <f>Реестр_План_Факт!AI335</f>
        <v>0</v>
      </c>
      <c r="AJ335" t="str">
        <f>Реестр_План_Факт!AJ335</f>
        <v/>
      </c>
      <c r="AK335">
        <f>Реестр_План_Факт!AK335</f>
        <v>0</v>
      </c>
      <c r="AL335">
        <f>Реестр_План_Факт!AL335</f>
        <v>0</v>
      </c>
      <c r="AM335" t="str">
        <f>Реестр_План_Факт!AM335</f>
        <v/>
      </c>
      <c r="AN335">
        <f>Реестр_План_Факт!AN335</f>
        <v>0</v>
      </c>
      <c r="AO335">
        <f>Реестр_План_Факт!AO335</f>
        <v>0</v>
      </c>
      <c r="AP335" t="str">
        <f>Реестр_План_Факт!AP335</f>
        <v/>
      </c>
      <c r="AQ335">
        <f>Реестр_План_Факт!AQ335</f>
        <v>0</v>
      </c>
    </row>
    <row r="336" spans="1:43" x14ac:dyDescent="0.2">
      <c r="A336" s="201">
        <f>Реестр_План_Факт!A336</f>
        <v>46357</v>
      </c>
      <c r="B336">
        <f>Реестр_План_Факт!B336</f>
        <v>49</v>
      </c>
      <c r="C336">
        <f>Реестр_План_Факт!C336</f>
        <v>12</v>
      </c>
      <c r="D336">
        <f>Реестр_План_Факт!D336</f>
        <v>0</v>
      </c>
      <c r="E336">
        <f>Реестр_План_Факт!E336</f>
        <v>0</v>
      </c>
      <c r="F336" t="str">
        <f>Реестр_План_Факт!F336</f>
        <v/>
      </c>
      <c r="G336">
        <f>Реестр_План_Факт!G336</f>
        <v>0</v>
      </c>
      <c r="H336">
        <f>Реестр_План_Факт!H336</f>
        <v>0</v>
      </c>
      <c r="I336" t="str">
        <f>Реестр_План_Факт!I336</f>
        <v/>
      </c>
      <c r="J336">
        <f>Реестр_План_Факт!J336</f>
        <v>0</v>
      </c>
      <c r="K336">
        <f>Реестр_План_Факт!K336</f>
        <v>0</v>
      </c>
      <c r="L336" t="str">
        <f>Реестр_План_Факт!L336</f>
        <v/>
      </c>
      <c r="M336">
        <f>Реестр_План_Факт!M336</f>
        <v>0</v>
      </c>
      <c r="N336">
        <f>Реестр_План_Факт!N336</f>
        <v>0</v>
      </c>
      <c r="O336" t="str">
        <f>Реестр_План_Факт!O336</f>
        <v/>
      </c>
      <c r="P336">
        <f>Реестр_План_Факт!P336</f>
        <v>0</v>
      </c>
      <c r="Q336">
        <f>Реестр_План_Факт!Q336</f>
        <v>0</v>
      </c>
      <c r="R336" t="str">
        <f>Реестр_План_Факт!R336</f>
        <v/>
      </c>
      <c r="S336">
        <f>Реестр_План_Факт!S336</f>
        <v>0</v>
      </c>
      <c r="T336">
        <f>Реестр_План_Факт!T336</f>
        <v>0</v>
      </c>
      <c r="U336" t="str">
        <f>Реестр_План_Факт!U336</f>
        <v/>
      </c>
      <c r="V336">
        <f>Реестр_План_Факт!V336</f>
        <v>0</v>
      </c>
      <c r="W336">
        <f>Реестр_План_Факт!W336</f>
        <v>0</v>
      </c>
      <c r="X336" t="str">
        <f>Реестр_План_Факт!X336</f>
        <v/>
      </c>
      <c r="Y336">
        <f>Реестр_План_Факт!Y336</f>
        <v>0</v>
      </c>
      <c r="Z336">
        <f>Реестр_План_Факт!Z336</f>
        <v>0</v>
      </c>
      <c r="AA336" t="str">
        <f>Реестр_План_Факт!AA336</f>
        <v/>
      </c>
      <c r="AB336">
        <f>Реестр_План_Факт!AB336</f>
        <v>0</v>
      </c>
      <c r="AC336">
        <f>Реестр_План_Факт!AC336</f>
        <v>0</v>
      </c>
      <c r="AD336" t="str">
        <f>Реестр_План_Факт!AD336</f>
        <v/>
      </c>
      <c r="AE336">
        <f>Реестр_План_Факт!AE336</f>
        <v>0</v>
      </c>
      <c r="AF336">
        <f>Реестр_План_Факт!AF336</f>
        <v>0</v>
      </c>
      <c r="AG336" t="str">
        <f>Реестр_План_Факт!AG336</f>
        <v/>
      </c>
      <c r="AH336">
        <f>Реестр_План_Факт!AH336</f>
        <v>0</v>
      </c>
      <c r="AI336">
        <f>Реестр_План_Факт!AI336</f>
        <v>0</v>
      </c>
      <c r="AJ336" t="str">
        <f>Реестр_План_Факт!AJ336</f>
        <v/>
      </c>
      <c r="AK336">
        <f>Реестр_План_Факт!AK336</f>
        <v>0</v>
      </c>
      <c r="AL336">
        <f>Реестр_План_Факт!AL336</f>
        <v>0</v>
      </c>
      <c r="AM336" t="str">
        <f>Реестр_План_Факт!AM336</f>
        <v/>
      </c>
      <c r="AN336">
        <f>Реестр_План_Факт!AN336</f>
        <v>0</v>
      </c>
      <c r="AO336">
        <f>Реестр_План_Факт!AO336</f>
        <v>0</v>
      </c>
      <c r="AP336" t="str">
        <f>Реестр_План_Факт!AP336</f>
        <v/>
      </c>
      <c r="AQ336">
        <f>Реестр_План_Факт!AQ336</f>
        <v>0</v>
      </c>
    </row>
    <row r="337" spans="1:43" x14ac:dyDescent="0.2">
      <c r="A337" s="201">
        <f>Реестр_План_Факт!A337</f>
        <v>46358</v>
      </c>
      <c r="B337">
        <f>Реестр_План_Факт!B337</f>
        <v>49</v>
      </c>
      <c r="C337">
        <f>Реестр_План_Факт!C337</f>
        <v>12</v>
      </c>
      <c r="D337">
        <f>Реестр_План_Факт!D337</f>
        <v>0</v>
      </c>
      <c r="E337">
        <f>Реестр_План_Факт!E337</f>
        <v>0</v>
      </c>
      <c r="F337" t="str">
        <f>Реестр_План_Факт!F337</f>
        <v/>
      </c>
      <c r="G337">
        <f>Реестр_План_Факт!G337</f>
        <v>0</v>
      </c>
      <c r="H337">
        <f>Реестр_План_Факт!H337</f>
        <v>0</v>
      </c>
      <c r="I337" t="str">
        <f>Реестр_План_Факт!I337</f>
        <v/>
      </c>
      <c r="J337">
        <f>Реестр_План_Факт!J337</f>
        <v>0</v>
      </c>
      <c r="K337">
        <f>Реестр_План_Факт!K337</f>
        <v>0</v>
      </c>
      <c r="L337" t="str">
        <f>Реестр_План_Факт!L337</f>
        <v/>
      </c>
      <c r="M337">
        <f>Реестр_План_Факт!M337</f>
        <v>0</v>
      </c>
      <c r="N337">
        <f>Реестр_План_Факт!N337</f>
        <v>0</v>
      </c>
      <c r="O337" t="str">
        <f>Реестр_План_Факт!O337</f>
        <v/>
      </c>
      <c r="P337">
        <f>Реестр_План_Факт!P337</f>
        <v>0</v>
      </c>
      <c r="Q337">
        <f>Реестр_План_Факт!Q337</f>
        <v>0</v>
      </c>
      <c r="R337" t="str">
        <f>Реестр_План_Факт!R337</f>
        <v/>
      </c>
      <c r="S337">
        <f>Реестр_План_Факт!S337</f>
        <v>0</v>
      </c>
      <c r="T337">
        <f>Реестр_План_Факт!T337</f>
        <v>0</v>
      </c>
      <c r="U337" t="str">
        <f>Реестр_План_Факт!U337</f>
        <v/>
      </c>
      <c r="V337">
        <f>Реестр_План_Факт!V337</f>
        <v>0</v>
      </c>
      <c r="W337">
        <f>Реестр_План_Факт!W337</f>
        <v>0</v>
      </c>
      <c r="X337" t="str">
        <f>Реестр_План_Факт!X337</f>
        <v/>
      </c>
      <c r="Y337">
        <f>Реестр_План_Факт!Y337</f>
        <v>0</v>
      </c>
      <c r="Z337">
        <f>Реестр_План_Факт!Z337</f>
        <v>0</v>
      </c>
      <c r="AA337" t="str">
        <f>Реестр_План_Факт!AA337</f>
        <v/>
      </c>
      <c r="AB337">
        <f>Реестр_План_Факт!AB337</f>
        <v>0</v>
      </c>
      <c r="AC337">
        <f>Реестр_План_Факт!AC337</f>
        <v>0</v>
      </c>
      <c r="AD337" t="str">
        <f>Реестр_План_Факт!AD337</f>
        <v/>
      </c>
      <c r="AE337">
        <f>Реестр_План_Факт!AE337</f>
        <v>0</v>
      </c>
      <c r="AF337">
        <f>Реестр_План_Факт!AF337</f>
        <v>0</v>
      </c>
      <c r="AG337" t="str">
        <f>Реестр_План_Факт!AG337</f>
        <v/>
      </c>
      <c r="AH337">
        <f>Реестр_План_Факт!AH337</f>
        <v>0</v>
      </c>
      <c r="AI337">
        <f>Реестр_План_Факт!AI337</f>
        <v>0</v>
      </c>
      <c r="AJ337" t="str">
        <f>Реестр_План_Факт!AJ337</f>
        <v/>
      </c>
      <c r="AK337">
        <f>Реестр_План_Факт!AK337</f>
        <v>0</v>
      </c>
      <c r="AL337">
        <f>Реестр_План_Факт!AL337</f>
        <v>0</v>
      </c>
      <c r="AM337" t="str">
        <f>Реестр_План_Факт!AM337</f>
        <v/>
      </c>
      <c r="AN337">
        <f>Реестр_План_Факт!AN337</f>
        <v>0</v>
      </c>
      <c r="AO337">
        <f>Реестр_План_Факт!AO337</f>
        <v>0</v>
      </c>
      <c r="AP337" t="str">
        <f>Реестр_План_Факт!AP337</f>
        <v/>
      </c>
      <c r="AQ337">
        <f>Реестр_План_Факт!AQ337</f>
        <v>0</v>
      </c>
    </row>
    <row r="338" spans="1:43" x14ac:dyDescent="0.2">
      <c r="A338" s="201">
        <f>Реестр_План_Факт!A338</f>
        <v>46359</v>
      </c>
      <c r="B338">
        <f>Реестр_План_Факт!B338</f>
        <v>49</v>
      </c>
      <c r="C338">
        <f>Реестр_План_Факт!C338</f>
        <v>12</v>
      </c>
      <c r="D338">
        <f>Реестр_План_Факт!D338</f>
        <v>0</v>
      </c>
      <c r="E338">
        <f>Реестр_План_Факт!E338</f>
        <v>0</v>
      </c>
      <c r="F338" t="str">
        <f>Реестр_План_Факт!F338</f>
        <v/>
      </c>
      <c r="G338">
        <f>Реестр_План_Факт!G338</f>
        <v>0</v>
      </c>
      <c r="H338">
        <f>Реестр_План_Факт!H338</f>
        <v>0</v>
      </c>
      <c r="I338" t="str">
        <f>Реестр_План_Факт!I338</f>
        <v/>
      </c>
      <c r="J338">
        <f>Реестр_План_Факт!J338</f>
        <v>0</v>
      </c>
      <c r="K338">
        <f>Реестр_План_Факт!K338</f>
        <v>0</v>
      </c>
      <c r="L338" t="str">
        <f>Реестр_План_Факт!L338</f>
        <v/>
      </c>
      <c r="M338">
        <f>Реестр_План_Факт!M338</f>
        <v>0</v>
      </c>
      <c r="N338">
        <f>Реестр_План_Факт!N338</f>
        <v>0</v>
      </c>
      <c r="O338" t="str">
        <f>Реестр_План_Факт!O338</f>
        <v/>
      </c>
      <c r="P338">
        <f>Реестр_План_Факт!P338</f>
        <v>0</v>
      </c>
      <c r="Q338">
        <f>Реестр_План_Факт!Q338</f>
        <v>0</v>
      </c>
      <c r="R338" t="str">
        <f>Реестр_План_Факт!R338</f>
        <v/>
      </c>
      <c r="S338">
        <f>Реестр_План_Факт!S338</f>
        <v>0</v>
      </c>
      <c r="T338">
        <f>Реестр_План_Факт!T338</f>
        <v>0</v>
      </c>
      <c r="U338" t="str">
        <f>Реестр_План_Факт!U338</f>
        <v/>
      </c>
      <c r="V338">
        <f>Реестр_План_Факт!V338</f>
        <v>0</v>
      </c>
      <c r="W338">
        <f>Реестр_План_Факт!W338</f>
        <v>0</v>
      </c>
      <c r="X338" t="str">
        <f>Реестр_План_Факт!X338</f>
        <v/>
      </c>
      <c r="Y338">
        <f>Реестр_План_Факт!Y338</f>
        <v>0</v>
      </c>
      <c r="Z338">
        <f>Реестр_План_Факт!Z338</f>
        <v>0</v>
      </c>
      <c r="AA338" t="str">
        <f>Реестр_План_Факт!AA338</f>
        <v/>
      </c>
      <c r="AB338">
        <f>Реестр_План_Факт!AB338</f>
        <v>0</v>
      </c>
      <c r="AC338">
        <f>Реестр_План_Факт!AC338</f>
        <v>0</v>
      </c>
      <c r="AD338" t="str">
        <f>Реестр_План_Факт!AD338</f>
        <v/>
      </c>
      <c r="AE338">
        <f>Реестр_План_Факт!AE338</f>
        <v>0</v>
      </c>
      <c r="AF338">
        <f>Реестр_План_Факт!AF338</f>
        <v>0</v>
      </c>
      <c r="AG338" t="str">
        <f>Реестр_План_Факт!AG338</f>
        <v/>
      </c>
      <c r="AH338">
        <f>Реестр_План_Факт!AH338</f>
        <v>0</v>
      </c>
      <c r="AI338">
        <f>Реестр_План_Факт!AI338</f>
        <v>0</v>
      </c>
      <c r="AJ338" t="str">
        <f>Реестр_План_Факт!AJ338</f>
        <v/>
      </c>
      <c r="AK338">
        <f>Реестр_План_Факт!AK338</f>
        <v>0</v>
      </c>
      <c r="AL338">
        <f>Реестр_План_Факт!AL338</f>
        <v>0</v>
      </c>
      <c r="AM338" t="str">
        <f>Реестр_План_Факт!AM338</f>
        <v/>
      </c>
      <c r="AN338">
        <f>Реестр_План_Факт!AN338</f>
        <v>0</v>
      </c>
      <c r="AO338">
        <f>Реестр_План_Факт!AO338</f>
        <v>0</v>
      </c>
      <c r="AP338" t="str">
        <f>Реестр_План_Факт!AP338</f>
        <v/>
      </c>
      <c r="AQ338">
        <f>Реестр_План_Факт!AQ338</f>
        <v>0</v>
      </c>
    </row>
    <row r="339" spans="1:43" x14ac:dyDescent="0.2">
      <c r="A339" s="201">
        <f>Реестр_План_Факт!A339</f>
        <v>46360</v>
      </c>
      <c r="B339">
        <f>Реестр_План_Факт!B339</f>
        <v>49</v>
      </c>
      <c r="C339">
        <f>Реестр_План_Факт!C339</f>
        <v>12</v>
      </c>
      <c r="D339">
        <f>Реестр_План_Факт!D339</f>
        <v>0</v>
      </c>
      <c r="E339">
        <f>Реестр_План_Факт!E339</f>
        <v>0</v>
      </c>
      <c r="F339" t="str">
        <f>Реестр_План_Факт!F339</f>
        <v/>
      </c>
      <c r="G339">
        <f>Реестр_План_Факт!G339</f>
        <v>0</v>
      </c>
      <c r="H339">
        <f>Реестр_План_Факт!H339</f>
        <v>0</v>
      </c>
      <c r="I339" t="str">
        <f>Реестр_План_Факт!I339</f>
        <v/>
      </c>
      <c r="J339">
        <f>Реестр_План_Факт!J339</f>
        <v>0</v>
      </c>
      <c r="K339">
        <f>Реестр_План_Факт!K339</f>
        <v>0</v>
      </c>
      <c r="L339" t="str">
        <f>Реестр_План_Факт!L339</f>
        <v/>
      </c>
      <c r="M339">
        <f>Реестр_План_Факт!M339</f>
        <v>0</v>
      </c>
      <c r="N339">
        <f>Реестр_План_Факт!N339</f>
        <v>0</v>
      </c>
      <c r="O339" t="str">
        <f>Реестр_План_Факт!O339</f>
        <v/>
      </c>
      <c r="P339">
        <f>Реестр_План_Факт!P339</f>
        <v>0</v>
      </c>
      <c r="Q339">
        <f>Реестр_План_Факт!Q339</f>
        <v>0</v>
      </c>
      <c r="R339" t="str">
        <f>Реестр_План_Факт!R339</f>
        <v/>
      </c>
      <c r="S339">
        <f>Реестр_План_Факт!S339</f>
        <v>0</v>
      </c>
      <c r="T339">
        <f>Реестр_План_Факт!T339</f>
        <v>0</v>
      </c>
      <c r="U339" t="str">
        <f>Реестр_План_Факт!U339</f>
        <v/>
      </c>
      <c r="V339">
        <f>Реестр_План_Факт!V339</f>
        <v>0</v>
      </c>
      <c r="W339">
        <f>Реестр_План_Факт!W339</f>
        <v>0</v>
      </c>
      <c r="X339" t="str">
        <f>Реестр_План_Факт!X339</f>
        <v/>
      </c>
      <c r="Y339">
        <f>Реестр_План_Факт!Y339</f>
        <v>0</v>
      </c>
      <c r="Z339">
        <f>Реестр_План_Факт!Z339</f>
        <v>0</v>
      </c>
      <c r="AA339" t="str">
        <f>Реестр_План_Факт!AA339</f>
        <v/>
      </c>
      <c r="AB339">
        <f>Реестр_План_Факт!AB339</f>
        <v>0</v>
      </c>
      <c r="AC339">
        <f>Реестр_План_Факт!AC339</f>
        <v>0</v>
      </c>
      <c r="AD339" t="str">
        <f>Реестр_План_Факт!AD339</f>
        <v/>
      </c>
      <c r="AE339">
        <f>Реестр_План_Факт!AE339</f>
        <v>0</v>
      </c>
      <c r="AF339">
        <f>Реестр_План_Факт!AF339</f>
        <v>0</v>
      </c>
      <c r="AG339" t="str">
        <f>Реестр_План_Факт!AG339</f>
        <v/>
      </c>
      <c r="AH339">
        <f>Реестр_План_Факт!AH339</f>
        <v>0</v>
      </c>
      <c r="AI339">
        <f>Реестр_План_Факт!AI339</f>
        <v>0</v>
      </c>
      <c r="AJ339" t="str">
        <f>Реестр_План_Факт!AJ339</f>
        <v/>
      </c>
      <c r="AK339">
        <f>Реестр_План_Факт!AK339</f>
        <v>0</v>
      </c>
      <c r="AL339">
        <f>Реестр_План_Факт!AL339</f>
        <v>0</v>
      </c>
      <c r="AM339" t="str">
        <f>Реестр_План_Факт!AM339</f>
        <v/>
      </c>
      <c r="AN339">
        <f>Реестр_План_Факт!AN339</f>
        <v>0</v>
      </c>
      <c r="AO339">
        <f>Реестр_План_Факт!AO339</f>
        <v>0</v>
      </c>
      <c r="AP339" t="str">
        <f>Реестр_План_Факт!AP339</f>
        <v/>
      </c>
      <c r="AQ339">
        <f>Реестр_План_Факт!AQ339</f>
        <v>0</v>
      </c>
    </row>
    <row r="340" spans="1:43" x14ac:dyDescent="0.2">
      <c r="A340" s="201">
        <f>Реестр_План_Факт!A340</f>
        <v>46361</v>
      </c>
      <c r="B340">
        <f>Реестр_План_Факт!B340</f>
        <v>49</v>
      </c>
      <c r="C340">
        <f>Реестр_План_Факт!C340</f>
        <v>12</v>
      </c>
      <c r="D340">
        <f>Реестр_План_Факт!D340</f>
        <v>0</v>
      </c>
      <c r="E340">
        <f>Реестр_План_Факт!E340</f>
        <v>0</v>
      </c>
      <c r="F340" t="str">
        <f>Реестр_План_Факт!F340</f>
        <v/>
      </c>
      <c r="G340">
        <f>Реестр_План_Факт!G340</f>
        <v>0</v>
      </c>
      <c r="H340">
        <f>Реестр_План_Факт!H340</f>
        <v>0</v>
      </c>
      <c r="I340" t="str">
        <f>Реестр_План_Факт!I340</f>
        <v/>
      </c>
      <c r="J340">
        <f>Реестр_План_Факт!J340</f>
        <v>0</v>
      </c>
      <c r="K340">
        <f>Реестр_План_Факт!K340</f>
        <v>0</v>
      </c>
      <c r="L340" t="str">
        <f>Реестр_План_Факт!L340</f>
        <v/>
      </c>
      <c r="M340">
        <f>Реестр_План_Факт!M340</f>
        <v>0</v>
      </c>
      <c r="N340">
        <f>Реестр_План_Факт!N340</f>
        <v>0</v>
      </c>
      <c r="O340" t="str">
        <f>Реестр_План_Факт!O340</f>
        <v/>
      </c>
      <c r="P340">
        <f>Реестр_План_Факт!P340</f>
        <v>0</v>
      </c>
      <c r="Q340">
        <f>Реестр_План_Факт!Q340</f>
        <v>0</v>
      </c>
      <c r="R340" t="str">
        <f>Реестр_План_Факт!R340</f>
        <v/>
      </c>
      <c r="S340">
        <f>Реестр_План_Факт!S340</f>
        <v>0</v>
      </c>
      <c r="T340">
        <f>Реестр_План_Факт!T340</f>
        <v>0</v>
      </c>
      <c r="U340" t="str">
        <f>Реестр_План_Факт!U340</f>
        <v/>
      </c>
      <c r="V340">
        <f>Реестр_План_Факт!V340</f>
        <v>0</v>
      </c>
      <c r="W340">
        <f>Реестр_План_Факт!W340</f>
        <v>0</v>
      </c>
      <c r="X340" t="str">
        <f>Реестр_План_Факт!X340</f>
        <v/>
      </c>
      <c r="Y340">
        <f>Реестр_План_Факт!Y340</f>
        <v>0</v>
      </c>
      <c r="Z340">
        <f>Реестр_План_Факт!Z340</f>
        <v>0</v>
      </c>
      <c r="AA340" t="str">
        <f>Реестр_План_Факт!AA340</f>
        <v/>
      </c>
      <c r="AB340">
        <f>Реестр_План_Факт!AB340</f>
        <v>0</v>
      </c>
      <c r="AC340">
        <f>Реестр_План_Факт!AC340</f>
        <v>0</v>
      </c>
      <c r="AD340" t="str">
        <f>Реестр_План_Факт!AD340</f>
        <v/>
      </c>
      <c r="AE340">
        <f>Реестр_План_Факт!AE340</f>
        <v>0</v>
      </c>
      <c r="AF340">
        <f>Реестр_План_Факт!AF340</f>
        <v>0</v>
      </c>
      <c r="AG340" t="str">
        <f>Реестр_План_Факт!AG340</f>
        <v/>
      </c>
      <c r="AH340">
        <f>Реестр_План_Факт!AH340</f>
        <v>0</v>
      </c>
      <c r="AI340">
        <f>Реестр_План_Факт!AI340</f>
        <v>0</v>
      </c>
      <c r="AJ340" t="str">
        <f>Реестр_План_Факт!AJ340</f>
        <v/>
      </c>
      <c r="AK340">
        <f>Реестр_План_Факт!AK340</f>
        <v>0</v>
      </c>
      <c r="AL340">
        <f>Реестр_План_Факт!AL340</f>
        <v>0</v>
      </c>
      <c r="AM340" t="str">
        <f>Реестр_План_Факт!AM340</f>
        <v/>
      </c>
      <c r="AN340">
        <f>Реестр_План_Факт!AN340</f>
        <v>0</v>
      </c>
      <c r="AO340">
        <f>Реестр_План_Факт!AO340</f>
        <v>0</v>
      </c>
      <c r="AP340" t="str">
        <f>Реестр_План_Факт!AP340</f>
        <v/>
      </c>
      <c r="AQ340">
        <f>Реестр_План_Факт!AQ340</f>
        <v>0</v>
      </c>
    </row>
    <row r="341" spans="1:43" x14ac:dyDescent="0.2">
      <c r="A341" s="201">
        <f>Реестр_План_Факт!A341</f>
        <v>46362</v>
      </c>
      <c r="B341">
        <f>Реестр_План_Факт!B341</f>
        <v>49</v>
      </c>
      <c r="C341">
        <f>Реестр_План_Факт!C341</f>
        <v>12</v>
      </c>
      <c r="D341">
        <f>Реестр_План_Факт!D341</f>
        <v>0</v>
      </c>
      <c r="E341">
        <f>Реестр_План_Факт!E341</f>
        <v>0</v>
      </c>
      <c r="F341" t="str">
        <f>Реестр_План_Факт!F341</f>
        <v/>
      </c>
      <c r="G341">
        <f>Реестр_План_Факт!G341</f>
        <v>0</v>
      </c>
      <c r="H341">
        <f>Реестр_План_Факт!H341</f>
        <v>0</v>
      </c>
      <c r="I341" t="str">
        <f>Реестр_План_Факт!I341</f>
        <v/>
      </c>
      <c r="J341">
        <f>Реестр_План_Факт!J341</f>
        <v>0</v>
      </c>
      <c r="K341">
        <f>Реестр_План_Факт!K341</f>
        <v>0</v>
      </c>
      <c r="L341" t="str">
        <f>Реестр_План_Факт!L341</f>
        <v/>
      </c>
      <c r="M341">
        <f>Реестр_План_Факт!M341</f>
        <v>0</v>
      </c>
      <c r="N341">
        <f>Реестр_План_Факт!N341</f>
        <v>0</v>
      </c>
      <c r="O341" t="str">
        <f>Реестр_План_Факт!O341</f>
        <v/>
      </c>
      <c r="P341">
        <f>Реестр_План_Факт!P341</f>
        <v>0</v>
      </c>
      <c r="Q341">
        <f>Реестр_План_Факт!Q341</f>
        <v>0</v>
      </c>
      <c r="R341" t="str">
        <f>Реестр_План_Факт!R341</f>
        <v/>
      </c>
      <c r="S341">
        <f>Реестр_План_Факт!S341</f>
        <v>0</v>
      </c>
      <c r="T341">
        <f>Реестр_План_Факт!T341</f>
        <v>0</v>
      </c>
      <c r="U341" t="str">
        <f>Реестр_План_Факт!U341</f>
        <v/>
      </c>
      <c r="V341">
        <f>Реестр_План_Факт!V341</f>
        <v>0</v>
      </c>
      <c r="W341">
        <f>Реестр_План_Факт!W341</f>
        <v>0</v>
      </c>
      <c r="X341" t="str">
        <f>Реестр_План_Факт!X341</f>
        <v/>
      </c>
      <c r="Y341">
        <f>Реестр_План_Факт!Y341</f>
        <v>0</v>
      </c>
      <c r="Z341">
        <f>Реестр_План_Факт!Z341</f>
        <v>0</v>
      </c>
      <c r="AA341" t="str">
        <f>Реестр_План_Факт!AA341</f>
        <v/>
      </c>
      <c r="AB341">
        <f>Реестр_План_Факт!AB341</f>
        <v>0</v>
      </c>
      <c r="AC341">
        <f>Реестр_План_Факт!AC341</f>
        <v>0</v>
      </c>
      <c r="AD341" t="str">
        <f>Реестр_План_Факт!AD341</f>
        <v/>
      </c>
      <c r="AE341">
        <f>Реестр_План_Факт!AE341</f>
        <v>0</v>
      </c>
      <c r="AF341">
        <f>Реестр_План_Факт!AF341</f>
        <v>0</v>
      </c>
      <c r="AG341" t="str">
        <f>Реестр_План_Факт!AG341</f>
        <v/>
      </c>
      <c r="AH341">
        <f>Реестр_План_Факт!AH341</f>
        <v>0</v>
      </c>
      <c r="AI341">
        <f>Реестр_План_Факт!AI341</f>
        <v>0</v>
      </c>
      <c r="AJ341" t="str">
        <f>Реестр_План_Факт!AJ341</f>
        <v/>
      </c>
      <c r="AK341">
        <f>Реестр_План_Факт!AK341</f>
        <v>0</v>
      </c>
      <c r="AL341">
        <f>Реестр_План_Факт!AL341</f>
        <v>0</v>
      </c>
      <c r="AM341" t="str">
        <f>Реестр_План_Факт!AM341</f>
        <v/>
      </c>
      <c r="AN341">
        <f>Реестр_План_Факт!AN341</f>
        <v>0</v>
      </c>
      <c r="AO341">
        <f>Реестр_План_Факт!AO341</f>
        <v>0</v>
      </c>
      <c r="AP341" t="str">
        <f>Реестр_План_Факт!AP341</f>
        <v/>
      </c>
      <c r="AQ341">
        <f>Реестр_План_Факт!AQ341</f>
        <v>0</v>
      </c>
    </row>
    <row r="342" spans="1:43" x14ac:dyDescent="0.2">
      <c r="A342" s="201">
        <f>Реестр_План_Факт!A342</f>
        <v>46363</v>
      </c>
      <c r="B342">
        <f>Реестр_План_Факт!B342</f>
        <v>50</v>
      </c>
      <c r="C342">
        <f>Реестр_План_Факт!C342</f>
        <v>12</v>
      </c>
      <c r="D342">
        <f>Реестр_План_Факт!D342</f>
        <v>0</v>
      </c>
      <c r="E342">
        <f>Реестр_План_Факт!E342</f>
        <v>0</v>
      </c>
      <c r="F342" t="str">
        <f>Реестр_План_Факт!F342</f>
        <v/>
      </c>
      <c r="G342">
        <f>Реестр_План_Факт!G342</f>
        <v>0</v>
      </c>
      <c r="H342">
        <f>Реестр_План_Факт!H342</f>
        <v>0</v>
      </c>
      <c r="I342" t="str">
        <f>Реестр_План_Факт!I342</f>
        <v/>
      </c>
      <c r="J342">
        <f>Реестр_План_Факт!J342</f>
        <v>0</v>
      </c>
      <c r="K342">
        <f>Реестр_План_Факт!K342</f>
        <v>0</v>
      </c>
      <c r="L342" t="str">
        <f>Реестр_План_Факт!L342</f>
        <v/>
      </c>
      <c r="M342">
        <f>Реестр_План_Факт!M342</f>
        <v>0</v>
      </c>
      <c r="N342">
        <f>Реестр_План_Факт!N342</f>
        <v>0</v>
      </c>
      <c r="O342" t="str">
        <f>Реестр_План_Факт!O342</f>
        <v/>
      </c>
      <c r="P342">
        <f>Реестр_План_Факт!P342</f>
        <v>0</v>
      </c>
      <c r="Q342">
        <f>Реестр_План_Факт!Q342</f>
        <v>0</v>
      </c>
      <c r="R342" t="str">
        <f>Реестр_План_Факт!R342</f>
        <v/>
      </c>
      <c r="S342">
        <f>Реестр_План_Факт!S342</f>
        <v>0</v>
      </c>
      <c r="T342">
        <f>Реестр_План_Факт!T342</f>
        <v>0</v>
      </c>
      <c r="U342" t="str">
        <f>Реестр_План_Факт!U342</f>
        <v/>
      </c>
      <c r="V342">
        <f>Реестр_План_Факт!V342</f>
        <v>0</v>
      </c>
      <c r="W342">
        <f>Реестр_План_Факт!W342</f>
        <v>0</v>
      </c>
      <c r="X342" t="str">
        <f>Реестр_План_Факт!X342</f>
        <v/>
      </c>
      <c r="Y342">
        <f>Реестр_План_Факт!Y342</f>
        <v>0</v>
      </c>
      <c r="Z342">
        <f>Реестр_План_Факт!Z342</f>
        <v>0</v>
      </c>
      <c r="AA342" t="str">
        <f>Реестр_План_Факт!AA342</f>
        <v/>
      </c>
      <c r="AB342">
        <f>Реестр_План_Факт!AB342</f>
        <v>0</v>
      </c>
      <c r="AC342">
        <f>Реестр_План_Факт!AC342</f>
        <v>0</v>
      </c>
      <c r="AD342" t="str">
        <f>Реестр_План_Факт!AD342</f>
        <v/>
      </c>
      <c r="AE342">
        <f>Реестр_План_Факт!AE342</f>
        <v>0</v>
      </c>
      <c r="AF342">
        <f>Реестр_План_Факт!AF342</f>
        <v>0</v>
      </c>
      <c r="AG342" t="str">
        <f>Реестр_План_Факт!AG342</f>
        <v/>
      </c>
      <c r="AH342">
        <f>Реестр_План_Факт!AH342</f>
        <v>0</v>
      </c>
      <c r="AI342">
        <f>Реестр_План_Факт!AI342</f>
        <v>0</v>
      </c>
      <c r="AJ342" t="str">
        <f>Реестр_План_Факт!AJ342</f>
        <v/>
      </c>
      <c r="AK342">
        <f>Реестр_План_Факт!AK342</f>
        <v>0</v>
      </c>
      <c r="AL342">
        <f>Реестр_План_Факт!AL342</f>
        <v>0</v>
      </c>
      <c r="AM342" t="str">
        <f>Реестр_План_Факт!AM342</f>
        <v/>
      </c>
      <c r="AN342">
        <f>Реестр_План_Факт!AN342</f>
        <v>0</v>
      </c>
      <c r="AO342">
        <f>Реестр_План_Факт!AO342</f>
        <v>0</v>
      </c>
      <c r="AP342" t="str">
        <f>Реестр_План_Факт!AP342</f>
        <v/>
      </c>
      <c r="AQ342">
        <f>Реестр_План_Факт!AQ342</f>
        <v>0</v>
      </c>
    </row>
    <row r="343" spans="1:43" x14ac:dyDescent="0.2">
      <c r="A343" s="201">
        <f>Реестр_План_Факт!A343</f>
        <v>46364</v>
      </c>
      <c r="B343">
        <f>Реестр_План_Факт!B343</f>
        <v>50</v>
      </c>
      <c r="C343">
        <f>Реестр_План_Факт!C343</f>
        <v>12</v>
      </c>
      <c r="D343">
        <f>Реестр_План_Факт!D343</f>
        <v>0</v>
      </c>
      <c r="E343">
        <f>Реестр_План_Факт!E343</f>
        <v>0</v>
      </c>
      <c r="F343" t="str">
        <f>Реестр_План_Факт!F343</f>
        <v/>
      </c>
      <c r="G343">
        <f>Реестр_План_Факт!G343</f>
        <v>0</v>
      </c>
      <c r="H343">
        <f>Реестр_План_Факт!H343</f>
        <v>0</v>
      </c>
      <c r="I343" t="str">
        <f>Реестр_План_Факт!I343</f>
        <v/>
      </c>
      <c r="J343">
        <f>Реестр_План_Факт!J343</f>
        <v>0</v>
      </c>
      <c r="K343">
        <f>Реестр_План_Факт!K343</f>
        <v>0</v>
      </c>
      <c r="L343" t="str">
        <f>Реестр_План_Факт!L343</f>
        <v/>
      </c>
      <c r="M343">
        <f>Реестр_План_Факт!M343</f>
        <v>0</v>
      </c>
      <c r="N343">
        <f>Реестр_План_Факт!N343</f>
        <v>0</v>
      </c>
      <c r="O343" t="str">
        <f>Реестр_План_Факт!O343</f>
        <v/>
      </c>
      <c r="P343">
        <f>Реестр_План_Факт!P343</f>
        <v>0</v>
      </c>
      <c r="Q343">
        <f>Реестр_План_Факт!Q343</f>
        <v>0</v>
      </c>
      <c r="R343" t="str">
        <f>Реестр_План_Факт!R343</f>
        <v/>
      </c>
      <c r="S343">
        <f>Реестр_План_Факт!S343</f>
        <v>0</v>
      </c>
      <c r="T343">
        <f>Реестр_План_Факт!T343</f>
        <v>0</v>
      </c>
      <c r="U343" t="str">
        <f>Реестр_План_Факт!U343</f>
        <v/>
      </c>
      <c r="V343">
        <f>Реестр_План_Факт!V343</f>
        <v>0</v>
      </c>
      <c r="W343">
        <f>Реестр_План_Факт!W343</f>
        <v>0</v>
      </c>
      <c r="X343" t="str">
        <f>Реестр_План_Факт!X343</f>
        <v/>
      </c>
      <c r="Y343">
        <f>Реестр_План_Факт!Y343</f>
        <v>0</v>
      </c>
      <c r="Z343">
        <f>Реестр_План_Факт!Z343</f>
        <v>0</v>
      </c>
      <c r="AA343" t="str">
        <f>Реестр_План_Факт!AA343</f>
        <v/>
      </c>
      <c r="AB343">
        <f>Реестр_План_Факт!AB343</f>
        <v>0</v>
      </c>
      <c r="AC343">
        <f>Реестр_План_Факт!AC343</f>
        <v>0</v>
      </c>
      <c r="AD343" t="str">
        <f>Реестр_План_Факт!AD343</f>
        <v/>
      </c>
      <c r="AE343">
        <f>Реестр_План_Факт!AE343</f>
        <v>0</v>
      </c>
      <c r="AF343">
        <f>Реестр_План_Факт!AF343</f>
        <v>0</v>
      </c>
      <c r="AG343" t="str">
        <f>Реестр_План_Факт!AG343</f>
        <v/>
      </c>
      <c r="AH343">
        <f>Реестр_План_Факт!AH343</f>
        <v>0</v>
      </c>
      <c r="AI343">
        <f>Реестр_План_Факт!AI343</f>
        <v>0</v>
      </c>
      <c r="AJ343" t="str">
        <f>Реестр_План_Факт!AJ343</f>
        <v/>
      </c>
      <c r="AK343">
        <f>Реестр_План_Факт!AK343</f>
        <v>0</v>
      </c>
      <c r="AL343">
        <f>Реестр_План_Факт!AL343</f>
        <v>0</v>
      </c>
      <c r="AM343" t="str">
        <f>Реестр_План_Факт!AM343</f>
        <v/>
      </c>
      <c r="AN343">
        <f>Реестр_План_Факт!AN343</f>
        <v>0</v>
      </c>
      <c r="AO343">
        <f>Реестр_План_Факт!AO343</f>
        <v>0</v>
      </c>
      <c r="AP343" t="str">
        <f>Реестр_План_Факт!AP343</f>
        <v/>
      </c>
      <c r="AQ343">
        <f>Реестр_План_Факт!AQ343</f>
        <v>0</v>
      </c>
    </row>
    <row r="344" spans="1:43" x14ac:dyDescent="0.2">
      <c r="A344" s="201">
        <f>Реестр_План_Факт!A344</f>
        <v>46365</v>
      </c>
      <c r="B344">
        <f>Реестр_План_Факт!B344</f>
        <v>50</v>
      </c>
      <c r="C344">
        <f>Реестр_План_Факт!C344</f>
        <v>12</v>
      </c>
      <c r="D344">
        <f>Реестр_План_Факт!D344</f>
        <v>0</v>
      </c>
      <c r="E344">
        <f>Реестр_План_Факт!E344</f>
        <v>0</v>
      </c>
      <c r="F344" t="str">
        <f>Реестр_План_Факт!F344</f>
        <v/>
      </c>
      <c r="G344">
        <f>Реестр_План_Факт!G344</f>
        <v>0</v>
      </c>
      <c r="H344">
        <f>Реестр_План_Факт!H344</f>
        <v>0</v>
      </c>
      <c r="I344" t="str">
        <f>Реестр_План_Факт!I344</f>
        <v/>
      </c>
      <c r="J344">
        <f>Реестр_План_Факт!J344</f>
        <v>0</v>
      </c>
      <c r="K344">
        <f>Реестр_План_Факт!K344</f>
        <v>0</v>
      </c>
      <c r="L344" t="str">
        <f>Реестр_План_Факт!L344</f>
        <v/>
      </c>
      <c r="M344">
        <f>Реестр_План_Факт!M344</f>
        <v>0</v>
      </c>
      <c r="N344">
        <f>Реестр_План_Факт!N344</f>
        <v>0</v>
      </c>
      <c r="O344" t="str">
        <f>Реестр_План_Факт!O344</f>
        <v/>
      </c>
      <c r="P344">
        <f>Реестр_План_Факт!P344</f>
        <v>0</v>
      </c>
      <c r="Q344">
        <f>Реестр_План_Факт!Q344</f>
        <v>0</v>
      </c>
      <c r="R344" t="str">
        <f>Реестр_План_Факт!R344</f>
        <v/>
      </c>
      <c r="S344">
        <f>Реестр_План_Факт!S344</f>
        <v>0</v>
      </c>
      <c r="T344">
        <f>Реестр_План_Факт!T344</f>
        <v>0</v>
      </c>
      <c r="U344" t="str">
        <f>Реестр_План_Факт!U344</f>
        <v/>
      </c>
      <c r="V344">
        <f>Реестр_План_Факт!V344</f>
        <v>0</v>
      </c>
      <c r="W344">
        <f>Реестр_План_Факт!W344</f>
        <v>0</v>
      </c>
      <c r="X344" t="str">
        <f>Реестр_План_Факт!X344</f>
        <v/>
      </c>
      <c r="Y344">
        <f>Реестр_План_Факт!Y344</f>
        <v>0</v>
      </c>
      <c r="Z344">
        <f>Реестр_План_Факт!Z344</f>
        <v>0</v>
      </c>
      <c r="AA344" t="str">
        <f>Реестр_План_Факт!AA344</f>
        <v/>
      </c>
      <c r="AB344">
        <f>Реестр_План_Факт!AB344</f>
        <v>0</v>
      </c>
      <c r="AC344">
        <f>Реестр_План_Факт!AC344</f>
        <v>0</v>
      </c>
      <c r="AD344" t="str">
        <f>Реестр_План_Факт!AD344</f>
        <v/>
      </c>
      <c r="AE344">
        <f>Реестр_План_Факт!AE344</f>
        <v>0</v>
      </c>
      <c r="AF344">
        <f>Реестр_План_Факт!AF344</f>
        <v>0</v>
      </c>
      <c r="AG344" t="str">
        <f>Реестр_План_Факт!AG344</f>
        <v/>
      </c>
      <c r="AH344">
        <f>Реестр_План_Факт!AH344</f>
        <v>0</v>
      </c>
      <c r="AI344">
        <f>Реестр_План_Факт!AI344</f>
        <v>0</v>
      </c>
      <c r="AJ344" t="str">
        <f>Реестр_План_Факт!AJ344</f>
        <v/>
      </c>
      <c r="AK344">
        <f>Реестр_План_Факт!AK344</f>
        <v>0</v>
      </c>
      <c r="AL344">
        <f>Реестр_План_Факт!AL344</f>
        <v>0</v>
      </c>
      <c r="AM344" t="str">
        <f>Реестр_План_Факт!AM344</f>
        <v/>
      </c>
      <c r="AN344">
        <f>Реестр_План_Факт!AN344</f>
        <v>0</v>
      </c>
      <c r="AO344">
        <f>Реестр_План_Факт!AO344</f>
        <v>0</v>
      </c>
      <c r="AP344" t="str">
        <f>Реестр_План_Факт!AP344</f>
        <v/>
      </c>
      <c r="AQ344">
        <f>Реестр_План_Факт!AQ344</f>
        <v>0</v>
      </c>
    </row>
    <row r="345" spans="1:43" x14ac:dyDescent="0.2">
      <c r="A345" s="201">
        <f>Реестр_План_Факт!A345</f>
        <v>46366</v>
      </c>
      <c r="B345">
        <f>Реестр_План_Факт!B345</f>
        <v>50</v>
      </c>
      <c r="C345">
        <f>Реестр_План_Факт!C345</f>
        <v>12</v>
      </c>
      <c r="D345">
        <f>Реестр_План_Факт!D345</f>
        <v>0</v>
      </c>
      <c r="E345">
        <f>Реестр_План_Факт!E345</f>
        <v>0</v>
      </c>
      <c r="F345" t="str">
        <f>Реестр_План_Факт!F345</f>
        <v/>
      </c>
      <c r="G345">
        <f>Реестр_План_Факт!G345</f>
        <v>0</v>
      </c>
      <c r="H345">
        <f>Реестр_План_Факт!H345</f>
        <v>0</v>
      </c>
      <c r="I345" t="str">
        <f>Реестр_План_Факт!I345</f>
        <v/>
      </c>
      <c r="J345">
        <f>Реестр_План_Факт!J345</f>
        <v>0</v>
      </c>
      <c r="K345">
        <f>Реестр_План_Факт!K345</f>
        <v>0</v>
      </c>
      <c r="L345" t="str">
        <f>Реестр_План_Факт!L345</f>
        <v/>
      </c>
      <c r="M345">
        <f>Реестр_План_Факт!M345</f>
        <v>0</v>
      </c>
      <c r="N345">
        <f>Реестр_План_Факт!N345</f>
        <v>0</v>
      </c>
      <c r="O345" t="str">
        <f>Реестр_План_Факт!O345</f>
        <v/>
      </c>
      <c r="P345">
        <f>Реестр_План_Факт!P345</f>
        <v>0</v>
      </c>
      <c r="Q345">
        <f>Реестр_План_Факт!Q345</f>
        <v>0</v>
      </c>
      <c r="R345" t="str">
        <f>Реестр_План_Факт!R345</f>
        <v/>
      </c>
      <c r="S345">
        <f>Реестр_План_Факт!S345</f>
        <v>0</v>
      </c>
      <c r="T345">
        <f>Реестр_План_Факт!T345</f>
        <v>0</v>
      </c>
      <c r="U345" t="str">
        <f>Реестр_План_Факт!U345</f>
        <v/>
      </c>
      <c r="V345">
        <f>Реестр_План_Факт!V345</f>
        <v>0</v>
      </c>
      <c r="W345">
        <f>Реестр_План_Факт!W345</f>
        <v>0</v>
      </c>
      <c r="X345" t="str">
        <f>Реестр_План_Факт!X345</f>
        <v/>
      </c>
      <c r="Y345">
        <f>Реестр_План_Факт!Y345</f>
        <v>0</v>
      </c>
      <c r="Z345">
        <f>Реестр_План_Факт!Z345</f>
        <v>0</v>
      </c>
      <c r="AA345" t="str">
        <f>Реестр_План_Факт!AA345</f>
        <v/>
      </c>
      <c r="AB345">
        <f>Реестр_План_Факт!AB345</f>
        <v>0</v>
      </c>
      <c r="AC345">
        <f>Реестр_План_Факт!AC345</f>
        <v>0</v>
      </c>
      <c r="AD345" t="str">
        <f>Реестр_План_Факт!AD345</f>
        <v/>
      </c>
      <c r="AE345">
        <f>Реестр_План_Факт!AE345</f>
        <v>0</v>
      </c>
      <c r="AF345">
        <f>Реестр_План_Факт!AF345</f>
        <v>0</v>
      </c>
      <c r="AG345" t="str">
        <f>Реестр_План_Факт!AG345</f>
        <v/>
      </c>
      <c r="AH345">
        <f>Реестр_План_Факт!AH345</f>
        <v>0</v>
      </c>
      <c r="AI345">
        <f>Реестр_План_Факт!AI345</f>
        <v>0</v>
      </c>
      <c r="AJ345" t="str">
        <f>Реестр_План_Факт!AJ345</f>
        <v/>
      </c>
      <c r="AK345">
        <f>Реестр_План_Факт!AK345</f>
        <v>0</v>
      </c>
      <c r="AL345">
        <f>Реестр_План_Факт!AL345</f>
        <v>0</v>
      </c>
      <c r="AM345" t="str">
        <f>Реестр_План_Факт!AM345</f>
        <v/>
      </c>
      <c r="AN345">
        <f>Реестр_План_Факт!AN345</f>
        <v>0</v>
      </c>
      <c r="AO345">
        <f>Реестр_План_Факт!AO345</f>
        <v>0</v>
      </c>
      <c r="AP345" t="str">
        <f>Реестр_План_Факт!AP345</f>
        <v/>
      </c>
      <c r="AQ345">
        <f>Реестр_План_Факт!AQ345</f>
        <v>0</v>
      </c>
    </row>
    <row r="346" spans="1:43" x14ac:dyDescent="0.2">
      <c r="A346" s="201">
        <f>Реестр_План_Факт!A346</f>
        <v>46367</v>
      </c>
      <c r="B346">
        <f>Реестр_План_Факт!B346</f>
        <v>50</v>
      </c>
      <c r="C346">
        <f>Реестр_План_Факт!C346</f>
        <v>12</v>
      </c>
      <c r="D346">
        <f>Реестр_План_Факт!D346</f>
        <v>0</v>
      </c>
      <c r="E346">
        <f>Реестр_План_Факт!E346</f>
        <v>0</v>
      </c>
      <c r="F346" t="str">
        <f>Реестр_План_Факт!F346</f>
        <v/>
      </c>
      <c r="G346">
        <f>Реестр_План_Факт!G346</f>
        <v>0</v>
      </c>
      <c r="H346">
        <f>Реестр_План_Факт!H346</f>
        <v>0</v>
      </c>
      <c r="I346" t="str">
        <f>Реестр_План_Факт!I346</f>
        <v/>
      </c>
      <c r="J346">
        <f>Реестр_План_Факт!J346</f>
        <v>0</v>
      </c>
      <c r="K346">
        <f>Реестр_План_Факт!K346</f>
        <v>0</v>
      </c>
      <c r="L346" t="str">
        <f>Реестр_План_Факт!L346</f>
        <v/>
      </c>
      <c r="M346">
        <f>Реестр_План_Факт!M346</f>
        <v>0</v>
      </c>
      <c r="N346">
        <f>Реестр_План_Факт!N346</f>
        <v>0</v>
      </c>
      <c r="O346" t="str">
        <f>Реестр_План_Факт!O346</f>
        <v/>
      </c>
      <c r="P346">
        <f>Реестр_План_Факт!P346</f>
        <v>0</v>
      </c>
      <c r="Q346">
        <f>Реестр_План_Факт!Q346</f>
        <v>0</v>
      </c>
      <c r="R346" t="str">
        <f>Реестр_План_Факт!R346</f>
        <v/>
      </c>
      <c r="S346">
        <f>Реестр_План_Факт!S346</f>
        <v>0</v>
      </c>
      <c r="T346">
        <f>Реестр_План_Факт!T346</f>
        <v>0</v>
      </c>
      <c r="U346" t="str">
        <f>Реестр_План_Факт!U346</f>
        <v/>
      </c>
      <c r="V346">
        <f>Реестр_План_Факт!V346</f>
        <v>0</v>
      </c>
      <c r="W346">
        <f>Реестр_План_Факт!W346</f>
        <v>0</v>
      </c>
      <c r="X346" t="str">
        <f>Реестр_План_Факт!X346</f>
        <v/>
      </c>
      <c r="Y346">
        <f>Реестр_План_Факт!Y346</f>
        <v>0</v>
      </c>
      <c r="Z346">
        <f>Реестр_План_Факт!Z346</f>
        <v>0</v>
      </c>
      <c r="AA346" t="str">
        <f>Реестр_План_Факт!AA346</f>
        <v/>
      </c>
      <c r="AB346">
        <f>Реестр_План_Факт!AB346</f>
        <v>0</v>
      </c>
      <c r="AC346">
        <f>Реестр_План_Факт!AC346</f>
        <v>0</v>
      </c>
      <c r="AD346" t="str">
        <f>Реестр_План_Факт!AD346</f>
        <v/>
      </c>
      <c r="AE346">
        <f>Реестр_План_Факт!AE346</f>
        <v>0</v>
      </c>
      <c r="AF346">
        <f>Реестр_План_Факт!AF346</f>
        <v>0</v>
      </c>
      <c r="AG346" t="str">
        <f>Реестр_План_Факт!AG346</f>
        <v/>
      </c>
      <c r="AH346">
        <f>Реестр_План_Факт!AH346</f>
        <v>0</v>
      </c>
      <c r="AI346">
        <f>Реестр_План_Факт!AI346</f>
        <v>0</v>
      </c>
      <c r="AJ346" t="str">
        <f>Реестр_План_Факт!AJ346</f>
        <v/>
      </c>
      <c r="AK346">
        <f>Реестр_План_Факт!AK346</f>
        <v>0</v>
      </c>
      <c r="AL346">
        <f>Реестр_План_Факт!AL346</f>
        <v>0</v>
      </c>
      <c r="AM346" t="str">
        <f>Реестр_План_Факт!AM346</f>
        <v/>
      </c>
      <c r="AN346">
        <f>Реестр_План_Факт!AN346</f>
        <v>0</v>
      </c>
      <c r="AO346">
        <f>Реестр_План_Факт!AO346</f>
        <v>0</v>
      </c>
      <c r="AP346" t="str">
        <f>Реестр_План_Факт!AP346</f>
        <v/>
      </c>
      <c r="AQ346">
        <f>Реестр_План_Факт!AQ346</f>
        <v>0</v>
      </c>
    </row>
    <row r="347" spans="1:43" x14ac:dyDescent="0.2">
      <c r="A347" s="201">
        <f>Реестр_План_Факт!A347</f>
        <v>46368</v>
      </c>
      <c r="B347">
        <f>Реестр_План_Факт!B347</f>
        <v>50</v>
      </c>
      <c r="C347">
        <f>Реестр_План_Факт!C347</f>
        <v>12</v>
      </c>
      <c r="D347">
        <f>Реестр_План_Факт!D347</f>
        <v>0</v>
      </c>
      <c r="E347">
        <f>Реестр_План_Факт!E347</f>
        <v>0</v>
      </c>
      <c r="F347" t="str">
        <f>Реестр_План_Факт!F347</f>
        <v/>
      </c>
      <c r="G347">
        <f>Реестр_План_Факт!G347</f>
        <v>0</v>
      </c>
      <c r="H347">
        <f>Реестр_План_Факт!H347</f>
        <v>0</v>
      </c>
      <c r="I347" t="str">
        <f>Реестр_План_Факт!I347</f>
        <v/>
      </c>
      <c r="J347">
        <f>Реестр_План_Факт!J347</f>
        <v>0</v>
      </c>
      <c r="K347">
        <f>Реестр_План_Факт!K347</f>
        <v>0</v>
      </c>
      <c r="L347" t="str">
        <f>Реестр_План_Факт!L347</f>
        <v/>
      </c>
      <c r="M347">
        <f>Реестр_План_Факт!M347</f>
        <v>0</v>
      </c>
      <c r="N347">
        <f>Реестр_План_Факт!N347</f>
        <v>0</v>
      </c>
      <c r="O347" t="str">
        <f>Реестр_План_Факт!O347</f>
        <v/>
      </c>
      <c r="P347">
        <f>Реестр_План_Факт!P347</f>
        <v>0</v>
      </c>
      <c r="Q347">
        <f>Реестр_План_Факт!Q347</f>
        <v>0</v>
      </c>
      <c r="R347" t="str">
        <f>Реестр_План_Факт!R347</f>
        <v/>
      </c>
      <c r="S347">
        <f>Реестр_План_Факт!S347</f>
        <v>0</v>
      </c>
      <c r="T347">
        <f>Реестр_План_Факт!T347</f>
        <v>0</v>
      </c>
      <c r="U347" t="str">
        <f>Реестр_План_Факт!U347</f>
        <v/>
      </c>
      <c r="V347">
        <f>Реестр_План_Факт!V347</f>
        <v>0</v>
      </c>
      <c r="W347">
        <f>Реестр_План_Факт!W347</f>
        <v>0</v>
      </c>
      <c r="X347" t="str">
        <f>Реестр_План_Факт!X347</f>
        <v/>
      </c>
      <c r="Y347">
        <f>Реестр_План_Факт!Y347</f>
        <v>0</v>
      </c>
      <c r="Z347">
        <f>Реестр_План_Факт!Z347</f>
        <v>0</v>
      </c>
      <c r="AA347" t="str">
        <f>Реестр_План_Факт!AA347</f>
        <v/>
      </c>
      <c r="AB347">
        <f>Реестр_План_Факт!AB347</f>
        <v>0</v>
      </c>
      <c r="AC347">
        <f>Реестр_План_Факт!AC347</f>
        <v>0</v>
      </c>
      <c r="AD347" t="str">
        <f>Реестр_План_Факт!AD347</f>
        <v/>
      </c>
      <c r="AE347">
        <f>Реестр_План_Факт!AE347</f>
        <v>0</v>
      </c>
      <c r="AF347">
        <f>Реестр_План_Факт!AF347</f>
        <v>0</v>
      </c>
      <c r="AG347" t="str">
        <f>Реестр_План_Факт!AG347</f>
        <v/>
      </c>
      <c r="AH347">
        <f>Реестр_План_Факт!AH347</f>
        <v>0</v>
      </c>
      <c r="AI347">
        <f>Реестр_План_Факт!AI347</f>
        <v>0</v>
      </c>
      <c r="AJ347" t="str">
        <f>Реестр_План_Факт!AJ347</f>
        <v/>
      </c>
      <c r="AK347">
        <f>Реестр_План_Факт!AK347</f>
        <v>0</v>
      </c>
      <c r="AL347">
        <f>Реестр_План_Факт!AL347</f>
        <v>0</v>
      </c>
      <c r="AM347" t="str">
        <f>Реестр_План_Факт!AM347</f>
        <v/>
      </c>
      <c r="AN347">
        <f>Реестр_План_Факт!AN347</f>
        <v>0</v>
      </c>
      <c r="AO347">
        <f>Реестр_План_Факт!AO347</f>
        <v>0</v>
      </c>
      <c r="AP347" t="str">
        <f>Реестр_План_Факт!AP347</f>
        <v/>
      </c>
      <c r="AQ347">
        <f>Реестр_План_Факт!AQ347</f>
        <v>0</v>
      </c>
    </row>
    <row r="348" spans="1:43" x14ac:dyDescent="0.2">
      <c r="A348" s="201">
        <f>Реестр_План_Факт!A348</f>
        <v>46369</v>
      </c>
      <c r="B348">
        <f>Реестр_План_Факт!B348</f>
        <v>50</v>
      </c>
      <c r="C348">
        <f>Реестр_План_Факт!C348</f>
        <v>12</v>
      </c>
      <c r="D348">
        <f>Реестр_План_Факт!D348</f>
        <v>0</v>
      </c>
      <c r="E348">
        <f>Реестр_План_Факт!E348</f>
        <v>0</v>
      </c>
      <c r="F348" t="str">
        <f>Реестр_План_Факт!F348</f>
        <v/>
      </c>
      <c r="G348">
        <f>Реестр_План_Факт!G348</f>
        <v>0</v>
      </c>
      <c r="H348">
        <f>Реестр_План_Факт!H348</f>
        <v>0</v>
      </c>
      <c r="I348" t="str">
        <f>Реестр_План_Факт!I348</f>
        <v/>
      </c>
      <c r="J348">
        <f>Реестр_План_Факт!J348</f>
        <v>0</v>
      </c>
      <c r="K348">
        <f>Реестр_План_Факт!K348</f>
        <v>0</v>
      </c>
      <c r="L348" t="str">
        <f>Реестр_План_Факт!L348</f>
        <v/>
      </c>
      <c r="M348">
        <f>Реестр_План_Факт!M348</f>
        <v>0</v>
      </c>
      <c r="N348">
        <f>Реестр_План_Факт!N348</f>
        <v>0</v>
      </c>
      <c r="O348" t="str">
        <f>Реестр_План_Факт!O348</f>
        <v/>
      </c>
      <c r="P348">
        <f>Реестр_План_Факт!P348</f>
        <v>0</v>
      </c>
      <c r="Q348">
        <f>Реестр_План_Факт!Q348</f>
        <v>0</v>
      </c>
      <c r="R348" t="str">
        <f>Реестр_План_Факт!R348</f>
        <v/>
      </c>
      <c r="S348">
        <f>Реестр_План_Факт!S348</f>
        <v>0</v>
      </c>
      <c r="T348">
        <f>Реестр_План_Факт!T348</f>
        <v>0</v>
      </c>
      <c r="U348" t="str">
        <f>Реестр_План_Факт!U348</f>
        <v/>
      </c>
      <c r="V348">
        <f>Реестр_План_Факт!V348</f>
        <v>0</v>
      </c>
      <c r="W348">
        <f>Реестр_План_Факт!W348</f>
        <v>0</v>
      </c>
      <c r="X348" t="str">
        <f>Реестр_План_Факт!X348</f>
        <v/>
      </c>
      <c r="Y348">
        <f>Реестр_План_Факт!Y348</f>
        <v>0</v>
      </c>
      <c r="Z348">
        <f>Реестр_План_Факт!Z348</f>
        <v>0</v>
      </c>
      <c r="AA348" t="str">
        <f>Реестр_План_Факт!AA348</f>
        <v/>
      </c>
      <c r="AB348">
        <f>Реестр_План_Факт!AB348</f>
        <v>0</v>
      </c>
      <c r="AC348">
        <f>Реестр_План_Факт!AC348</f>
        <v>0</v>
      </c>
      <c r="AD348" t="str">
        <f>Реестр_План_Факт!AD348</f>
        <v/>
      </c>
      <c r="AE348">
        <f>Реестр_План_Факт!AE348</f>
        <v>0</v>
      </c>
      <c r="AF348">
        <f>Реестр_План_Факт!AF348</f>
        <v>0</v>
      </c>
      <c r="AG348" t="str">
        <f>Реестр_План_Факт!AG348</f>
        <v/>
      </c>
      <c r="AH348">
        <f>Реестр_План_Факт!AH348</f>
        <v>0</v>
      </c>
      <c r="AI348">
        <f>Реестр_План_Факт!AI348</f>
        <v>0</v>
      </c>
      <c r="AJ348" t="str">
        <f>Реестр_План_Факт!AJ348</f>
        <v/>
      </c>
      <c r="AK348">
        <f>Реестр_План_Факт!AK348</f>
        <v>0</v>
      </c>
      <c r="AL348">
        <f>Реестр_План_Факт!AL348</f>
        <v>0</v>
      </c>
      <c r="AM348" t="str">
        <f>Реестр_План_Факт!AM348</f>
        <v/>
      </c>
      <c r="AN348">
        <f>Реестр_План_Факт!AN348</f>
        <v>0</v>
      </c>
      <c r="AO348">
        <f>Реестр_План_Факт!AO348</f>
        <v>0</v>
      </c>
      <c r="AP348" t="str">
        <f>Реестр_План_Факт!AP348</f>
        <v/>
      </c>
      <c r="AQ348">
        <f>Реестр_План_Факт!AQ348</f>
        <v>0</v>
      </c>
    </row>
    <row r="349" spans="1:43" x14ac:dyDescent="0.2">
      <c r="A349" s="201">
        <f>Реестр_План_Факт!A349</f>
        <v>46370</v>
      </c>
      <c r="B349">
        <f>Реестр_План_Факт!B349</f>
        <v>51</v>
      </c>
      <c r="C349">
        <f>Реестр_План_Факт!C349</f>
        <v>12</v>
      </c>
      <c r="D349">
        <f>Реестр_План_Факт!D349</f>
        <v>0</v>
      </c>
      <c r="E349">
        <f>Реестр_План_Факт!E349</f>
        <v>0</v>
      </c>
      <c r="F349" t="str">
        <f>Реестр_План_Факт!F349</f>
        <v/>
      </c>
      <c r="G349">
        <f>Реестр_План_Факт!G349</f>
        <v>0</v>
      </c>
      <c r="H349">
        <f>Реестр_План_Факт!H349</f>
        <v>0</v>
      </c>
      <c r="I349" t="str">
        <f>Реестр_План_Факт!I349</f>
        <v/>
      </c>
      <c r="J349">
        <f>Реестр_План_Факт!J349</f>
        <v>0</v>
      </c>
      <c r="K349">
        <f>Реестр_План_Факт!K349</f>
        <v>0</v>
      </c>
      <c r="L349" t="str">
        <f>Реестр_План_Факт!L349</f>
        <v/>
      </c>
      <c r="M349">
        <f>Реестр_План_Факт!M349</f>
        <v>0</v>
      </c>
      <c r="N349">
        <f>Реестр_План_Факт!N349</f>
        <v>0</v>
      </c>
      <c r="O349" t="str">
        <f>Реестр_План_Факт!O349</f>
        <v/>
      </c>
      <c r="P349">
        <f>Реестр_План_Факт!P349</f>
        <v>0</v>
      </c>
      <c r="Q349">
        <f>Реестр_План_Факт!Q349</f>
        <v>0</v>
      </c>
      <c r="R349" t="str">
        <f>Реестр_План_Факт!R349</f>
        <v/>
      </c>
      <c r="S349">
        <f>Реестр_План_Факт!S349</f>
        <v>0</v>
      </c>
      <c r="T349">
        <f>Реестр_План_Факт!T349</f>
        <v>0</v>
      </c>
      <c r="U349" t="str">
        <f>Реестр_План_Факт!U349</f>
        <v/>
      </c>
      <c r="V349">
        <f>Реестр_План_Факт!V349</f>
        <v>0</v>
      </c>
      <c r="W349">
        <f>Реестр_План_Факт!W349</f>
        <v>0</v>
      </c>
      <c r="X349" t="str">
        <f>Реестр_План_Факт!X349</f>
        <v/>
      </c>
      <c r="Y349">
        <f>Реестр_План_Факт!Y349</f>
        <v>0</v>
      </c>
      <c r="Z349">
        <f>Реестр_План_Факт!Z349</f>
        <v>0</v>
      </c>
      <c r="AA349" t="str">
        <f>Реестр_План_Факт!AA349</f>
        <v/>
      </c>
      <c r="AB349">
        <f>Реестр_План_Факт!AB349</f>
        <v>0</v>
      </c>
      <c r="AC349">
        <f>Реестр_План_Факт!AC349</f>
        <v>0</v>
      </c>
      <c r="AD349" t="str">
        <f>Реестр_План_Факт!AD349</f>
        <v/>
      </c>
      <c r="AE349">
        <f>Реестр_План_Факт!AE349</f>
        <v>0</v>
      </c>
      <c r="AF349">
        <f>Реестр_План_Факт!AF349</f>
        <v>0</v>
      </c>
      <c r="AG349" t="str">
        <f>Реестр_План_Факт!AG349</f>
        <v/>
      </c>
      <c r="AH349">
        <f>Реестр_План_Факт!AH349</f>
        <v>0</v>
      </c>
      <c r="AI349">
        <f>Реестр_План_Факт!AI349</f>
        <v>0</v>
      </c>
      <c r="AJ349" t="str">
        <f>Реестр_План_Факт!AJ349</f>
        <v/>
      </c>
      <c r="AK349">
        <f>Реестр_План_Факт!AK349</f>
        <v>0</v>
      </c>
      <c r="AL349">
        <f>Реестр_План_Факт!AL349</f>
        <v>0</v>
      </c>
      <c r="AM349" t="str">
        <f>Реестр_План_Факт!AM349</f>
        <v/>
      </c>
      <c r="AN349">
        <f>Реестр_План_Факт!AN349</f>
        <v>0</v>
      </c>
      <c r="AO349">
        <f>Реестр_План_Факт!AO349</f>
        <v>0</v>
      </c>
      <c r="AP349" t="str">
        <f>Реестр_План_Факт!AP349</f>
        <v/>
      </c>
      <c r="AQ349">
        <f>Реестр_План_Факт!AQ349</f>
        <v>0</v>
      </c>
    </row>
    <row r="350" spans="1:43" x14ac:dyDescent="0.2">
      <c r="A350" s="201">
        <f>Реестр_План_Факт!A350</f>
        <v>46371</v>
      </c>
      <c r="B350">
        <f>Реестр_План_Факт!B350</f>
        <v>51</v>
      </c>
      <c r="C350">
        <f>Реестр_План_Факт!C350</f>
        <v>12</v>
      </c>
      <c r="D350">
        <f>Реестр_План_Факт!D350</f>
        <v>0</v>
      </c>
      <c r="E350">
        <f>Реестр_План_Факт!E350</f>
        <v>0</v>
      </c>
      <c r="F350" t="str">
        <f>Реестр_План_Факт!F350</f>
        <v/>
      </c>
      <c r="G350">
        <f>Реестр_План_Факт!G350</f>
        <v>0</v>
      </c>
      <c r="H350">
        <f>Реестр_План_Факт!H350</f>
        <v>0</v>
      </c>
      <c r="I350" t="str">
        <f>Реестр_План_Факт!I350</f>
        <v/>
      </c>
      <c r="J350">
        <f>Реестр_План_Факт!J350</f>
        <v>0</v>
      </c>
      <c r="K350">
        <f>Реестр_План_Факт!K350</f>
        <v>0</v>
      </c>
      <c r="L350" t="str">
        <f>Реестр_План_Факт!L350</f>
        <v/>
      </c>
      <c r="M350">
        <f>Реестр_План_Факт!M350</f>
        <v>0</v>
      </c>
      <c r="N350">
        <f>Реестр_План_Факт!N350</f>
        <v>0</v>
      </c>
      <c r="O350" t="str">
        <f>Реестр_План_Факт!O350</f>
        <v/>
      </c>
      <c r="P350">
        <f>Реестр_План_Факт!P350</f>
        <v>0</v>
      </c>
      <c r="Q350">
        <f>Реестр_План_Факт!Q350</f>
        <v>0</v>
      </c>
      <c r="R350" t="str">
        <f>Реестр_План_Факт!R350</f>
        <v/>
      </c>
      <c r="S350">
        <f>Реестр_План_Факт!S350</f>
        <v>0</v>
      </c>
      <c r="T350">
        <f>Реестр_План_Факт!T350</f>
        <v>0</v>
      </c>
      <c r="U350" t="str">
        <f>Реестр_План_Факт!U350</f>
        <v/>
      </c>
      <c r="V350">
        <f>Реестр_План_Факт!V350</f>
        <v>0</v>
      </c>
      <c r="W350">
        <f>Реестр_План_Факт!W350</f>
        <v>0</v>
      </c>
      <c r="X350" t="str">
        <f>Реестр_План_Факт!X350</f>
        <v/>
      </c>
      <c r="Y350">
        <f>Реестр_План_Факт!Y350</f>
        <v>0</v>
      </c>
      <c r="Z350">
        <f>Реестр_План_Факт!Z350</f>
        <v>0</v>
      </c>
      <c r="AA350" t="str">
        <f>Реестр_План_Факт!AA350</f>
        <v/>
      </c>
      <c r="AB350">
        <f>Реестр_План_Факт!AB350</f>
        <v>0</v>
      </c>
      <c r="AC350">
        <f>Реестр_План_Факт!AC350</f>
        <v>0</v>
      </c>
      <c r="AD350" t="str">
        <f>Реестр_План_Факт!AD350</f>
        <v/>
      </c>
      <c r="AE350">
        <f>Реестр_План_Факт!AE350</f>
        <v>0</v>
      </c>
      <c r="AF350">
        <f>Реестр_План_Факт!AF350</f>
        <v>0</v>
      </c>
      <c r="AG350" t="str">
        <f>Реестр_План_Факт!AG350</f>
        <v/>
      </c>
      <c r="AH350">
        <f>Реестр_План_Факт!AH350</f>
        <v>0</v>
      </c>
      <c r="AI350">
        <f>Реестр_План_Факт!AI350</f>
        <v>0</v>
      </c>
      <c r="AJ350" t="str">
        <f>Реестр_План_Факт!AJ350</f>
        <v/>
      </c>
      <c r="AK350">
        <f>Реестр_План_Факт!AK350</f>
        <v>0</v>
      </c>
      <c r="AL350">
        <f>Реестр_План_Факт!AL350</f>
        <v>0</v>
      </c>
      <c r="AM350" t="str">
        <f>Реестр_План_Факт!AM350</f>
        <v/>
      </c>
      <c r="AN350">
        <f>Реестр_План_Факт!AN350</f>
        <v>0</v>
      </c>
      <c r="AO350">
        <f>Реестр_План_Факт!AO350</f>
        <v>0</v>
      </c>
      <c r="AP350" t="str">
        <f>Реестр_План_Факт!AP350</f>
        <v/>
      </c>
      <c r="AQ350">
        <f>Реестр_План_Факт!AQ350</f>
        <v>0</v>
      </c>
    </row>
    <row r="351" spans="1:43" x14ac:dyDescent="0.2">
      <c r="A351" s="201">
        <f>Реестр_План_Факт!A351</f>
        <v>46372</v>
      </c>
      <c r="B351">
        <f>Реестр_План_Факт!B351</f>
        <v>51</v>
      </c>
      <c r="C351">
        <f>Реестр_План_Факт!C351</f>
        <v>12</v>
      </c>
      <c r="D351">
        <f>Реестр_План_Факт!D351</f>
        <v>0</v>
      </c>
      <c r="E351">
        <f>Реестр_План_Факт!E351</f>
        <v>0</v>
      </c>
      <c r="F351" t="str">
        <f>Реестр_План_Факт!F351</f>
        <v/>
      </c>
      <c r="G351">
        <f>Реестр_План_Факт!G351</f>
        <v>0</v>
      </c>
      <c r="H351">
        <f>Реестр_План_Факт!H351</f>
        <v>0</v>
      </c>
      <c r="I351" t="str">
        <f>Реестр_План_Факт!I351</f>
        <v/>
      </c>
      <c r="J351">
        <f>Реестр_План_Факт!J351</f>
        <v>0</v>
      </c>
      <c r="K351">
        <f>Реестр_План_Факт!K351</f>
        <v>0</v>
      </c>
      <c r="L351" t="str">
        <f>Реестр_План_Факт!L351</f>
        <v/>
      </c>
      <c r="M351">
        <f>Реестр_План_Факт!M351</f>
        <v>0</v>
      </c>
      <c r="N351">
        <f>Реестр_План_Факт!N351</f>
        <v>0</v>
      </c>
      <c r="O351" t="str">
        <f>Реестр_План_Факт!O351</f>
        <v/>
      </c>
      <c r="P351">
        <f>Реестр_План_Факт!P351</f>
        <v>0</v>
      </c>
      <c r="Q351">
        <f>Реестр_План_Факт!Q351</f>
        <v>0</v>
      </c>
      <c r="R351" t="str">
        <f>Реестр_План_Факт!R351</f>
        <v/>
      </c>
      <c r="S351">
        <f>Реестр_План_Факт!S351</f>
        <v>0</v>
      </c>
      <c r="T351">
        <f>Реестр_План_Факт!T351</f>
        <v>0</v>
      </c>
      <c r="U351" t="str">
        <f>Реестр_План_Факт!U351</f>
        <v/>
      </c>
      <c r="V351">
        <f>Реестр_План_Факт!V351</f>
        <v>0</v>
      </c>
      <c r="W351">
        <f>Реестр_План_Факт!W351</f>
        <v>0</v>
      </c>
      <c r="X351" t="str">
        <f>Реестр_План_Факт!X351</f>
        <v/>
      </c>
      <c r="Y351">
        <f>Реестр_План_Факт!Y351</f>
        <v>0</v>
      </c>
      <c r="Z351">
        <f>Реестр_План_Факт!Z351</f>
        <v>0</v>
      </c>
      <c r="AA351" t="str">
        <f>Реестр_План_Факт!AA351</f>
        <v/>
      </c>
      <c r="AB351">
        <f>Реестр_План_Факт!AB351</f>
        <v>0</v>
      </c>
      <c r="AC351">
        <f>Реестр_План_Факт!AC351</f>
        <v>0</v>
      </c>
      <c r="AD351" t="str">
        <f>Реестр_План_Факт!AD351</f>
        <v/>
      </c>
      <c r="AE351">
        <f>Реестр_План_Факт!AE351</f>
        <v>0</v>
      </c>
      <c r="AF351">
        <f>Реестр_План_Факт!AF351</f>
        <v>0</v>
      </c>
      <c r="AG351" t="str">
        <f>Реестр_План_Факт!AG351</f>
        <v/>
      </c>
      <c r="AH351">
        <f>Реестр_План_Факт!AH351</f>
        <v>0</v>
      </c>
      <c r="AI351">
        <f>Реестр_План_Факт!AI351</f>
        <v>0</v>
      </c>
      <c r="AJ351" t="str">
        <f>Реестр_План_Факт!AJ351</f>
        <v/>
      </c>
      <c r="AK351">
        <f>Реестр_План_Факт!AK351</f>
        <v>0</v>
      </c>
      <c r="AL351">
        <f>Реестр_План_Факт!AL351</f>
        <v>0</v>
      </c>
      <c r="AM351" t="str">
        <f>Реестр_План_Факт!AM351</f>
        <v/>
      </c>
      <c r="AN351">
        <f>Реестр_План_Факт!AN351</f>
        <v>0</v>
      </c>
      <c r="AO351">
        <f>Реестр_План_Факт!AO351</f>
        <v>0</v>
      </c>
      <c r="AP351" t="str">
        <f>Реестр_План_Факт!AP351</f>
        <v/>
      </c>
      <c r="AQ351">
        <f>Реестр_План_Факт!AQ351</f>
        <v>0</v>
      </c>
    </row>
    <row r="352" spans="1:43" x14ac:dyDescent="0.2">
      <c r="A352" s="201">
        <f>Реестр_План_Факт!A352</f>
        <v>46373</v>
      </c>
      <c r="B352">
        <f>Реестр_План_Факт!B352</f>
        <v>51</v>
      </c>
      <c r="C352">
        <f>Реестр_План_Факт!C352</f>
        <v>12</v>
      </c>
      <c r="D352">
        <f>Реестр_План_Факт!D352</f>
        <v>0</v>
      </c>
      <c r="E352">
        <f>Реестр_План_Факт!E352</f>
        <v>0</v>
      </c>
      <c r="F352" t="str">
        <f>Реестр_План_Факт!F352</f>
        <v/>
      </c>
      <c r="G352">
        <f>Реестр_План_Факт!G352</f>
        <v>0</v>
      </c>
      <c r="H352">
        <f>Реестр_План_Факт!H352</f>
        <v>0</v>
      </c>
      <c r="I352" t="str">
        <f>Реестр_План_Факт!I352</f>
        <v/>
      </c>
      <c r="J352">
        <f>Реестр_План_Факт!J352</f>
        <v>0</v>
      </c>
      <c r="K352">
        <f>Реестр_План_Факт!K352</f>
        <v>0</v>
      </c>
      <c r="L352" t="str">
        <f>Реестр_План_Факт!L352</f>
        <v/>
      </c>
      <c r="M352">
        <f>Реестр_План_Факт!M352</f>
        <v>0</v>
      </c>
      <c r="N352">
        <f>Реестр_План_Факт!N352</f>
        <v>0</v>
      </c>
      <c r="O352" t="str">
        <f>Реестр_План_Факт!O352</f>
        <v/>
      </c>
      <c r="P352">
        <f>Реестр_План_Факт!P352</f>
        <v>0</v>
      </c>
      <c r="Q352">
        <f>Реестр_План_Факт!Q352</f>
        <v>0</v>
      </c>
      <c r="R352" t="str">
        <f>Реестр_План_Факт!R352</f>
        <v/>
      </c>
      <c r="S352">
        <f>Реестр_План_Факт!S352</f>
        <v>0</v>
      </c>
      <c r="T352">
        <f>Реестр_План_Факт!T352</f>
        <v>0</v>
      </c>
      <c r="U352" t="str">
        <f>Реестр_План_Факт!U352</f>
        <v/>
      </c>
      <c r="V352">
        <f>Реестр_План_Факт!V352</f>
        <v>0</v>
      </c>
      <c r="W352">
        <f>Реестр_План_Факт!W352</f>
        <v>0</v>
      </c>
      <c r="X352" t="str">
        <f>Реестр_План_Факт!X352</f>
        <v/>
      </c>
      <c r="Y352">
        <f>Реестр_План_Факт!Y352</f>
        <v>0</v>
      </c>
      <c r="Z352">
        <f>Реестр_План_Факт!Z352</f>
        <v>0</v>
      </c>
      <c r="AA352" t="str">
        <f>Реестр_План_Факт!AA352</f>
        <v/>
      </c>
      <c r="AB352">
        <f>Реестр_План_Факт!AB352</f>
        <v>0</v>
      </c>
      <c r="AC352">
        <f>Реестр_План_Факт!AC352</f>
        <v>0</v>
      </c>
      <c r="AD352" t="str">
        <f>Реестр_План_Факт!AD352</f>
        <v/>
      </c>
      <c r="AE352">
        <f>Реестр_План_Факт!AE352</f>
        <v>0</v>
      </c>
      <c r="AF352">
        <f>Реестр_План_Факт!AF352</f>
        <v>0</v>
      </c>
      <c r="AG352" t="str">
        <f>Реестр_План_Факт!AG352</f>
        <v/>
      </c>
      <c r="AH352">
        <f>Реестр_План_Факт!AH352</f>
        <v>0</v>
      </c>
      <c r="AI352">
        <f>Реестр_План_Факт!AI352</f>
        <v>0</v>
      </c>
      <c r="AJ352" t="str">
        <f>Реестр_План_Факт!AJ352</f>
        <v/>
      </c>
      <c r="AK352">
        <f>Реестр_План_Факт!AK352</f>
        <v>0</v>
      </c>
      <c r="AL352">
        <f>Реестр_План_Факт!AL352</f>
        <v>0</v>
      </c>
      <c r="AM352" t="str">
        <f>Реестр_План_Факт!AM352</f>
        <v/>
      </c>
      <c r="AN352">
        <f>Реестр_План_Факт!AN352</f>
        <v>0</v>
      </c>
      <c r="AO352">
        <f>Реестр_План_Факт!AO352</f>
        <v>0</v>
      </c>
      <c r="AP352" t="str">
        <f>Реестр_План_Факт!AP352</f>
        <v/>
      </c>
      <c r="AQ352">
        <f>Реестр_План_Факт!AQ352</f>
        <v>0</v>
      </c>
    </row>
    <row r="353" spans="1:43" x14ac:dyDescent="0.2">
      <c r="A353" s="201">
        <f>Реестр_План_Факт!A353</f>
        <v>46374</v>
      </c>
      <c r="B353">
        <f>Реестр_План_Факт!B353</f>
        <v>51</v>
      </c>
      <c r="C353">
        <f>Реестр_План_Факт!C353</f>
        <v>12</v>
      </c>
      <c r="D353">
        <f>Реестр_План_Факт!D353</f>
        <v>0</v>
      </c>
      <c r="E353">
        <f>Реестр_План_Факт!E353</f>
        <v>0</v>
      </c>
      <c r="F353" t="str">
        <f>Реестр_План_Факт!F353</f>
        <v/>
      </c>
      <c r="G353">
        <f>Реестр_План_Факт!G353</f>
        <v>0</v>
      </c>
      <c r="H353">
        <f>Реестр_План_Факт!H353</f>
        <v>0</v>
      </c>
      <c r="I353" t="str">
        <f>Реестр_План_Факт!I353</f>
        <v/>
      </c>
      <c r="J353">
        <f>Реестр_План_Факт!J353</f>
        <v>0</v>
      </c>
      <c r="K353">
        <f>Реестр_План_Факт!K353</f>
        <v>0</v>
      </c>
      <c r="L353" t="str">
        <f>Реестр_План_Факт!L353</f>
        <v/>
      </c>
      <c r="M353">
        <f>Реестр_План_Факт!M353</f>
        <v>0</v>
      </c>
      <c r="N353">
        <f>Реестр_План_Факт!N353</f>
        <v>0</v>
      </c>
      <c r="O353" t="str">
        <f>Реестр_План_Факт!O353</f>
        <v/>
      </c>
      <c r="P353">
        <f>Реестр_План_Факт!P353</f>
        <v>0</v>
      </c>
      <c r="Q353">
        <f>Реестр_План_Факт!Q353</f>
        <v>0</v>
      </c>
      <c r="R353" t="str">
        <f>Реестр_План_Факт!R353</f>
        <v/>
      </c>
      <c r="S353">
        <f>Реестр_План_Факт!S353</f>
        <v>0</v>
      </c>
      <c r="T353">
        <f>Реестр_План_Факт!T353</f>
        <v>0</v>
      </c>
      <c r="U353" t="str">
        <f>Реестр_План_Факт!U353</f>
        <v/>
      </c>
      <c r="V353">
        <f>Реестр_План_Факт!V353</f>
        <v>0</v>
      </c>
      <c r="W353">
        <f>Реестр_План_Факт!W353</f>
        <v>0</v>
      </c>
      <c r="X353" t="str">
        <f>Реестр_План_Факт!X353</f>
        <v/>
      </c>
      <c r="Y353">
        <f>Реестр_План_Факт!Y353</f>
        <v>0</v>
      </c>
      <c r="Z353">
        <f>Реестр_План_Факт!Z353</f>
        <v>0</v>
      </c>
      <c r="AA353" t="str">
        <f>Реестр_План_Факт!AA353</f>
        <v/>
      </c>
      <c r="AB353">
        <f>Реестр_План_Факт!AB353</f>
        <v>0</v>
      </c>
      <c r="AC353">
        <f>Реестр_План_Факт!AC353</f>
        <v>0</v>
      </c>
      <c r="AD353" t="str">
        <f>Реестр_План_Факт!AD353</f>
        <v/>
      </c>
      <c r="AE353">
        <f>Реестр_План_Факт!AE353</f>
        <v>0</v>
      </c>
      <c r="AF353">
        <f>Реестр_План_Факт!AF353</f>
        <v>0</v>
      </c>
      <c r="AG353" t="str">
        <f>Реестр_План_Факт!AG353</f>
        <v/>
      </c>
      <c r="AH353">
        <f>Реестр_План_Факт!AH353</f>
        <v>0</v>
      </c>
      <c r="AI353">
        <f>Реестр_План_Факт!AI353</f>
        <v>0</v>
      </c>
      <c r="AJ353" t="str">
        <f>Реестр_План_Факт!AJ353</f>
        <v/>
      </c>
      <c r="AK353">
        <f>Реестр_План_Факт!AK353</f>
        <v>0</v>
      </c>
      <c r="AL353">
        <f>Реестр_План_Факт!AL353</f>
        <v>0</v>
      </c>
      <c r="AM353" t="str">
        <f>Реестр_План_Факт!AM353</f>
        <v/>
      </c>
      <c r="AN353">
        <f>Реестр_План_Факт!AN353</f>
        <v>0</v>
      </c>
      <c r="AO353">
        <f>Реестр_План_Факт!AO353</f>
        <v>0</v>
      </c>
      <c r="AP353" t="str">
        <f>Реестр_План_Факт!AP353</f>
        <v/>
      </c>
      <c r="AQ353">
        <f>Реестр_План_Факт!AQ353</f>
        <v>0</v>
      </c>
    </row>
    <row r="354" spans="1:43" x14ac:dyDescent="0.2">
      <c r="A354" s="201">
        <f>Реестр_План_Факт!A354</f>
        <v>46375</v>
      </c>
      <c r="B354">
        <f>Реестр_План_Факт!B354</f>
        <v>51</v>
      </c>
      <c r="C354">
        <f>Реестр_План_Факт!C354</f>
        <v>12</v>
      </c>
      <c r="D354">
        <f>Реестр_План_Факт!D354</f>
        <v>0</v>
      </c>
      <c r="E354">
        <f>Реестр_План_Факт!E354</f>
        <v>0</v>
      </c>
      <c r="F354" t="str">
        <f>Реестр_План_Факт!F354</f>
        <v/>
      </c>
      <c r="G354">
        <f>Реестр_План_Факт!G354</f>
        <v>0</v>
      </c>
      <c r="H354">
        <f>Реестр_План_Факт!H354</f>
        <v>0</v>
      </c>
      <c r="I354" t="str">
        <f>Реестр_План_Факт!I354</f>
        <v/>
      </c>
      <c r="J354">
        <f>Реестр_План_Факт!J354</f>
        <v>0</v>
      </c>
      <c r="K354">
        <f>Реестр_План_Факт!K354</f>
        <v>0</v>
      </c>
      <c r="L354" t="str">
        <f>Реестр_План_Факт!L354</f>
        <v/>
      </c>
      <c r="M354">
        <f>Реестр_План_Факт!M354</f>
        <v>0</v>
      </c>
      <c r="N354">
        <f>Реестр_План_Факт!N354</f>
        <v>0</v>
      </c>
      <c r="O354" t="str">
        <f>Реестр_План_Факт!O354</f>
        <v/>
      </c>
      <c r="P354">
        <f>Реестр_План_Факт!P354</f>
        <v>0</v>
      </c>
      <c r="Q354">
        <f>Реестр_План_Факт!Q354</f>
        <v>0</v>
      </c>
      <c r="R354" t="str">
        <f>Реестр_План_Факт!R354</f>
        <v/>
      </c>
      <c r="S354">
        <f>Реестр_План_Факт!S354</f>
        <v>0</v>
      </c>
      <c r="T354">
        <f>Реестр_План_Факт!T354</f>
        <v>0</v>
      </c>
      <c r="U354" t="str">
        <f>Реестр_План_Факт!U354</f>
        <v/>
      </c>
      <c r="V354">
        <f>Реестр_План_Факт!V354</f>
        <v>0</v>
      </c>
      <c r="W354">
        <f>Реестр_План_Факт!W354</f>
        <v>0</v>
      </c>
      <c r="X354" t="str">
        <f>Реестр_План_Факт!X354</f>
        <v/>
      </c>
      <c r="Y354">
        <f>Реестр_План_Факт!Y354</f>
        <v>0</v>
      </c>
      <c r="Z354">
        <f>Реестр_План_Факт!Z354</f>
        <v>0</v>
      </c>
      <c r="AA354" t="str">
        <f>Реестр_План_Факт!AA354</f>
        <v/>
      </c>
      <c r="AB354">
        <f>Реестр_План_Факт!AB354</f>
        <v>0</v>
      </c>
      <c r="AC354">
        <f>Реестр_План_Факт!AC354</f>
        <v>0</v>
      </c>
      <c r="AD354" t="str">
        <f>Реестр_План_Факт!AD354</f>
        <v/>
      </c>
      <c r="AE354">
        <f>Реестр_План_Факт!AE354</f>
        <v>0</v>
      </c>
      <c r="AF354">
        <f>Реестр_План_Факт!AF354</f>
        <v>0</v>
      </c>
      <c r="AG354" t="str">
        <f>Реестр_План_Факт!AG354</f>
        <v/>
      </c>
      <c r="AH354">
        <f>Реестр_План_Факт!AH354</f>
        <v>0</v>
      </c>
      <c r="AI354">
        <f>Реестр_План_Факт!AI354</f>
        <v>0</v>
      </c>
      <c r="AJ354" t="str">
        <f>Реестр_План_Факт!AJ354</f>
        <v/>
      </c>
      <c r="AK354">
        <f>Реестр_План_Факт!AK354</f>
        <v>0</v>
      </c>
      <c r="AL354">
        <f>Реестр_План_Факт!AL354</f>
        <v>0</v>
      </c>
      <c r="AM354" t="str">
        <f>Реестр_План_Факт!AM354</f>
        <v/>
      </c>
      <c r="AN354">
        <f>Реестр_План_Факт!AN354</f>
        <v>0</v>
      </c>
      <c r="AO354">
        <f>Реестр_План_Факт!AO354</f>
        <v>0</v>
      </c>
      <c r="AP354" t="str">
        <f>Реестр_План_Факт!AP354</f>
        <v/>
      </c>
      <c r="AQ354">
        <f>Реестр_План_Факт!AQ354</f>
        <v>0</v>
      </c>
    </row>
    <row r="355" spans="1:43" x14ac:dyDescent="0.2">
      <c r="A355" s="201">
        <f>Реестр_План_Факт!A355</f>
        <v>46376</v>
      </c>
      <c r="B355">
        <f>Реестр_План_Факт!B355</f>
        <v>51</v>
      </c>
      <c r="C355">
        <f>Реестр_План_Факт!C355</f>
        <v>12</v>
      </c>
      <c r="D355">
        <f>Реестр_План_Факт!D355</f>
        <v>0</v>
      </c>
      <c r="E355">
        <f>Реестр_План_Факт!E355</f>
        <v>0</v>
      </c>
      <c r="F355" t="str">
        <f>Реестр_План_Факт!F355</f>
        <v/>
      </c>
      <c r="G355">
        <f>Реестр_План_Факт!G355</f>
        <v>0</v>
      </c>
      <c r="H355">
        <f>Реестр_План_Факт!H355</f>
        <v>0</v>
      </c>
      <c r="I355" t="str">
        <f>Реестр_План_Факт!I355</f>
        <v/>
      </c>
      <c r="J355">
        <f>Реестр_План_Факт!J355</f>
        <v>0</v>
      </c>
      <c r="K355">
        <f>Реестр_План_Факт!K355</f>
        <v>0</v>
      </c>
      <c r="L355" t="str">
        <f>Реестр_План_Факт!L355</f>
        <v/>
      </c>
      <c r="M355">
        <f>Реестр_План_Факт!M355</f>
        <v>0</v>
      </c>
      <c r="N355">
        <f>Реестр_План_Факт!N355</f>
        <v>0</v>
      </c>
      <c r="O355" t="str">
        <f>Реестр_План_Факт!O355</f>
        <v/>
      </c>
      <c r="P355">
        <f>Реестр_План_Факт!P355</f>
        <v>0</v>
      </c>
      <c r="Q355">
        <f>Реестр_План_Факт!Q355</f>
        <v>0</v>
      </c>
      <c r="R355" t="str">
        <f>Реестр_План_Факт!R355</f>
        <v/>
      </c>
      <c r="S355">
        <f>Реестр_План_Факт!S355</f>
        <v>0</v>
      </c>
      <c r="T355">
        <f>Реестр_План_Факт!T355</f>
        <v>0</v>
      </c>
      <c r="U355" t="str">
        <f>Реестр_План_Факт!U355</f>
        <v/>
      </c>
      <c r="V355">
        <f>Реестр_План_Факт!V355</f>
        <v>0</v>
      </c>
      <c r="W355">
        <f>Реестр_План_Факт!W355</f>
        <v>0</v>
      </c>
      <c r="X355" t="str">
        <f>Реестр_План_Факт!X355</f>
        <v/>
      </c>
      <c r="Y355">
        <f>Реестр_План_Факт!Y355</f>
        <v>0</v>
      </c>
      <c r="Z355">
        <f>Реестр_План_Факт!Z355</f>
        <v>0</v>
      </c>
      <c r="AA355" t="str">
        <f>Реестр_План_Факт!AA355</f>
        <v/>
      </c>
      <c r="AB355">
        <f>Реестр_План_Факт!AB355</f>
        <v>0</v>
      </c>
      <c r="AC355">
        <f>Реестр_План_Факт!AC355</f>
        <v>0</v>
      </c>
      <c r="AD355" t="str">
        <f>Реестр_План_Факт!AD355</f>
        <v/>
      </c>
      <c r="AE355">
        <f>Реестр_План_Факт!AE355</f>
        <v>0</v>
      </c>
      <c r="AF355">
        <f>Реестр_План_Факт!AF355</f>
        <v>0</v>
      </c>
      <c r="AG355" t="str">
        <f>Реестр_План_Факт!AG355</f>
        <v/>
      </c>
      <c r="AH355">
        <f>Реестр_План_Факт!AH355</f>
        <v>0</v>
      </c>
      <c r="AI355">
        <f>Реестр_План_Факт!AI355</f>
        <v>0</v>
      </c>
      <c r="AJ355" t="str">
        <f>Реестр_План_Факт!AJ355</f>
        <v/>
      </c>
      <c r="AK355">
        <f>Реестр_План_Факт!AK355</f>
        <v>0</v>
      </c>
      <c r="AL355">
        <f>Реестр_План_Факт!AL355</f>
        <v>0</v>
      </c>
      <c r="AM355" t="str">
        <f>Реестр_План_Факт!AM355</f>
        <v/>
      </c>
      <c r="AN355">
        <f>Реестр_План_Факт!AN355</f>
        <v>0</v>
      </c>
      <c r="AO355">
        <f>Реестр_План_Факт!AO355</f>
        <v>0</v>
      </c>
      <c r="AP355" t="str">
        <f>Реестр_План_Факт!AP355</f>
        <v/>
      </c>
      <c r="AQ355">
        <f>Реестр_План_Факт!AQ355</f>
        <v>0</v>
      </c>
    </row>
    <row r="356" spans="1:43" x14ac:dyDescent="0.2">
      <c r="A356" s="201">
        <f>Реестр_План_Факт!A356</f>
        <v>46377</v>
      </c>
      <c r="B356">
        <f>Реестр_План_Факт!B356</f>
        <v>52</v>
      </c>
      <c r="C356">
        <f>Реестр_План_Факт!C356</f>
        <v>12</v>
      </c>
      <c r="D356">
        <f>Реестр_План_Факт!D356</f>
        <v>0</v>
      </c>
      <c r="E356">
        <f>Реестр_План_Факт!E356</f>
        <v>0</v>
      </c>
      <c r="F356" t="str">
        <f>Реестр_План_Факт!F356</f>
        <v/>
      </c>
      <c r="G356">
        <f>Реестр_План_Факт!G356</f>
        <v>0</v>
      </c>
      <c r="H356">
        <f>Реестр_План_Факт!H356</f>
        <v>0</v>
      </c>
      <c r="I356" t="str">
        <f>Реестр_План_Факт!I356</f>
        <v/>
      </c>
      <c r="J356">
        <f>Реестр_План_Факт!J356</f>
        <v>0</v>
      </c>
      <c r="K356">
        <f>Реестр_План_Факт!K356</f>
        <v>0</v>
      </c>
      <c r="L356" t="str">
        <f>Реестр_План_Факт!L356</f>
        <v/>
      </c>
      <c r="M356">
        <f>Реестр_План_Факт!M356</f>
        <v>0</v>
      </c>
      <c r="N356">
        <f>Реестр_План_Факт!N356</f>
        <v>0</v>
      </c>
      <c r="O356" t="str">
        <f>Реестр_План_Факт!O356</f>
        <v/>
      </c>
      <c r="P356">
        <f>Реестр_План_Факт!P356</f>
        <v>0</v>
      </c>
      <c r="Q356">
        <f>Реестр_План_Факт!Q356</f>
        <v>0</v>
      </c>
      <c r="R356" t="str">
        <f>Реестр_План_Факт!R356</f>
        <v/>
      </c>
      <c r="S356">
        <f>Реестр_План_Факт!S356</f>
        <v>0</v>
      </c>
      <c r="T356">
        <f>Реестр_План_Факт!T356</f>
        <v>0</v>
      </c>
      <c r="U356" t="str">
        <f>Реестр_План_Факт!U356</f>
        <v/>
      </c>
      <c r="V356">
        <f>Реестр_План_Факт!V356</f>
        <v>0</v>
      </c>
      <c r="W356">
        <f>Реестр_План_Факт!W356</f>
        <v>0</v>
      </c>
      <c r="X356" t="str">
        <f>Реестр_План_Факт!X356</f>
        <v/>
      </c>
      <c r="Y356">
        <f>Реестр_План_Факт!Y356</f>
        <v>0</v>
      </c>
      <c r="Z356">
        <f>Реестр_План_Факт!Z356</f>
        <v>0</v>
      </c>
      <c r="AA356" t="str">
        <f>Реестр_План_Факт!AA356</f>
        <v/>
      </c>
      <c r="AB356">
        <f>Реестр_План_Факт!AB356</f>
        <v>0</v>
      </c>
      <c r="AC356">
        <f>Реестр_План_Факт!AC356</f>
        <v>0</v>
      </c>
      <c r="AD356" t="str">
        <f>Реестр_План_Факт!AD356</f>
        <v/>
      </c>
      <c r="AE356">
        <f>Реестр_План_Факт!AE356</f>
        <v>0</v>
      </c>
      <c r="AF356">
        <f>Реестр_План_Факт!AF356</f>
        <v>0</v>
      </c>
      <c r="AG356" t="str">
        <f>Реестр_План_Факт!AG356</f>
        <v/>
      </c>
      <c r="AH356">
        <f>Реестр_План_Факт!AH356</f>
        <v>0</v>
      </c>
      <c r="AI356">
        <f>Реестр_План_Факт!AI356</f>
        <v>0</v>
      </c>
      <c r="AJ356" t="str">
        <f>Реестр_План_Факт!AJ356</f>
        <v/>
      </c>
      <c r="AK356">
        <f>Реестр_План_Факт!AK356</f>
        <v>0</v>
      </c>
      <c r="AL356">
        <f>Реестр_План_Факт!AL356</f>
        <v>0</v>
      </c>
      <c r="AM356" t="str">
        <f>Реестр_План_Факт!AM356</f>
        <v/>
      </c>
      <c r="AN356">
        <f>Реестр_План_Факт!AN356</f>
        <v>0</v>
      </c>
      <c r="AO356">
        <f>Реестр_План_Факт!AO356</f>
        <v>0</v>
      </c>
      <c r="AP356" t="str">
        <f>Реестр_План_Факт!AP356</f>
        <v/>
      </c>
      <c r="AQ356">
        <f>Реестр_План_Факт!AQ356</f>
        <v>0</v>
      </c>
    </row>
    <row r="357" spans="1:43" x14ac:dyDescent="0.2">
      <c r="A357" s="201">
        <f>Реестр_План_Факт!A357</f>
        <v>46378</v>
      </c>
      <c r="B357">
        <f>Реестр_План_Факт!B357</f>
        <v>52</v>
      </c>
      <c r="C357">
        <f>Реестр_План_Факт!C357</f>
        <v>12</v>
      </c>
      <c r="D357">
        <f>Реестр_План_Факт!D357</f>
        <v>0</v>
      </c>
      <c r="E357">
        <f>Реестр_План_Факт!E357</f>
        <v>0</v>
      </c>
      <c r="F357" t="str">
        <f>Реестр_План_Факт!F357</f>
        <v/>
      </c>
      <c r="G357">
        <f>Реестр_План_Факт!G357</f>
        <v>0</v>
      </c>
      <c r="H357">
        <f>Реестр_План_Факт!H357</f>
        <v>0</v>
      </c>
      <c r="I357" t="str">
        <f>Реестр_План_Факт!I357</f>
        <v/>
      </c>
      <c r="J357">
        <f>Реестр_План_Факт!J357</f>
        <v>0</v>
      </c>
      <c r="K357">
        <f>Реестр_План_Факт!K357</f>
        <v>0</v>
      </c>
      <c r="L357" t="str">
        <f>Реестр_План_Факт!L357</f>
        <v/>
      </c>
      <c r="M357">
        <f>Реестр_План_Факт!M357</f>
        <v>0</v>
      </c>
      <c r="N357">
        <f>Реестр_План_Факт!N357</f>
        <v>0</v>
      </c>
      <c r="O357" t="str">
        <f>Реестр_План_Факт!O357</f>
        <v/>
      </c>
      <c r="P357">
        <f>Реестр_План_Факт!P357</f>
        <v>0</v>
      </c>
      <c r="Q357">
        <f>Реестр_План_Факт!Q357</f>
        <v>0</v>
      </c>
      <c r="R357" t="str">
        <f>Реестр_План_Факт!R357</f>
        <v/>
      </c>
      <c r="S357">
        <f>Реестр_План_Факт!S357</f>
        <v>0</v>
      </c>
      <c r="T357">
        <f>Реестр_План_Факт!T357</f>
        <v>0</v>
      </c>
      <c r="U357" t="str">
        <f>Реестр_План_Факт!U357</f>
        <v/>
      </c>
      <c r="V357">
        <f>Реестр_План_Факт!V357</f>
        <v>0</v>
      </c>
      <c r="W357">
        <f>Реестр_План_Факт!W357</f>
        <v>0</v>
      </c>
      <c r="X357" t="str">
        <f>Реестр_План_Факт!X357</f>
        <v/>
      </c>
      <c r="Y357">
        <f>Реестр_План_Факт!Y357</f>
        <v>0</v>
      </c>
      <c r="Z357">
        <f>Реестр_План_Факт!Z357</f>
        <v>0</v>
      </c>
      <c r="AA357" t="str">
        <f>Реестр_План_Факт!AA357</f>
        <v/>
      </c>
      <c r="AB357">
        <f>Реестр_План_Факт!AB357</f>
        <v>0</v>
      </c>
      <c r="AC357">
        <f>Реестр_План_Факт!AC357</f>
        <v>0</v>
      </c>
      <c r="AD357" t="str">
        <f>Реестр_План_Факт!AD357</f>
        <v/>
      </c>
      <c r="AE357">
        <f>Реестр_План_Факт!AE357</f>
        <v>0</v>
      </c>
      <c r="AF357">
        <f>Реестр_План_Факт!AF357</f>
        <v>0</v>
      </c>
      <c r="AG357" t="str">
        <f>Реестр_План_Факт!AG357</f>
        <v/>
      </c>
      <c r="AH357">
        <f>Реестр_План_Факт!AH357</f>
        <v>0</v>
      </c>
      <c r="AI357">
        <f>Реестр_План_Факт!AI357</f>
        <v>0</v>
      </c>
      <c r="AJ357" t="str">
        <f>Реестр_План_Факт!AJ357</f>
        <v/>
      </c>
      <c r="AK357">
        <f>Реестр_План_Факт!AK357</f>
        <v>0</v>
      </c>
      <c r="AL357">
        <f>Реестр_План_Факт!AL357</f>
        <v>0</v>
      </c>
      <c r="AM357" t="str">
        <f>Реестр_План_Факт!AM357</f>
        <v/>
      </c>
      <c r="AN357">
        <f>Реестр_План_Факт!AN357</f>
        <v>0</v>
      </c>
      <c r="AO357">
        <f>Реестр_План_Факт!AO357</f>
        <v>0</v>
      </c>
      <c r="AP357" t="str">
        <f>Реестр_План_Факт!AP357</f>
        <v/>
      </c>
      <c r="AQ357">
        <f>Реестр_План_Факт!AQ357</f>
        <v>0</v>
      </c>
    </row>
    <row r="358" spans="1:43" x14ac:dyDescent="0.2">
      <c r="A358" s="201">
        <f>Реестр_План_Факт!A358</f>
        <v>46379</v>
      </c>
      <c r="B358">
        <f>Реестр_План_Факт!B358</f>
        <v>52</v>
      </c>
      <c r="C358">
        <f>Реестр_План_Факт!C358</f>
        <v>12</v>
      </c>
      <c r="D358">
        <f>Реестр_План_Факт!D358</f>
        <v>0</v>
      </c>
      <c r="E358">
        <f>Реестр_План_Факт!E358</f>
        <v>0</v>
      </c>
      <c r="F358" t="str">
        <f>Реестр_План_Факт!F358</f>
        <v/>
      </c>
      <c r="G358">
        <f>Реестр_План_Факт!G358</f>
        <v>0</v>
      </c>
      <c r="H358">
        <f>Реестр_План_Факт!H358</f>
        <v>0</v>
      </c>
      <c r="I358" t="str">
        <f>Реестр_План_Факт!I358</f>
        <v/>
      </c>
      <c r="J358">
        <f>Реестр_План_Факт!J358</f>
        <v>0</v>
      </c>
      <c r="K358">
        <f>Реестр_План_Факт!K358</f>
        <v>0</v>
      </c>
      <c r="L358" t="str">
        <f>Реестр_План_Факт!L358</f>
        <v/>
      </c>
      <c r="M358">
        <f>Реестр_План_Факт!M358</f>
        <v>0</v>
      </c>
      <c r="N358">
        <f>Реестр_План_Факт!N358</f>
        <v>0</v>
      </c>
      <c r="O358" t="str">
        <f>Реестр_План_Факт!O358</f>
        <v/>
      </c>
      <c r="P358">
        <f>Реестр_План_Факт!P358</f>
        <v>0</v>
      </c>
      <c r="Q358">
        <f>Реестр_План_Факт!Q358</f>
        <v>0</v>
      </c>
      <c r="R358" t="str">
        <f>Реестр_План_Факт!R358</f>
        <v/>
      </c>
      <c r="S358">
        <f>Реестр_План_Факт!S358</f>
        <v>0</v>
      </c>
      <c r="T358">
        <f>Реестр_План_Факт!T358</f>
        <v>0</v>
      </c>
      <c r="U358" t="str">
        <f>Реестр_План_Факт!U358</f>
        <v/>
      </c>
      <c r="V358">
        <f>Реестр_План_Факт!V358</f>
        <v>0</v>
      </c>
      <c r="W358">
        <f>Реестр_План_Факт!W358</f>
        <v>0</v>
      </c>
      <c r="X358" t="str">
        <f>Реестр_План_Факт!X358</f>
        <v/>
      </c>
      <c r="Y358">
        <f>Реестр_План_Факт!Y358</f>
        <v>0</v>
      </c>
      <c r="Z358">
        <f>Реестр_План_Факт!Z358</f>
        <v>0</v>
      </c>
      <c r="AA358" t="str">
        <f>Реестр_План_Факт!AA358</f>
        <v/>
      </c>
      <c r="AB358">
        <f>Реестр_План_Факт!AB358</f>
        <v>0</v>
      </c>
      <c r="AC358">
        <f>Реестр_План_Факт!AC358</f>
        <v>0</v>
      </c>
      <c r="AD358" t="str">
        <f>Реестр_План_Факт!AD358</f>
        <v/>
      </c>
      <c r="AE358">
        <f>Реестр_План_Факт!AE358</f>
        <v>0</v>
      </c>
      <c r="AF358">
        <f>Реестр_План_Факт!AF358</f>
        <v>0</v>
      </c>
      <c r="AG358" t="str">
        <f>Реестр_План_Факт!AG358</f>
        <v/>
      </c>
      <c r="AH358">
        <f>Реестр_План_Факт!AH358</f>
        <v>0</v>
      </c>
      <c r="AI358">
        <f>Реестр_План_Факт!AI358</f>
        <v>0</v>
      </c>
      <c r="AJ358" t="str">
        <f>Реестр_План_Факт!AJ358</f>
        <v/>
      </c>
      <c r="AK358">
        <f>Реестр_План_Факт!AK358</f>
        <v>0</v>
      </c>
      <c r="AL358">
        <f>Реестр_План_Факт!AL358</f>
        <v>0</v>
      </c>
      <c r="AM358" t="str">
        <f>Реестр_План_Факт!AM358</f>
        <v/>
      </c>
      <c r="AN358">
        <f>Реестр_План_Факт!AN358</f>
        <v>0</v>
      </c>
      <c r="AO358">
        <f>Реестр_План_Факт!AO358</f>
        <v>0</v>
      </c>
      <c r="AP358" t="str">
        <f>Реестр_План_Факт!AP358</f>
        <v/>
      </c>
      <c r="AQ358">
        <f>Реестр_План_Факт!AQ358</f>
        <v>0</v>
      </c>
    </row>
    <row r="359" spans="1:43" x14ac:dyDescent="0.2">
      <c r="A359" s="201">
        <f>Реестр_План_Факт!A359</f>
        <v>46380</v>
      </c>
      <c r="B359">
        <f>Реестр_План_Факт!B359</f>
        <v>52</v>
      </c>
      <c r="C359">
        <f>Реестр_План_Факт!C359</f>
        <v>12</v>
      </c>
      <c r="D359">
        <f>Реестр_План_Факт!D359</f>
        <v>0</v>
      </c>
      <c r="E359">
        <f>Реестр_План_Факт!E359</f>
        <v>0</v>
      </c>
      <c r="F359" t="str">
        <f>Реестр_План_Факт!F359</f>
        <v/>
      </c>
      <c r="G359">
        <f>Реестр_План_Факт!G359</f>
        <v>0</v>
      </c>
      <c r="H359">
        <f>Реестр_План_Факт!H359</f>
        <v>0</v>
      </c>
      <c r="I359" t="str">
        <f>Реестр_План_Факт!I359</f>
        <v/>
      </c>
      <c r="J359">
        <f>Реестр_План_Факт!J359</f>
        <v>0</v>
      </c>
      <c r="K359">
        <f>Реестр_План_Факт!K359</f>
        <v>0</v>
      </c>
      <c r="L359" t="str">
        <f>Реестр_План_Факт!L359</f>
        <v/>
      </c>
      <c r="M359">
        <f>Реестр_План_Факт!M359</f>
        <v>0</v>
      </c>
      <c r="N359">
        <f>Реестр_План_Факт!N359</f>
        <v>0</v>
      </c>
      <c r="O359" t="str">
        <f>Реестр_План_Факт!O359</f>
        <v/>
      </c>
      <c r="P359">
        <f>Реестр_План_Факт!P359</f>
        <v>0</v>
      </c>
      <c r="Q359">
        <f>Реестр_План_Факт!Q359</f>
        <v>0</v>
      </c>
      <c r="R359" t="str">
        <f>Реестр_План_Факт!R359</f>
        <v/>
      </c>
      <c r="S359">
        <f>Реестр_План_Факт!S359</f>
        <v>0</v>
      </c>
      <c r="T359">
        <f>Реестр_План_Факт!T359</f>
        <v>0</v>
      </c>
      <c r="U359" t="str">
        <f>Реестр_План_Факт!U359</f>
        <v/>
      </c>
      <c r="V359">
        <f>Реестр_План_Факт!V359</f>
        <v>0</v>
      </c>
      <c r="W359">
        <f>Реестр_План_Факт!W359</f>
        <v>0</v>
      </c>
      <c r="X359" t="str">
        <f>Реестр_План_Факт!X359</f>
        <v/>
      </c>
      <c r="Y359">
        <f>Реестр_План_Факт!Y359</f>
        <v>0</v>
      </c>
      <c r="Z359">
        <f>Реестр_План_Факт!Z359</f>
        <v>0</v>
      </c>
      <c r="AA359" t="str">
        <f>Реестр_План_Факт!AA359</f>
        <v/>
      </c>
      <c r="AB359">
        <f>Реестр_План_Факт!AB359</f>
        <v>0</v>
      </c>
      <c r="AC359">
        <f>Реестр_План_Факт!AC359</f>
        <v>0</v>
      </c>
      <c r="AD359" t="str">
        <f>Реестр_План_Факт!AD359</f>
        <v/>
      </c>
      <c r="AE359">
        <f>Реестр_План_Факт!AE359</f>
        <v>0</v>
      </c>
      <c r="AF359">
        <f>Реестр_План_Факт!AF359</f>
        <v>0</v>
      </c>
      <c r="AG359" t="str">
        <f>Реестр_План_Факт!AG359</f>
        <v/>
      </c>
      <c r="AH359">
        <f>Реестр_План_Факт!AH359</f>
        <v>0</v>
      </c>
      <c r="AI359">
        <f>Реестр_План_Факт!AI359</f>
        <v>0</v>
      </c>
      <c r="AJ359" t="str">
        <f>Реестр_План_Факт!AJ359</f>
        <v/>
      </c>
      <c r="AK359">
        <f>Реестр_План_Факт!AK359</f>
        <v>0</v>
      </c>
      <c r="AL359">
        <f>Реестр_План_Факт!AL359</f>
        <v>0</v>
      </c>
      <c r="AM359" t="str">
        <f>Реестр_План_Факт!AM359</f>
        <v/>
      </c>
      <c r="AN359">
        <f>Реестр_План_Факт!AN359</f>
        <v>0</v>
      </c>
      <c r="AO359">
        <f>Реестр_План_Факт!AO359</f>
        <v>0</v>
      </c>
      <c r="AP359" t="str">
        <f>Реестр_План_Факт!AP359</f>
        <v/>
      </c>
      <c r="AQ359">
        <f>Реестр_План_Факт!AQ359</f>
        <v>0</v>
      </c>
    </row>
    <row r="360" spans="1:43" x14ac:dyDescent="0.2">
      <c r="A360" s="201">
        <f>Реестр_План_Факт!A360</f>
        <v>46381</v>
      </c>
      <c r="B360">
        <f>Реестр_План_Факт!B360</f>
        <v>52</v>
      </c>
      <c r="C360">
        <f>Реестр_План_Факт!C360</f>
        <v>12</v>
      </c>
      <c r="D360">
        <f>Реестр_План_Факт!D360</f>
        <v>0</v>
      </c>
      <c r="E360">
        <f>Реестр_План_Факт!E360</f>
        <v>0</v>
      </c>
      <c r="F360" t="str">
        <f>Реестр_План_Факт!F360</f>
        <v/>
      </c>
      <c r="G360">
        <f>Реестр_План_Факт!G360</f>
        <v>0</v>
      </c>
      <c r="H360">
        <f>Реестр_План_Факт!H360</f>
        <v>0</v>
      </c>
      <c r="I360" t="str">
        <f>Реестр_План_Факт!I360</f>
        <v/>
      </c>
      <c r="J360">
        <f>Реестр_План_Факт!J360</f>
        <v>0</v>
      </c>
      <c r="K360">
        <f>Реестр_План_Факт!K360</f>
        <v>0</v>
      </c>
      <c r="L360" t="str">
        <f>Реестр_План_Факт!L360</f>
        <v/>
      </c>
      <c r="M360">
        <f>Реестр_План_Факт!M360</f>
        <v>0</v>
      </c>
      <c r="N360">
        <f>Реестр_План_Факт!N360</f>
        <v>0</v>
      </c>
      <c r="O360" t="str">
        <f>Реестр_План_Факт!O360</f>
        <v/>
      </c>
      <c r="P360">
        <f>Реестр_План_Факт!P360</f>
        <v>0</v>
      </c>
      <c r="Q360">
        <f>Реестр_План_Факт!Q360</f>
        <v>0</v>
      </c>
      <c r="R360" t="str">
        <f>Реестр_План_Факт!R360</f>
        <v/>
      </c>
      <c r="S360">
        <f>Реестр_План_Факт!S360</f>
        <v>0</v>
      </c>
      <c r="T360">
        <f>Реестр_План_Факт!T360</f>
        <v>0</v>
      </c>
      <c r="U360" t="str">
        <f>Реестр_План_Факт!U360</f>
        <v/>
      </c>
      <c r="V360">
        <f>Реестр_План_Факт!V360</f>
        <v>0</v>
      </c>
      <c r="W360">
        <f>Реестр_План_Факт!W360</f>
        <v>0</v>
      </c>
      <c r="X360" t="str">
        <f>Реестр_План_Факт!X360</f>
        <v/>
      </c>
      <c r="Y360">
        <f>Реестр_План_Факт!Y360</f>
        <v>0</v>
      </c>
      <c r="Z360">
        <f>Реестр_План_Факт!Z360</f>
        <v>0</v>
      </c>
      <c r="AA360" t="str">
        <f>Реестр_План_Факт!AA360</f>
        <v/>
      </c>
      <c r="AB360">
        <f>Реестр_План_Факт!AB360</f>
        <v>0</v>
      </c>
      <c r="AC360">
        <f>Реестр_План_Факт!AC360</f>
        <v>0</v>
      </c>
      <c r="AD360" t="str">
        <f>Реестр_План_Факт!AD360</f>
        <v/>
      </c>
      <c r="AE360">
        <f>Реестр_План_Факт!AE360</f>
        <v>0</v>
      </c>
      <c r="AF360">
        <f>Реестр_План_Факт!AF360</f>
        <v>0</v>
      </c>
      <c r="AG360" t="str">
        <f>Реестр_План_Факт!AG360</f>
        <v/>
      </c>
      <c r="AH360">
        <f>Реестр_План_Факт!AH360</f>
        <v>0</v>
      </c>
      <c r="AI360">
        <f>Реестр_План_Факт!AI360</f>
        <v>0</v>
      </c>
      <c r="AJ360" t="str">
        <f>Реестр_План_Факт!AJ360</f>
        <v/>
      </c>
      <c r="AK360">
        <f>Реестр_План_Факт!AK360</f>
        <v>0</v>
      </c>
      <c r="AL360">
        <f>Реестр_План_Факт!AL360</f>
        <v>0</v>
      </c>
      <c r="AM360" t="str">
        <f>Реестр_План_Факт!AM360</f>
        <v/>
      </c>
      <c r="AN360">
        <f>Реестр_План_Факт!AN360</f>
        <v>0</v>
      </c>
      <c r="AO360">
        <f>Реестр_План_Факт!AO360</f>
        <v>0</v>
      </c>
      <c r="AP360" t="str">
        <f>Реестр_План_Факт!AP360</f>
        <v/>
      </c>
      <c r="AQ360">
        <f>Реестр_План_Факт!AQ360</f>
        <v>0</v>
      </c>
    </row>
    <row r="361" spans="1:43" x14ac:dyDescent="0.2">
      <c r="A361" s="201">
        <f>Реестр_План_Факт!A361</f>
        <v>46382</v>
      </c>
      <c r="B361">
        <f>Реестр_План_Факт!B361</f>
        <v>52</v>
      </c>
      <c r="C361">
        <f>Реестр_План_Факт!C361</f>
        <v>12</v>
      </c>
      <c r="D361">
        <f>Реестр_План_Факт!D361</f>
        <v>0</v>
      </c>
      <c r="E361">
        <f>Реестр_План_Факт!E361</f>
        <v>0</v>
      </c>
      <c r="F361" t="str">
        <f>Реестр_План_Факт!F361</f>
        <v/>
      </c>
      <c r="G361">
        <f>Реестр_План_Факт!G361</f>
        <v>0</v>
      </c>
      <c r="H361">
        <f>Реестр_План_Факт!H361</f>
        <v>0</v>
      </c>
      <c r="I361" t="str">
        <f>Реестр_План_Факт!I361</f>
        <v/>
      </c>
      <c r="J361">
        <f>Реестр_План_Факт!J361</f>
        <v>0</v>
      </c>
      <c r="K361">
        <f>Реестр_План_Факт!K361</f>
        <v>0</v>
      </c>
      <c r="L361" t="str">
        <f>Реестр_План_Факт!L361</f>
        <v/>
      </c>
      <c r="M361">
        <f>Реестр_План_Факт!M361</f>
        <v>0</v>
      </c>
      <c r="N361">
        <f>Реестр_План_Факт!N361</f>
        <v>0</v>
      </c>
      <c r="O361" t="str">
        <f>Реестр_План_Факт!O361</f>
        <v/>
      </c>
      <c r="P361">
        <f>Реестр_План_Факт!P361</f>
        <v>0</v>
      </c>
      <c r="Q361">
        <f>Реестр_План_Факт!Q361</f>
        <v>0</v>
      </c>
      <c r="R361" t="str">
        <f>Реестр_План_Факт!R361</f>
        <v/>
      </c>
      <c r="S361">
        <f>Реестр_План_Факт!S361</f>
        <v>0</v>
      </c>
      <c r="T361">
        <f>Реестр_План_Факт!T361</f>
        <v>0</v>
      </c>
      <c r="U361" t="str">
        <f>Реестр_План_Факт!U361</f>
        <v/>
      </c>
      <c r="V361">
        <f>Реестр_План_Факт!V361</f>
        <v>0</v>
      </c>
      <c r="W361">
        <f>Реестр_План_Факт!W361</f>
        <v>0</v>
      </c>
      <c r="X361" t="str">
        <f>Реестр_План_Факт!X361</f>
        <v/>
      </c>
      <c r="Y361">
        <f>Реестр_План_Факт!Y361</f>
        <v>0</v>
      </c>
      <c r="Z361">
        <f>Реестр_План_Факт!Z361</f>
        <v>0</v>
      </c>
      <c r="AA361" t="str">
        <f>Реестр_План_Факт!AA361</f>
        <v/>
      </c>
      <c r="AB361">
        <f>Реестр_План_Факт!AB361</f>
        <v>0</v>
      </c>
      <c r="AC361">
        <f>Реестр_План_Факт!AC361</f>
        <v>0</v>
      </c>
      <c r="AD361" t="str">
        <f>Реестр_План_Факт!AD361</f>
        <v/>
      </c>
      <c r="AE361">
        <f>Реестр_План_Факт!AE361</f>
        <v>0</v>
      </c>
      <c r="AF361">
        <f>Реестр_План_Факт!AF361</f>
        <v>0</v>
      </c>
      <c r="AG361" t="str">
        <f>Реестр_План_Факт!AG361</f>
        <v/>
      </c>
      <c r="AH361">
        <f>Реестр_План_Факт!AH361</f>
        <v>0</v>
      </c>
      <c r="AI361">
        <f>Реестр_План_Факт!AI361</f>
        <v>0</v>
      </c>
      <c r="AJ361" t="str">
        <f>Реестр_План_Факт!AJ361</f>
        <v/>
      </c>
      <c r="AK361">
        <f>Реестр_План_Факт!AK361</f>
        <v>0</v>
      </c>
      <c r="AL361">
        <f>Реестр_План_Факт!AL361</f>
        <v>0</v>
      </c>
      <c r="AM361" t="str">
        <f>Реестр_План_Факт!AM361</f>
        <v/>
      </c>
      <c r="AN361">
        <f>Реестр_План_Факт!AN361</f>
        <v>0</v>
      </c>
      <c r="AO361">
        <f>Реестр_План_Факт!AO361</f>
        <v>0</v>
      </c>
      <c r="AP361" t="str">
        <f>Реестр_План_Факт!AP361</f>
        <v/>
      </c>
      <c r="AQ361">
        <f>Реестр_План_Факт!AQ361</f>
        <v>0</v>
      </c>
    </row>
    <row r="362" spans="1:43" x14ac:dyDescent="0.2">
      <c r="A362" s="201">
        <f>Реестр_План_Факт!A362</f>
        <v>46383</v>
      </c>
      <c r="B362">
        <f>Реестр_План_Факт!B362</f>
        <v>52</v>
      </c>
      <c r="C362">
        <f>Реестр_План_Факт!C362</f>
        <v>12</v>
      </c>
      <c r="D362">
        <f>Реестр_План_Факт!D362</f>
        <v>0</v>
      </c>
      <c r="E362">
        <f>Реестр_План_Факт!E362</f>
        <v>0</v>
      </c>
      <c r="F362" t="str">
        <f>Реестр_План_Факт!F362</f>
        <v/>
      </c>
      <c r="G362">
        <f>Реестр_План_Факт!G362</f>
        <v>0</v>
      </c>
      <c r="H362">
        <f>Реестр_План_Факт!H362</f>
        <v>0</v>
      </c>
      <c r="I362" t="str">
        <f>Реестр_План_Факт!I362</f>
        <v/>
      </c>
      <c r="J362">
        <f>Реестр_План_Факт!J362</f>
        <v>0</v>
      </c>
      <c r="K362">
        <f>Реестр_План_Факт!K362</f>
        <v>0</v>
      </c>
      <c r="L362" t="str">
        <f>Реестр_План_Факт!L362</f>
        <v/>
      </c>
      <c r="M362">
        <f>Реестр_План_Факт!M362</f>
        <v>0</v>
      </c>
      <c r="N362">
        <f>Реестр_План_Факт!N362</f>
        <v>0</v>
      </c>
      <c r="O362" t="str">
        <f>Реестр_План_Факт!O362</f>
        <v/>
      </c>
      <c r="P362">
        <f>Реестр_План_Факт!P362</f>
        <v>0</v>
      </c>
      <c r="Q362">
        <f>Реестр_План_Факт!Q362</f>
        <v>0</v>
      </c>
      <c r="R362" t="str">
        <f>Реестр_План_Факт!R362</f>
        <v/>
      </c>
      <c r="S362">
        <f>Реестр_План_Факт!S362</f>
        <v>0</v>
      </c>
      <c r="T362">
        <f>Реестр_План_Факт!T362</f>
        <v>0</v>
      </c>
      <c r="U362" t="str">
        <f>Реестр_План_Факт!U362</f>
        <v/>
      </c>
      <c r="V362">
        <f>Реестр_План_Факт!V362</f>
        <v>0</v>
      </c>
      <c r="W362">
        <f>Реестр_План_Факт!W362</f>
        <v>0</v>
      </c>
      <c r="X362" t="str">
        <f>Реестр_План_Факт!X362</f>
        <v/>
      </c>
      <c r="Y362">
        <f>Реестр_План_Факт!Y362</f>
        <v>0</v>
      </c>
      <c r="Z362">
        <f>Реестр_План_Факт!Z362</f>
        <v>0</v>
      </c>
      <c r="AA362" t="str">
        <f>Реестр_План_Факт!AA362</f>
        <v/>
      </c>
      <c r="AB362">
        <f>Реестр_План_Факт!AB362</f>
        <v>0</v>
      </c>
      <c r="AC362">
        <f>Реестр_План_Факт!AC362</f>
        <v>0</v>
      </c>
      <c r="AD362" t="str">
        <f>Реестр_План_Факт!AD362</f>
        <v/>
      </c>
      <c r="AE362">
        <f>Реестр_План_Факт!AE362</f>
        <v>0</v>
      </c>
      <c r="AF362">
        <f>Реестр_План_Факт!AF362</f>
        <v>0</v>
      </c>
      <c r="AG362" t="str">
        <f>Реестр_План_Факт!AG362</f>
        <v/>
      </c>
      <c r="AH362">
        <f>Реестр_План_Факт!AH362</f>
        <v>0</v>
      </c>
      <c r="AI362">
        <f>Реестр_План_Факт!AI362</f>
        <v>0</v>
      </c>
      <c r="AJ362" t="str">
        <f>Реестр_План_Факт!AJ362</f>
        <v/>
      </c>
      <c r="AK362">
        <f>Реестр_План_Факт!AK362</f>
        <v>0</v>
      </c>
      <c r="AL362">
        <f>Реестр_План_Факт!AL362</f>
        <v>0</v>
      </c>
      <c r="AM362" t="str">
        <f>Реестр_План_Факт!AM362</f>
        <v/>
      </c>
      <c r="AN362">
        <f>Реестр_План_Факт!AN362</f>
        <v>0</v>
      </c>
      <c r="AO362">
        <f>Реестр_План_Факт!AO362</f>
        <v>0</v>
      </c>
      <c r="AP362" t="str">
        <f>Реестр_План_Факт!AP362</f>
        <v/>
      </c>
      <c r="AQ362">
        <f>Реестр_План_Факт!AQ362</f>
        <v>0</v>
      </c>
    </row>
    <row r="363" spans="1:43" x14ac:dyDescent="0.2">
      <c r="A363" s="201">
        <f>Реестр_План_Факт!A363</f>
        <v>46384</v>
      </c>
      <c r="B363">
        <f>Реестр_План_Факт!B363</f>
        <v>53</v>
      </c>
      <c r="C363">
        <f>Реестр_План_Факт!C363</f>
        <v>12</v>
      </c>
      <c r="D363">
        <f>Реестр_План_Факт!D363</f>
        <v>0</v>
      </c>
      <c r="E363">
        <f>Реестр_План_Факт!E363</f>
        <v>0</v>
      </c>
      <c r="F363" t="str">
        <f>Реестр_План_Факт!F363</f>
        <v/>
      </c>
      <c r="G363">
        <f>Реестр_План_Факт!G363</f>
        <v>0</v>
      </c>
      <c r="H363">
        <f>Реестр_План_Факт!H363</f>
        <v>0</v>
      </c>
      <c r="I363" t="str">
        <f>Реестр_План_Факт!I363</f>
        <v/>
      </c>
      <c r="J363">
        <f>Реестр_План_Факт!J363</f>
        <v>0</v>
      </c>
      <c r="K363">
        <f>Реестр_План_Факт!K363</f>
        <v>0</v>
      </c>
      <c r="L363" t="str">
        <f>Реестр_План_Факт!L363</f>
        <v/>
      </c>
      <c r="M363">
        <f>Реестр_План_Факт!M363</f>
        <v>0</v>
      </c>
      <c r="N363">
        <f>Реестр_План_Факт!N363</f>
        <v>0</v>
      </c>
      <c r="O363" t="str">
        <f>Реестр_План_Факт!O363</f>
        <v/>
      </c>
      <c r="P363">
        <f>Реестр_План_Факт!P363</f>
        <v>0</v>
      </c>
      <c r="Q363">
        <f>Реестр_План_Факт!Q363</f>
        <v>0</v>
      </c>
      <c r="R363" t="str">
        <f>Реестр_План_Факт!R363</f>
        <v/>
      </c>
      <c r="S363">
        <f>Реестр_План_Факт!S363</f>
        <v>0</v>
      </c>
      <c r="T363">
        <f>Реестр_План_Факт!T363</f>
        <v>0</v>
      </c>
      <c r="U363" t="str">
        <f>Реестр_План_Факт!U363</f>
        <v/>
      </c>
      <c r="V363">
        <f>Реестр_План_Факт!V363</f>
        <v>0</v>
      </c>
      <c r="W363">
        <f>Реестр_План_Факт!W363</f>
        <v>0</v>
      </c>
      <c r="X363" t="str">
        <f>Реестр_План_Факт!X363</f>
        <v/>
      </c>
      <c r="Y363">
        <f>Реестр_План_Факт!Y363</f>
        <v>0</v>
      </c>
      <c r="Z363">
        <f>Реестр_План_Факт!Z363</f>
        <v>0</v>
      </c>
      <c r="AA363" t="str">
        <f>Реестр_План_Факт!AA363</f>
        <v/>
      </c>
      <c r="AB363">
        <f>Реестр_План_Факт!AB363</f>
        <v>0</v>
      </c>
      <c r="AC363">
        <f>Реестр_План_Факт!AC363</f>
        <v>0</v>
      </c>
      <c r="AD363" t="str">
        <f>Реестр_План_Факт!AD363</f>
        <v/>
      </c>
      <c r="AE363">
        <f>Реестр_План_Факт!AE363</f>
        <v>0</v>
      </c>
      <c r="AF363">
        <f>Реестр_План_Факт!AF363</f>
        <v>0</v>
      </c>
      <c r="AG363" t="str">
        <f>Реестр_План_Факт!AG363</f>
        <v/>
      </c>
      <c r="AH363">
        <f>Реестр_План_Факт!AH363</f>
        <v>0</v>
      </c>
      <c r="AI363">
        <f>Реестр_План_Факт!AI363</f>
        <v>0</v>
      </c>
      <c r="AJ363" t="str">
        <f>Реестр_План_Факт!AJ363</f>
        <v/>
      </c>
      <c r="AK363">
        <f>Реестр_План_Факт!AK363</f>
        <v>0</v>
      </c>
      <c r="AL363">
        <f>Реестр_План_Факт!AL363</f>
        <v>0</v>
      </c>
      <c r="AM363" t="str">
        <f>Реестр_План_Факт!AM363</f>
        <v/>
      </c>
      <c r="AN363">
        <f>Реестр_План_Факт!AN363</f>
        <v>0</v>
      </c>
      <c r="AO363">
        <f>Реестр_План_Факт!AO363</f>
        <v>0</v>
      </c>
      <c r="AP363" t="str">
        <f>Реестр_План_Факт!AP363</f>
        <v/>
      </c>
      <c r="AQ363">
        <f>Реестр_План_Факт!AQ363</f>
        <v>0</v>
      </c>
    </row>
    <row r="364" spans="1:43" x14ac:dyDescent="0.2">
      <c r="A364" s="201">
        <f>Реестр_План_Факт!A364</f>
        <v>46385</v>
      </c>
      <c r="B364">
        <f>Реестр_План_Факт!B364</f>
        <v>53</v>
      </c>
      <c r="C364">
        <f>Реестр_План_Факт!C364</f>
        <v>12</v>
      </c>
      <c r="D364">
        <f>Реестр_План_Факт!D364</f>
        <v>0</v>
      </c>
      <c r="E364">
        <f>Реестр_План_Факт!E364</f>
        <v>0</v>
      </c>
      <c r="F364" t="str">
        <f>Реестр_План_Факт!F364</f>
        <v/>
      </c>
      <c r="G364">
        <f>Реестр_План_Факт!G364</f>
        <v>0</v>
      </c>
      <c r="H364">
        <f>Реестр_План_Факт!H364</f>
        <v>0</v>
      </c>
      <c r="I364" t="str">
        <f>Реестр_План_Факт!I364</f>
        <v/>
      </c>
      <c r="J364">
        <f>Реестр_План_Факт!J364</f>
        <v>0</v>
      </c>
      <c r="K364">
        <f>Реестр_План_Факт!K364</f>
        <v>0</v>
      </c>
      <c r="L364" t="str">
        <f>Реестр_План_Факт!L364</f>
        <v/>
      </c>
      <c r="M364">
        <f>Реестр_План_Факт!M364</f>
        <v>0</v>
      </c>
      <c r="N364">
        <f>Реестр_План_Факт!N364</f>
        <v>0</v>
      </c>
      <c r="O364" t="str">
        <f>Реестр_План_Факт!O364</f>
        <v/>
      </c>
      <c r="P364">
        <f>Реестр_План_Факт!P364</f>
        <v>0</v>
      </c>
      <c r="Q364">
        <f>Реестр_План_Факт!Q364</f>
        <v>0</v>
      </c>
      <c r="R364" t="str">
        <f>Реестр_План_Факт!R364</f>
        <v/>
      </c>
      <c r="S364">
        <f>Реестр_План_Факт!S364</f>
        <v>0</v>
      </c>
      <c r="T364">
        <f>Реестр_План_Факт!T364</f>
        <v>0</v>
      </c>
      <c r="U364" t="str">
        <f>Реестр_План_Факт!U364</f>
        <v/>
      </c>
      <c r="V364">
        <f>Реестр_План_Факт!V364</f>
        <v>0</v>
      </c>
      <c r="W364">
        <f>Реестр_План_Факт!W364</f>
        <v>0</v>
      </c>
      <c r="X364" t="str">
        <f>Реестр_План_Факт!X364</f>
        <v/>
      </c>
      <c r="Y364">
        <f>Реестр_План_Факт!Y364</f>
        <v>0</v>
      </c>
      <c r="Z364">
        <f>Реестр_План_Факт!Z364</f>
        <v>0</v>
      </c>
      <c r="AA364" t="str">
        <f>Реестр_План_Факт!AA364</f>
        <v/>
      </c>
      <c r="AB364">
        <f>Реестр_План_Факт!AB364</f>
        <v>0</v>
      </c>
      <c r="AC364">
        <f>Реестр_План_Факт!AC364</f>
        <v>0</v>
      </c>
      <c r="AD364" t="str">
        <f>Реестр_План_Факт!AD364</f>
        <v/>
      </c>
      <c r="AE364">
        <f>Реестр_План_Факт!AE364</f>
        <v>0</v>
      </c>
      <c r="AF364">
        <f>Реестр_План_Факт!AF364</f>
        <v>0</v>
      </c>
      <c r="AG364" t="str">
        <f>Реестр_План_Факт!AG364</f>
        <v/>
      </c>
      <c r="AH364">
        <f>Реестр_План_Факт!AH364</f>
        <v>0</v>
      </c>
      <c r="AI364">
        <f>Реестр_План_Факт!AI364</f>
        <v>0</v>
      </c>
      <c r="AJ364" t="str">
        <f>Реестр_План_Факт!AJ364</f>
        <v/>
      </c>
      <c r="AK364">
        <f>Реестр_План_Факт!AK364</f>
        <v>0</v>
      </c>
      <c r="AL364">
        <f>Реестр_План_Факт!AL364</f>
        <v>0</v>
      </c>
      <c r="AM364" t="str">
        <f>Реестр_План_Факт!AM364</f>
        <v/>
      </c>
      <c r="AN364">
        <f>Реестр_План_Факт!AN364</f>
        <v>0</v>
      </c>
      <c r="AO364">
        <f>Реестр_План_Факт!AO364</f>
        <v>0</v>
      </c>
      <c r="AP364" t="str">
        <f>Реестр_План_Факт!AP364</f>
        <v/>
      </c>
      <c r="AQ364">
        <f>Реестр_План_Факт!AQ364</f>
        <v>0</v>
      </c>
    </row>
    <row r="365" spans="1:43" x14ac:dyDescent="0.2">
      <c r="A365" s="201">
        <f>Реестр_План_Факт!A365</f>
        <v>46386</v>
      </c>
      <c r="B365">
        <f>Реестр_План_Факт!B365</f>
        <v>53</v>
      </c>
      <c r="C365">
        <f>Реестр_План_Факт!C365</f>
        <v>12</v>
      </c>
      <c r="D365">
        <f>Реестр_План_Факт!D365</f>
        <v>0</v>
      </c>
      <c r="E365">
        <f>Реестр_План_Факт!E365</f>
        <v>0</v>
      </c>
      <c r="F365" t="str">
        <f>Реестр_План_Факт!F365</f>
        <v/>
      </c>
      <c r="G365">
        <f>Реестр_План_Факт!G365</f>
        <v>0</v>
      </c>
      <c r="H365">
        <f>Реестр_План_Факт!H365</f>
        <v>0</v>
      </c>
      <c r="I365" t="str">
        <f>Реестр_План_Факт!I365</f>
        <v/>
      </c>
      <c r="J365">
        <f>Реестр_План_Факт!J365</f>
        <v>0</v>
      </c>
      <c r="K365">
        <f>Реестр_План_Факт!K365</f>
        <v>0</v>
      </c>
      <c r="L365" t="str">
        <f>Реестр_План_Факт!L365</f>
        <v/>
      </c>
      <c r="M365">
        <f>Реестр_План_Факт!M365</f>
        <v>0</v>
      </c>
      <c r="N365">
        <f>Реестр_План_Факт!N365</f>
        <v>0</v>
      </c>
      <c r="O365" t="str">
        <f>Реестр_План_Факт!O365</f>
        <v/>
      </c>
      <c r="P365">
        <f>Реестр_План_Факт!P365</f>
        <v>0</v>
      </c>
      <c r="Q365">
        <f>Реестр_План_Факт!Q365</f>
        <v>0</v>
      </c>
      <c r="R365" t="str">
        <f>Реестр_План_Факт!R365</f>
        <v/>
      </c>
      <c r="S365">
        <f>Реестр_План_Факт!S365</f>
        <v>0</v>
      </c>
      <c r="T365">
        <f>Реестр_План_Факт!T365</f>
        <v>0</v>
      </c>
      <c r="U365" t="str">
        <f>Реестр_План_Факт!U365</f>
        <v/>
      </c>
      <c r="V365">
        <f>Реестр_План_Факт!V365</f>
        <v>0</v>
      </c>
      <c r="W365">
        <f>Реестр_План_Факт!W365</f>
        <v>0</v>
      </c>
      <c r="X365" t="str">
        <f>Реестр_План_Факт!X365</f>
        <v/>
      </c>
      <c r="Y365">
        <f>Реестр_План_Факт!Y365</f>
        <v>0</v>
      </c>
      <c r="Z365">
        <f>Реестр_План_Факт!Z365</f>
        <v>0</v>
      </c>
      <c r="AA365" t="str">
        <f>Реестр_План_Факт!AA365</f>
        <v/>
      </c>
      <c r="AB365">
        <f>Реестр_План_Факт!AB365</f>
        <v>0</v>
      </c>
      <c r="AC365">
        <f>Реестр_План_Факт!AC365</f>
        <v>0</v>
      </c>
      <c r="AD365" t="str">
        <f>Реестр_План_Факт!AD365</f>
        <v/>
      </c>
      <c r="AE365">
        <f>Реестр_План_Факт!AE365</f>
        <v>0</v>
      </c>
      <c r="AF365">
        <f>Реестр_План_Факт!AF365</f>
        <v>0</v>
      </c>
      <c r="AG365" t="str">
        <f>Реестр_План_Факт!AG365</f>
        <v/>
      </c>
      <c r="AH365">
        <f>Реестр_План_Факт!AH365</f>
        <v>0</v>
      </c>
      <c r="AI365">
        <f>Реестр_План_Факт!AI365</f>
        <v>0</v>
      </c>
      <c r="AJ365" t="str">
        <f>Реестр_План_Факт!AJ365</f>
        <v/>
      </c>
      <c r="AK365">
        <f>Реестр_План_Факт!AK365</f>
        <v>0</v>
      </c>
      <c r="AL365">
        <f>Реестр_План_Факт!AL365</f>
        <v>0</v>
      </c>
      <c r="AM365" t="str">
        <f>Реестр_План_Факт!AM365</f>
        <v/>
      </c>
      <c r="AN365">
        <f>Реестр_План_Факт!AN365</f>
        <v>0</v>
      </c>
      <c r="AO365">
        <f>Реестр_План_Факт!AO365</f>
        <v>0</v>
      </c>
      <c r="AP365" t="str">
        <f>Реестр_План_Факт!AP365</f>
        <v/>
      </c>
      <c r="AQ365">
        <f>Реестр_План_Факт!AQ365</f>
        <v>0</v>
      </c>
    </row>
    <row r="366" spans="1:43" x14ac:dyDescent="0.2">
      <c r="A366" s="201">
        <f>Реестр_План_Факт!A366</f>
        <v>46387</v>
      </c>
      <c r="B366">
        <f>Реестр_План_Факт!B366</f>
        <v>53</v>
      </c>
      <c r="C366">
        <f>Реестр_План_Факт!C366</f>
        <v>12</v>
      </c>
      <c r="D366">
        <f>Реестр_План_Факт!D366</f>
        <v>0</v>
      </c>
      <c r="E366">
        <f>Реестр_План_Факт!E366</f>
        <v>0</v>
      </c>
      <c r="F366" t="str">
        <f>Реестр_План_Факт!F366</f>
        <v/>
      </c>
      <c r="G366">
        <f>Реестр_План_Факт!G366</f>
        <v>0</v>
      </c>
      <c r="H366">
        <f>Реестр_План_Факт!H366</f>
        <v>0</v>
      </c>
      <c r="I366" t="str">
        <f>Реестр_План_Факт!I366</f>
        <v/>
      </c>
      <c r="J366">
        <f>Реестр_План_Факт!J366</f>
        <v>0</v>
      </c>
      <c r="K366">
        <f>Реестр_План_Факт!K366</f>
        <v>0</v>
      </c>
      <c r="L366" t="str">
        <f>Реестр_План_Факт!L366</f>
        <v/>
      </c>
      <c r="M366">
        <f>Реестр_План_Факт!M366</f>
        <v>0</v>
      </c>
      <c r="N366">
        <f>Реестр_План_Факт!N366</f>
        <v>0</v>
      </c>
      <c r="O366" t="str">
        <f>Реестр_План_Факт!O366</f>
        <v/>
      </c>
      <c r="P366">
        <f>Реестр_План_Факт!P366</f>
        <v>0</v>
      </c>
      <c r="Q366">
        <f>Реестр_План_Факт!Q366</f>
        <v>0</v>
      </c>
      <c r="R366" t="str">
        <f>Реестр_План_Факт!R366</f>
        <v/>
      </c>
      <c r="S366">
        <f>Реестр_План_Факт!S366</f>
        <v>0</v>
      </c>
      <c r="T366">
        <f>Реестр_План_Факт!T366</f>
        <v>0</v>
      </c>
      <c r="U366" t="str">
        <f>Реестр_План_Факт!U366</f>
        <v/>
      </c>
      <c r="V366">
        <f>Реестр_План_Факт!V366</f>
        <v>0</v>
      </c>
      <c r="W366">
        <f>Реестр_План_Факт!W366</f>
        <v>0</v>
      </c>
      <c r="X366" t="str">
        <f>Реестр_План_Факт!X366</f>
        <v/>
      </c>
      <c r="Y366">
        <f>Реестр_План_Факт!Y366</f>
        <v>0</v>
      </c>
      <c r="Z366">
        <f>Реестр_План_Факт!Z366</f>
        <v>0</v>
      </c>
      <c r="AA366" t="str">
        <f>Реестр_План_Факт!AA366</f>
        <v/>
      </c>
      <c r="AB366">
        <f>Реестр_План_Факт!AB366</f>
        <v>0</v>
      </c>
      <c r="AC366">
        <f>Реестр_План_Факт!AC366</f>
        <v>0</v>
      </c>
      <c r="AD366" t="str">
        <f>Реестр_План_Факт!AD366</f>
        <v/>
      </c>
      <c r="AE366">
        <f>Реестр_План_Факт!AE366</f>
        <v>0</v>
      </c>
      <c r="AF366">
        <f>Реестр_План_Факт!AF366</f>
        <v>0</v>
      </c>
      <c r="AG366" t="str">
        <f>Реестр_План_Факт!AG366</f>
        <v/>
      </c>
      <c r="AH366">
        <f>Реестр_План_Факт!AH366</f>
        <v>0</v>
      </c>
      <c r="AI366">
        <f>Реестр_План_Факт!AI366</f>
        <v>0</v>
      </c>
      <c r="AJ366" t="str">
        <f>Реестр_План_Факт!AJ366</f>
        <v/>
      </c>
      <c r="AK366">
        <f>Реестр_План_Факт!AK366</f>
        <v>0</v>
      </c>
      <c r="AL366">
        <f>Реестр_План_Факт!AL366</f>
        <v>0</v>
      </c>
      <c r="AM366" t="str">
        <f>Реестр_План_Факт!AM366</f>
        <v/>
      </c>
      <c r="AN366">
        <f>Реестр_План_Факт!AN366</f>
        <v>0</v>
      </c>
      <c r="AO366">
        <f>Реестр_План_Факт!AO366</f>
        <v>0</v>
      </c>
      <c r="AP366" t="str">
        <f>Реестр_План_Факт!AP366</f>
        <v/>
      </c>
      <c r="AQ366">
        <f>Реестр_План_Факт!AQ366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11"/>
  <sheetViews>
    <sheetView zoomScale="115" workbookViewId="0">
      <selection activeCell="I25" sqref="I25"/>
    </sheetView>
  </sheetViews>
  <sheetFormatPr baseColWidth="10" defaultColWidth="9" defaultRowHeight="15" x14ac:dyDescent="0.2"/>
  <cols>
    <col min="1" max="1" width="22.1640625" style="132" customWidth="1"/>
    <col min="2" max="2" width="17" customWidth="1"/>
    <col min="3" max="3" width="23.33203125" customWidth="1"/>
    <col min="4" max="4" width="19.5" style="132" bestFit="1" customWidth="1"/>
    <col min="5" max="5" width="21.83203125" style="133" customWidth="1"/>
    <col min="6" max="6" width="19.6640625" style="133" customWidth="1"/>
    <col min="7" max="7" width="17" style="133" customWidth="1"/>
  </cols>
  <sheetData>
    <row r="1" spans="1:11" x14ac:dyDescent="0.2">
      <c r="A1" s="134" t="s">
        <v>117</v>
      </c>
      <c r="B1" s="135" t="s">
        <v>118</v>
      </c>
      <c r="C1" s="136" t="s">
        <v>119</v>
      </c>
      <c r="D1" s="137" t="s">
        <v>120</v>
      </c>
      <c r="E1" s="197" t="s">
        <v>332</v>
      </c>
      <c r="F1" s="200" t="s">
        <v>331</v>
      </c>
      <c r="G1" s="138" t="s">
        <v>121</v>
      </c>
      <c r="H1" s="237" t="s">
        <v>122</v>
      </c>
      <c r="I1" s="238"/>
      <c r="J1" s="139"/>
    </row>
    <row r="2" spans="1:11" x14ac:dyDescent="0.2">
      <c r="A2" s="132">
        <v>46080.500694444447</v>
      </c>
      <c r="B2">
        <v>35859</v>
      </c>
      <c r="C2" s="185" t="s">
        <v>123</v>
      </c>
      <c r="D2" s="132">
        <v>46080.505555555559</v>
      </c>
      <c r="E2" s="133">
        <f t="shared" ref="E2:E65" si="0">IF(OR(A2="",D2=""),"",(D2-A2)*24)</f>
        <v>0.11666666669771075</v>
      </c>
      <c r="F2" s="133" t="str">
        <f t="shared" ref="F2:F65" si="1">IF(OR(A2="",D2=""),"",INT((D2-A2)*24)&amp;" час "&amp;ROUND(((D2-A2)*24-INT((D2-A2)*24))*60,0)&amp;" минут")</f>
        <v>0 час 7 минут</v>
      </c>
      <c r="G2" s="133" t="str">
        <f>IF(D2="","",TEXT(D2,"[$-419]mmmm yyyy"))</f>
        <v>февраль 2026</v>
      </c>
      <c r="H2" s="139" t="s">
        <v>124</v>
      </c>
      <c r="I2" s="139" t="s">
        <v>125</v>
      </c>
      <c r="J2" s="139"/>
      <c r="K2" s="1"/>
    </row>
    <row r="3" spans="1:11" x14ac:dyDescent="0.2">
      <c r="A3" s="132">
        <v>46083.540972222218</v>
      </c>
      <c r="B3">
        <v>35715</v>
      </c>
      <c r="C3" s="174" t="s">
        <v>126</v>
      </c>
      <c r="D3" s="173">
        <v>46083.628472222219</v>
      </c>
      <c r="E3" s="133">
        <f t="shared" si="0"/>
        <v>2.1000000000349246</v>
      </c>
      <c r="F3" s="133" t="str">
        <f t="shared" si="1"/>
        <v>2 час 6 минут</v>
      </c>
      <c r="G3" s="133" t="str">
        <f t="shared" ref="G3:G15" si="2">IF(D3="","",TEXT(D3,"[$-419]mmmm yyyy"))</f>
        <v>март 2026</v>
      </c>
      <c r="H3" s="139" t="s">
        <v>127</v>
      </c>
      <c r="I3" s="139" t="s">
        <v>128</v>
      </c>
      <c r="J3" s="139"/>
    </row>
    <row r="4" spans="1:11" x14ac:dyDescent="0.2">
      <c r="A4" s="132">
        <v>46083.625694444447</v>
      </c>
      <c r="B4">
        <v>36059</v>
      </c>
      <c r="C4" t="s">
        <v>129</v>
      </c>
      <c r="D4" s="132">
        <v>46083.697916666657</v>
      </c>
      <c r="E4" s="133">
        <f t="shared" si="0"/>
        <v>1.7333333330461755</v>
      </c>
      <c r="F4" s="133" t="str">
        <f t="shared" si="1"/>
        <v>1 час 44 минут</v>
      </c>
      <c r="G4" s="133" t="str">
        <f t="shared" si="2"/>
        <v>март 2026</v>
      </c>
      <c r="H4" s="24" t="s">
        <v>130</v>
      </c>
      <c r="I4" s="24"/>
      <c r="J4" s="24"/>
    </row>
    <row r="5" spans="1:11" x14ac:dyDescent="0.2">
      <c r="A5" s="132">
        <v>46083.677083333343</v>
      </c>
      <c r="B5">
        <v>36001</v>
      </c>
      <c r="C5" s="185" t="s">
        <v>123</v>
      </c>
      <c r="D5" s="132">
        <v>46083.682638888888</v>
      </c>
      <c r="E5" s="133">
        <f t="shared" si="0"/>
        <v>0.1333333330694586</v>
      </c>
      <c r="F5" s="133" t="str">
        <f t="shared" si="1"/>
        <v>0 час 8 минут</v>
      </c>
      <c r="G5" s="133" t="str">
        <f t="shared" si="2"/>
        <v>март 2026</v>
      </c>
    </row>
    <row r="6" spans="1:11" x14ac:dyDescent="0.2">
      <c r="A6" s="132">
        <v>46083.678472222222</v>
      </c>
      <c r="B6">
        <v>36001</v>
      </c>
      <c r="C6" s="185" t="s">
        <v>123</v>
      </c>
      <c r="D6" s="132">
        <v>46083.684027777781</v>
      </c>
      <c r="E6" s="133">
        <f t="shared" si="0"/>
        <v>0.13333333341870457</v>
      </c>
      <c r="F6" s="133" t="str">
        <f t="shared" si="1"/>
        <v>0 час 8 минут</v>
      </c>
      <c r="G6" s="133" t="str">
        <f t="shared" si="2"/>
        <v>март 2026</v>
      </c>
    </row>
    <row r="7" spans="1:11" x14ac:dyDescent="0.2">
      <c r="A7" s="132">
        <v>46084.54583333333</v>
      </c>
      <c r="B7">
        <v>36085</v>
      </c>
      <c r="C7" s="185" t="s">
        <v>123</v>
      </c>
      <c r="D7" s="132">
        <v>46084.5625</v>
      </c>
      <c r="E7" s="133">
        <f t="shared" si="0"/>
        <v>0.40000000008149073</v>
      </c>
      <c r="F7" s="133" t="str">
        <f t="shared" si="1"/>
        <v>0 час 24 минут</v>
      </c>
      <c r="G7" s="133" t="str">
        <f t="shared" si="2"/>
        <v>март 2026</v>
      </c>
    </row>
    <row r="8" spans="1:11" x14ac:dyDescent="0.2">
      <c r="A8" s="132">
        <v>46085.374305555553</v>
      </c>
      <c r="B8">
        <v>35715</v>
      </c>
      <c r="C8" s="174" t="s">
        <v>126</v>
      </c>
      <c r="D8" s="173">
        <v>46085.495833333327</v>
      </c>
      <c r="E8" s="133">
        <f t="shared" si="0"/>
        <v>2.9166666665696539</v>
      </c>
      <c r="F8" s="133" t="str">
        <f t="shared" si="1"/>
        <v>2 час 55 минут</v>
      </c>
      <c r="G8" s="133" t="str">
        <f t="shared" si="2"/>
        <v>март 2026</v>
      </c>
    </row>
    <row r="9" spans="1:11" x14ac:dyDescent="0.2">
      <c r="A9" s="132">
        <v>46087.407638888893</v>
      </c>
      <c r="B9">
        <v>36089</v>
      </c>
      <c r="C9" s="191" t="s">
        <v>131</v>
      </c>
      <c r="D9" s="173">
        <v>46087.67083333333</v>
      </c>
      <c r="E9" s="133">
        <f t="shared" si="0"/>
        <v>6.3166666664765216</v>
      </c>
      <c r="F9" s="133" t="str">
        <f t="shared" si="1"/>
        <v>6 час 19 минут</v>
      </c>
      <c r="G9" s="133" t="str">
        <f t="shared" si="2"/>
        <v>март 2026</v>
      </c>
    </row>
    <row r="10" spans="1:11" x14ac:dyDescent="0.2">
      <c r="A10" s="132">
        <v>46092.333333333343</v>
      </c>
      <c r="B10">
        <v>35953</v>
      </c>
      <c r="C10" s="192" t="s">
        <v>132</v>
      </c>
      <c r="D10" s="132">
        <v>46092.461805555547</v>
      </c>
      <c r="E10" s="133">
        <f t="shared" si="0"/>
        <v>3.0833333329064772</v>
      </c>
      <c r="F10" s="133" t="str">
        <f t="shared" si="1"/>
        <v>3 час 5 минут</v>
      </c>
      <c r="G10" s="133" t="str">
        <f t="shared" si="2"/>
        <v>март 2026</v>
      </c>
    </row>
    <row r="11" spans="1:11" x14ac:dyDescent="0.2">
      <c r="A11" s="132">
        <v>46093.648611111108</v>
      </c>
      <c r="B11">
        <v>35859</v>
      </c>
      <c r="C11" s="193" t="s">
        <v>133</v>
      </c>
      <c r="D11" s="132">
        <v>46093.661805555559</v>
      </c>
      <c r="E11" s="133">
        <f t="shared" si="0"/>
        <v>0.31666666682576761</v>
      </c>
      <c r="F11" s="133" t="str">
        <f t="shared" si="1"/>
        <v>0 час 19 минут</v>
      </c>
      <c r="G11" s="133" t="str">
        <f t="shared" si="2"/>
        <v>март 2026</v>
      </c>
    </row>
    <row r="12" spans="1:11" x14ac:dyDescent="0.2">
      <c r="A12" s="132">
        <v>46094.383333333331</v>
      </c>
      <c r="B12">
        <v>35859</v>
      </c>
      <c r="C12" t="s">
        <v>134</v>
      </c>
      <c r="D12" s="132">
        <v>46094.462500000001</v>
      </c>
      <c r="E12" s="133">
        <f t="shared" si="0"/>
        <v>1.9000000000814907</v>
      </c>
      <c r="F12" s="133" t="str">
        <f t="shared" si="1"/>
        <v>1 час 54 минут</v>
      </c>
      <c r="G12" s="133" t="str">
        <f t="shared" si="2"/>
        <v>март 2026</v>
      </c>
    </row>
    <row r="13" spans="1:11" x14ac:dyDescent="0.2">
      <c r="A13" s="132">
        <v>46098.392361111109</v>
      </c>
      <c r="B13">
        <v>36217</v>
      </c>
      <c r="C13" t="s">
        <v>135</v>
      </c>
      <c r="D13" s="132">
        <v>46098.421527777777</v>
      </c>
      <c r="E13" s="133">
        <f t="shared" si="0"/>
        <v>0.70000000001164153</v>
      </c>
      <c r="F13" s="133" t="str">
        <f t="shared" si="1"/>
        <v>0 час 42 минут</v>
      </c>
      <c r="G13" s="133" t="str">
        <f t="shared" si="2"/>
        <v>март 2026</v>
      </c>
    </row>
    <row r="14" spans="1:11" x14ac:dyDescent="0.2">
      <c r="A14" s="132">
        <v>46099</v>
      </c>
      <c r="B14">
        <v>35631</v>
      </c>
      <c r="C14" t="s">
        <v>136</v>
      </c>
      <c r="D14" s="132">
        <v>46099</v>
      </c>
      <c r="E14" s="133">
        <f t="shared" si="0"/>
        <v>0</v>
      </c>
      <c r="F14" s="133" t="str">
        <f t="shared" si="1"/>
        <v>0 час 0 минут</v>
      </c>
      <c r="G14" s="133" t="str">
        <f t="shared" si="2"/>
        <v>март 2026</v>
      </c>
    </row>
    <row r="15" spans="1:11" x14ac:dyDescent="0.2">
      <c r="A15" s="132">
        <v>46100.54791666667</v>
      </c>
      <c r="B15">
        <v>35631</v>
      </c>
      <c r="C15" t="s">
        <v>350</v>
      </c>
      <c r="D15" s="132">
        <v>46100.54791666667</v>
      </c>
      <c r="E15" s="133">
        <f t="shared" si="0"/>
        <v>0</v>
      </c>
      <c r="F15" s="133" t="str">
        <f t="shared" si="1"/>
        <v>0 час 0 минут</v>
      </c>
      <c r="G15" s="133" t="str">
        <f t="shared" si="2"/>
        <v>март 2026</v>
      </c>
    </row>
    <row r="16" spans="1:11" x14ac:dyDescent="0.2">
      <c r="E16" s="133" t="str">
        <f t="shared" si="0"/>
        <v/>
      </c>
      <c r="F16" s="133" t="str">
        <f t="shared" si="1"/>
        <v/>
      </c>
      <c r="G16" s="133" t="str">
        <f t="shared" ref="G16:G65" si="3">IF(D16="","",TEXT(D16,"ММММ ГГГГ"))</f>
        <v/>
      </c>
    </row>
    <row r="17" spans="5:7" x14ac:dyDescent="0.2">
      <c r="E17" s="133" t="str">
        <f t="shared" si="0"/>
        <v/>
      </c>
      <c r="F17" s="133" t="str">
        <f t="shared" si="1"/>
        <v/>
      </c>
      <c r="G17" s="133" t="str">
        <f t="shared" si="3"/>
        <v/>
      </c>
    </row>
    <row r="18" spans="5:7" x14ac:dyDescent="0.2">
      <c r="E18" s="133" t="str">
        <f t="shared" si="0"/>
        <v/>
      </c>
      <c r="F18" s="133" t="str">
        <f t="shared" si="1"/>
        <v/>
      </c>
      <c r="G18" s="133" t="str">
        <f t="shared" si="3"/>
        <v/>
      </c>
    </row>
    <row r="19" spans="5:7" x14ac:dyDescent="0.2">
      <c r="E19" s="133" t="str">
        <f t="shared" si="0"/>
        <v/>
      </c>
      <c r="F19" s="133" t="str">
        <f t="shared" si="1"/>
        <v/>
      </c>
      <c r="G19" s="133" t="str">
        <f t="shared" si="3"/>
        <v/>
      </c>
    </row>
    <row r="20" spans="5:7" x14ac:dyDescent="0.2">
      <c r="E20" s="133" t="str">
        <f t="shared" si="0"/>
        <v/>
      </c>
      <c r="F20" s="133" t="str">
        <f t="shared" si="1"/>
        <v/>
      </c>
      <c r="G20" s="133" t="str">
        <f t="shared" si="3"/>
        <v/>
      </c>
    </row>
    <row r="21" spans="5:7" x14ac:dyDescent="0.2">
      <c r="E21" s="133" t="str">
        <f t="shared" si="0"/>
        <v/>
      </c>
      <c r="F21" s="133" t="str">
        <f t="shared" si="1"/>
        <v/>
      </c>
      <c r="G21" s="133" t="str">
        <f t="shared" si="3"/>
        <v/>
      </c>
    </row>
    <row r="22" spans="5:7" x14ac:dyDescent="0.2">
      <c r="E22" s="133" t="str">
        <f t="shared" si="0"/>
        <v/>
      </c>
      <c r="F22" s="133" t="str">
        <f t="shared" si="1"/>
        <v/>
      </c>
      <c r="G22" s="133" t="str">
        <f t="shared" si="3"/>
        <v/>
      </c>
    </row>
    <row r="23" spans="5:7" x14ac:dyDescent="0.2">
      <c r="E23" s="133" t="str">
        <f t="shared" si="0"/>
        <v/>
      </c>
      <c r="F23" s="133" t="str">
        <f t="shared" si="1"/>
        <v/>
      </c>
      <c r="G23" s="133" t="str">
        <f t="shared" si="3"/>
        <v/>
      </c>
    </row>
    <row r="24" spans="5:7" x14ac:dyDescent="0.2">
      <c r="E24" s="133" t="str">
        <f t="shared" si="0"/>
        <v/>
      </c>
      <c r="F24" s="133" t="str">
        <f t="shared" si="1"/>
        <v/>
      </c>
      <c r="G24" s="133" t="str">
        <f t="shared" si="3"/>
        <v/>
      </c>
    </row>
    <row r="25" spans="5:7" x14ac:dyDescent="0.2">
      <c r="E25" s="133" t="str">
        <f t="shared" si="0"/>
        <v/>
      </c>
      <c r="F25" s="133" t="str">
        <f t="shared" si="1"/>
        <v/>
      </c>
      <c r="G25" s="133" t="str">
        <f t="shared" si="3"/>
        <v/>
      </c>
    </row>
    <row r="26" spans="5:7" x14ac:dyDescent="0.2">
      <c r="E26" s="133" t="str">
        <f t="shared" si="0"/>
        <v/>
      </c>
      <c r="F26" s="133" t="str">
        <f t="shared" si="1"/>
        <v/>
      </c>
      <c r="G26" s="133" t="str">
        <f t="shared" si="3"/>
        <v/>
      </c>
    </row>
    <row r="27" spans="5:7" x14ac:dyDescent="0.2">
      <c r="E27" s="133" t="str">
        <f t="shared" si="0"/>
        <v/>
      </c>
      <c r="F27" s="133" t="str">
        <f t="shared" si="1"/>
        <v/>
      </c>
      <c r="G27" s="133" t="str">
        <f t="shared" si="3"/>
        <v/>
      </c>
    </row>
    <row r="28" spans="5:7" x14ac:dyDescent="0.2">
      <c r="E28" s="133" t="str">
        <f t="shared" si="0"/>
        <v/>
      </c>
      <c r="F28" s="133" t="str">
        <f t="shared" si="1"/>
        <v/>
      </c>
      <c r="G28" s="133" t="str">
        <f t="shared" si="3"/>
        <v/>
      </c>
    </row>
    <row r="29" spans="5:7" x14ac:dyDescent="0.2">
      <c r="E29" s="133" t="str">
        <f t="shared" si="0"/>
        <v/>
      </c>
      <c r="F29" s="133" t="str">
        <f t="shared" si="1"/>
        <v/>
      </c>
      <c r="G29" s="133" t="str">
        <f t="shared" si="3"/>
        <v/>
      </c>
    </row>
    <row r="30" spans="5:7" x14ac:dyDescent="0.2">
      <c r="E30" s="133" t="str">
        <f t="shared" si="0"/>
        <v/>
      </c>
      <c r="F30" s="133" t="str">
        <f t="shared" si="1"/>
        <v/>
      </c>
      <c r="G30" s="133" t="str">
        <f t="shared" si="3"/>
        <v/>
      </c>
    </row>
    <row r="31" spans="5:7" x14ac:dyDescent="0.2">
      <c r="E31" s="133" t="str">
        <f t="shared" si="0"/>
        <v/>
      </c>
      <c r="F31" s="133" t="str">
        <f t="shared" si="1"/>
        <v/>
      </c>
      <c r="G31" s="133" t="str">
        <f t="shared" si="3"/>
        <v/>
      </c>
    </row>
    <row r="32" spans="5:7" x14ac:dyDescent="0.2">
      <c r="E32" s="133" t="str">
        <f t="shared" si="0"/>
        <v/>
      </c>
      <c r="F32" s="133" t="str">
        <f t="shared" si="1"/>
        <v/>
      </c>
      <c r="G32" s="133" t="str">
        <f t="shared" si="3"/>
        <v/>
      </c>
    </row>
    <row r="33" spans="5:7" x14ac:dyDescent="0.2">
      <c r="E33" s="133" t="str">
        <f t="shared" si="0"/>
        <v/>
      </c>
      <c r="F33" s="133" t="str">
        <f t="shared" si="1"/>
        <v/>
      </c>
      <c r="G33" s="133" t="str">
        <f t="shared" si="3"/>
        <v/>
      </c>
    </row>
    <row r="34" spans="5:7" x14ac:dyDescent="0.2">
      <c r="E34" s="133" t="str">
        <f t="shared" si="0"/>
        <v/>
      </c>
      <c r="F34" s="133" t="str">
        <f t="shared" si="1"/>
        <v/>
      </c>
      <c r="G34" s="133" t="str">
        <f t="shared" si="3"/>
        <v/>
      </c>
    </row>
    <row r="35" spans="5:7" x14ac:dyDescent="0.2">
      <c r="E35" s="133" t="str">
        <f t="shared" si="0"/>
        <v/>
      </c>
      <c r="F35" s="133" t="str">
        <f t="shared" si="1"/>
        <v/>
      </c>
      <c r="G35" s="133" t="str">
        <f t="shared" si="3"/>
        <v/>
      </c>
    </row>
    <row r="36" spans="5:7" x14ac:dyDescent="0.2">
      <c r="E36" s="133" t="str">
        <f t="shared" si="0"/>
        <v/>
      </c>
      <c r="F36" s="133" t="str">
        <f t="shared" si="1"/>
        <v/>
      </c>
      <c r="G36" s="133" t="str">
        <f t="shared" si="3"/>
        <v/>
      </c>
    </row>
    <row r="37" spans="5:7" x14ac:dyDescent="0.2">
      <c r="E37" s="133" t="str">
        <f t="shared" si="0"/>
        <v/>
      </c>
      <c r="F37" s="133" t="str">
        <f t="shared" si="1"/>
        <v/>
      </c>
      <c r="G37" s="133" t="str">
        <f t="shared" si="3"/>
        <v/>
      </c>
    </row>
    <row r="38" spans="5:7" x14ac:dyDescent="0.2">
      <c r="E38" s="133" t="str">
        <f t="shared" si="0"/>
        <v/>
      </c>
      <c r="F38" s="133" t="str">
        <f t="shared" si="1"/>
        <v/>
      </c>
      <c r="G38" s="133" t="str">
        <f t="shared" si="3"/>
        <v/>
      </c>
    </row>
    <row r="39" spans="5:7" x14ac:dyDescent="0.2">
      <c r="E39" s="133" t="str">
        <f t="shared" si="0"/>
        <v/>
      </c>
      <c r="F39" s="133" t="str">
        <f t="shared" si="1"/>
        <v/>
      </c>
      <c r="G39" s="133" t="str">
        <f t="shared" si="3"/>
        <v/>
      </c>
    </row>
    <row r="40" spans="5:7" x14ac:dyDescent="0.2">
      <c r="E40" s="133" t="str">
        <f t="shared" si="0"/>
        <v/>
      </c>
      <c r="F40" s="133" t="str">
        <f t="shared" si="1"/>
        <v/>
      </c>
      <c r="G40" s="133" t="str">
        <f t="shared" si="3"/>
        <v/>
      </c>
    </row>
    <row r="41" spans="5:7" x14ac:dyDescent="0.2">
      <c r="E41" s="133" t="str">
        <f t="shared" si="0"/>
        <v/>
      </c>
      <c r="F41" s="133" t="str">
        <f t="shared" si="1"/>
        <v/>
      </c>
      <c r="G41" s="133" t="str">
        <f t="shared" si="3"/>
        <v/>
      </c>
    </row>
    <row r="42" spans="5:7" x14ac:dyDescent="0.2">
      <c r="E42" s="133" t="str">
        <f t="shared" si="0"/>
        <v/>
      </c>
      <c r="F42" s="133" t="str">
        <f t="shared" si="1"/>
        <v/>
      </c>
      <c r="G42" s="133" t="str">
        <f t="shared" si="3"/>
        <v/>
      </c>
    </row>
    <row r="43" spans="5:7" x14ac:dyDescent="0.2">
      <c r="E43" s="133" t="str">
        <f t="shared" si="0"/>
        <v/>
      </c>
      <c r="F43" s="133" t="str">
        <f t="shared" si="1"/>
        <v/>
      </c>
      <c r="G43" s="133" t="str">
        <f t="shared" si="3"/>
        <v/>
      </c>
    </row>
    <row r="44" spans="5:7" x14ac:dyDescent="0.2">
      <c r="E44" s="133" t="str">
        <f t="shared" si="0"/>
        <v/>
      </c>
      <c r="F44" s="133" t="str">
        <f t="shared" si="1"/>
        <v/>
      </c>
      <c r="G44" s="133" t="str">
        <f t="shared" si="3"/>
        <v/>
      </c>
    </row>
    <row r="45" spans="5:7" x14ac:dyDescent="0.2">
      <c r="E45" s="133" t="str">
        <f t="shared" si="0"/>
        <v/>
      </c>
      <c r="F45" s="133" t="str">
        <f t="shared" si="1"/>
        <v/>
      </c>
      <c r="G45" s="133" t="str">
        <f t="shared" si="3"/>
        <v/>
      </c>
    </row>
    <row r="46" spans="5:7" x14ac:dyDescent="0.2">
      <c r="E46" s="133" t="str">
        <f t="shared" si="0"/>
        <v/>
      </c>
      <c r="F46" s="133" t="str">
        <f t="shared" si="1"/>
        <v/>
      </c>
      <c r="G46" s="133" t="str">
        <f t="shared" si="3"/>
        <v/>
      </c>
    </row>
    <row r="47" spans="5:7" x14ac:dyDescent="0.2">
      <c r="E47" s="133" t="str">
        <f t="shared" si="0"/>
        <v/>
      </c>
      <c r="F47" s="133" t="str">
        <f t="shared" si="1"/>
        <v/>
      </c>
      <c r="G47" s="133" t="str">
        <f t="shared" si="3"/>
        <v/>
      </c>
    </row>
    <row r="48" spans="5:7" x14ac:dyDescent="0.2">
      <c r="E48" s="133" t="str">
        <f t="shared" si="0"/>
        <v/>
      </c>
      <c r="F48" s="133" t="str">
        <f t="shared" si="1"/>
        <v/>
      </c>
      <c r="G48" s="133" t="str">
        <f t="shared" si="3"/>
        <v/>
      </c>
    </row>
    <row r="49" spans="5:7" x14ac:dyDescent="0.2">
      <c r="E49" s="133" t="str">
        <f t="shared" si="0"/>
        <v/>
      </c>
      <c r="F49" s="133" t="str">
        <f t="shared" si="1"/>
        <v/>
      </c>
      <c r="G49" s="133" t="str">
        <f t="shared" si="3"/>
        <v/>
      </c>
    </row>
    <row r="50" spans="5:7" x14ac:dyDescent="0.2">
      <c r="E50" s="133" t="str">
        <f t="shared" si="0"/>
        <v/>
      </c>
      <c r="F50" s="133" t="str">
        <f t="shared" si="1"/>
        <v/>
      </c>
      <c r="G50" s="133" t="str">
        <f t="shared" si="3"/>
        <v/>
      </c>
    </row>
    <row r="51" spans="5:7" x14ac:dyDescent="0.2">
      <c r="E51" s="133" t="str">
        <f t="shared" si="0"/>
        <v/>
      </c>
      <c r="F51" s="133" t="str">
        <f t="shared" si="1"/>
        <v/>
      </c>
      <c r="G51" s="133" t="str">
        <f t="shared" si="3"/>
        <v/>
      </c>
    </row>
    <row r="52" spans="5:7" x14ac:dyDescent="0.2">
      <c r="E52" s="133" t="str">
        <f t="shared" si="0"/>
        <v/>
      </c>
      <c r="F52" s="133" t="str">
        <f t="shared" si="1"/>
        <v/>
      </c>
      <c r="G52" s="133" t="str">
        <f t="shared" si="3"/>
        <v/>
      </c>
    </row>
    <row r="53" spans="5:7" x14ac:dyDescent="0.2">
      <c r="E53" s="133" t="str">
        <f t="shared" si="0"/>
        <v/>
      </c>
      <c r="F53" s="133" t="str">
        <f t="shared" si="1"/>
        <v/>
      </c>
      <c r="G53" s="133" t="str">
        <f t="shared" si="3"/>
        <v/>
      </c>
    </row>
    <row r="54" spans="5:7" x14ac:dyDescent="0.2">
      <c r="E54" s="133" t="str">
        <f t="shared" si="0"/>
        <v/>
      </c>
      <c r="F54" s="133" t="str">
        <f t="shared" si="1"/>
        <v/>
      </c>
      <c r="G54" s="133" t="str">
        <f t="shared" si="3"/>
        <v/>
      </c>
    </row>
    <row r="55" spans="5:7" x14ac:dyDescent="0.2">
      <c r="E55" s="133" t="str">
        <f t="shared" si="0"/>
        <v/>
      </c>
      <c r="F55" s="133" t="str">
        <f t="shared" si="1"/>
        <v/>
      </c>
      <c r="G55" s="133" t="str">
        <f t="shared" si="3"/>
        <v/>
      </c>
    </row>
    <row r="56" spans="5:7" x14ac:dyDescent="0.2">
      <c r="E56" s="133" t="str">
        <f t="shared" si="0"/>
        <v/>
      </c>
      <c r="F56" s="133" t="str">
        <f t="shared" si="1"/>
        <v/>
      </c>
      <c r="G56" s="133" t="str">
        <f t="shared" si="3"/>
        <v/>
      </c>
    </row>
    <row r="57" spans="5:7" x14ac:dyDescent="0.2">
      <c r="E57" s="133" t="str">
        <f t="shared" si="0"/>
        <v/>
      </c>
      <c r="F57" s="133" t="str">
        <f t="shared" si="1"/>
        <v/>
      </c>
      <c r="G57" s="133" t="str">
        <f t="shared" si="3"/>
        <v/>
      </c>
    </row>
    <row r="58" spans="5:7" x14ac:dyDescent="0.2">
      <c r="E58" s="133" t="str">
        <f t="shared" si="0"/>
        <v/>
      </c>
      <c r="F58" s="133" t="str">
        <f t="shared" si="1"/>
        <v/>
      </c>
      <c r="G58" s="133" t="str">
        <f t="shared" si="3"/>
        <v/>
      </c>
    </row>
    <row r="59" spans="5:7" x14ac:dyDescent="0.2">
      <c r="E59" s="133" t="str">
        <f t="shared" si="0"/>
        <v/>
      </c>
      <c r="F59" s="133" t="str">
        <f t="shared" si="1"/>
        <v/>
      </c>
      <c r="G59" s="133" t="str">
        <f t="shared" si="3"/>
        <v/>
      </c>
    </row>
    <row r="60" spans="5:7" x14ac:dyDescent="0.2">
      <c r="E60" s="133" t="str">
        <f t="shared" si="0"/>
        <v/>
      </c>
      <c r="F60" s="133" t="str">
        <f t="shared" si="1"/>
        <v/>
      </c>
      <c r="G60" s="133" t="str">
        <f t="shared" si="3"/>
        <v/>
      </c>
    </row>
    <row r="61" spans="5:7" x14ac:dyDescent="0.2">
      <c r="E61" s="133" t="str">
        <f t="shared" si="0"/>
        <v/>
      </c>
      <c r="F61" s="133" t="str">
        <f t="shared" si="1"/>
        <v/>
      </c>
      <c r="G61" s="133" t="str">
        <f t="shared" si="3"/>
        <v/>
      </c>
    </row>
    <row r="62" spans="5:7" x14ac:dyDescent="0.2">
      <c r="E62" s="133" t="str">
        <f t="shared" si="0"/>
        <v/>
      </c>
      <c r="F62" s="133" t="str">
        <f t="shared" si="1"/>
        <v/>
      </c>
      <c r="G62" s="133" t="str">
        <f t="shared" si="3"/>
        <v/>
      </c>
    </row>
    <row r="63" spans="5:7" x14ac:dyDescent="0.2">
      <c r="E63" s="133" t="str">
        <f t="shared" si="0"/>
        <v/>
      </c>
      <c r="F63" s="133" t="str">
        <f t="shared" si="1"/>
        <v/>
      </c>
      <c r="G63" s="133" t="str">
        <f t="shared" si="3"/>
        <v/>
      </c>
    </row>
    <row r="64" spans="5:7" x14ac:dyDescent="0.2">
      <c r="E64" s="133" t="str">
        <f t="shared" si="0"/>
        <v/>
      </c>
      <c r="F64" s="133" t="str">
        <f t="shared" si="1"/>
        <v/>
      </c>
      <c r="G64" s="133" t="str">
        <f t="shared" si="3"/>
        <v/>
      </c>
    </row>
    <row r="65" spans="5:7" x14ac:dyDescent="0.2">
      <c r="E65" s="133" t="str">
        <f t="shared" si="0"/>
        <v/>
      </c>
      <c r="F65" s="133" t="str">
        <f t="shared" si="1"/>
        <v/>
      </c>
      <c r="G65" s="133" t="str">
        <f t="shared" si="3"/>
        <v/>
      </c>
    </row>
    <row r="66" spans="5:7" x14ac:dyDescent="0.2">
      <c r="E66" s="133" t="str">
        <f t="shared" ref="E66:E129" si="4">IF(OR(A66="",D66=""),"",(D66-A66)*24)</f>
        <v/>
      </c>
      <c r="F66" s="133" t="str">
        <f t="shared" ref="F66:F129" si="5">IF(OR(A66="",D66=""),"",INT((D66-A66)*24)&amp;" час "&amp;ROUND(((D66-A66)*24-INT((D66-A66)*24))*60,0)&amp;" минут")</f>
        <v/>
      </c>
      <c r="G66" s="133" t="str">
        <f t="shared" ref="G66:G129" si="6">IF(D66="","",TEXT(D66,"ММММ ГГГГ"))</f>
        <v/>
      </c>
    </row>
    <row r="67" spans="5:7" x14ac:dyDescent="0.2">
      <c r="E67" s="133" t="str">
        <f t="shared" si="4"/>
        <v/>
      </c>
      <c r="F67" s="133" t="str">
        <f t="shared" si="5"/>
        <v/>
      </c>
      <c r="G67" s="133" t="str">
        <f t="shared" si="6"/>
        <v/>
      </c>
    </row>
    <row r="68" spans="5:7" x14ac:dyDescent="0.2">
      <c r="E68" s="133" t="str">
        <f t="shared" si="4"/>
        <v/>
      </c>
      <c r="F68" s="133" t="str">
        <f t="shared" si="5"/>
        <v/>
      </c>
      <c r="G68" s="133" t="str">
        <f t="shared" si="6"/>
        <v/>
      </c>
    </row>
    <row r="69" spans="5:7" x14ac:dyDescent="0.2">
      <c r="E69" s="133" t="str">
        <f t="shared" si="4"/>
        <v/>
      </c>
      <c r="F69" s="133" t="str">
        <f t="shared" si="5"/>
        <v/>
      </c>
      <c r="G69" s="133" t="str">
        <f t="shared" si="6"/>
        <v/>
      </c>
    </row>
    <row r="70" spans="5:7" x14ac:dyDescent="0.2">
      <c r="E70" s="133" t="str">
        <f t="shared" si="4"/>
        <v/>
      </c>
      <c r="F70" s="133" t="str">
        <f t="shared" si="5"/>
        <v/>
      </c>
      <c r="G70" s="133" t="str">
        <f t="shared" si="6"/>
        <v/>
      </c>
    </row>
    <row r="71" spans="5:7" x14ac:dyDescent="0.2">
      <c r="E71" s="133" t="str">
        <f t="shared" si="4"/>
        <v/>
      </c>
      <c r="F71" s="133" t="str">
        <f t="shared" si="5"/>
        <v/>
      </c>
      <c r="G71" s="133" t="str">
        <f t="shared" si="6"/>
        <v/>
      </c>
    </row>
    <row r="72" spans="5:7" x14ac:dyDescent="0.2">
      <c r="E72" s="133" t="str">
        <f t="shared" si="4"/>
        <v/>
      </c>
      <c r="F72" s="133" t="str">
        <f t="shared" si="5"/>
        <v/>
      </c>
      <c r="G72" s="133" t="str">
        <f t="shared" si="6"/>
        <v/>
      </c>
    </row>
    <row r="73" spans="5:7" x14ac:dyDescent="0.2">
      <c r="E73" s="133" t="str">
        <f t="shared" si="4"/>
        <v/>
      </c>
      <c r="F73" s="133" t="str">
        <f t="shared" si="5"/>
        <v/>
      </c>
      <c r="G73" s="133" t="str">
        <f t="shared" si="6"/>
        <v/>
      </c>
    </row>
    <row r="74" spans="5:7" x14ac:dyDescent="0.2">
      <c r="E74" s="133" t="str">
        <f t="shared" si="4"/>
        <v/>
      </c>
      <c r="F74" s="133" t="str">
        <f t="shared" si="5"/>
        <v/>
      </c>
      <c r="G74" s="133" t="str">
        <f t="shared" si="6"/>
        <v/>
      </c>
    </row>
    <row r="75" spans="5:7" x14ac:dyDescent="0.2">
      <c r="E75" s="133" t="str">
        <f t="shared" si="4"/>
        <v/>
      </c>
      <c r="F75" s="133" t="str">
        <f t="shared" si="5"/>
        <v/>
      </c>
      <c r="G75" s="133" t="str">
        <f t="shared" si="6"/>
        <v/>
      </c>
    </row>
    <row r="76" spans="5:7" x14ac:dyDescent="0.2">
      <c r="E76" s="133" t="str">
        <f t="shared" si="4"/>
        <v/>
      </c>
      <c r="F76" s="133" t="str">
        <f t="shared" si="5"/>
        <v/>
      </c>
      <c r="G76" s="133" t="str">
        <f t="shared" si="6"/>
        <v/>
      </c>
    </row>
    <row r="77" spans="5:7" x14ac:dyDescent="0.2">
      <c r="E77" s="133" t="str">
        <f t="shared" si="4"/>
        <v/>
      </c>
      <c r="F77" s="133" t="str">
        <f t="shared" si="5"/>
        <v/>
      </c>
      <c r="G77" s="133" t="str">
        <f t="shared" si="6"/>
        <v/>
      </c>
    </row>
    <row r="78" spans="5:7" x14ac:dyDescent="0.2">
      <c r="E78" s="133" t="str">
        <f t="shared" si="4"/>
        <v/>
      </c>
      <c r="F78" s="133" t="str">
        <f t="shared" si="5"/>
        <v/>
      </c>
      <c r="G78" s="133" t="str">
        <f t="shared" si="6"/>
        <v/>
      </c>
    </row>
    <row r="79" spans="5:7" x14ac:dyDescent="0.2">
      <c r="E79" s="133" t="str">
        <f t="shared" si="4"/>
        <v/>
      </c>
      <c r="F79" s="133" t="str">
        <f t="shared" si="5"/>
        <v/>
      </c>
      <c r="G79" s="133" t="str">
        <f t="shared" si="6"/>
        <v/>
      </c>
    </row>
    <row r="80" spans="5:7" x14ac:dyDescent="0.2">
      <c r="E80" s="133" t="str">
        <f t="shared" si="4"/>
        <v/>
      </c>
      <c r="F80" s="133" t="str">
        <f t="shared" si="5"/>
        <v/>
      </c>
      <c r="G80" s="133" t="str">
        <f t="shared" si="6"/>
        <v/>
      </c>
    </row>
    <row r="81" spans="5:7" x14ac:dyDescent="0.2">
      <c r="E81" s="133" t="str">
        <f t="shared" si="4"/>
        <v/>
      </c>
      <c r="F81" s="133" t="str">
        <f t="shared" si="5"/>
        <v/>
      </c>
      <c r="G81" s="133" t="str">
        <f t="shared" si="6"/>
        <v/>
      </c>
    </row>
    <row r="82" spans="5:7" x14ac:dyDescent="0.2">
      <c r="E82" s="133" t="str">
        <f t="shared" si="4"/>
        <v/>
      </c>
      <c r="F82" s="133" t="str">
        <f t="shared" si="5"/>
        <v/>
      </c>
      <c r="G82" s="133" t="str">
        <f t="shared" si="6"/>
        <v/>
      </c>
    </row>
    <row r="83" spans="5:7" x14ac:dyDescent="0.2">
      <c r="E83" s="133" t="str">
        <f t="shared" si="4"/>
        <v/>
      </c>
      <c r="F83" s="133" t="str">
        <f t="shared" si="5"/>
        <v/>
      </c>
      <c r="G83" s="133" t="str">
        <f t="shared" si="6"/>
        <v/>
      </c>
    </row>
    <row r="84" spans="5:7" x14ac:dyDescent="0.2">
      <c r="E84" s="133" t="str">
        <f t="shared" si="4"/>
        <v/>
      </c>
      <c r="F84" s="133" t="str">
        <f t="shared" si="5"/>
        <v/>
      </c>
      <c r="G84" s="133" t="str">
        <f t="shared" si="6"/>
        <v/>
      </c>
    </row>
    <row r="85" spans="5:7" x14ac:dyDescent="0.2">
      <c r="E85" s="133" t="str">
        <f t="shared" si="4"/>
        <v/>
      </c>
      <c r="F85" s="133" t="str">
        <f t="shared" si="5"/>
        <v/>
      </c>
      <c r="G85" s="133" t="str">
        <f t="shared" si="6"/>
        <v/>
      </c>
    </row>
    <row r="86" spans="5:7" x14ac:dyDescent="0.2">
      <c r="E86" s="133" t="str">
        <f t="shared" si="4"/>
        <v/>
      </c>
      <c r="F86" s="133" t="str">
        <f t="shared" si="5"/>
        <v/>
      </c>
      <c r="G86" s="133" t="str">
        <f t="shared" si="6"/>
        <v/>
      </c>
    </row>
    <row r="87" spans="5:7" x14ac:dyDescent="0.2">
      <c r="E87" s="133" t="str">
        <f t="shared" si="4"/>
        <v/>
      </c>
      <c r="F87" s="133" t="str">
        <f t="shared" si="5"/>
        <v/>
      </c>
      <c r="G87" s="133" t="str">
        <f t="shared" si="6"/>
        <v/>
      </c>
    </row>
    <row r="88" spans="5:7" x14ac:dyDescent="0.2">
      <c r="E88" s="133" t="str">
        <f t="shared" si="4"/>
        <v/>
      </c>
      <c r="F88" s="133" t="str">
        <f t="shared" si="5"/>
        <v/>
      </c>
      <c r="G88" s="133" t="str">
        <f t="shared" si="6"/>
        <v/>
      </c>
    </row>
    <row r="89" spans="5:7" x14ac:dyDescent="0.2">
      <c r="E89" s="133" t="str">
        <f t="shared" si="4"/>
        <v/>
      </c>
      <c r="F89" s="133" t="str">
        <f t="shared" si="5"/>
        <v/>
      </c>
      <c r="G89" s="133" t="str">
        <f t="shared" si="6"/>
        <v/>
      </c>
    </row>
    <row r="90" spans="5:7" x14ac:dyDescent="0.2">
      <c r="E90" s="133" t="str">
        <f t="shared" si="4"/>
        <v/>
      </c>
      <c r="F90" s="133" t="str">
        <f t="shared" si="5"/>
        <v/>
      </c>
      <c r="G90" s="133" t="str">
        <f t="shared" si="6"/>
        <v/>
      </c>
    </row>
    <row r="91" spans="5:7" x14ac:dyDescent="0.2">
      <c r="E91" s="133" t="str">
        <f t="shared" si="4"/>
        <v/>
      </c>
      <c r="F91" s="133" t="str">
        <f t="shared" si="5"/>
        <v/>
      </c>
      <c r="G91" s="133" t="str">
        <f t="shared" si="6"/>
        <v/>
      </c>
    </row>
    <row r="92" spans="5:7" x14ac:dyDescent="0.2">
      <c r="E92" s="133" t="str">
        <f t="shared" si="4"/>
        <v/>
      </c>
      <c r="F92" s="133" t="str">
        <f t="shared" si="5"/>
        <v/>
      </c>
      <c r="G92" s="133" t="str">
        <f t="shared" si="6"/>
        <v/>
      </c>
    </row>
    <row r="93" spans="5:7" x14ac:dyDescent="0.2">
      <c r="E93" s="133" t="str">
        <f t="shared" si="4"/>
        <v/>
      </c>
      <c r="F93" s="133" t="str">
        <f t="shared" si="5"/>
        <v/>
      </c>
      <c r="G93" s="133" t="str">
        <f t="shared" si="6"/>
        <v/>
      </c>
    </row>
    <row r="94" spans="5:7" x14ac:dyDescent="0.2">
      <c r="E94" s="133" t="str">
        <f t="shared" si="4"/>
        <v/>
      </c>
      <c r="F94" s="133" t="str">
        <f t="shared" si="5"/>
        <v/>
      </c>
      <c r="G94" s="133" t="str">
        <f t="shared" si="6"/>
        <v/>
      </c>
    </row>
    <row r="95" spans="5:7" x14ac:dyDescent="0.2">
      <c r="E95" s="133" t="str">
        <f t="shared" si="4"/>
        <v/>
      </c>
      <c r="F95" s="133" t="str">
        <f t="shared" si="5"/>
        <v/>
      </c>
      <c r="G95" s="133" t="str">
        <f t="shared" si="6"/>
        <v/>
      </c>
    </row>
    <row r="96" spans="5:7" x14ac:dyDescent="0.2">
      <c r="E96" s="133" t="str">
        <f t="shared" si="4"/>
        <v/>
      </c>
      <c r="F96" s="133" t="str">
        <f t="shared" si="5"/>
        <v/>
      </c>
      <c r="G96" s="133" t="str">
        <f t="shared" si="6"/>
        <v/>
      </c>
    </row>
    <row r="97" spans="5:7" x14ac:dyDescent="0.2">
      <c r="E97" s="133" t="str">
        <f t="shared" si="4"/>
        <v/>
      </c>
      <c r="F97" s="133" t="str">
        <f t="shared" si="5"/>
        <v/>
      </c>
      <c r="G97" s="133" t="str">
        <f t="shared" si="6"/>
        <v/>
      </c>
    </row>
    <row r="98" spans="5:7" x14ac:dyDescent="0.2">
      <c r="E98" s="133" t="str">
        <f t="shared" si="4"/>
        <v/>
      </c>
      <c r="F98" s="133" t="str">
        <f t="shared" si="5"/>
        <v/>
      </c>
      <c r="G98" s="133" t="str">
        <f t="shared" si="6"/>
        <v/>
      </c>
    </row>
    <row r="99" spans="5:7" x14ac:dyDescent="0.2">
      <c r="E99" s="133" t="str">
        <f t="shared" si="4"/>
        <v/>
      </c>
      <c r="F99" s="133" t="str">
        <f t="shared" si="5"/>
        <v/>
      </c>
      <c r="G99" s="133" t="str">
        <f t="shared" si="6"/>
        <v/>
      </c>
    </row>
    <row r="100" spans="5:7" x14ac:dyDescent="0.2">
      <c r="E100" s="133" t="str">
        <f t="shared" si="4"/>
        <v/>
      </c>
      <c r="F100" s="133" t="str">
        <f t="shared" si="5"/>
        <v/>
      </c>
      <c r="G100" s="133" t="str">
        <f t="shared" si="6"/>
        <v/>
      </c>
    </row>
    <row r="101" spans="5:7" x14ac:dyDescent="0.2">
      <c r="E101" s="133" t="str">
        <f t="shared" si="4"/>
        <v/>
      </c>
      <c r="F101" s="133" t="str">
        <f t="shared" si="5"/>
        <v/>
      </c>
      <c r="G101" s="133" t="str">
        <f t="shared" si="6"/>
        <v/>
      </c>
    </row>
    <row r="102" spans="5:7" x14ac:dyDescent="0.2">
      <c r="E102" s="133" t="str">
        <f t="shared" si="4"/>
        <v/>
      </c>
      <c r="F102" s="133" t="str">
        <f t="shared" si="5"/>
        <v/>
      </c>
      <c r="G102" s="133" t="str">
        <f t="shared" si="6"/>
        <v/>
      </c>
    </row>
    <row r="103" spans="5:7" x14ac:dyDescent="0.2">
      <c r="E103" s="133" t="str">
        <f t="shared" si="4"/>
        <v/>
      </c>
      <c r="F103" s="133" t="str">
        <f t="shared" si="5"/>
        <v/>
      </c>
      <c r="G103" s="133" t="str">
        <f t="shared" si="6"/>
        <v/>
      </c>
    </row>
    <row r="104" spans="5:7" x14ac:dyDescent="0.2">
      <c r="E104" s="133" t="str">
        <f t="shared" si="4"/>
        <v/>
      </c>
      <c r="F104" s="133" t="str">
        <f t="shared" si="5"/>
        <v/>
      </c>
      <c r="G104" s="133" t="str">
        <f t="shared" si="6"/>
        <v/>
      </c>
    </row>
    <row r="105" spans="5:7" x14ac:dyDescent="0.2">
      <c r="E105" s="133" t="str">
        <f t="shared" si="4"/>
        <v/>
      </c>
      <c r="F105" s="133" t="str">
        <f t="shared" si="5"/>
        <v/>
      </c>
      <c r="G105" s="133" t="str">
        <f t="shared" si="6"/>
        <v/>
      </c>
    </row>
    <row r="106" spans="5:7" x14ac:dyDescent="0.2">
      <c r="E106" s="133" t="str">
        <f t="shared" si="4"/>
        <v/>
      </c>
      <c r="F106" s="133" t="str">
        <f t="shared" si="5"/>
        <v/>
      </c>
      <c r="G106" s="133" t="str">
        <f t="shared" si="6"/>
        <v/>
      </c>
    </row>
    <row r="107" spans="5:7" x14ac:dyDescent="0.2">
      <c r="E107" s="133" t="str">
        <f t="shared" si="4"/>
        <v/>
      </c>
      <c r="F107" s="133" t="str">
        <f t="shared" si="5"/>
        <v/>
      </c>
      <c r="G107" s="133" t="str">
        <f t="shared" si="6"/>
        <v/>
      </c>
    </row>
    <row r="108" spans="5:7" x14ac:dyDescent="0.2">
      <c r="E108" s="133" t="str">
        <f t="shared" si="4"/>
        <v/>
      </c>
      <c r="F108" s="133" t="str">
        <f t="shared" si="5"/>
        <v/>
      </c>
      <c r="G108" s="133" t="str">
        <f t="shared" si="6"/>
        <v/>
      </c>
    </row>
    <row r="109" spans="5:7" x14ac:dyDescent="0.2">
      <c r="E109" s="133" t="str">
        <f t="shared" si="4"/>
        <v/>
      </c>
      <c r="F109" s="133" t="str">
        <f t="shared" si="5"/>
        <v/>
      </c>
      <c r="G109" s="133" t="str">
        <f t="shared" si="6"/>
        <v/>
      </c>
    </row>
    <row r="110" spans="5:7" x14ac:dyDescent="0.2">
      <c r="E110" s="133" t="str">
        <f t="shared" si="4"/>
        <v/>
      </c>
      <c r="F110" s="133" t="str">
        <f t="shared" si="5"/>
        <v/>
      </c>
      <c r="G110" s="133" t="str">
        <f t="shared" si="6"/>
        <v/>
      </c>
    </row>
    <row r="111" spans="5:7" x14ac:dyDescent="0.2">
      <c r="E111" s="133" t="str">
        <f t="shared" si="4"/>
        <v/>
      </c>
      <c r="F111" s="133" t="str">
        <f t="shared" si="5"/>
        <v/>
      </c>
      <c r="G111" s="133" t="str">
        <f t="shared" si="6"/>
        <v/>
      </c>
    </row>
    <row r="112" spans="5:7" x14ac:dyDescent="0.2">
      <c r="E112" s="133" t="str">
        <f t="shared" si="4"/>
        <v/>
      </c>
      <c r="F112" s="133" t="str">
        <f t="shared" si="5"/>
        <v/>
      </c>
      <c r="G112" s="133" t="str">
        <f t="shared" si="6"/>
        <v/>
      </c>
    </row>
    <row r="113" spans="5:7" x14ac:dyDescent="0.2">
      <c r="E113" s="133" t="str">
        <f t="shared" si="4"/>
        <v/>
      </c>
      <c r="F113" s="133" t="str">
        <f t="shared" si="5"/>
        <v/>
      </c>
      <c r="G113" s="133" t="str">
        <f t="shared" si="6"/>
        <v/>
      </c>
    </row>
    <row r="114" spans="5:7" x14ac:dyDescent="0.2">
      <c r="E114" s="133" t="str">
        <f t="shared" si="4"/>
        <v/>
      </c>
      <c r="F114" s="133" t="str">
        <f t="shared" si="5"/>
        <v/>
      </c>
      <c r="G114" s="133" t="str">
        <f t="shared" si="6"/>
        <v/>
      </c>
    </row>
    <row r="115" spans="5:7" x14ac:dyDescent="0.2">
      <c r="E115" s="133" t="str">
        <f t="shared" si="4"/>
        <v/>
      </c>
      <c r="F115" s="133" t="str">
        <f t="shared" si="5"/>
        <v/>
      </c>
      <c r="G115" s="133" t="str">
        <f t="shared" si="6"/>
        <v/>
      </c>
    </row>
    <row r="116" spans="5:7" x14ac:dyDescent="0.2">
      <c r="E116" s="133" t="str">
        <f t="shared" si="4"/>
        <v/>
      </c>
      <c r="F116" s="133" t="str">
        <f t="shared" si="5"/>
        <v/>
      </c>
      <c r="G116" s="133" t="str">
        <f t="shared" si="6"/>
        <v/>
      </c>
    </row>
    <row r="117" spans="5:7" x14ac:dyDescent="0.2">
      <c r="E117" s="133" t="str">
        <f t="shared" si="4"/>
        <v/>
      </c>
      <c r="F117" s="133" t="str">
        <f t="shared" si="5"/>
        <v/>
      </c>
      <c r="G117" s="133" t="str">
        <f t="shared" si="6"/>
        <v/>
      </c>
    </row>
    <row r="118" spans="5:7" x14ac:dyDescent="0.2">
      <c r="E118" s="133" t="str">
        <f t="shared" si="4"/>
        <v/>
      </c>
      <c r="F118" s="133" t="str">
        <f t="shared" si="5"/>
        <v/>
      </c>
      <c r="G118" s="133" t="str">
        <f t="shared" si="6"/>
        <v/>
      </c>
    </row>
    <row r="119" spans="5:7" x14ac:dyDescent="0.2">
      <c r="E119" s="133" t="str">
        <f t="shared" si="4"/>
        <v/>
      </c>
      <c r="F119" s="133" t="str">
        <f t="shared" si="5"/>
        <v/>
      </c>
      <c r="G119" s="133" t="str">
        <f t="shared" si="6"/>
        <v/>
      </c>
    </row>
    <row r="120" spans="5:7" x14ac:dyDescent="0.2">
      <c r="E120" s="133" t="str">
        <f t="shared" si="4"/>
        <v/>
      </c>
      <c r="F120" s="133" t="str">
        <f t="shared" si="5"/>
        <v/>
      </c>
      <c r="G120" s="133" t="str">
        <f t="shared" si="6"/>
        <v/>
      </c>
    </row>
    <row r="121" spans="5:7" x14ac:dyDescent="0.2">
      <c r="E121" s="133" t="str">
        <f t="shared" si="4"/>
        <v/>
      </c>
      <c r="F121" s="133" t="str">
        <f t="shared" si="5"/>
        <v/>
      </c>
      <c r="G121" s="133" t="str">
        <f t="shared" si="6"/>
        <v/>
      </c>
    </row>
    <row r="122" spans="5:7" x14ac:dyDescent="0.2">
      <c r="E122" s="133" t="str">
        <f t="shared" si="4"/>
        <v/>
      </c>
      <c r="F122" s="133" t="str">
        <f t="shared" si="5"/>
        <v/>
      </c>
      <c r="G122" s="133" t="str">
        <f t="shared" si="6"/>
        <v/>
      </c>
    </row>
    <row r="123" spans="5:7" x14ac:dyDescent="0.2">
      <c r="E123" s="133" t="str">
        <f t="shared" si="4"/>
        <v/>
      </c>
      <c r="F123" s="133" t="str">
        <f t="shared" si="5"/>
        <v/>
      </c>
      <c r="G123" s="133" t="str">
        <f t="shared" si="6"/>
        <v/>
      </c>
    </row>
    <row r="124" spans="5:7" x14ac:dyDescent="0.2">
      <c r="E124" s="133" t="str">
        <f t="shared" si="4"/>
        <v/>
      </c>
      <c r="F124" s="133" t="str">
        <f t="shared" si="5"/>
        <v/>
      </c>
      <c r="G124" s="133" t="str">
        <f t="shared" si="6"/>
        <v/>
      </c>
    </row>
    <row r="125" spans="5:7" x14ac:dyDescent="0.2">
      <c r="E125" s="133" t="str">
        <f t="shared" si="4"/>
        <v/>
      </c>
      <c r="F125" s="133" t="str">
        <f t="shared" si="5"/>
        <v/>
      </c>
      <c r="G125" s="133" t="str">
        <f t="shared" si="6"/>
        <v/>
      </c>
    </row>
    <row r="126" spans="5:7" x14ac:dyDescent="0.2">
      <c r="E126" s="133" t="str">
        <f t="shared" si="4"/>
        <v/>
      </c>
      <c r="F126" s="133" t="str">
        <f t="shared" si="5"/>
        <v/>
      </c>
      <c r="G126" s="133" t="str">
        <f t="shared" si="6"/>
        <v/>
      </c>
    </row>
    <row r="127" spans="5:7" x14ac:dyDescent="0.2">
      <c r="E127" s="133" t="str">
        <f t="shared" si="4"/>
        <v/>
      </c>
      <c r="F127" s="133" t="str">
        <f t="shared" si="5"/>
        <v/>
      </c>
      <c r="G127" s="133" t="str">
        <f t="shared" si="6"/>
        <v/>
      </c>
    </row>
    <row r="128" spans="5:7" x14ac:dyDescent="0.2">
      <c r="E128" s="133" t="str">
        <f t="shared" si="4"/>
        <v/>
      </c>
      <c r="F128" s="133" t="str">
        <f t="shared" si="5"/>
        <v/>
      </c>
      <c r="G128" s="133" t="str">
        <f t="shared" si="6"/>
        <v/>
      </c>
    </row>
    <row r="129" spans="5:7" x14ac:dyDescent="0.2">
      <c r="E129" s="133" t="str">
        <f t="shared" si="4"/>
        <v/>
      </c>
      <c r="F129" s="133" t="str">
        <f t="shared" si="5"/>
        <v/>
      </c>
      <c r="G129" s="133" t="str">
        <f t="shared" si="6"/>
        <v/>
      </c>
    </row>
    <row r="130" spans="5:7" x14ac:dyDescent="0.2">
      <c r="E130" s="133" t="str">
        <f t="shared" ref="E130:E193" si="7">IF(OR(A130="",D130=""),"",(D130-A130)*24)</f>
        <v/>
      </c>
      <c r="F130" s="133" t="str">
        <f t="shared" ref="F130:F193" si="8">IF(OR(A130="",D130=""),"",INT((D130-A130)*24)&amp;" час "&amp;ROUND(((D130-A130)*24-INT((D130-A130)*24))*60,0)&amp;" минут")</f>
        <v/>
      </c>
      <c r="G130" s="133" t="str">
        <f t="shared" ref="G130:G193" si="9">IF(D130="","",TEXT(D130,"ММММ ГГГГ"))</f>
        <v/>
      </c>
    </row>
    <row r="131" spans="5:7" x14ac:dyDescent="0.2">
      <c r="E131" s="133" t="str">
        <f t="shared" si="7"/>
        <v/>
      </c>
      <c r="F131" s="133" t="str">
        <f t="shared" si="8"/>
        <v/>
      </c>
      <c r="G131" s="133" t="str">
        <f t="shared" si="9"/>
        <v/>
      </c>
    </row>
    <row r="132" spans="5:7" x14ac:dyDescent="0.2">
      <c r="E132" s="133" t="str">
        <f t="shared" si="7"/>
        <v/>
      </c>
      <c r="F132" s="133" t="str">
        <f t="shared" si="8"/>
        <v/>
      </c>
      <c r="G132" s="133" t="str">
        <f t="shared" si="9"/>
        <v/>
      </c>
    </row>
    <row r="133" spans="5:7" x14ac:dyDescent="0.2">
      <c r="E133" s="133" t="str">
        <f t="shared" si="7"/>
        <v/>
      </c>
      <c r="F133" s="133" t="str">
        <f t="shared" si="8"/>
        <v/>
      </c>
      <c r="G133" s="133" t="str">
        <f t="shared" si="9"/>
        <v/>
      </c>
    </row>
    <row r="134" spans="5:7" x14ac:dyDescent="0.2">
      <c r="E134" s="133" t="str">
        <f t="shared" si="7"/>
        <v/>
      </c>
      <c r="F134" s="133" t="str">
        <f t="shared" si="8"/>
        <v/>
      </c>
      <c r="G134" s="133" t="str">
        <f t="shared" si="9"/>
        <v/>
      </c>
    </row>
    <row r="135" spans="5:7" x14ac:dyDescent="0.2">
      <c r="E135" s="133" t="str">
        <f t="shared" si="7"/>
        <v/>
      </c>
      <c r="F135" s="133" t="str">
        <f t="shared" si="8"/>
        <v/>
      </c>
      <c r="G135" s="133" t="str">
        <f t="shared" si="9"/>
        <v/>
      </c>
    </row>
    <row r="136" spans="5:7" x14ac:dyDescent="0.2">
      <c r="E136" s="133" t="str">
        <f t="shared" si="7"/>
        <v/>
      </c>
      <c r="F136" s="133" t="str">
        <f t="shared" si="8"/>
        <v/>
      </c>
      <c r="G136" s="133" t="str">
        <f t="shared" si="9"/>
        <v/>
      </c>
    </row>
    <row r="137" spans="5:7" x14ac:dyDescent="0.2">
      <c r="E137" s="133" t="str">
        <f t="shared" si="7"/>
        <v/>
      </c>
      <c r="F137" s="133" t="str">
        <f t="shared" si="8"/>
        <v/>
      </c>
      <c r="G137" s="133" t="str">
        <f t="shared" si="9"/>
        <v/>
      </c>
    </row>
    <row r="138" spans="5:7" x14ac:dyDescent="0.2">
      <c r="E138" s="133" t="str">
        <f t="shared" si="7"/>
        <v/>
      </c>
      <c r="F138" s="133" t="str">
        <f t="shared" si="8"/>
        <v/>
      </c>
      <c r="G138" s="133" t="str">
        <f t="shared" si="9"/>
        <v/>
      </c>
    </row>
    <row r="139" spans="5:7" x14ac:dyDescent="0.2">
      <c r="E139" s="133" t="str">
        <f t="shared" si="7"/>
        <v/>
      </c>
      <c r="F139" s="133" t="str">
        <f t="shared" si="8"/>
        <v/>
      </c>
      <c r="G139" s="133" t="str">
        <f t="shared" si="9"/>
        <v/>
      </c>
    </row>
    <row r="140" spans="5:7" x14ac:dyDescent="0.2">
      <c r="E140" s="133" t="str">
        <f t="shared" si="7"/>
        <v/>
      </c>
      <c r="F140" s="133" t="str">
        <f t="shared" si="8"/>
        <v/>
      </c>
      <c r="G140" s="133" t="str">
        <f t="shared" si="9"/>
        <v/>
      </c>
    </row>
    <row r="141" spans="5:7" x14ac:dyDescent="0.2">
      <c r="E141" s="133" t="str">
        <f t="shared" si="7"/>
        <v/>
      </c>
      <c r="F141" s="133" t="str">
        <f t="shared" si="8"/>
        <v/>
      </c>
      <c r="G141" s="133" t="str">
        <f t="shared" si="9"/>
        <v/>
      </c>
    </row>
    <row r="142" spans="5:7" x14ac:dyDescent="0.2">
      <c r="E142" s="133" t="str">
        <f t="shared" si="7"/>
        <v/>
      </c>
      <c r="F142" s="133" t="str">
        <f t="shared" si="8"/>
        <v/>
      </c>
      <c r="G142" s="133" t="str">
        <f t="shared" si="9"/>
        <v/>
      </c>
    </row>
    <row r="143" spans="5:7" x14ac:dyDescent="0.2">
      <c r="E143" s="133" t="str">
        <f t="shared" si="7"/>
        <v/>
      </c>
      <c r="F143" s="133" t="str">
        <f t="shared" si="8"/>
        <v/>
      </c>
      <c r="G143" s="133" t="str">
        <f t="shared" si="9"/>
        <v/>
      </c>
    </row>
    <row r="144" spans="5:7" x14ac:dyDescent="0.2">
      <c r="E144" s="133" t="str">
        <f t="shared" si="7"/>
        <v/>
      </c>
      <c r="F144" s="133" t="str">
        <f t="shared" si="8"/>
        <v/>
      </c>
      <c r="G144" s="133" t="str">
        <f t="shared" si="9"/>
        <v/>
      </c>
    </row>
    <row r="145" spans="5:7" x14ac:dyDescent="0.2">
      <c r="E145" s="133" t="str">
        <f t="shared" si="7"/>
        <v/>
      </c>
      <c r="F145" s="133" t="str">
        <f t="shared" si="8"/>
        <v/>
      </c>
      <c r="G145" s="133" t="str">
        <f t="shared" si="9"/>
        <v/>
      </c>
    </row>
    <row r="146" spans="5:7" x14ac:dyDescent="0.2">
      <c r="E146" s="133" t="str">
        <f t="shared" si="7"/>
        <v/>
      </c>
      <c r="F146" s="133" t="str">
        <f t="shared" si="8"/>
        <v/>
      </c>
      <c r="G146" s="133" t="str">
        <f t="shared" si="9"/>
        <v/>
      </c>
    </row>
    <row r="147" spans="5:7" x14ac:dyDescent="0.2">
      <c r="E147" s="133" t="str">
        <f t="shared" si="7"/>
        <v/>
      </c>
      <c r="F147" s="133" t="str">
        <f t="shared" si="8"/>
        <v/>
      </c>
      <c r="G147" s="133" t="str">
        <f t="shared" si="9"/>
        <v/>
      </c>
    </row>
    <row r="148" spans="5:7" x14ac:dyDescent="0.2">
      <c r="E148" s="133" t="str">
        <f t="shared" si="7"/>
        <v/>
      </c>
      <c r="F148" s="133" t="str">
        <f t="shared" si="8"/>
        <v/>
      </c>
      <c r="G148" s="133" t="str">
        <f t="shared" si="9"/>
        <v/>
      </c>
    </row>
    <row r="149" spans="5:7" x14ac:dyDescent="0.2">
      <c r="E149" s="133" t="str">
        <f t="shared" si="7"/>
        <v/>
      </c>
      <c r="F149" s="133" t="str">
        <f t="shared" si="8"/>
        <v/>
      </c>
      <c r="G149" s="133" t="str">
        <f t="shared" si="9"/>
        <v/>
      </c>
    </row>
    <row r="150" spans="5:7" x14ac:dyDescent="0.2">
      <c r="E150" s="133" t="str">
        <f t="shared" si="7"/>
        <v/>
      </c>
      <c r="F150" s="133" t="str">
        <f t="shared" si="8"/>
        <v/>
      </c>
      <c r="G150" s="133" t="str">
        <f t="shared" si="9"/>
        <v/>
      </c>
    </row>
    <row r="151" spans="5:7" x14ac:dyDescent="0.2">
      <c r="E151" s="133" t="str">
        <f t="shared" si="7"/>
        <v/>
      </c>
      <c r="F151" s="133" t="str">
        <f t="shared" si="8"/>
        <v/>
      </c>
      <c r="G151" s="133" t="str">
        <f t="shared" si="9"/>
        <v/>
      </c>
    </row>
    <row r="152" spans="5:7" x14ac:dyDescent="0.2">
      <c r="E152" s="133" t="str">
        <f t="shared" si="7"/>
        <v/>
      </c>
      <c r="F152" s="133" t="str">
        <f t="shared" si="8"/>
        <v/>
      </c>
      <c r="G152" s="133" t="str">
        <f t="shared" si="9"/>
        <v/>
      </c>
    </row>
    <row r="153" spans="5:7" x14ac:dyDescent="0.2">
      <c r="E153" s="133" t="str">
        <f t="shared" si="7"/>
        <v/>
      </c>
      <c r="F153" s="133" t="str">
        <f t="shared" si="8"/>
        <v/>
      </c>
      <c r="G153" s="133" t="str">
        <f t="shared" si="9"/>
        <v/>
      </c>
    </row>
    <row r="154" spans="5:7" x14ac:dyDescent="0.2">
      <c r="E154" s="133" t="str">
        <f t="shared" si="7"/>
        <v/>
      </c>
      <c r="F154" s="133" t="str">
        <f t="shared" si="8"/>
        <v/>
      </c>
      <c r="G154" s="133" t="str">
        <f t="shared" si="9"/>
        <v/>
      </c>
    </row>
    <row r="155" spans="5:7" x14ac:dyDescent="0.2">
      <c r="E155" s="133" t="str">
        <f t="shared" si="7"/>
        <v/>
      </c>
      <c r="F155" s="133" t="str">
        <f t="shared" si="8"/>
        <v/>
      </c>
      <c r="G155" s="133" t="str">
        <f t="shared" si="9"/>
        <v/>
      </c>
    </row>
    <row r="156" spans="5:7" x14ac:dyDescent="0.2">
      <c r="E156" s="133" t="str">
        <f t="shared" si="7"/>
        <v/>
      </c>
      <c r="F156" s="133" t="str">
        <f t="shared" si="8"/>
        <v/>
      </c>
      <c r="G156" s="133" t="str">
        <f t="shared" si="9"/>
        <v/>
      </c>
    </row>
    <row r="157" spans="5:7" x14ac:dyDescent="0.2">
      <c r="E157" s="133" t="str">
        <f t="shared" si="7"/>
        <v/>
      </c>
      <c r="F157" s="133" t="str">
        <f t="shared" si="8"/>
        <v/>
      </c>
      <c r="G157" s="133" t="str">
        <f t="shared" si="9"/>
        <v/>
      </c>
    </row>
    <row r="158" spans="5:7" x14ac:dyDescent="0.2">
      <c r="E158" s="133" t="str">
        <f t="shared" si="7"/>
        <v/>
      </c>
      <c r="F158" s="133" t="str">
        <f t="shared" si="8"/>
        <v/>
      </c>
      <c r="G158" s="133" t="str">
        <f t="shared" si="9"/>
        <v/>
      </c>
    </row>
    <row r="159" spans="5:7" x14ac:dyDescent="0.2">
      <c r="E159" s="133" t="str">
        <f t="shared" si="7"/>
        <v/>
      </c>
      <c r="F159" s="133" t="str">
        <f t="shared" si="8"/>
        <v/>
      </c>
      <c r="G159" s="133" t="str">
        <f t="shared" si="9"/>
        <v/>
      </c>
    </row>
    <row r="160" spans="5:7" x14ac:dyDescent="0.2">
      <c r="E160" s="133" t="str">
        <f t="shared" si="7"/>
        <v/>
      </c>
      <c r="F160" s="133" t="str">
        <f t="shared" si="8"/>
        <v/>
      </c>
      <c r="G160" s="133" t="str">
        <f t="shared" si="9"/>
        <v/>
      </c>
    </row>
    <row r="161" spans="5:7" x14ac:dyDescent="0.2">
      <c r="E161" s="133" t="str">
        <f t="shared" si="7"/>
        <v/>
      </c>
      <c r="F161" s="133" t="str">
        <f t="shared" si="8"/>
        <v/>
      </c>
      <c r="G161" s="133" t="str">
        <f t="shared" si="9"/>
        <v/>
      </c>
    </row>
    <row r="162" spans="5:7" x14ac:dyDescent="0.2">
      <c r="E162" s="133" t="str">
        <f t="shared" si="7"/>
        <v/>
      </c>
      <c r="F162" s="133" t="str">
        <f t="shared" si="8"/>
        <v/>
      </c>
      <c r="G162" s="133" t="str">
        <f t="shared" si="9"/>
        <v/>
      </c>
    </row>
    <row r="163" spans="5:7" x14ac:dyDescent="0.2">
      <c r="E163" s="133" t="str">
        <f t="shared" si="7"/>
        <v/>
      </c>
      <c r="F163" s="133" t="str">
        <f t="shared" si="8"/>
        <v/>
      </c>
      <c r="G163" s="133" t="str">
        <f t="shared" si="9"/>
        <v/>
      </c>
    </row>
    <row r="164" spans="5:7" x14ac:dyDescent="0.2">
      <c r="E164" s="133" t="str">
        <f t="shared" si="7"/>
        <v/>
      </c>
      <c r="F164" s="133" t="str">
        <f t="shared" si="8"/>
        <v/>
      </c>
      <c r="G164" s="133" t="str">
        <f t="shared" si="9"/>
        <v/>
      </c>
    </row>
    <row r="165" spans="5:7" x14ac:dyDescent="0.2">
      <c r="E165" s="133" t="str">
        <f t="shared" si="7"/>
        <v/>
      </c>
      <c r="F165" s="133" t="str">
        <f t="shared" si="8"/>
        <v/>
      </c>
      <c r="G165" s="133" t="str">
        <f t="shared" si="9"/>
        <v/>
      </c>
    </row>
    <row r="166" spans="5:7" x14ac:dyDescent="0.2">
      <c r="E166" s="133" t="str">
        <f t="shared" si="7"/>
        <v/>
      </c>
      <c r="F166" s="133" t="str">
        <f t="shared" si="8"/>
        <v/>
      </c>
      <c r="G166" s="133" t="str">
        <f t="shared" si="9"/>
        <v/>
      </c>
    </row>
    <row r="167" spans="5:7" x14ac:dyDescent="0.2">
      <c r="E167" s="133" t="str">
        <f t="shared" si="7"/>
        <v/>
      </c>
      <c r="F167" s="133" t="str">
        <f t="shared" si="8"/>
        <v/>
      </c>
      <c r="G167" s="133" t="str">
        <f t="shared" si="9"/>
        <v/>
      </c>
    </row>
    <row r="168" spans="5:7" x14ac:dyDescent="0.2">
      <c r="E168" s="133" t="str">
        <f t="shared" si="7"/>
        <v/>
      </c>
      <c r="F168" s="133" t="str">
        <f t="shared" si="8"/>
        <v/>
      </c>
      <c r="G168" s="133" t="str">
        <f t="shared" si="9"/>
        <v/>
      </c>
    </row>
    <row r="169" spans="5:7" x14ac:dyDescent="0.2">
      <c r="E169" s="133" t="str">
        <f t="shared" si="7"/>
        <v/>
      </c>
      <c r="F169" s="133" t="str">
        <f t="shared" si="8"/>
        <v/>
      </c>
      <c r="G169" s="133" t="str">
        <f t="shared" si="9"/>
        <v/>
      </c>
    </row>
    <row r="170" spans="5:7" x14ac:dyDescent="0.2">
      <c r="E170" s="133" t="str">
        <f t="shared" si="7"/>
        <v/>
      </c>
      <c r="F170" s="133" t="str">
        <f t="shared" si="8"/>
        <v/>
      </c>
      <c r="G170" s="133" t="str">
        <f t="shared" si="9"/>
        <v/>
      </c>
    </row>
    <row r="171" spans="5:7" x14ac:dyDescent="0.2">
      <c r="E171" s="133" t="str">
        <f t="shared" si="7"/>
        <v/>
      </c>
      <c r="F171" s="133" t="str">
        <f t="shared" si="8"/>
        <v/>
      </c>
      <c r="G171" s="133" t="str">
        <f t="shared" si="9"/>
        <v/>
      </c>
    </row>
    <row r="172" spans="5:7" x14ac:dyDescent="0.2">
      <c r="E172" s="133" t="str">
        <f t="shared" si="7"/>
        <v/>
      </c>
      <c r="F172" s="133" t="str">
        <f t="shared" si="8"/>
        <v/>
      </c>
      <c r="G172" s="133" t="str">
        <f t="shared" si="9"/>
        <v/>
      </c>
    </row>
    <row r="173" spans="5:7" x14ac:dyDescent="0.2">
      <c r="E173" s="133" t="str">
        <f t="shared" si="7"/>
        <v/>
      </c>
      <c r="F173" s="133" t="str">
        <f t="shared" si="8"/>
        <v/>
      </c>
      <c r="G173" s="133" t="str">
        <f t="shared" si="9"/>
        <v/>
      </c>
    </row>
    <row r="174" spans="5:7" x14ac:dyDescent="0.2">
      <c r="E174" s="133" t="str">
        <f t="shared" si="7"/>
        <v/>
      </c>
      <c r="F174" s="133" t="str">
        <f t="shared" si="8"/>
        <v/>
      </c>
      <c r="G174" s="133" t="str">
        <f t="shared" si="9"/>
        <v/>
      </c>
    </row>
    <row r="175" spans="5:7" x14ac:dyDescent="0.2">
      <c r="E175" s="133" t="str">
        <f t="shared" si="7"/>
        <v/>
      </c>
      <c r="F175" s="133" t="str">
        <f t="shared" si="8"/>
        <v/>
      </c>
      <c r="G175" s="133" t="str">
        <f t="shared" si="9"/>
        <v/>
      </c>
    </row>
    <row r="176" spans="5:7" x14ac:dyDescent="0.2">
      <c r="E176" s="133" t="str">
        <f t="shared" si="7"/>
        <v/>
      </c>
      <c r="F176" s="133" t="str">
        <f t="shared" si="8"/>
        <v/>
      </c>
      <c r="G176" s="133" t="str">
        <f t="shared" si="9"/>
        <v/>
      </c>
    </row>
    <row r="177" spans="5:7" x14ac:dyDescent="0.2">
      <c r="E177" s="133" t="str">
        <f t="shared" si="7"/>
        <v/>
      </c>
      <c r="F177" s="133" t="str">
        <f t="shared" si="8"/>
        <v/>
      </c>
      <c r="G177" s="133" t="str">
        <f t="shared" si="9"/>
        <v/>
      </c>
    </row>
    <row r="178" spans="5:7" x14ac:dyDescent="0.2">
      <c r="E178" s="133" t="str">
        <f t="shared" si="7"/>
        <v/>
      </c>
      <c r="F178" s="133" t="str">
        <f t="shared" si="8"/>
        <v/>
      </c>
      <c r="G178" s="133" t="str">
        <f t="shared" si="9"/>
        <v/>
      </c>
    </row>
    <row r="179" spans="5:7" x14ac:dyDescent="0.2">
      <c r="E179" s="133" t="str">
        <f t="shared" si="7"/>
        <v/>
      </c>
      <c r="F179" s="133" t="str">
        <f t="shared" si="8"/>
        <v/>
      </c>
      <c r="G179" s="133" t="str">
        <f t="shared" si="9"/>
        <v/>
      </c>
    </row>
    <row r="180" spans="5:7" x14ac:dyDescent="0.2">
      <c r="E180" s="133" t="str">
        <f t="shared" si="7"/>
        <v/>
      </c>
      <c r="F180" s="133" t="str">
        <f t="shared" si="8"/>
        <v/>
      </c>
      <c r="G180" s="133" t="str">
        <f t="shared" si="9"/>
        <v/>
      </c>
    </row>
    <row r="181" spans="5:7" x14ac:dyDescent="0.2">
      <c r="E181" s="133" t="str">
        <f t="shared" si="7"/>
        <v/>
      </c>
      <c r="F181" s="133" t="str">
        <f t="shared" si="8"/>
        <v/>
      </c>
      <c r="G181" s="133" t="str">
        <f t="shared" si="9"/>
        <v/>
      </c>
    </row>
    <row r="182" spans="5:7" x14ac:dyDescent="0.2">
      <c r="E182" s="133" t="str">
        <f t="shared" si="7"/>
        <v/>
      </c>
      <c r="F182" s="133" t="str">
        <f t="shared" si="8"/>
        <v/>
      </c>
      <c r="G182" s="133" t="str">
        <f t="shared" si="9"/>
        <v/>
      </c>
    </row>
    <row r="183" spans="5:7" x14ac:dyDescent="0.2">
      <c r="E183" s="133" t="str">
        <f t="shared" si="7"/>
        <v/>
      </c>
      <c r="F183" s="133" t="str">
        <f t="shared" si="8"/>
        <v/>
      </c>
      <c r="G183" s="133" t="str">
        <f t="shared" si="9"/>
        <v/>
      </c>
    </row>
    <row r="184" spans="5:7" x14ac:dyDescent="0.2">
      <c r="E184" s="133" t="str">
        <f t="shared" si="7"/>
        <v/>
      </c>
      <c r="F184" s="133" t="str">
        <f t="shared" si="8"/>
        <v/>
      </c>
      <c r="G184" s="133" t="str">
        <f t="shared" si="9"/>
        <v/>
      </c>
    </row>
    <row r="185" spans="5:7" x14ac:dyDescent="0.2">
      <c r="E185" s="133" t="str">
        <f t="shared" si="7"/>
        <v/>
      </c>
      <c r="F185" s="133" t="str">
        <f t="shared" si="8"/>
        <v/>
      </c>
      <c r="G185" s="133" t="str">
        <f t="shared" si="9"/>
        <v/>
      </c>
    </row>
    <row r="186" spans="5:7" x14ac:dyDescent="0.2">
      <c r="E186" s="133" t="str">
        <f t="shared" si="7"/>
        <v/>
      </c>
      <c r="F186" s="133" t="str">
        <f t="shared" si="8"/>
        <v/>
      </c>
      <c r="G186" s="133" t="str">
        <f t="shared" si="9"/>
        <v/>
      </c>
    </row>
    <row r="187" spans="5:7" x14ac:dyDescent="0.2">
      <c r="E187" s="133" t="str">
        <f t="shared" si="7"/>
        <v/>
      </c>
      <c r="F187" s="133" t="str">
        <f t="shared" si="8"/>
        <v/>
      </c>
      <c r="G187" s="133" t="str">
        <f t="shared" si="9"/>
        <v/>
      </c>
    </row>
    <row r="188" spans="5:7" x14ac:dyDescent="0.2">
      <c r="E188" s="133" t="str">
        <f t="shared" si="7"/>
        <v/>
      </c>
      <c r="F188" s="133" t="str">
        <f t="shared" si="8"/>
        <v/>
      </c>
      <c r="G188" s="133" t="str">
        <f t="shared" si="9"/>
        <v/>
      </c>
    </row>
    <row r="189" spans="5:7" x14ac:dyDescent="0.2">
      <c r="E189" s="133" t="str">
        <f t="shared" si="7"/>
        <v/>
      </c>
      <c r="F189" s="133" t="str">
        <f t="shared" si="8"/>
        <v/>
      </c>
      <c r="G189" s="133" t="str">
        <f t="shared" si="9"/>
        <v/>
      </c>
    </row>
    <row r="190" spans="5:7" x14ac:dyDescent="0.2">
      <c r="E190" s="133" t="str">
        <f t="shared" si="7"/>
        <v/>
      </c>
      <c r="F190" s="133" t="str">
        <f t="shared" si="8"/>
        <v/>
      </c>
      <c r="G190" s="133" t="str">
        <f t="shared" si="9"/>
        <v/>
      </c>
    </row>
    <row r="191" spans="5:7" x14ac:dyDescent="0.2">
      <c r="E191" s="133" t="str">
        <f t="shared" si="7"/>
        <v/>
      </c>
      <c r="F191" s="133" t="str">
        <f t="shared" si="8"/>
        <v/>
      </c>
      <c r="G191" s="133" t="str">
        <f t="shared" si="9"/>
        <v/>
      </c>
    </row>
    <row r="192" spans="5:7" x14ac:dyDescent="0.2">
      <c r="E192" s="133" t="str">
        <f t="shared" si="7"/>
        <v/>
      </c>
      <c r="F192" s="133" t="str">
        <f t="shared" si="8"/>
        <v/>
      </c>
      <c r="G192" s="133" t="str">
        <f t="shared" si="9"/>
        <v/>
      </c>
    </row>
    <row r="193" spans="5:7" x14ac:dyDescent="0.2">
      <c r="E193" s="133" t="str">
        <f t="shared" si="7"/>
        <v/>
      </c>
      <c r="F193" s="133" t="str">
        <f t="shared" si="8"/>
        <v/>
      </c>
      <c r="G193" s="133" t="str">
        <f t="shared" si="9"/>
        <v/>
      </c>
    </row>
    <row r="194" spans="5:7" x14ac:dyDescent="0.2">
      <c r="E194" s="133" t="str">
        <f t="shared" ref="E194:E257" si="10">IF(OR(A194="",D194=""),"",(D194-A194)*24)</f>
        <v/>
      </c>
      <c r="F194" s="133" t="str">
        <f t="shared" ref="F194:F257" si="11">IF(OR(A194="",D194=""),"",INT((D194-A194)*24)&amp;" час "&amp;ROUND(((D194-A194)*24-INT((D194-A194)*24))*60,0)&amp;" минут")</f>
        <v/>
      </c>
      <c r="G194" s="133" t="str">
        <f t="shared" ref="G194:G257" si="12">IF(D194="","",TEXT(D194,"ММММ ГГГГ"))</f>
        <v/>
      </c>
    </row>
    <row r="195" spans="5:7" x14ac:dyDescent="0.2">
      <c r="E195" s="133" t="str">
        <f t="shared" si="10"/>
        <v/>
      </c>
      <c r="F195" s="133" t="str">
        <f t="shared" si="11"/>
        <v/>
      </c>
      <c r="G195" s="133" t="str">
        <f t="shared" si="12"/>
        <v/>
      </c>
    </row>
    <row r="196" spans="5:7" x14ac:dyDescent="0.2">
      <c r="E196" s="133" t="str">
        <f t="shared" si="10"/>
        <v/>
      </c>
      <c r="F196" s="133" t="str">
        <f t="shared" si="11"/>
        <v/>
      </c>
      <c r="G196" s="133" t="str">
        <f t="shared" si="12"/>
        <v/>
      </c>
    </row>
    <row r="197" spans="5:7" x14ac:dyDescent="0.2">
      <c r="E197" s="133" t="str">
        <f t="shared" si="10"/>
        <v/>
      </c>
      <c r="F197" s="133" t="str">
        <f t="shared" si="11"/>
        <v/>
      </c>
      <c r="G197" s="133" t="str">
        <f t="shared" si="12"/>
        <v/>
      </c>
    </row>
    <row r="198" spans="5:7" x14ac:dyDescent="0.2">
      <c r="E198" s="133" t="str">
        <f t="shared" si="10"/>
        <v/>
      </c>
      <c r="F198" s="133" t="str">
        <f t="shared" si="11"/>
        <v/>
      </c>
      <c r="G198" s="133" t="str">
        <f t="shared" si="12"/>
        <v/>
      </c>
    </row>
    <row r="199" spans="5:7" x14ac:dyDescent="0.2">
      <c r="E199" s="133" t="str">
        <f t="shared" si="10"/>
        <v/>
      </c>
      <c r="F199" s="133" t="str">
        <f t="shared" si="11"/>
        <v/>
      </c>
      <c r="G199" s="133" t="str">
        <f t="shared" si="12"/>
        <v/>
      </c>
    </row>
    <row r="200" spans="5:7" x14ac:dyDescent="0.2">
      <c r="E200" s="133" t="str">
        <f t="shared" si="10"/>
        <v/>
      </c>
      <c r="F200" s="133" t="str">
        <f t="shared" si="11"/>
        <v/>
      </c>
      <c r="G200" s="133" t="str">
        <f t="shared" si="12"/>
        <v/>
      </c>
    </row>
    <row r="201" spans="5:7" x14ac:dyDescent="0.2">
      <c r="E201" s="133" t="str">
        <f t="shared" si="10"/>
        <v/>
      </c>
      <c r="F201" s="133" t="str">
        <f t="shared" si="11"/>
        <v/>
      </c>
      <c r="G201" s="133" t="str">
        <f t="shared" si="12"/>
        <v/>
      </c>
    </row>
    <row r="202" spans="5:7" x14ac:dyDescent="0.2">
      <c r="E202" s="133" t="str">
        <f t="shared" si="10"/>
        <v/>
      </c>
      <c r="F202" s="133" t="str">
        <f t="shared" si="11"/>
        <v/>
      </c>
      <c r="G202" s="133" t="str">
        <f t="shared" si="12"/>
        <v/>
      </c>
    </row>
    <row r="203" spans="5:7" x14ac:dyDescent="0.2">
      <c r="E203" s="133" t="str">
        <f t="shared" si="10"/>
        <v/>
      </c>
      <c r="F203" s="133" t="str">
        <f t="shared" si="11"/>
        <v/>
      </c>
      <c r="G203" s="133" t="str">
        <f t="shared" si="12"/>
        <v/>
      </c>
    </row>
    <row r="204" spans="5:7" x14ac:dyDescent="0.2">
      <c r="E204" s="133" t="str">
        <f t="shared" si="10"/>
        <v/>
      </c>
      <c r="F204" s="133" t="str">
        <f t="shared" si="11"/>
        <v/>
      </c>
      <c r="G204" s="133" t="str">
        <f t="shared" si="12"/>
        <v/>
      </c>
    </row>
    <row r="205" spans="5:7" x14ac:dyDescent="0.2">
      <c r="E205" s="133" t="str">
        <f t="shared" si="10"/>
        <v/>
      </c>
      <c r="F205" s="133" t="str">
        <f t="shared" si="11"/>
        <v/>
      </c>
      <c r="G205" s="133" t="str">
        <f t="shared" si="12"/>
        <v/>
      </c>
    </row>
    <row r="206" spans="5:7" x14ac:dyDescent="0.2">
      <c r="E206" s="133" t="str">
        <f t="shared" si="10"/>
        <v/>
      </c>
      <c r="F206" s="133" t="str">
        <f t="shared" si="11"/>
        <v/>
      </c>
      <c r="G206" s="133" t="str">
        <f t="shared" si="12"/>
        <v/>
      </c>
    </row>
    <row r="207" spans="5:7" x14ac:dyDescent="0.2">
      <c r="E207" s="133" t="str">
        <f t="shared" si="10"/>
        <v/>
      </c>
      <c r="F207" s="133" t="str">
        <f t="shared" si="11"/>
        <v/>
      </c>
      <c r="G207" s="133" t="str">
        <f t="shared" si="12"/>
        <v/>
      </c>
    </row>
    <row r="208" spans="5:7" x14ac:dyDescent="0.2">
      <c r="E208" s="133" t="str">
        <f t="shared" si="10"/>
        <v/>
      </c>
      <c r="F208" s="133" t="str">
        <f t="shared" si="11"/>
        <v/>
      </c>
      <c r="G208" s="133" t="str">
        <f t="shared" si="12"/>
        <v/>
      </c>
    </row>
    <row r="209" spans="5:7" x14ac:dyDescent="0.2">
      <c r="E209" s="133" t="str">
        <f t="shared" si="10"/>
        <v/>
      </c>
      <c r="F209" s="133" t="str">
        <f t="shared" si="11"/>
        <v/>
      </c>
      <c r="G209" s="133" t="str">
        <f t="shared" si="12"/>
        <v/>
      </c>
    </row>
    <row r="210" spans="5:7" x14ac:dyDescent="0.2">
      <c r="E210" s="133" t="str">
        <f t="shared" si="10"/>
        <v/>
      </c>
      <c r="F210" s="133" t="str">
        <f t="shared" si="11"/>
        <v/>
      </c>
      <c r="G210" s="133" t="str">
        <f t="shared" si="12"/>
        <v/>
      </c>
    </row>
    <row r="211" spans="5:7" x14ac:dyDescent="0.2">
      <c r="E211" s="133" t="str">
        <f t="shared" si="10"/>
        <v/>
      </c>
      <c r="F211" s="133" t="str">
        <f t="shared" si="11"/>
        <v/>
      </c>
      <c r="G211" s="133" t="str">
        <f t="shared" si="12"/>
        <v/>
      </c>
    </row>
    <row r="212" spans="5:7" x14ac:dyDescent="0.2">
      <c r="E212" s="133" t="str">
        <f t="shared" si="10"/>
        <v/>
      </c>
      <c r="F212" s="133" t="str">
        <f t="shared" si="11"/>
        <v/>
      </c>
      <c r="G212" s="133" t="str">
        <f t="shared" si="12"/>
        <v/>
      </c>
    </row>
    <row r="213" spans="5:7" x14ac:dyDescent="0.2">
      <c r="E213" s="133" t="str">
        <f t="shared" si="10"/>
        <v/>
      </c>
      <c r="F213" s="133" t="str">
        <f t="shared" si="11"/>
        <v/>
      </c>
      <c r="G213" s="133" t="str">
        <f t="shared" si="12"/>
        <v/>
      </c>
    </row>
    <row r="214" spans="5:7" x14ac:dyDescent="0.2">
      <c r="E214" s="133" t="str">
        <f t="shared" si="10"/>
        <v/>
      </c>
      <c r="F214" s="133" t="str">
        <f t="shared" si="11"/>
        <v/>
      </c>
      <c r="G214" s="133" t="str">
        <f t="shared" si="12"/>
        <v/>
      </c>
    </row>
    <row r="215" spans="5:7" x14ac:dyDescent="0.2">
      <c r="E215" s="133" t="str">
        <f t="shared" si="10"/>
        <v/>
      </c>
      <c r="F215" s="133" t="str">
        <f t="shared" si="11"/>
        <v/>
      </c>
      <c r="G215" s="133" t="str">
        <f t="shared" si="12"/>
        <v/>
      </c>
    </row>
    <row r="216" spans="5:7" x14ac:dyDescent="0.2">
      <c r="E216" s="133" t="str">
        <f t="shared" si="10"/>
        <v/>
      </c>
      <c r="F216" s="133" t="str">
        <f t="shared" si="11"/>
        <v/>
      </c>
      <c r="G216" s="133" t="str">
        <f t="shared" si="12"/>
        <v/>
      </c>
    </row>
    <row r="217" spans="5:7" x14ac:dyDescent="0.2">
      <c r="E217" s="133" t="str">
        <f t="shared" si="10"/>
        <v/>
      </c>
      <c r="F217" s="133" t="str">
        <f t="shared" si="11"/>
        <v/>
      </c>
      <c r="G217" s="133" t="str">
        <f t="shared" si="12"/>
        <v/>
      </c>
    </row>
    <row r="218" spans="5:7" x14ac:dyDescent="0.2">
      <c r="E218" s="133" t="str">
        <f t="shared" si="10"/>
        <v/>
      </c>
      <c r="F218" s="133" t="str">
        <f t="shared" si="11"/>
        <v/>
      </c>
      <c r="G218" s="133" t="str">
        <f t="shared" si="12"/>
        <v/>
      </c>
    </row>
    <row r="219" spans="5:7" x14ac:dyDescent="0.2">
      <c r="E219" s="133" t="str">
        <f t="shared" si="10"/>
        <v/>
      </c>
      <c r="F219" s="133" t="str">
        <f t="shared" si="11"/>
        <v/>
      </c>
      <c r="G219" s="133" t="str">
        <f t="shared" si="12"/>
        <v/>
      </c>
    </row>
    <row r="220" spans="5:7" x14ac:dyDescent="0.2">
      <c r="E220" s="133" t="str">
        <f t="shared" si="10"/>
        <v/>
      </c>
      <c r="F220" s="133" t="str">
        <f t="shared" si="11"/>
        <v/>
      </c>
      <c r="G220" s="133" t="str">
        <f t="shared" si="12"/>
        <v/>
      </c>
    </row>
    <row r="221" spans="5:7" x14ac:dyDescent="0.2">
      <c r="E221" s="133" t="str">
        <f t="shared" si="10"/>
        <v/>
      </c>
      <c r="F221" s="133" t="str">
        <f t="shared" si="11"/>
        <v/>
      </c>
      <c r="G221" s="133" t="str">
        <f t="shared" si="12"/>
        <v/>
      </c>
    </row>
    <row r="222" spans="5:7" x14ac:dyDescent="0.2">
      <c r="E222" s="133" t="str">
        <f t="shared" si="10"/>
        <v/>
      </c>
      <c r="F222" s="133" t="str">
        <f t="shared" si="11"/>
        <v/>
      </c>
      <c r="G222" s="133" t="str">
        <f t="shared" si="12"/>
        <v/>
      </c>
    </row>
    <row r="223" spans="5:7" x14ac:dyDescent="0.2">
      <c r="E223" s="133" t="str">
        <f t="shared" si="10"/>
        <v/>
      </c>
      <c r="F223" s="133" t="str">
        <f t="shared" si="11"/>
        <v/>
      </c>
      <c r="G223" s="133" t="str">
        <f t="shared" si="12"/>
        <v/>
      </c>
    </row>
    <row r="224" spans="5:7" x14ac:dyDescent="0.2">
      <c r="E224" s="133" t="str">
        <f t="shared" si="10"/>
        <v/>
      </c>
      <c r="F224" s="133" t="str">
        <f t="shared" si="11"/>
        <v/>
      </c>
      <c r="G224" s="133" t="str">
        <f t="shared" si="12"/>
        <v/>
      </c>
    </row>
    <row r="225" spans="5:7" x14ac:dyDescent="0.2">
      <c r="E225" s="133" t="str">
        <f t="shared" si="10"/>
        <v/>
      </c>
      <c r="F225" s="133" t="str">
        <f t="shared" si="11"/>
        <v/>
      </c>
      <c r="G225" s="133" t="str">
        <f t="shared" si="12"/>
        <v/>
      </c>
    </row>
    <row r="226" spans="5:7" x14ac:dyDescent="0.2">
      <c r="E226" s="133" t="str">
        <f t="shared" si="10"/>
        <v/>
      </c>
      <c r="F226" s="133" t="str">
        <f t="shared" si="11"/>
        <v/>
      </c>
      <c r="G226" s="133" t="str">
        <f t="shared" si="12"/>
        <v/>
      </c>
    </row>
    <row r="227" spans="5:7" x14ac:dyDescent="0.2">
      <c r="E227" s="133" t="str">
        <f t="shared" si="10"/>
        <v/>
      </c>
      <c r="F227" s="133" t="str">
        <f t="shared" si="11"/>
        <v/>
      </c>
      <c r="G227" s="133" t="str">
        <f t="shared" si="12"/>
        <v/>
      </c>
    </row>
    <row r="228" spans="5:7" x14ac:dyDescent="0.2">
      <c r="E228" s="133" t="str">
        <f t="shared" si="10"/>
        <v/>
      </c>
      <c r="F228" s="133" t="str">
        <f t="shared" si="11"/>
        <v/>
      </c>
      <c r="G228" s="133" t="str">
        <f t="shared" si="12"/>
        <v/>
      </c>
    </row>
    <row r="229" spans="5:7" x14ac:dyDescent="0.2">
      <c r="E229" s="133" t="str">
        <f t="shared" si="10"/>
        <v/>
      </c>
      <c r="F229" s="133" t="str">
        <f t="shared" si="11"/>
        <v/>
      </c>
      <c r="G229" s="133" t="str">
        <f t="shared" si="12"/>
        <v/>
      </c>
    </row>
    <row r="230" spans="5:7" x14ac:dyDescent="0.2">
      <c r="E230" s="133" t="str">
        <f t="shared" si="10"/>
        <v/>
      </c>
      <c r="F230" s="133" t="str">
        <f t="shared" si="11"/>
        <v/>
      </c>
      <c r="G230" s="133" t="str">
        <f t="shared" si="12"/>
        <v/>
      </c>
    </row>
    <row r="231" spans="5:7" x14ac:dyDescent="0.2">
      <c r="E231" s="133" t="str">
        <f t="shared" si="10"/>
        <v/>
      </c>
      <c r="F231" s="133" t="str">
        <f t="shared" si="11"/>
        <v/>
      </c>
      <c r="G231" s="133" t="str">
        <f t="shared" si="12"/>
        <v/>
      </c>
    </row>
    <row r="232" spans="5:7" x14ac:dyDescent="0.2">
      <c r="E232" s="133" t="str">
        <f t="shared" si="10"/>
        <v/>
      </c>
      <c r="F232" s="133" t="str">
        <f t="shared" si="11"/>
        <v/>
      </c>
      <c r="G232" s="133" t="str">
        <f t="shared" si="12"/>
        <v/>
      </c>
    </row>
    <row r="233" spans="5:7" x14ac:dyDescent="0.2">
      <c r="E233" s="133" t="str">
        <f t="shared" si="10"/>
        <v/>
      </c>
      <c r="F233" s="133" t="str">
        <f t="shared" si="11"/>
        <v/>
      </c>
      <c r="G233" s="133" t="str">
        <f t="shared" si="12"/>
        <v/>
      </c>
    </row>
    <row r="234" spans="5:7" x14ac:dyDescent="0.2">
      <c r="E234" s="133" t="str">
        <f t="shared" si="10"/>
        <v/>
      </c>
      <c r="F234" s="133" t="str">
        <f t="shared" si="11"/>
        <v/>
      </c>
      <c r="G234" s="133" t="str">
        <f t="shared" si="12"/>
        <v/>
      </c>
    </row>
    <row r="235" spans="5:7" x14ac:dyDescent="0.2">
      <c r="E235" s="133" t="str">
        <f t="shared" si="10"/>
        <v/>
      </c>
      <c r="F235" s="133" t="str">
        <f t="shared" si="11"/>
        <v/>
      </c>
      <c r="G235" s="133" t="str">
        <f t="shared" si="12"/>
        <v/>
      </c>
    </row>
    <row r="236" spans="5:7" x14ac:dyDescent="0.2">
      <c r="E236" s="133" t="str">
        <f t="shared" si="10"/>
        <v/>
      </c>
      <c r="F236" s="133" t="str">
        <f t="shared" si="11"/>
        <v/>
      </c>
      <c r="G236" s="133" t="str">
        <f t="shared" si="12"/>
        <v/>
      </c>
    </row>
    <row r="237" spans="5:7" x14ac:dyDescent="0.2">
      <c r="E237" s="133" t="str">
        <f t="shared" si="10"/>
        <v/>
      </c>
      <c r="F237" s="133" t="str">
        <f t="shared" si="11"/>
        <v/>
      </c>
      <c r="G237" s="133" t="str">
        <f t="shared" si="12"/>
        <v/>
      </c>
    </row>
    <row r="238" spans="5:7" x14ac:dyDescent="0.2">
      <c r="E238" s="133" t="str">
        <f t="shared" si="10"/>
        <v/>
      </c>
      <c r="F238" s="133" t="str">
        <f t="shared" si="11"/>
        <v/>
      </c>
      <c r="G238" s="133" t="str">
        <f t="shared" si="12"/>
        <v/>
      </c>
    </row>
    <row r="239" spans="5:7" x14ac:dyDescent="0.2">
      <c r="E239" s="133" t="str">
        <f t="shared" si="10"/>
        <v/>
      </c>
      <c r="F239" s="133" t="str">
        <f t="shared" si="11"/>
        <v/>
      </c>
      <c r="G239" s="133" t="str">
        <f t="shared" si="12"/>
        <v/>
      </c>
    </row>
    <row r="240" spans="5:7" x14ac:dyDescent="0.2">
      <c r="E240" s="133" t="str">
        <f t="shared" si="10"/>
        <v/>
      </c>
      <c r="F240" s="133" t="str">
        <f t="shared" si="11"/>
        <v/>
      </c>
      <c r="G240" s="133" t="str">
        <f t="shared" si="12"/>
        <v/>
      </c>
    </row>
    <row r="241" spans="5:7" x14ac:dyDescent="0.2">
      <c r="E241" s="133" t="str">
        <f t="shared" si="10"/>
        <v/>
      </c>
      <c r="F241" s="133" t="str">
        <f t="shared" si="11"/>
        <v/>
      </c>
      <c r="G241" s="133" t="str">
        <f t="shared" si="12"/>
        <v/>
      </c>
    </row>
    <row r="242" spans="5:7" x14ac:dyDescent="0.2">
      <c r="E242" s="133" t="str">
        <f t="shared" si="10"/>
        <v/>
      </c>
      <c r="F242" s="133" t="str">
        <f t="shared" si="11"/>
        <v/>
      </c>
      <c r="G242" s="133" t="str">
        <f t="shared" si="12"/>
        <v/>
      </c>
    </row>
    <row r="243" spans="5:7" x14ac:dyDescent="0.2">
      <c r="E243" s="133" t="str">
        <f t="shared" si="10"/>
        <v/>
      </c>
      <c r="F243" s="133" t="str">
        <f t="shared" si="11"/>
        <v/>
      </c>
      <c r="G243" s="133" t="str">
        <f t="shared" si="12"/>
        <v/>
      </c>
    </row>
    <row r="244" spans="5:7" x14ac:dyDescent="0.2">
      <c r="E244" s="133" t="str">
        <f t="shared" si="10"/>
        <v/>
      </c>
      <c r="F244" s="133" t="str">
        <f t="shared" si="11"/>
        <v/>
      </c>
      <c r="G244" s="133" t="str">
        <f t="shared" si="12"/>
        <v/>
      </c>
    </row>
    <row r="245" spans="5:7" x14ac:dyDescent="0.2">
      <c r="E245" s="133" t="str">
        <f t="shared" si="10"/>
        <v/>
      </c>
      <c r="F245" s="133" t="str">
        <f t="shared" si="11"/>
        <v/>
      </c>
      <c r="G245" s="133" t="str">
        <f t="shared" si="12"/>
        <v/>
      </c>
    </row>
    <row r="246" spans="5:7" x14ac:dyDescent="0.2">
      <c r="E246" s="133" t="str">
        <f t="shared" si="10"/>
        <v/>
      </c>
      <c r="F246" s="133" t="str">
        <f t="shared" si="11"/>
        <v/>
      </c>
      <c r="G246" s="133" t="str">
        <f t="shared" si="12"/>
        <v/>
      </c>
    </row>
    <row r="247" spans="5:7" x14ac:dyDescent="0.2">
      <c r="E247" s="133" t="str">
        <f t="shared" si="10"/>
        <v/>
      </c>
      <c r="F247" s="133" t="str">
        <f t="shared" si="11"/>
        <v/>
      </c>
      <c r="G247" s="133" t="str">
        <f t="shared" si="12"/>
        <v/>
      </c>
    </row>
    <row r="248" spans="5:7" x14ac:dyDescent="0.2">
      <c r="E248" s="133" t="str">
        <f t="shared" si="10"/>
        <v/>
      </c>
      <c r="F248" s="133" t="str">
        <f t="shared" si="11"/>
        <v/>
      </c>
      <c r="G248" s="133" t="str">
        <f t="shared" si="12"/>
        <v/>
      </c>
    </row>
    <row r="249" spans="5:7" x14ac:dyDescent="0.2">
      <c r="E249" s="133" t="str">
        <f t="shared" si="10"/>
        <v/>
      </c>
      <c r="F249" s="133" t="str">
        <f t="shared" si="11"/>
        <v/>
      </c>
      <c r="G249" s="133" t="str">
        <f t="shared" si="12"/>
        <v/>
      </c>
    </row>
    <row r="250" spans="5:7" x14ac:dyDescent="0.2">
      <c r="E250" s="133" t="str">
        <f t="shared" si="10"/>
        <v/>
      </c>
      <c r="F250" s="133" t="str">
        <f t="shared" si="11"/>
        <v/>
      </c>
      <c r="G250" s="133" t="str">
        <f t="shared" si="12"/>
        <v/>
      </c>
    </row>
    <row r="251" spans="5:7" x14ac:dyDescent="0.2">
      <c r="E251" s="133" t="str">
        <f t="shared" si="10"/>
        <v/>
      </c>
      <c r="F251" s="133" t="str">
        <f t="shared" si="11"/>
        <v/>
      </c>
      <c r="G251" s="133" t="str">
        <f t="shared" si="12"/>
        <v/>
      </c>
    </row>
    <row r="252" spans="5:7" x14ac:dyDescent="0.2">
      <c r="E252" s="133" t="str">
        <f t="shared" si="10"/>
        <v/>
      </c>
      <c r="F252" s="133" t="str">
        <f t="shared" si="11"/>
        <v/>
      </c>
      <c r="G252" s="133" t="str">
        <f t="shared" si="12"/>
        <v/>
      </c>
    </row>
    <row r="253" spans="5:7" x14ac:dyDescent="0.2">
      <c r="E253" s="133" t="str">
        <f t="shared" si="10"/>
        <v/>
      </c>
      <c r="F253" s="133" t="str">
        <f t="shared" si="11"/>
        <v/>
      </c>
      <c r="G253" s="133" t="str">
        <f t="shared" si="12"/>
        <v/>
      </c>
    </row>
    <row r="254" spans="5:7" x14ac:dyDescent="0.2">
      <c r="E254" s="133" t="str">
        <f t="shared" si="10"/>
        <v/>
      </c>
      <c r="F254" s="133" t="str">
        <f t="shared" si="11"/>
        <v/>
      </c>
      <c r="G254" s="133" t="str">
        <f t="shared" si="12"/>
        <v/>
      </c>
    </row>
    <row r="255" spans="5:7" x14ac:dyDescent="0.2">
      <c r="E255" s="133" t="str">
        <f t="shared" si="10"/>
        <v/>
      </c>
      <c r="F255" s="133" t="str">
        <f t="shared" si="11"/>
        <v/>
      </c>
      <c r="G255" s="133" t="str">
        <f t="shared" si="12"/>
        <v/>
      </c>
    </row>
    <row r="256" spans="5:7" x14ac:dyDescent="0.2">
      <c r="E256" s="133" t="str">
        <f t="shared" si="10"/>
        <v/>
      </c>
      <c r="F256" s="133" t="str">
        <f t="shared" si="11"/>
        <v/>
      </c>
      <c r="G256" s="133" t="str">
        <f t="shared" si="12"/>
        <v/>
      </c>
    </row>
    <row r="257" spans="5:7" x14ac:dyDescent="0.2">
      <c r="E257" s="133" t="str">
        <f t="shared" si="10"/>
        <v/>
      </c>
      <c r="F257" s="133" t="str">
        <f t="shared" si="11"/>
        <v/>
      </c>
      <c r="G257" s="133" t="str">
        <f t="shared" si="12"/>
        <v/>
      </c>
    </row>
    <row r="258" spans="5:7" x14ac:dyDescent="0.2">
      <c r="E258" s="133" t="str">
        <f t="shared" ref="E258:E321" si="13">IF(OR(A258="",D258=""),"",(D258-A258)*24)</f>
        <v/>
      </c>
      <c r="F258" s="133" t="str">
        <f t="shared" ref="F258:F321" si="14">IF(OR(A258="",D258=""),"",INT((D258-A258)*24)&amp;" час "&amp;ROUND(((D258-A258)*24-INT((D258-A258)*24))*60,0)&amp;" минут")</f>
        <v/>
      </c>
      <c r="G258" s="133" t="str">
        <f t="shared" ref="G258:G321" si="15">IF(D258="","",TEXT(D258,"ММММ ГГГГ"))</f>
        <v/>
      </c>
    </row>
    <row r="259" spans="5:7" x14ac:dyDescent="0.2">
      <c r="E259" s="133" t="str">
        <f t="shared" si="13"/>
        <v/>
      </c>
      <c r="F259" s="133" t="str">
        <f t="shared" si="14"/>
        <v/>
      </c>
      <c r="G259" s="133" t="str">
        <f t="shared" si="15"/>
        <v/>
      </c>
    </row>
    <row r="260" spans="5:7" x14ac:dyDescent="0.2">
      <c r="E260" s="133" t="str">
        <f t="shared" si="13"/>
        <v/>
      </c>
      <c r="F260" s="133" t="str">
        <f t="shared" si="14"/>
        <v/>
      </c>
      <c r="G260" s="133" t="str">
        <f t="shared" si="15"/>
        <v/>
      </c>
    </row>
    <row r="261" spans="5:7" x14ac:dyDescent="0.2">
      <c r="E261" s="133" t="str">
        <f t="shared" si="13"/>
        <v/>
      </c>
      <c r="F261" s="133" t="str">
        <f t="shared" si="14"/>
        <v/>
      </c>
      <c r="G261" s="133" t="str">
        <f t="shared" si="15"/>
        <v/>
      </c>
    </row>
    <row r="262" spans="5:7" x14ac:dyDescent="0.2">
      <c r="E262" s="133" t="str">
        <f t="shared" si="13"/>
        <v/>
      </c>
      <c r="F262" s="133" t="str">
        <f t="shared" si="14"/>
        <v/>
      </c>
      <c r="G262" s="133" t="str">
        <f t="shared" si="15"/>
        <v/>
      </c>
    </row>
    <row r="263" spans="5:7" x14ac:dyDescent="0.2">
      <c r="E263" s="133" t="str">
        <f t="shared" si="13"/>
        <v/>
      </c>
      <c r="F263" s="133" t="str">
        <f t="shared" si="14"/>
        <v/>
      </c>
      <c r="G263" s="133" t="str">
        <f t="shared" si="15"/>
        <v/>
      </c>
    </row>
    <row r="264" spans="5:7" x14ac:dyDescent="0.2">
      <c r="E264" s="133" t="str">
        <f t="shared" si="13"/>
        <v/>
      </c>
      <c r="F264" s="133" t="str">
        <f t="shared" si="14"/>
        <v/>
      </c>
      <c r="G264" s="133" t="str">
        <f t="shared" si="15"/>
        <v/>
      </c>
    </row>
    <row r="265" spans="5:7" x14ac:dyDescent="0.2">
      <c r="E265" s="133" t="str">
        <f t="shared" si="13"/>
        <v/>
      </c>
      <c r="F265" s="133" t="str">
        <f t="shared" si="14"/>
        <v/>
      </c>
      <c r="G265" s="133" t="str">
        <f t="shared" si="15"/>
        <v/>
      </c>
    </row>
    <row r="266" spans="5:7" x14ac:dyDescent="0.2">
      <c r="E266" s="133" t="str">
        <f t="shared" si="13"/>
        <v/>
      </c>
      <c r="F266" s="133" t="str">
        <f t="shared" si="14"/>
        <v/>
      </c>
      <c r="G266" s="133" t="str">
        <f t="shared" si="15"/>
        <v/>
      </c>
    </row>
    <row r="267" spans="5:7" x14ac:dyDescent="0.2">
      <c r="E267" s="133" t="str">
        <f t="shared" si="13"/>
        <v/>
      </c>
      <c r="F267" s="133" t="str">
        <f t="shared" si="14"/>
        <v/>
      </c>
      <c r="G267" s="133" t="str">
        <f t="shared" si="15"/>
        <v/>
      </c>
    </row>
    <row r="268" spans="5:7" x14ac:dyDescent="0.2">
      <c r="E268" s="133" t="str">
        <f t="shared" si="13"/>
        <v/>
      </c>
      <c r="F268" s="133" t="str">
        <f t="shared" si="14"/>
        <v/>
      </c>
      <c r="G268" s="133" t="str">
        <f t="shared" si="15"/>
        <v/>
      </c>
    </row>
    <row r="269" spans="5:7" x14ac:dyDescent="0.2">
      <c r="E269" s="133" t="str">
        <f t="shared" si="13"/>
        <v/>
      </c>
      <c r="F269" s="133" t="str">
        <f t="shared" si="14"/>
        <v/>
      </c>
      <c r="G269" s="133" t="str">
        <f t="shared" si="15"/>
        <v/>
      </c>
    </row>
    <row r="270" spans="5:7" x14ac:dyDescent="0.2">
      <c r="E270" s="133" t="str">
        <f t="shared" si="13"/>
        <v/>
      </c>
      <c r="F270" s="133" t="str">
        <f t="shared" si="14"/>
        <v/>
      </c>
      <c r="G270" s="133" t="str">
        <f t="shared" si="15"/>
        <v/>
      </c>
    </row>
    <row r="271" spans="5:7" x14ac:dyDescent="0.2">
      <c r="E271" s="133" t="str">
        <f t="shared" si="13"/>
        <v/>
      </c>
      <c r="F271" s="133" t="str">
        <f t="shared" si="14"/>
        <v/>
      </c>
      <c r="G271" s="133" t="str">
        <f t="shared" si="15"/>
        <v/>
      </c>
    </row>
    <row r="272" spans="5:7" x14ac:dyDescent="0.2">
      <c r="E272" s="133" t="str">
        <f t="shared" si="13"/>
        <v/>
      </c>
      <c r="F272" s="133" t="str">
        <f t="shared" si="14"/>
        <v/>
      </c>
      <c r="G272" s="133" t="str">
        <f t="shared" si="15"/>
        <v/>
      </c>
    </row>
    <row r="273" spans="5:7" x14ac:dyDescent="0.2">
      <c r="E273" s="133" t="str">
        <f t="shared" si="13"/>
        <v/>
      </c>
      <c r="F273" s="133" t="str">
        <f t="shared" si="14"/>
        <v/>
      </c>
      <c r="G273" s="133" t="str">
        <f t="shared" si="15"/>
        <v/>
      </c>
    </row>
    <row r="274" spans="5:7" x14ac:dyDescent="0.2">
      <c r="E274" s="133" t="str">
        <f t="shared" si="13"/>
        <v/>
      </c>
      <c r="F274" s="133" t="str">
        <f t="shared" si="14"/>
        <v/>
      </c>
      <c r="G274" s="133" t="str">
        <f t="shared" si="15"/>
        <v/>
      </c>
    </row>
    <row r="275" spans="5:7" x14ac:dyDescent="0.2">
      <c r="E275" s="133" t="str">
        <f t="shared" si="13"/>
        <v/>
      </c>
      <c r="F275" s="133" t="str">
        <f t="shared" si="14"/>
        <v/>
      </c>
      <c r="G275" s="133" t="str">
        <f t="shared" si="15"/>
        <v/>
      </c>
    </row>
    <row r="276" spans="5:7" x14ac:dyDescent="0.2">
      <c r="E276" s="133" t="str">
        <f t="shared" si="13"/>
        <v/>
      </c>
      <c r="F276" s="133" t="str">
        <f t="shared" si="14"/>
        <v/>
      </c>
      <c r="G276" s="133" t="str">
        <f t="shared" si="15"/>
        <v/>
      </c>
    </row>
    <row r="277" spans="5:7" x14ac:dyDescent="0.2">
      <c r="E277" s="133" t="str">
        <f t="shared" si="13"/>
        <v/>
      </c>
      <c r="F277" s="133" t="str">
        <f t="shared" si="14"/>
        <v/>
      </c>
      <c r="G277" s="133" t="str">
        <f t="shared" si="15"/>
        <v/>
      </c>
    </row>
    <row r="278" spans="5:7" x14ac:dyDescent="0.2">
      <c r="E278" s="133" t="str">
        <f t="shared" si="13"/>
        <v/>
      </c>
      <c r="F278" s="133" t="str">
        <f t="shared" si="14"/>
        <v/>
      </c>
      <c r="G278" s="133" t="str">
        <f t="shared" si="15"/>
        <v/>
      </c>
    </row>
    <row r="279" spans="5:7" x14ac:dyDescent="0.2">
      <c r="E279" s="133" t="str">
        <f t="shared" si="13"/>
        <v/>
      </c>
      <c r="F279" s="133" t="str">
        <f t="shared" si="14"/>
        <v/>
      </c>
      <c r="G279" s="133" t="str">
        <f t="shared" si="15"/>
        <v/>
      </c>
    </row>
    <row r="280" spans="5:7" x14ac:dyDescent="0.2">
      <c r="E280" s="133" t="str">
        <f t="shared" si="13"/>
        <v/>
      </c>
      <c r="F280" s="133" t="str">
        <f t="shared" si="14"/>
        <v/>
      </c>
      <c r="G280" s="133" t="str">
        <f t="shared" si="15"/>
        <v/>
      </c>
    </row>
    <row r="281" spans="5:7" x14ac:dyDescent="0.2">
      <c r="E281" s="133" t="str">
        <f t="shared" si="13"/>
        <v/>
      </c>
      <c r="F281" s="133" t="str">
        <f t="shared" si="14"/>
        <v/>
      </c>
      <c r="G281" s="133" t="str">
        <f t="shared" si="15"/>
        <v/>
      </c>
    </row>
    <row r="282" spans="5:7" x14ac:dyDescent="0.2">
      <c r="E282" s="133" t="str">
        <f t="shared" si="13"/>
        <v/>
      </c>
      <c r="F282" s="133" t="str">
        <f t="shared" si="14"/>
        <v/>
      </c>
      <c r="G282" s="133" t="str">
        <f t="shared" si="15"/>
        <v/>
      </c>
    </row>
    <row r="283" spans="5:7" x14ac:dyDescent="0.2">
      <c r="E283" s="133" t="str">
        <f t="shared" si="13"/>
        <v/>
      </c>
      <c r="F283" s="133" t="str">
        <f t="shared" si="14"/>
        <v/>
      </c>
      <c r="G283" s="133" t="str">
        <f t="shared" si="15"/>
        <v/>
      </c>
    </row>
    <row r="284" spans="5:7" x14ac:dyDescent="0.2">
      <c r="E284" s="133" t="str">
        <f t="shared" si="13"/>
        <v/>
      </c>
      <c r="F284" s="133" t="str">
        <f t="shared" si="14"/>
        <v/>
      </c>
      <c r="G284" s="133" t="str">
        <f t="shared" si="15"/>
        <v/>
      </c>
    </row>
    <row r="285" spans="5:7" x14ac:dyDescent="0.2">
      <c r="E285" s="133" t="str">
        <f t="shared" si="13"/>
        <v/>
      </c>
      <c r="F285" s="133" t="str">
        <f t="shared" si="14"/>
        <v/>
      </c>
      <c r="G285" s="133" t="str">
        <f t="shared" si="15"/>
        <v/>
      </c>
    </row>
    <row r="286" spans="5:7" x14ac:dyDescent="0.2">
      <c r="E286" s="133" t="str">
        <f t="shared" si="13"/>
        <v/>
      </c>
      <c r="F286" s="133" t="str">
        <f t="shared" si="14"/>
        <v/>
      </c>
      <c r="G286" s="133" t="str">
        <f t="shared" si="15"/>
        <v/>
      </c>
    </row>
    <row r="287" spans="5:7" x14ac:dyDescent="0.2">
      <c r="E287" s="133" t="str">
        <f t="shared" si="13"/>
        <v/>
      </c>
      <c r="F287" s="133" t="str">
        <f t="shared" si="14"/>
        <v/>
      </c>
      <c r="G287" s="133" t="str">
        <f t="shared" si="15"/>
        <v/>
      </c>
    </row>
    <row r="288" spans="5:7" x14ac:dyDescent="0.2">
      <c r="E288" s="133" t="str">
        <f t="shared" si="13"/>
        <v/>
      </c>
      <c r="F288" s="133" t="str">
        <f t="shared" si="14"/>
        <v/>
      </c>
      <c r="G288" s="133" t="str">
        <f t="shared" si="15"/>
        <v/>
      </c>
    </row>
    <row r="289" spans="5:7" x14ac:dyDescent="0.2">
      <c r="E289" s="133" t="str">
        <f t="shared" si="13"/>
        <v/>
      </c>
      <c r="F289" s="133" t="str">
        <f t="shared" si="14"/>
        <v/>
      </c>
      <c r="G289" s="133" t="str">
        <f t="shared" si="15"/>
        <v/>
      </c>
    </row>
    <row r="290" spans="5:7" x14ac:dyDescent="0.2">
      <c r="E290" s="133" t="str">
        <f t="shared" si="13"/>
        <v/>
      </c>
      <c r="F290" s="133" t="str">
        <f t="shared" si="14"/>
        <v/>
      </c>
      <c r="G290" s="133" t="str">
        <f t="shared" si="15"/>
        <v/>
      </c>
    </row>
    <row r="291" spans="5:7" x14ac:dyDescent="0.2">
      <c r="E291" s="133" t="str">
        <f t="shared" si="13"/>
        <v/>
      </c>
      <c r="F291" s="133" t="str">
        <f t="shared" si="14"/>
        <v/>
      </c>
      <c r="G291" s="133" t="str">
        <f t="shared" si="15"/>
        <v/>
      </c>
    </row>
    <row r="292" spans="5:7" x14ac:dyDescent="0.2">
      <c r="E292" s="133" t="str">
        <f t="shared" si="13"/>
        <v/>
      </c>
      <c r="F292" s="133" t="str">
        <f t="shared" si="14"/>
        <v/>
      </c>
      <c r="G292" s="133" t="str">
        <f t="shared" si="15"/>
        <v/>
      </c>
    </row>
    <row r="293" spans="5:7" x14ac:dyDescent="0.2">
      <c r="E293" s="133" t="str">
        <f t="shared" si="13"/>
        <v/>
      </c>
      <c r="F293" s="133" t="str">
        <f t="shared" si="14"/>
        <v/>
      </c>
      <c r="G293" s="133" t="str">
        <f t="shared" si="15"/>
        <v/>
      </c>
    </row>
    <row r="294" spans="5:7" x14ac:dyDescent="0.2">
      <c r="E294" s="133" t="str">
        <f t="shared" si="13"/>
        <v/>
      </c>
      <c r="F294" s="133" t="str">
        <f t="shared" si="14"/>
        <v/>
      </c>
      <c r="G294" s="133" t="str">
        <f t="shared" si="15"/>
        <v/>
      </c>
    </row>
    <row r="295" spans="5:7" x14ac:dyDescent="0.2">
      <c r="E295" s="133" t="str">
        <f t="shared" si="13"/>
        <v/>
      </c>
      <c r="F295" s="133" t="str">
        <f t="shared" si="14"/>
        <v/>
      </c>
      <c r="G295" s="133" t="str">
        <f t="shared" si="15"/>
        <v/>
      </c>
    </row>
    <row r="296" spans="5:7" x14ac:dyDescent="0.2">
      <c r="E296" s="133" t="str">
        <f t="shared" si="13"/>
        <v/>
      </c>
      <c r="F296" s="133" t="str">
        <f t="shared" si="14"/>
        <v/>
      </c>
      <c r="G296" s="133" t="str">
        <f t="shared" si="15"/>
        <v/>
      </c>
    </row>
    <row r="297" spans="5:7" x14ac:dyDescent="0.2">
      <c r="E297" s="133" t="str">
        <f t="shared" si="13"/>
        <v/>
      </c>
      <c r="F297" s="133" t="str">
        <f t="shared" si="14"/>
        <v/>
      </c>
      <c r="G297" s="133" t="str">
        <f t="shared" si="15"/>
        <v/>
      </c>
    </row>
    <row r="298" spans="5:7" x14ac:dyDescent="0.2">
      <c r="E298" s="133" t="str">
        <f t="shared" si="13"/>
        <v/>
      </c>
      <c r="F298" s="133" t="str">
        <f t="shared" si="14"/>
        <v/>
      </c>
      <c r="G298" s="133" t="str">
        <f t="shared" si="15"/>
        <v/>
      </c>
    </row>
    <row r="299" spans="5:7" x14ac:dyDescent="0.2">
      <c r="E299" s="133" t="str">
        <f t="shared" si="13"/>
        <v/>
      </c>
      <c r="F299" s="133" t="str">
        <f t="shared" si="14"/>
        <v/>
      </c>
      <c r="G299" s="133" t="str">
        <f t="shared" si="15"/>
        <v/>
      </c>
    </row>
    <row r="300" spans="5:7" x14ac:dyDescent="0.2">
      <c r="E300" s="133" t="str">
        <f t="shared" si="13"/>
        <v/>
      </c>
      <c r="F300" s="133" t="str">
        <f t="shared" si="14"/>
        <v/>
      </c>
      <c r="G300" s="133" t="str">
        <f t="shared" si="15"/>
        <v/>
      </c>
    </row>
    <row r="301" spans="5:7" x14ac:dyDescent="0.2">
      <c r="E301" s="133" t="str">
        <f t="shared" si="13"/>
        <v/>
      </c>
      <c r="F301" s="133" t="str">
        <f t="shared" si="14"/>
        <v/>
      </c>
      <c r="G301" s="133" t="str">
        <f t="shared" si="15"/>
        <v/>
      </c>
    </row>
    <row r="302" spans="5:7" x14ac:dyDescent="0.2">
      <c r="E302" s="133" t="str">
        <f t="shared" si="13"/>
        <v/>
      </c>
      <c r="F302" s="133" t="str">
        <f t="shared" si="14"/>
        <v/>
      </c>
      <c r="G302" s="133" t="str">
        <f t="shared" si="15"/>
        <v/>
      </c>
    </row>
    <row r="303" spans="5:7" x14ac:dyDescent="0.2">
      <c r="E303" s="133" t="str">
        <f t="shared" si="13"/>
        <v/>
      </c>
      <c r="F303" s="133" t="str">
        <f t="shared" si="14"/>
        <v/>
      </c>
      <c r="G303" s="133" t="str">
        <f t="shared" si="15"/>
        <v/>
      </c>
    </row>
    <row r="304" spans="5:7" x14ac:dyDescent="0.2">
      <c r="E304" s="133" t="str">
        <f t="shared" si="13"/>
        <v/>
      </c>
      <c r="F304" s="133" t="str">
        <f t="shared" si="14"/>
        <v/>
      </c>
      <c r="G304" s="133" t="str">
        <f t="shared" si="15"/>
        <v/>
      </c>
    </row>
    <row r="305" spans="5:7" x14ac:dyDescent="0.2">
      <c r="E305" s="133" t="str">
        <f t="shared" si="13"/>
        <v/>
      </c>
      <c r="F305" s="133" t="str">
        <f t="shared" si="14"/>
        <v/>
      </c>
      <c r="G305" s="133" t="str">
        <f t="shared" si="15"/>
        <v/>
      </c>
    </row>
    <row r="306" spans="5:7" x14ac:dyDescent="0.2">
      <c r="E306" s="133" t="str">
        <f t="shared" si="13"/>
        <v/>
      </c>
      <c r="F306" s="133" t="str">
        <f t="shared" si="14"/>
        <v/>
      </c>
      <c r="G306" s="133" t="str">
        <f t="shared" si="15"/>
        <v/>
      </c>
    </row>
    <row r="307" spans="5:7" x14ac:dyDescent="0.2">
      <c r="E307" s="133" t="str">
        <f t="shared" si="13"/>
        <v/>
      </c>
      <c r="F307" s="133" t="str">
        <f t="shared" si="14"/>
        <v/>
      </c>
      <c r="G307" s="133" t="str">
        <f t="shared" si="15"/>
        <v/>
      </c>
    </row>
    <row r="308" spans="5:7" x14ac:dyDescent="0.2">
      <c r="E308" s="133" t="str">
        <f t="shared" si="13"/>
        <v/>
      </c>
      <c r="F308" s="133" t="str">
        <f t="shared" si="14"/>
        <v/>
      </c>
      <c r="G308" s="133" t="str">
        <f t="shared" si="15"/>
        <v/>
      </c>
    </row>
    <row r="309" spans="5:7" x14ac:dyDescent="0.2">
      <c r="E309" s="133" t="str">
        <f t="shared" si="13"/>
        <v/>
      </c>
      <c r="F309" s="133" t="str">
        <f t="shared" si="14"/>
        <v/>
      </c>
      <c r="G309" s="133" t="str">
        <f t="shared" si="15"/>
        <v/>
      </c>
    </row>
    <row r="310" spans="5:7" x14ac:dyDescent="0.2">
      <c r="E310" s="133" t="str">
        <f t="shared" si="13"/>
        <v/>
      </c>
      <c r="F310" s="133" t="str">
        <f t="shared" si="14"/>
        <v/>
      </c>
      <c r="G310" s="133" t="str">
        <f t="shared" si="15"/>
        <v/>
      </c>
    </row>
    <row r="311" spans="5:7" x14ac:dyDescent="0.2">
      <c r="E311" s="133" t="str">
        <f t="shared" si="13"/>
        <v/>
      </c>
      <c r="F311" s="133" t="str">
        <f t="shared" si="14"/>
        <v/>
      </c>
      <c r="G311" s="133" t="str">
        <f t="shared" si="15"/>
        <v/>
      </c>
    </row>
    <row r="312" spans="5:7" x14ac:dyDescent="0.2">
      <c r="E312" s="133" t="str">
        <f t="shared" si="13"/>
        <v/>
      </c>
      <c r="F312" s="133" t="str">
        <f t="shared" si="14"/>
        <v/>
      </c>
      <c r="G312" s="133" t="str">
        <f t="shared" si="15"/>
        <v/>
      </c>
    </row>
    <row r="313" spans="5:7" x14ac:dyDescent="0.2">
      <c r="E313" s="133" t="str">
        <f t="shared" si="13"/>
        <v/>
      </c>
      <c r="F313" s="133" t="str">
        <f t="shared" si="14"/>
        <v/>
      </c>
      <c r="G313" s="133" t="str">
        <f t="shared" si="15"/>
        <v/>
      </c>
    </row>
    <row r="314" spans="5:7" x14ac:dyDescent="0.2">
      <c r="E314" s="133" t="str">
        <f t="shared" si="13"/>
        <v/>
      </c>
      <c r="F314" s="133" t="str">
        <f t="shared" si="14"/>
        <v/>
      </c>
      <c r="G314" s="133" t="str">
        <f t="shared" si="15"/>
        <v/>
      </c>
    </row>
    <row r="315" spans="5:7" x14ac:dyDescent="0.2">
      <c r="E315" s="133" t="str">
        <f t="shared" si="13"/>
        <v/>
      </c>
      <c r="F315" s="133" t="str">
        <f t="shared" si="14"/>
        <v/>
      </c>
      <c r="G315" s="133" t="str">
        <f t="shared" si="15"/>
        <v/>
      </c>
    </row>
    <row r="316" spans="5:7" x14ac:dyDescent="0.2">
      <c r="E316" s="133" t="str">
        <f t="shared" si="13"/>
        <v/>
      </c>
      <c r="F316" s="133" t="str">
        <f t="shared" si="14"/>
        <v/>
      </c>
      <c r="G316" s="133" t="str">
        <f t="shared" si="15"/>
        <v/>
      </c>
    </row>
    <row r="317" spans="5:7" x14ac:dyDescent="0.2">
      <c r="E317" s="133" t="str">
        <f t="shared" si="13"/>
        <v/>
      </c>
      <c r="F317" s="133" t="str">
        <f t="shared" si="14"/>
        <v/>
      </c>
      <c r="G317" s="133" t="str">
        <f t="shared" si="15"/>
        <v/>
      </c>
    </row>
    <row r="318" spans="5:7" x14ac:dyDescent="0.2">
      <c r="E318" s="133" t="str">
        <f t="shared" si="13"/>
        <v/>
      </c>
      <c r="F318" s="133" t="str">
        <f t="shared" si="14"/>
        <v/>
      </c>
      <c r="G318" s="133" t="str">
        <f t="shared" si="15"/>
        <v/>
      </c>
    </row>
    <row r="319" spans="5:7" x14ac:dyDescent="0.2">
      <c r="E319" s="133" t="str">
        <f t="shared" si="13"/>
        <v/>
      </c>
      <c r="F319" s="133" t="str">
        <f t="shared" si="14"/>
        <v/>
      </c>
      <c r="G319" s="133" t="str">
        <f t="shared" si="15"/>
        <v/>
      </c>
    </row>
    <row r="320" spans="5:7" x14ac:dyDescent="0.2">
      <c r="E320" s="133" t="str">
        <f t="shared" si="13"/>
        <v/>
      </c>
      <c r="F320" s="133" t="str">
        <f t="shared" si="14"/>
        <v/>
      </c>
      <c r="G320" s="133" t="str">
        <f t="shared" si="15"/>
        <v/>
      </c>
    </row>
    <row r="321" spans="5:7" x14ac:dyDescent="0.2">
      <c r="E321" s="133" t="str">
        <f t="shared" si="13"/>
        <v/>
      </c>
      <c r="F321" s="133" t="str">
        <f t="shared" si="14"/>
        <v/>
      </c>
      <c r="G321" s="133" t="str">
        <f t="shared" si="15"/>
        <v/>
      </c>
    </row>
    <row r="322" spans="5:7" x14ac:dyDescent="0.2">
      <c r="E322" s="133" t="str">
        <f t="shared" ref="E322:E385" si="16">IF(OR(A322="",D322=""),"",(D322-A322)*24)</f>
        <v/>
      </c>
      <c r="F322" s="133" t="str">
        <f t="shared" ref="F322:F385" si="17">IF(OR(A322="",D322=""),"",INT((D322-A322)*24)&amp;" час "&amp;ROUND(((D322-A322)*24-INT((D322-A322)*24))*60,0)&amp;" минут")</f>
        <v/>
      </c>
      <c r="G322" s="133" t="str">
        <f t="shared" ref="G322:G385" si="18">IF(D322="","",TEXT(D322,"ММММ ГГГГ"))</f>
        <v/>
      </c>
    </row>
    <row r="323" spans="5:7" x14ac:dyDescent="0.2">
      <c r="E323" s="133" t="str">
        <f t="shared" si="16"/>
        <v/>
      </c>
      <c r="F323" s="133" t="str">
        <f t="shared" si="17"/>
        <v/>
      </c>
      <c r="G323" s="133" t="str">
        <f t="shared" si="18"/>
        <v/>
      </c>
    </row>
    <row r="324" spans="5:7" x14ac:dyDescent="0.2">
      <c r="E324" s="133" t="str">
        <f t="shared" si="16"/>
        <v/>
      </c>
      <c r="F324" s="133" t="str">
        <f t="shared" si="17"/>
        <v/>
      </c>
      <c r="G324" s="133" t="str">
        <f t="shared" si="18"/>
        <v/>
      </c>
    </row>
    <row r="325" spans="5:7" x14ac:dyDescent="0.2">
      <c r="E325" s="133" t="str">
        <f t="shared" si="16"/>
        <v/>
      </c>
      <c r="F325" s="133" t="str">
        <f t="shared" si="17"/>
        <v/>
      </c>
      <c r="G325" s="133" t="str">
        <f t="shared" si="18"/>
        <v/>
      </c>
    </row>
    <row r="326" spans="5:7" x14ac:dyDescent="0.2">
      <c r="E326" s="133" t="str">
        <f t="shared" si="16"/>
        <v/>
      </c>
      <c r="F326" s="133" t="str">
        <f t="shared" si="17"/>
        <v/>
      </c>
      <c r="G326" s="133" t="str">
        <f t="shared" si="18"/>
        <v/>
      </c>
    </row>
    <row r="327" spans="5:7" x14ac:dyDescent="0.2">
      <c r="E327" s="133" t="str">
        <f t="shared" si="16"/>
        <v/>
      </c>
      <c r="F327" s="133" t="str">
        <f t="shared" si="17"/>
        <v/>
      </c>
      <c r="G327" s="133" t="str">
        <f t="shared" si="18"/>
        <v/>
      </c>
    </row>
    <row r="328" spans="5:7" x14ac:dyDescent="0.2">
      <c r="E328" s="133" t="str">
        <f t="shared" si="16"/>
        <v/>
      </c>
      <c r="F328" s="133" t="str">
        <f t="shared" si="17"/>
        <v/>
      </c>
      <c r="G328" s="133" t="str">
        <f t="shared" si="18"/>
        <v/>
      </c>
    </row>
    <row r="329" spans="5:7" x14ac:dyDescent="0.2">
      <c r="E329" s="133" t="str">
        <f t="shared" si="16"/>
        <v/>
      </c>
      <c r="F329" s="133" t="str">
        <f t="shared" si="17"/>
        <v/>
      </c>
      <c r="G329" s="133" t="str">
        <f t="shared" si="18"/>
        <v/>
      </c>
    </row>
    <row r="330" spans="5:7" x14ac:dyDescent="0.2">
      <c r="E330" s="133" t="str">
        <f t="shared" si="16"/>
        <v/>
      </c>
      <c r="F330" s="133" t="str">
        <f t="shared" si="17"/>
        <v/>
      </c>
      <c r="G330" s="133" t="str">
        <f t="shared" si="18"/>
        <v/>
      </c>
    </row>
    <row r="331" spans="5:7" x14ac:dyDescent="0.2">
      <c r="E331" s="133" t="str">
        <f t="shared" si="16"/>
        <v/>
      </c>
      <c r="F331" s="133" t="str">
        <f t="shared" si="17"/>
        <v/>
      </c>
      <c r="G331" s="133" t="str">
        <f t="shared" si="18"/>
        <v/>
      </c>
    </row>
    <row r="332" spans="5:7" x14ac:dyDescent="0.2">
      <c r="E332" s="133" t="str">
        <f t="shared" si="16"/>
        <v/>
      </c>
      <c r="F332" s="133" t="str">
        <f t="shared" si="17"/>
        <v/>
      </c>
      <c r="G332" s="133" t="str">
        <f t="shared" si="18"/>
        <v/>
      </c>
    </row>
    <row r="333" spans="5:7" x14ac:dyDescent="0.2">
      <c r="E333" s="133" t="str">
        <f t="shared" si="16"/>
        <v/>
      </c>
      <c r="F333" s="133" t="str">
        <f t="shared" si="17"/>
        <v/>
      </c>
      <c r="G333" s="133" t="str">
        <f t="shared" si="18"/>
        <v/>
      </c>
    </row>
    <row r="334" spans="5:7" x14ac:dyDescent="0.2">
      <c r="E334" s="133" t="str">
        <f t="shared" si="16"/>
        <v/>
      </c>
      <c r="F334" s="133" t="str">
        <f t="shared" si="17"/>
        <v/>
      </c>
      <c r="G334" s="133" t="str">
        <f t="shared" si="18"/>
        <v/>
      </c>
    </row>
    <row r="335" spans="5:7" x14ac:dyDescent="0.2">
      <c r="E335" s="133" t="str">
        <f t="shared" si="16"/>
        <v/>
      </c>
      <c r="F335" s="133" t="str">
        <f t="shared" si="17"/>
        <v/>
      </c>
      <c r="G335" s="133" t="str">
        <f t="shared" si="18"/>
        <v/>
      </c>
    </row>
    <row r="336" spans="5:7" x14ac:dyDescent="0.2">
      <c r="E336" s="133" t="str">
        <f t="shared" si="16"/>
        <v/>
      </c>
      <c r="F336" s="133" t="str">
        <f t="shared" si="17"/>
        <v/>
      </c>
      <c r="G336" s="133" t="str">
        <f t="shared" si="18"/>
        <v/>
      </c>
    </row>
    <row r="337" spans="5:7" x14ac:dyDescent="0.2">
      <c r="E337" s="133" t="str">
        <f t="shared" si="16"/>
        <v/>
      </c>
      <c r="F337" s="133" t="str">
        <f t="shared" si="17"/>
        <v/>
      </c>
      <c r="G337" s="133" t="str">
        <f t="shared" si="18"/>
        <v/>
      </c>
    </row>
    <row r="338" spans="5:7" x14ac:dyDescent="0.2">
      <c r="E338" s="133" t="str">
        <f t="shared" si="16"/>
        <v/>
      </c>
      <c r="F338" s="133" t="str">
        <f t="shared" si="17"/>
        <v/>
      </c>
      <c r="G338" s="133" t="str">
        <f t="shared" si="18"/>
        <v/>
      </c>
    </row>
    <row r="339" spans="5:7" x14ac:dyDescent="0.2">
      <c r="E339" s="133" t="str">
        <f t="shared" si="16"/>
        <v/>
      </c>
      <c r="F339" s="133" t="str">
        <f t="shared" si="17"/>
        <v/>
      </c>
      <c r="G339" s="133" t="str">
        <f t="shared" si="18"/>
        <v/>
      </c>
    </row>
    <row r="340" spans="5:7" x14ac:dyDescent="0.2">
      <c r="E340" s="133" t="str">
        <f t="shared" si="16"/>
        <v/>
      </c>
      <c r="F340" s="133" t="str">
        <f t="shared" si="17"/>
        <v/>
      </c>
      <c r="G340" s="133" t="str">
        <f t="shared" si="18"/>
        <v/>
      </c>
    </row>
    <row r="341" spans="5:7" x14ac:dyDescent="0.2">
      <c r="E341" s="133" t="str">
        <f t="shared" si="16"/>
        <v/>
      </c>
      <c r="F341" s="133" t="str">
        <f t="shared" si="17"/>
        <v/>
      </c>
      <c r="G341" s="133" t="str">
        <f t="shared" si="18"/>
        <v/>
      </c>
    </row>
    <row r="342" spans="5:7" x14ac:dyDescent="0.2">
      <c r="E342" s="133" t="str">
        <f t="shared" si="16"/>
        <v/>
      </c>
      <c r="F342" s="133" t="str">
        <f t="shared" si="17"/>
        <v/>
      </c>
      <c r="G342" s="133" t="str">
        <f t="shared" si="18"/>
        <v/>
      </c>
    </row>
    <row r="343" spans="5:7" x14ac:dyDescent="0.2">
      <c r="E343" s="133" t="str">
        <f t="shared" si="16"/>
        <v/>
      </c>
      <c r="F343" s="133" t="str">
        <f t="shared" si="17"/>
        <v/>
      </c>
      <c r="G343" s="133" t="str">
        <f t="shared" si="18"/>
        <v/>
      </c>
    </row>
    <row r="344" spans="5:7" x14ac:dyDescent="0.2">
      <c r="E344" s="133" t="str">
        <f t="shared" si="16"/>
        <v/>
      </c>
      <c r="F344" s="133" t="str">
        <f t="shared" si="17"/>
        <v/>
      </c>
      <c r="G344" s="133" t="str">
        <f t="shared" si="18"/>
        <v/>
      </c>
    </row>
    <row r="345" spans="5:7" x14ac:dyDescent="0.2">
      <c r="E345" s="133" t="str">
        <f t="shared" si="16"/>
        <v/>
      </c>
      <c r="F345" s="133" t="str">
        <f t="shared" si="17"/>
        <v/>
      </c>
      <c r="G345" s="133" t="str">
        <f t="shared" si="18"/>
        <v/>
      </c>
    </row>
    <row r="346" spans="5:7" x14ac:dyDescent="0.2">
      <c r="E346" s="133" t="str">
        <f t="shared" si="16"/>
        <v/>
      </c>
      <c r="F346" s="133" t="str">
        <f t="shared" si="17"/>
        <v/>
      </c>
      <c r="G346" s="133" t="str">
        <f t="shared" si="18"/>
        <v/>
      </c>
    </row>
    <row r="347" spans="5:7" x14ac:dyDescent="0.2">
      <c r="E347" s="133" t="str">
        <f t="shared" si="16"/>
        <v/>
      </c>
      <c r="F347" s="133" t="str">
        <f t="shared" si="17"/>
        <v/>
      </c>
      <c r="G347" s="133" t="str">
        <f t="shared" si="18"/>
        <v/>
      </c>
    </row>
    <row r="348" spans="5:7" x14ac:dyDescent="0.2">
      <c r="E348" s="133" t="str">
        <f t="shared" si="16"/>
        <v/>
      </c>
      <c r="F348" s="133" t="str">
        <f t="shared" si="17"/>
        <v/>
      </c>
      <c r="G348" s="133" t="str">
        <f t="shared" si="18"/>
        <v/>
      </c>
    </row>
    <row r="349" spans="5:7" x14ac:dyDescent="0.2">
      <c r="E349" s="133" t="str">
        <f t="shared" si="16"/>
        <v/>
      </c>
      <c r="F349" s="133" t="str">
        <f t="shared" si="17"/>
        <v/>
      </c>
      <c r="G349" s="133" t="str">
        <f t="shared" si="18"/>
        <v/>
      </c>
    </row>
    <row r="350" spans="5:7" x14ac:dyDescent="0.2">
      <c r="E350" s="133" t="str">
        <f t="shared" si="16"/>
        <v/>
      </c>
      <c r="F350" s="133" t="str">
        <f t="shared" si="17"/>
        <v/>
      </c>
      <c r="G350" s="133" t="str">
        <f t="shared" si="18"/>
        <v/>
      </c>
    </row>
    <row r="351" spans="5:7" x14ac:dyDescent="0.2">
      <c r="E351" s="133" t="str">
        <f t="shared" si="16"/>
        <v/>
      </c>
      <c r="F351" s="133" t="str">
        <f t="shared" si="17"/>
        <v/>
      </c>
      <c r="G351" s="133" t="str">
        <f t="shared" si="18"/>
        <v/>
      </c>
    </row>
    <row r="352" spans="5:7" x14ac:dyDescent="0.2">
      <c r="E352" s="133" t="str">
        <f t="shared" si="16"/>
        <v/>
      </c>
      <c r="F352" s="133" t="str">
        <f t="shared" si="17"/>
        <v/>
      </c>
      <c r="G352" s="133" t="str">
        <f t="shared" si="18"/>
        <v/>
      </c>
    </row>
    <row r="353" spans="5:7" x14ac:dyDescent="0.2">
      <c r="E353" s="133" t="str">
        <f t="shared" si="16"/>
        <v/>
      </c>
      <c r="F353" s="133" t="str">
        <f t="shared" si="17"/>
        <v/>
      </c>
      <c r="G353" s="133" t="str">
        <f t="shared" si="18"/>
        <v/>
      </c>
    </row>
    <row r="354" spans="5:7" x14ac:dyDescent="0.2">
      <c r="E354" s="133" t="str">
        <f t="shared" si="16"/>
        <v/>
      </c>
      <c r="F354" s="133" t="str">
        <f t="shared" si="17"/>
        <v/>
      </c>
      <c r="G354" s="133" t="str">
        <f t="shared" si="18"/>
        <v/>
      </c>
    </row>
    <row r="355" spans="5:7" x14ac:dyDescent="0.2">
      <c r="E355" s="133" t="str">
        <f t="shared" si="16"/>
        <v/>
      </c>
      <c r="F355" s="133" t="str">
        <f t="shared" si="17"/>
        <v/>
      </c>
      <c r="G355" s="133" t="str">
        <f t="shared" si="18"/>
        <v/>
      </c>
    </row>
    <row r="356" spans="5:7" x14ac:dyDescent="0.2">
      <c r="E356" s="133" t="str">
        <f t="shared" si="16"/>
        <v/>
      </c>
      <c r="F356" s="133" t="str">
        <f t="shared" si="17"/>
        <v/>
      </c>
      <c r="G356" s="133" t="str">
        <f t="shared" si="18"/>
        <v/>
      </c>
    </row>
    <row r="357" spans="5:7" x14ac:dyDescent="0.2">
      <c r="E357" s="133" t="str">
        <f t="shared" si="16"/>
        <v/>
      </c>
      <c r="F357" s="133" t="str">
        <f t="shared" si="17"/>
        <v/>
      </c>
      <c r="G357" s="133" t="str">
        <f t="shared" si="18"/>
        <v/>
      </c>
    </row>
    <row r="358" spans="5:7" x14ac:dyDescent="0.2">
      <c r="E358" s="133" t="str">
        <f t="shared" si="16"/>
        <v/>
      </c>
      <c r="F358" s="133" t="str">
        <f t="shared" si="17"/>
        <v/>
      </c>
      <c r="G358" s="133" t="str">
        <f t="shared" si="18"/>
        <v/>
      </c>
    </row>
    <row r="359" spans="5:7" x14ac:dyDescent="0.2">
      <c r="E359" s="133" t="str">
        <f t="shared" si="16"/>
        <v/>
      </c>
      <c r="F359" s="133" t="str">
        <f t="shared" si="17"/>
        <v/>
      </c>
      <c r="G359" s="133" t="str">
        <f t="shared" si="18"/>
        <v/>
      </c>
    </row>
    <row r="360" spans="5:7" x14ac:dyDescent="0.2">
      <c r="E360" s="133" t="str">
        <f t="shared" si="16"/>
        <v/>
      </c>
      <c r="F360" s="133" t="str">
        <f t="shared" si="17"/>
        <v/>
      </c>
      <c r="G360" s="133" t="str">
        <f t="shared" si="18"/>
        <v/>
      </c>
    </row>
    <row r="361" spans="5:7" x14ac:dyDescent="0.2">
      <c r="E361" s="133" t="str">
        <f t="shared" si="16"/>
        <v/>
      </c>
      <c r="F361" s="133" t="str">
        <f t="shared" si="17"/>
        <v/>
      </c>
      <c r="G361" s="133" t="str">
        <f t="shared" si="18"/>
        <v/>
      </c>
    </row>
    <row r="362" spans="5:7" x14ac:dyDescent="0.2">
      <c r="E362" s="133" t="str">
        <f t="shared" si="16"/>
        <v/>
      </c>
      <c r="F362" s="133" t="str">
        <f t="shared" si="17"/>
        <v/>
      </c>
      <c r="G362" s="133" t="str">
        <f t="shared" si="18"/>
        <v/>
      </c>
    </row>
    <row r="363" spans="5:7" x14ac:dyDescent="0.2">
      <c r="E363" s="133" t="str">
        <f t="shared" si="16"/>
        <v/>
      </c>
      <c r="F363" s="133" t="str">
        <f t="shared" si="17"/>
        <v/>
      </c>
      <c r="G363" s="133" t="str">
        <f t="shared" si="18"/>
        <v/>
      </c>
    </row>
    <row r="364" spans="5:7" x14ac:dyDescent="0.2">
      <c r="E364" s="133" t="str">
        <f t="shared" si="16"/>
        <v/>
      </c>
      <c r="F364" s="133" t="str">
        <f t="shared" si="17"/>
        <v/>
      </c>
      <c r="G364" s="133" t="str">
        <f t="shared" si="18"/>
        <v/>
      </c>
    </row>
    <row r="365" spans="5:7" x14ac:dyDescent="0.2">
      <c r="E365" s="133" t="str">
        <f t="shared" si="16"/>
        <v/>
      </c>
      <c r="F365" s="133" t="str">
        <f t="shared" si="17"/>
        <v/>
      </c>
      <c r="G365" s="133" t="str">
        <f t="shared" si="18"/>
        <v/>
      </c>
    </row>
    <row r="366" spans="5:7" x14ac:dyDescent="0.2">
      <c r="E366" s="133" t="str">
        <f t="shared" si="16"/>
        <v/>
      </c>
      <c r="F366" s="133" t="str">
        <f t="shared" si="17"/>
        <v/>
      </c>
      <c r="G366" s="133" t="str">
        <f t="shared" si="18"/>
        <v/>
      </c>
    </row>
    <row r="367" spans="5:7" x14ac:dyDescent="0.2">
      <c r="E367" s="133" t="str">
        <f t="shared" si="16"/>
        <v/>
      </c>
      <c r="F367" s="133" t="str">
        <f t="shared" si="17"/>
        <v/>
      </c>
      <c r="G367" s="133" t="str">
        <f t="shared" si="18"/>
        <v/>
      </c>
    </row>
    <row r="368" spans="5:7" x14ac:dyDescent="0.2">
      <c r="E368" s="133" t="str">
        <f t="shared" si="16"/>
        <v/>
      </c>
      <c r="F368" s="133" t="str">
        <f t="shared" si="17"/>
        <v/>
      </c>
      <c r="G368" s="133" t="str">
        <f t="shared" si="18"/>
        <v/>
      </c>
    </row>
    <row r="369" spans="5:7" x14ac:dyDescent="0.2">
      <c r="E369" s="133" t="str">
        <f t="shared" si="16"/>
        <v/>
      </c>
      <c r="F369" s="133" t="str">
        <f t="shared" si="17"/>
        <v/>
      </c>
      <c r="G369" s="133" t="str">
        <f t="shared" si="18"/>
        <v/>
      </c>
    </row>
    <row r="370" spans="5:7" x14ac:dyDescent="0.2">
      <c r="E370" s="133" t="str">
        <f t="shared" si="16"/>
        <v/>
      </c>
      <c r="F370" s="133" t="str">
        <f t="shared" si="17"/>
        <v/>
      </c>
      <c r="G370" s="133" t="str">
        <f t="shared" si="18"/>
        <v/>
      </c>
    </row>
    <row r="371" spans="5:7" x14ac:dyDescent="0.2">
      <c r="E371" s="133" t="str">
        <f t="shared" si="16"/>
        <v/>
      </c>
      <c r="F371" s="133" t="str">
        <f t="shared" si="17"/>
        <v/>
      </c>
      <c r="G371" s="133" t="str">
        <f t="shared" si="18"/>
        <v/>
      </c>
    </row>
    <row r="372" spans="5:7" x14ac:dyDescent="0.2">
      <c r="E372" s="133" t="str">
        <f t="shared" si="16"/>
        <v/>
      </c>
      <c r="F372" s="133" t="str">
        <f t="shared" si="17"/>
        <v/>
      </c>
      <c r="G372" s="133" t="str">
        <f t="shared" si="18"/>
        <v/>
      </c>
    </row>
    <row r="373" spans="5:7" x14ac:dyDescent="0.2">
      <c r="E373" s="133" t="str">
        <f t="shared" si="16"/>
        <v/>
      </c>
      <c r="F373" s="133" t="str">
        <f t="shared" si="17"/>
        <v/>
      </c>
      <c r="G373" s="133" t="str">
        <f t="shared" si="18"/>
        <v/>
      </c>
    </row>
    <row r="374" spans="5:7" x14ac:dyDescent="0.2">
      <c r="E374" s="133" t="str">
        <f t="shared" si="16"/>
        <v/>
      </c>
      <c r="F374" s="133" t="str">
        <f t="shared" si="17"/>
        <v/>
      </c>
      <c r="G374" s="133" t="str">
        <f t="shared" si="18"/>
        <v/>
      </c>
    </row>
    <row r="375" spans="5:7" x14ac:dyDescent="0.2">
      <c r="E375" s="133" t="str">
        <f t="shared" si="16"/>
        <v/>
      </c>
      <c r="F375" s="133" t="str">
        <f t="shared" si="17"/>
        <v/>
      </c>
      <c r="G375" s="133" t="str">
        <f t="shared" si="18"/>
        <v/>
      </c>
    </row>
    <row r="376" spans="5:7" x14ac:dyDescent="0.2">
      <c r="E376" s="133" t="str">
        <f t="shared" si="16"/>
        <v/>
      </c>
      <c r="F376" s="133" t="str">
        <f t="shared" si="17"/>
        <v/>
      </c>
      <c r="G376" s="133" t="str">
        <f t="shared" si="18"/>
        <v/>
      </c>
    </row>
    <row r="377" spans="5:7" x14ac:dyDescent="0.2">
      <c r="E377" s="133" t="str">
        <f t="shared" si="16"/>
        <v/>
      </c>
      <c r="F377" s="133" t="str">
        <f t="shared" si="17"/>
        <v/>
      </c>
      <c r="G377" s="133" t="str">
        <f t="shared" si="18"/>
        <v/>
      </c>
    </row>
    <row r="378" spans="5:7" x14ac:dyDescent="0.2">
      <c r="E378" s="133" t="str">
        <f t="shared" si="16"/>
        <v/>
      </c>
      <c r="F378" s="133" t="str">
        <f t="shared" si="17"/>
        <v/>
      </c>
      <c r="G378" s="133" t="str">
        <f t="shared" si="18"/>
        <v/>
      </c>
    </row>
    <row r="379" spans="5:7" x14ac:dyDescent="0.2">
      <c r="E379" s="133" t="str">
        <f t="shared" si="16"/>
        <v/>
      </c>
      <c r="F379" s="133" t="str">
        <f t="shared" si="17"/>
        <v/>
      </c>
      <c r="G379" s="133" t="str">
        <f t="shared" si="18"/>
        <v/>
      </c>
    </row>
    <row r="380" spans="5:7" x14ac:dyDescent="0.2">
      <c r="E380" s="133" t="str">
        <f t="shared" si="16"/>
        <v/>
      </c>
      <c r="F380" s="133" t="str">
        <f t="shared" si="17"/>
        <v/>
      </c>
      <c r="G380" s="133" t="str">
        <f t="shared" si="18"/>
        <v/>
      </c>
    </row>
    <row r="381" spans="5:7" x14ac:dyDescent="0.2">
      <c r="E381" s="133" t="str">
        <f t="shared" si="16"/>
        <v/>
      </c>
      <c r="F381" s="133" t="str">
        <f t="shared" si="17"/>
        <v/>
      </c>
      <c r="G381" s="133" t="str">
        <f t="shared" si="18"/>
        <v/>
      </c>
    </row>
    <row r="382" spans="5:7" x14ac:dyDescent="0.2">
      <c r="E382" s="133" t="str">
        <f t="shared" si="16"/>
        <v/>
      </c>
      <c r="F382" s="133" t="str">
        <f t="shared" si="17"/>
        <v/>
      </c>
      <c r="G382" s="133" t="str">
        <f t="shared" si="18"/>
        <v/>
      </c>
    </row>
    <row r="383" spans="5:7" x14ac:dyDescent="0.2">
      <c r="E383" s="133" t="str">
        <f t="shared" si="16"/>
        <v/>
      </c>
      <c r="F383" s="133" t="str">
        <f t="shared" si="17"/>
        <v/>
      </c>
      <c r="G383" s="133" t="str">
        <f t="shared" si="18"/>
        <v/>
      </c>
    </row>
    <row r="384" spans="5:7" x14ac:dyDescent="0.2">
      <c r="E384" s="133" t="str">
        <f t="shared" si="16"/>
        <v/>
      </c>
      <c r="F384" s="133" t="str">
        <f t="shared" si="17"/>
        <v/>
      </c>
      <c r="G384" s="133" t="str">
        <f t="shared" si="18"/>
        <v/>
      </c>
    </row>
    <row r="385" spans="5:7" x14ac:dyDescent="0.2">
      <c r="E385" s="133" t="str">
        <f t="shared" si="16"/>
        <v/>
      </c>
      <c r="F385" s="133" t="str">
        <f t="shared" si="17"/>
        <v/>
      </c>
      <c r="G385" s="133" t="str">
        <f t="shared" si="18"/>
        <v/>
      </c>
    </row>
    <row r="386" spans="5:7" x14ac:dyDescent="0.2">
      <c r="E386" s="133" t="str">
        <f t="shared" ref="E386:E449" si="19">IF(OR(A386="",D386=""),"",(D386-A386)*24)</f>
        <v/>
      </c>
      <c r="F386" s="133" t="str">
        <f t="shared" ref="F386:F449" si="20">IF(OR(A386="",D386=""),"",INT((D386-A386)*24)&amp;" час "&amp;ROUND(((D386-A386)*24-INT((D386-A386)*24))*60,0)&amp;" минут")</f>
        <v/>
      </c>
      <c r="G386" s="133" t="str">
        <f t="shared" ref="G386:G449" si="21">IF(D386="","",TEXT(D386,"ММММ ГГГГ"))</f>
        <v/>
      </c>
    </row>
    <row r="387" spans="5:7" x14ac:dyDescent="0.2">
      <c r="E387" s="133" t="str">
        <f t="shared" si="19"/>
        <v/>
      </c>
      <c r="F387" s="133" t="str">
        <f t="shared" si="20"/>
        <v/>
      </c>
      <c r="G387" s="133" t="str">
        <f t="shared" si="21"/>
        <v/>
      </c>
    </row>
    <row r="388" spans="5:7" x14ac:dyDescent="0.2">
      <c r="E388" s="133" t="str">
        <f t="shared" si="19"/>
        <v/>
      </c>
      <c r="F388" s="133" t="str">
        <f t="shared" si="20"/>
        <v/>
      </c>
      <c r="G388" s="133" t="str">
        <f t="shared" si="21"/>
        <v/>
      </c>
    </row>
    <row r="389" spans="5:7" x14ac:dyDescent="0.2">
      <c r="E389" s="133" t="str">
        <f t="shared" si="19"/>
        <v/>
      </c>
      <c r="F389" s="133" t="str">
        <f t="shared" si="20"/>
        <v/>
      </c>
      <c r="G389" s="133" t="str">
        <f t="shared" si="21"/>
        <v/>
      </c>
    </row>
    <row r="390" spans="5:7" x14ac:dyDescent="0.2">
      <c r="E390" s="133" t="str">
        <f t="shared" si="19"/>
        <v/>
      </c>
      <c r="F390" s="133" t="str">
        <f t="shared" si="20"/>
        <v/>
      </c>
      <c r="G390" s="133" t="str">
        <f t="shared" si="21"/>
        <v/>
      </c>
    </row>
    <row r="391" spans="5:7" x14ac:dyDescent="0.2">
      <c r="E391" s="133" t="str">
        <f t="shared" si="19"/>
        <v/>
      </c>
      <c r="F391" s="133" t="str">
        <f t="shared" si="20"/>
        <v/>
      </c>
      <c r="G391" s="133" t="str">
        <f t="shared" si="21"/>
        <v/>
      </c>
    </row>
    <row r="392" spans="5:7" x14ac:dyDescent="0.2">
      <c r="E392" s="133" t="str">
        <f t="shared" si="19"/>
        <v/>
      </c>
      <c r="F392" s="133" t="str">
        <f t="shared" si="20"/>
        <v/>
      </c>
      <c r="G392" s="133" t="str">
        <f t="shared" si="21"/>
        <v/>
      </c>
    </row>
    <row r="393" spans="5:7" x14ac:dyDescent="0.2">
      <c r="E393" s="133" t="str">
        <f t="shared" si="19"/>
        <v/>
      </c>
      <c r="F393" s="133" t="str">
        <f t="shared" si="20"/>
        <v/>
      </c>
      <c r="G393" s="133" t="str">
        <f t="shared" si="21"/>
        <v/>
      </c>
    </row>
    <row r="394" spans="5:7" x14ac:dyDescent="0.2">
      <c r="E394" s="133" t="str">
        <f t="shared" si="19"/>
        <v/>
      </c>
      <c r="F394" s="133" t="str">
        <f t="shared" si="20"/>
        <v/>
      </c>
      <c r="G394" s="133" t="str">
        <f t="shared" si="21"/>
        <v/>
      </c>
    </row>
    <row r="395" spans="5:7" x14ac:dyDescent="0.2">
      <c r="E395" s="133" t="str">
        <f t="shared" si="19"/>
        <v/>
      </c>
      <c r="F395" s="133" t="str">
        <f t="shared" si="20"/>
        <v/>
      </c>
      <c r="G395" s="133" t="str">
        <f t="shared" si="21"/>
        <v/>
      </c>
    </row>
    <row r="396" spans="5:7" x14ac:dyDescent="0.2">
      <c r="E396" s="133" t="str">
        <f t="shared" si="19"/>
        <v/>
      </c>
      <c r="F396" s="133" t="str">
        <f t="shared" si="20"/>
        <v/>
      </c>
      <c r="G396" s="133" t="str">
        <f t="shared" si="21"/>
        <v/>
      </c>
    </row>
    <row r="397" spans="5:7" x14ac:dyDescent="0.2">
      <c r="E397" s="133" t="str">
        <f t="shared" si="19"/>
        <v/>
      </c>
      <c r="F397" s="133" t="str">
        <f t="shared" si="20"/>
        <v/>
      </c>
      <c r="G397" s="133" t="str">
        <f t="shared" si="21"/>
        <v/>
      </c>
    </row>
    <row r="398" spans="5:7" x14ac:dyDescent="0.2">
      <c r="E398" s="133" t="str">
        <f t="shared" si="19"/>
        <v/>
      </c>
      <c r="F398" s="133" t="str">
        <f t="shared" si="20"/>
        <v/>
      </c>
      <c r="G398" s="133" t="str">
        <f t="shared" si="21"/>
        <v/>
      </c>
    </row>
    <row r="399" spans="5:7" x14ac:dyDescent="0.2">
      <c r="E399" s="133" t="str">
        <f t="shared" si="19"/>
        <v/>
      </c>
      <c r="F399" s="133" t="str">
        <f t="shared" si="20"/>
        <v/>
      </c>
      <c r="G399" s="133" t="str">
        <f t="shared" si="21"/>
        <v/>
      </c>
    </row>
    <row r="400" spans="5:7" x14ac:dyDescent="0.2">
      <c r="E400" s="133" t="str">
        <f t="shared" si="19"/>
        <v/>
      </c>
      <c r="F400" s="133" t="str">
        <f t="shared" si="20"/>
        <v/>
      </c>
      <c r="G400" s="133" t="str">
        <f t="shared" si="21"/>
        <v/>
      </c>
    </row>
    <row r="401" spans="5:7" x14ac:dyDescent="0.2">
      <c r="E401" s="133" t="str">
        <f t="shared" si="19"/>
        <v/>
      </c>
      <c r="F401" s="133" t="str">
        <f t="shared" si="20"/>
        <v/>
      </c>
      <c r="G401" s="133" t="str">
        <f t="shared" si="21"/>
        <v/>
      </c>
    </row>
    <row r="402" spans="5:7" x14ac:dyDescent="0.2">
      <c r="E402" s="133" t="str">
        <f t="shared" si="19"/>
        <v/>
      </c>
      <c r="F402" s="133" t="str">
        <f t="shared" si="20"/>
        <v/>
      </c>
      <c r="G402" s="133" t="str">
        <f t="shared" si="21"/>
        <v/>
      </c>
    </row>
    <row r="403" spans="5:7" x14ac:dyDescent="0.2">
      <c r="E403" s="133" t="str">
        <f t="shared" si="19"/>
        <v/>
      </c>
      <c r="F403" s="133" t="str">
        <f t="shared" si="20"/>
        <v/>
      </c>
      <c r="G403" s="133" t="str">
        <f t="shared" si="21"/>
        <v/>
      </c>
    </row>
    <row r="404" spans="5:7" x14ac:dyDescent="0.2">
      <c r="E404" s="133" t="str">
        <f t="shared" si="19"/>
        <v/>
      </c>
      <c r="F404" s="133" t="str">
        <f t="shared" si="20"/>
        <v/>
      </c>
      <c r="G404" s="133" t="str">
        <f t="shared" si="21"/>
        <v/>
      </c>
    </row>
    <row r="405" spans="5:7" x14ac:dyDescent="0.2">
      <c r="E405" s="133" t="str">
        <f t="shared" si="19"/>
        <v/>
      </c>
      <c r="F405" s="133" t="str">
        <f t="shared" si="20"/>
        <v/>
      </c>
      <c r="G405" s="133" t="str">
        <f t="shared" si="21"/>
        <v/>
      </c>
    </row>
    <row r="406" spans="5:7" x14ac:dyDescent="0.2">
      <c r="E406" s="133" t="str">
        <f t="shared" si="19"/>
        <v/>
      </c>
      <c r="F406" s="133" t="str">
        <f t="shared" si="20"/>
        <v/>
      </c>
      <c r="G406" s="133" t="str">
        <f t="shared" si="21"/>
        <v/>
      </c>
    </row>
    <row r="407" spans="5:7" x14ac:dyDescent="0.2">
      <c r="E407" s="133" t="str">
        <f t="shared" si="19"/>
        <v/>
      </c>
      <c r="F407" s="133" t="str">
        <f t="shared" si="20"/>
        <v/>
      </c>
      <c r="G407" s="133" t="str">
        <f t="shared" si="21"/>
        <v/>
      </c>
    </row>
    <row r="408" spans="5:7" x14ac:dyDescent="0.2">
      <c r="E408" s="133" t="str">
        <f t="shared" si="19"/>
        <v/>
      </c>
      <c r="F408" s="133" t="str">
        <f t="shared" si="20"/>
        <v/>
      </c>
      <c r="G408" s="133" t="str">
        <f t="shared" si="21"/>
        <v/>
      </c>
    </row>
    <row r="409" spans="5:7" x14ac:dyDescent="0.2">
      <c r="E409" s="133" t="str">
        <f t="shared" si="19"/>
        <v/>
      </c>
      <c r="F409" s="133" t="str">
        <f t="shared" si="20"/>
        <v/>
      </c>
      <c r="G409" s="133" t="str">
        <f t="shared" si="21"/>
        <v/>
      </c>
    </row>
    <row r="410" spans="5:7" x14ac:dyDescent="0.2">
      <c r="E410" s="133" t="str">
        <f t="shared" si="19"/>
        <v/>
      </c>
      <c r="F410" s="133" t="str">
        <f t="shared" si="20"/>
        <v/>
      </c>
      <c r="G410" s="133" t="str">
        <f t="shared" si="21"/>
        <v/>
      </c>
    </row>
    <row r="411" spans="5:7" x14ac:dyDescent="0.2">
      <c r="E411" s="133" t="str">
        <f t="shared" si="19"/>
        <v/>
      </c>
      <c r="F411" s="133" t="str">
        <f t="shared" si="20"/>
        <v/>
      </c>
      <c r="G411" s="133" t="str">
        <f t="shared" si="21"/>
        <v/>
      </c>
    </row>
    <row r="412" spans="5:7" x14ac:dyDescent="0.2">
      <c r="E412" s="133" t="str">
        <f t="shared" si="19"/>
        <v/>
      </c>
      <c r="F412" s="133" t="str">
        <f t="shared" si="20"/>
        <v/>
      </c>
      <c r="G412" s="133" t="str">
        <f t="shared" si="21"/>
        <v/>
      </c>
    </row>
    <row r="413" spans="5:7" x14ac:dyDescent="0.2">
      <c r="E413" s="133" t="str">
        <f t="shared" si="19"/>
        <v/>
      </c>
      <c r="F413" s="133" t="str">
        <f t="shared" si="20"/>
        <v/>
      </c>
      <c r="G413" s="133" t="str">
        <f t="shared" si="21"/>
        <v/>
      </c>
    </row>
    <row r="414" spans="5:7" x14ac:dyDescent="0.2">
      <c r="E414" s="133" t="str">
        <f t="shared" si="19"/>
        <v/>
      </c>
      <c r="F414" s="133" t="str">
        <f t="shared" si="20"/>
        <v/>
      </c>
      <c r="G414" s="133" t="str">
        <f t="shared" si="21"/>
        <v/>
      </c>
    </row>
    <row r="415" spans="5:7" x14ac:dyDescent="0.2">
      <c r="E415" s="133" t="str">
        <f t="shared" si="19"/>
        <v/>
      </c>
      <c r="F415" s="133" t="str">
        <f t="shared" si="20"/>
        <v/>
      </c>
      <c r="G415" s="133" t="str">
        <f t="shared" si="21"/>
        <v/>
      </c>
    </row>
    <row r="416" spans="5:7" x14ac:dyDescent="0.2">
      <c r="E416" s="133" t="str">
        <f t="shared" si="19"/>
        <v/>
      </c>
      <c r="F416" s="133" t="str">
        <f t="shared" si="20"/>
        <v/>
      </c>
      <c r="G416" s="133" t="str">
        <f t="shared" si="21"/>
        <v/>
      </c>
    </row>
    <row r="417" spans="5:7" x14ac:dyDescent="0.2">
      <c r="E417" s="133" t="str">
        <f t="shared" si="19"/>
        <v/>
      </c>
      <c r="F417" s="133" t="str">
        <f t="shared" si="20"/>
        <v/>
      </c>
      <c r="G417" s="133" t="str">
        <f t="shared" si="21"/>
        <v/>
      </c>
    </row>
    <row r="418" spans="5:7" x14ac:dyDescent="0.2">
      <c r="E418" s="133" t="str">
        <f t="shared" si="19"/>
        <v/>
      </c>
      <c r="F418" s="133" t="str">
        <f t="shared" si="20"/>
        <v/>
      </c>
      <c r="G418" s="133" t="str">
        <f t="shared" si="21"/>
        <v/>
      </c>
    </row>
    <row r="419" spans="5:7" x14ac:dyDescent="0.2">
      <c r="E419" s="133" t="str">
        <f t="shared" si="19"/>
        <v/>
      </c>
      <c r="F419" s="133" t="str">
        <f t="shared" si="20"/>
        <v/>
      </c>
      <c r="G419" s="133" t="str">
        <f t="shared" si="21"/>
        <v/>
      </c>
    </row>
    <row r="420" spans="5:7" x14ac:dyDescent="0.2">
      <c r="E420" s="133" t="str">
        <f t="shared" si="19"/>
        <v/>
      </c>
      <c r="F420" s="133" t="str">
        <f t="shared" si="20"/>
        <v/>
      </c>
      <c r="G420" s="133" t="str">
        <f t="shared" si="21"/>
        <v/>
      </c>
    </row>
    <row r="421" spans="5:7" x14ac:dyDescent="0.2">
      <c r="E421" s="133" t="str">
        <f t="shared" si="19"/>
        <v/>
      </c>
      <c r="F421" s="133" t="str">
        <f t="shared" si="20"/>
        <v/>
      </c>
      <c r="G421" s="133" t="str">
        <f t="shared" si="21"/>
        <v/>
      </c>
    </row>
    <row r="422" spans="5:7" x14ac:dyDescent="0.2">
      <c r="E422" s="133" t="str">
        <f t="shared" si="19"/>
        <v/>
      </c>
      <c r="F422" s="133" t="str">
        <f t="shared" si="20"/>
        <v/>
      </c>
      <c r="G422" s="133" t="str">
        <f t="shared" si="21"/>
        <v/>
      </c>
    </row>
    <row r="423" spans="5:7" x14ac:dyDescent="0.2">
      <c r="E423" s="133" t="str">
        <f t="shared" si="19"/>
        <v/>
      </c>
      <c r="F423" s="133" t="str">
        <f t="shared" si="20"/>
        <v/>
      </c>
      <c r="G423" s="133" t="str">
        <f t="shared" si="21"/>
        <v/>
      </c>
    </row>
    <row r="424" spans="5:7" x14ac:dyDescent="0.2">
      <c r="E424" s="133" t="str">
        <f t="shared" si="19"/>
        <v/>
      </c>
      <c r="F424" s="133" t="str">
        <f t="shared" si="20"/>
        <v/>
      </c>
      <c r="G424" s="133" t="str">
        <f t="shared" si="21"/>
        <v/>
      </c>
    </row>
    <row r="425" spans="5:7" x14ac:dyDescent="0.2">
      <c r="E425" s="133" t="str">
        <f t="shared" si="19"/>
        <v/>
      </c>
      <c r="F425" s="133" t="str">
        <f t="shared" si="20"/>
        <v/>
      </c>
      <c r="G425" s="133" t="str">
        <f t="shared" si="21"/>
        <v/>
      </c>
    </row>
    <row r="426" spans="5:7" x14ac:dyDescent="0.2">
      <c r="E426" s="133" t="str">
        <f t="shared" si="19"/>
        <v/>
      </c>
      <c r="F426" s="133" t="str">
        <f t="shared" si="20"/>
        <v/>
      </c>
      <c r="G426" s="133" t="str">
        <f t="shared" si="21"/>
        <v/>
      </c>
    </row>
    <row r="427" spans="5:7" x14ac:dyDescent="0.2">
      <c r="E427" s="133" t="str">
        <f t="shared" si="19"/>
        <v/>
      </c>
      <c r="F427" s="133" t="str">
        <f t="shared" si="20"/>
        <v/>
      </c>
      <c r="G427" s="133" t="str">
        <f t="shared" si="21"/>
        <v/>
      </c>
    </row>
    <row r="428" spans="5:7" x14ac:dyDescent="0.2">
      <c r="E428" s="133" t="str">
        <f t="shared" si="19"/>
        <v/>
      </c>
      <c r="F428" s="133" t="str">
        <f t="shared" si="20"/>
        <v/>
      </c>
      <c r="G428" s="133" t="str">
        <f t="shared" si="21"/>
        <v/>
      </c>
    </row>
    <row r="429" spans="5:7" x14ac:dyDescent="0.2">
      <c r="E429" s="133" t="str">
        <f t="shared" si="19"/>
        <v/>
      </c>
      <c r="F429" s="133" t="str">
        <f t="shared" si="20"/>
        <v/>
      </c>
      <c r="G429" s="133" t="str">
        <f t="shared" si="21"/>
        <v/>
      </c>
    </row>
    <row r="430" spans="5:7" x14ac:dyDescent="0.2">
      <c r="E430" s="133" t="str">
        <f t="shared" si="19"/>
        <v/>
      </c>
      <c r="F430" s="133" t="str">
        <f t="shared" si="20"/>
        <v/>
      </c>
      <c r="G430" s="133" t="str">
        <f t="shared" si="21"/>
        <v/>
      </c>
    </row>
    <row r="431" spans="5:7" x14ac:dyDescent="0.2">
      <c r="E431" s="133" t="str">
        <f t="shared" si="19"/>
        <v/>
      </c>
      <c r="F431" s="133" t="str">
        <f t="shared" si="20"/>
        <v/>
      </c>
      <c r="G431" s="133" t="str">
        <f t="shared" si="21"/>
        <v/>
      </c>
    </row>
    <row r="432" spans="5:7" x14ac:dyDescent="0.2">
      <c r="E432" s="133" t="str">
        <f t="shared" si="19"/>
        <v/>
      </c>
      <c r="F432" s="133" t="str">
        <f t="shared" si="20"/>
        <v/>
      </c>
      <c r="G432" s="133" t="str">
        <f t="shared" si="21"/>
        <v/>
      </c>
    </row>
    <row r="433" spans="5:7" x14ac:dyDescent="0.2">
      <c r="E433" s="133" t="str">
        <f t="shared" si="19"/>
        <v/>
      </c>
      <c r="F433" s="133" t="str">
        <f t="shared" si="20"/>
        <v/>
      </c>
      <c r="G433" s="133" t="str">
        <f t="shared" si="21"/>
        <v/>
      </c>
    </row>
    <row r="434" spans="5:7" x14ac:dyDescent="0.2">
      <c r="E434" s="133" t="str">
        <f t="shared" si="19"/>
        <v/>
      </c>
      <c r="F434" s="133" t="str">
        <f t="shared" si="20"/>
        <v/>
      </c>
      <c r="G434" s="133" t="str">
        <f t="shared" si="21"/>
        <v/>
      </c>
    </row>
    <row r="435" spans="5:7" x14ac:dyDescent="0.2">
      <c r="E435" s="133" t="str">
        <f t="shared" si="19"/>
        <v/>
      </c>
      <c r="F435" s="133" t="str">
        <f t="shared" si="20"/>
        <v/>
      </c>
      <c r="G435" s="133" t="str">
        <f t="shared" si="21"/>
        <v/>
      </c>
    </row>
    <row r="436" spans="5:7" x14ac:dyDescent="0.2">
      <c r="E436" s="133" t="str">
        <f t="shared" si="19"/>
        <v/>
      </c>
      <c r="F436" s="133" t="str">
        <f t="shared" si="20"/>
        <v/>
      </c>
      <c r="G436" s="133" t="str">
        <f t="shared" si="21"/>
        <v/>
      </c>
    </row>
    <row r="437" spans="5:7" x14ac:dyDescent="0.2">
      <c r="E437" s="133" t="str">
        <f t="shared" si="19"/>
        <v/>
      </c>
      <c r="F437" s="133" t="str">
        <f t="shared" si="20"/>
        <v/>
      </c>
      <c r="G437" s="133" t="str">
        <f t="shared" si="21"/>
        <v/>
      </c>
    </row>
    <row r="438" spans="5:7" x14ac:dyDescent="0.2">
      <c r="E438" s="133" t="str">
        <f t="shared" si="19"/>
        <v/>
      </c>
      <c r="F438" s="133" t="str">
        <f t="shared" si="20"/>
        <v/>
      </c>
      <c r="G438" s="133" t="str">
        <f t="shared" si="21"/>
        <v/>
      </c>
    </row>
    <row r="439" spans="5:7" x14ac:dyDescent="0.2">
      <c r="E439" s="133" t="str">
        <f t="shared" si="19"/>
        <v/>
      </c>
      <c r="F439" s="133" t="str">
        <f t="shared" si="20"/>
        <v/>
      </c>
      <c r="G439" s="133" t="str">
        <f t="shared" si="21"/>
        <v/>
      </c>
    </row>
    <row r="440" spans="5:7" x14ac:dyDescent="0.2">
      <c r="E440" s="133" t="str">
        <f t="shared" si="19"/>
        <v/>
      </c>
      <c r="F440" s="133" t="str">
        <f t="shared" si="20"/>
        <v/>
      </c>
      <c r="G440" s="133" t="str">
        <f t="shared" si="21"/>
        <v/>
      </c>
    </row>
    <row r="441" spans="5:7" x14ac:dyDescent="0.2">
      <c r="E441" s="133" t="str">
        <f t="shared" si="19"/>
        <v/>
      </c>
      <c r="F441" s="133" t="str">
        <f t="shared" si="20"/>
        <v/>
      </c>
      <c r="G441" s="133" t="str">
        <f t="shared" si="21"/>
        <v/>
      </c>
    </row>
    <row r="442" spans="5:7" x14ac:dyDescent="0.2">
      <c r="E442" s="133" t="str">
        <f t="shared" si="19"/>
        <v/>
      </c>
      <c r="F442" s="133" t="str">
        <f t="shared" si="20"/>
        <v/>
      </c>
      <c r="G442" s="133" t="str">
        <f t="shared" si="21"/>
        <v/>
      </c>
    </row>
    <row r="443" spans="5:7" x14ac:dyDescent="0.2">
      <c r="E443" s="133" t="str">
        <f t="shared" si="19"/>
        <v/>
      </c>
      <c r="F443" s="133" t="str">
        <f t="shared" si="20"/>
        <v/>
      </c>
      <c r="G443" s="133" t="str">
        <f t="shared" si="21"/>
        <v/>
      </c>
    </row>
    <row r="444" spans="5:7" x14ac:dyDescent="0.2">
      <c r="E444" s="133" t="str">
        <f t="shared" si="19"/>
        <v/>
      </c>
      <c r="F444" s="133" t="str">
        <f t="shared" si="20"/>
        <v/>
      </c>
      <c r="G444" s="133" t="str">
        <f t="shared" si="21"/>
        <v/>
      </c>
    </row>
    <row r="445" spans="5:7" x14ac:dyDescent="0.2">
      <c r="E445" s="133" t="str">
        <f t="shared" si="19"/>
        <v/>
      </c>
      <c r="F445" s="133" t="str">
        <f t="shared" si="20"/>
        <v/>
      </c>
      <c r="G445" s="133" t="str">
        <f t="shared" si="21"/>
        <v/>
      </c>
    </row>
    <row r="446" spans="5:7" x14ac:dyDescent="0.2">
      <c r="E446" s="133" t="str">
        <f t="shared" si="19"/>
        <v/>
      </c>
      <c r="F446" s="133" t="str">
        <f t="shared" si="20"/>
        <v/>
      </c>
      <c r="G446" s="133" t="str">
        <f t="shared" si="21"/>
        <v/>
      </c>
    </row>
    <row r="447" spans="5:7" x14ac:dyDescent="0.2">
      <c r="E447" s="133" t="str">
        <f t="shared" si="19"/>
        <v/>
      </c>
      <c r="F447" s="133" t="str">
        <f t="shared" si="20"/>
        <v/>
      </c>
      <c r="G447" s="133" t="str">
        <f t="shared" si="21"/>
        <v/>
      </c>
    </row>
    <row r="448" spans="5:7" x14ac:dyDescent="0.2">
      <c r="E448" s="133" t="str">
        <f t="shared" si="19"/>
        <v/>
      </c>
      <c r="F448" s="133" t="str">
        <f t="shared" si="20"/>
        <v/>
      </c>
      <c r="G448" s="133" t="str">
        <f t="shared" si="21"/>
        <v/>
      </c>
    </row>
    <row r="449" spans="5:7" x14ac:dyDescent="0.2">
      <c r="E449" s="133" t="str">
        <f t="shared" si="19"/>
        <v/>
      </c>
      <c r="F449" s="133" t="str">
        <f t="shared" si="20"/>
        <v/>
      </c>
      <c r="G449" s="133" t="str">
        <f t="shared" si="21"/>
        <v/>
      </c>
    </row>
    <row r="450" spans="5:7" x14ac:dyDescent="0.2">
      <c r="E450" s="133" t="str">
        <f t="shared" ref="E450:E513" si="22">IF(OR(A450="",D450=""),"",(D450-A450)*24)</f>
        <v/>
      </c>
      <c r="F450" s="133" t="str">
        <f t="shared" ref="F450:F513" si="23">IF(OR(A450="",D450=""),"",INT((D450-A450)*24)&amp;" час "&amp;ROUND(((D450-A450)*24-INT((D450-A450)*24))*60,0)&amp;" минут")</f>
        <v/>
      </c>
      <c r="G450" s="133" t="str">
        <f t="shared" ref="G450:G513" si="24">IF(D450="","",TEXT(D450,"ММММ ГГГГ"))</f>
        <v/>
      </c>
    </row>
    <row r="451" spans="5:7" x14ac:dyDescent="0.2">
      <c r="E451" s="133" t="str">
        <f t="shared" si="22"/>
        <v/>
      </c>
      <c r="F451" s="133" t="str">
        <f t="shared" si="23"/>
        <v/>
      </c>
      <c r="G451" s="133" t="str">
        <f t="shared" si="24"/>
        <v/>
      </c>
    </row>
    <row r="452" spans="5:7" x14ac:dyDescent="0.2">
      <c r="E452" s="133" t="str">
        <f t="shared" si="22"/>
        <v/>
      </c>
      <c r="F452" s="133" t="str">
        <f t="shared" si="23"/>
        <v/>
      </c>
      <c r="G452" s="133" t="str">
        <f t="shared" si="24"/>
        <v/>
      </c>
    </row>
    <row r="453" spans="5:7" x14ac:dyDescent="0.2">
      <c r="E453" s="133" t="str">
        <f t="shared" si="22"/>
        <v/>
      </c>
      <c r="F453" s="133" t="str">
        <f t="shared" si="23"/>
        <v/>
      </c>
      <c r="G453" s="133" t="str">
        <f t="shared" si="24"/>
        <v/>
      </c>
    </row>
    <row r="454" spans="5:7" x14ac:dyDescent="0.2">
      <c r="E454" s="133" t="str">
        <f t="shared" si="22"/>
        <v/>
      </c>
      <c r="F454" s="133" t="str">
        <f t="shared" si="23"/>
        <v/>
      </c>
      <c r="G454" s="133" t="str">
        <f t="shared" si="24"/>
        <v/>
      </c>
    </row>
    <row r="455" spans="5:7" x14ac:dyDescent="0.2">
      <c r="E455" s="133" t="str">
        <f t="shared" si="22"/>
        <v/>
      </c>
      <c r="F455" s="133" t="str">
        <f t="shared" si="23"/>
        <v/>
      </c>
      <c r="G455" s="133" t="str">
        <f t="shared" si="24"/>
        <v/>
      </c>
    </row>
    <row r="456" spans="5:7" x14ac:dyDescent="0.2">
      <c r="E456" s="133" t="str">
        <f t="shared" si="22"/>
        <v/>
      </c>
      <c r="F456" s="133" t="str">
        <f t="shared" si="23"/>
        <v/>
      </c>
      <c r="G456" s="133" t="str">
        <f t="shared" si="24"/>
        <v/>
      </c>
    </row>
    <row r="457" spans="5:7" x14ac:dyDescent="0.2">
      <c r="E457" s="133" t="str">
        <f t="shared" si="22"/>
        <v/>
      </c>
      <c r="F457" s="133" t="str">
        <f t="shared" si="23"/>
        <v/>
      </c>
      <c r="G457" s="133" t="str">
        <f t="shared" si="24"/>
        <v/>
      </c>
    </row>
    <row r="458" spans="5:7" x14ac:dyDescent="0.2">
      <c r="E458" s="133" t="str">
        <f t="shared" si="22"/>
        <v/>
      </c>
      <c r="F458" s="133" t="str">
        <f t="shared" si="23"/>
        <v/>
      </c>
      <c r="G458" s="133" t="str">
        <f t="shared" si="24"/>
        <v/>
      </c>
    </row>
    <row r="459" spans="5:7" x14ac:dyDescent="0.2">
      <c r="E459" s="133" t="str">
        <f t="shared" si="22"/>
        <v/>
      </c>
      <c r="F459" s="133" t="str">
        <f t="shared" si="23"/>
        <v/>
      </c>
      <c r="G459" s="133" t="str">
        <f t="shared" si="24"/>
        <v/>
      </c>
    </row>
    <row r="460" spans="5:7" x14ac:dyDescent="0.2">
      <c r="E460" s="133" t="str">
        <f t="shared" si="22"/>
        <v/>
      </c>
      <c r="F460" s="133" t="str">
        <f t="shared" si="23"/>
        <v/>
      </c>
      <c r="G460" s="133" t="str">
        <f t="shared" si="24"/>
        <v/>
      </c>
    </row>
    <row r="461" spans="5:7" x14ac:dyDescent="0.2">
      <c r="E461" s="133" t="str">
        <f t="shared" si="22"/>
        <v/>
      </c>
      <c r="F461" s="133" t="str">
        <f t="shared" si="23"/>
        <v/>
      </c>
      <c r="G461" s="133" t="str">
        <f t="shared" si="24"/>
        <v/>
      </c>
    </row>
    <row r="462" spans="5:7" x14ac:dyDescent="0.2">
      <c r="E462" s="133" t="str">
        <f t="shared" si="22"/>
        <v/>
      </c>
      <c r="F462" s="133" t="str">
        <f t="shared" si="23"/>
        <v/>
      </c>
      <c r="G462" s="133" t="str">
        <f t="shared" si="24"/>
        <v/>
      </c>
    </row>
    <row r="463" spans="5:7" x14ac:dyDescent="0.2">
      <c r="E463" s="133" t="str">
        <f t="shared" si="22"/>
        <v/>
      </c>
      <c r="F463" s="133" t="str">
        <f t="shared" si="23"/>
        <v/>
      </c>
      <c r="G463" s="133" t="str">
        <f t="shared" si="24"/>
        <v/>
      </c>
    </row>
    <row r="464" spans="5:7" x14ac:dyDescent="0.2">
      <c r="E464" s="133" t="str">
        <f t="shared" si="22"/>
        <v/>
      </c>
      <c r="F464" s="133" t="str">
        <f t="shared" si="23"/>
        <v/>
      </c>
      <c r="G464" s="133" t="str">
        <f t="shared" si="24"/>
        <v/>
      </c>
    </row>
    <row r="465" spans="5:7" x14ac:dyDescent="0.2">
      <c r="E465" s="133" t="str">
        <f t="shared" si="22"/>
        <v/>
      </c>
      <c r="F465" s="133" t="str">
        <f t="shared" si="23"/>
        <v/>
      </c>
      <c r="G465" s="133" t="str">
        <f t="shared" si="24"/>
        <v/>
      </c>
    </row>
    <row r="466" spans="5:7" x14ac:dyDescent="0.2">
      <c r="E466" s="133" t="str">
        <f t="shared" si="22"/>
        <v/>
      </c>
      <c r="F466" s="133" t="str">
        <f t="shared" si="23"/>
        <v/>
      </c>
      <c r="G466" s="133" t="str">
        <f t="shared" si="24"/>
        <v/>
      </c>
    </row>
    <row r="467" spans="5:7" x14ac:dyDescent="0.2">
      <c r="E467" s="133" t="str">
        <f t="shared" si="22"/>
        <v/>
      </c>
      <c r="F467" s="133" t="str">
        <f t="shared" si="23"/>
        <v/>
      </c>
      <c r="G467" s="133" t="str">
        <f t="shared" si="24"/>
        <v/>
      </c>
    </row>
    <row r="468" spans="5:7" x14ac:dyDescent="0.2">
      <c r="E468" s="133" t="str">
        <f t="shared" si="22"/>
        <v/>
      </c>
      <c r="F468" s="133" t="str">
        <f t="shared" si="23"/>
        <v/>
      </c>
      <c r="G468" s="133" t="str">
        <f t="shared" si="24"/>
        <v/>
      </c>
    </row>
    <row r="469" spans="5:7" x14ac:dyDescent="0.2">
      <c r="E469" s="133" t="str">
        <f t="shared" si="22"/>
        <v/>
      </c>
      <c r="F469" s="133" t="str">
        <f t="shared" si="23"/>
        <v/>
      </c>
      <c r="G469" s="133" t="str">
        <f t="shared" si="24"/>
        <v/>
      </c>
    </row>
    <row r="470" spans="5:7" x14ac:dyDescent="0.2">
      <c r="E470" s="133" t="str">
        <f t="shared" si="22"/>
        <v/>
      </c>
      <c r="F470" s="133" t="str">
        <f t="shared" si="23"/>
        <v/>
      </c>
      <c r="G470" s="133" t="str">
        <f t="shared" si="24"/>
        <v/>
      </c>
    </row>
    <row r="471" spans="5:7" x14ac:dyDescent="0.2">
      <c r="E471" s="133" t="str">
        <f t="shared" si="22"/>
        <v/>
      </c>
      <c r="F471" s="133" t="str">
        <f t="shared" si="23"/>
        <v/>
      </c>
      <c r="G471" s="133" t="str">
        <f t="shared" si="24"/>
        <v/>
      </c>
    </row>
    <row r="472" spans="5:7" x14ac:dyDescent="0.2">
      <c r="E472" s="133" t="str">
        <f t="shared" si="22"/>
        <v/>
      </c>
      <c r="F472" s="133" t="str">
        <f t="shared" si="23"/>
        <v/>
      </c>
      <c r="G472" s="133" t="str">
        <f t="shared" si="24"/>
        <v/>
      </c>
    </row>
    <row r="473" spans="5:7" x14ac:dyDescent="0.2">
      <c r="E473" s="133" t="str">
        <f t="shared" si="22"/>
        <v/>
      </c>
      <c r="F473" s="133" t="str">
        <f t="shared" si="23"/>
        <v/>
      </c>
      <c r="G473" s="133" t="str">
        <f t="shared" si="24"/>
        <v/>
      </c>
    </row>
    <row r="474" spans="5:7" x14ac:dyDescent="0.2">
      <c r="E474" s="133" t="str">
        <f t="shared" si="22"/>
        <v/>
      </c>
      <c r="F474" s="133" t="str">
        <f t="shared" si="23"/>
        <v/>
      </c>
      <c r="G474" s="133" t="str">
        <f t="shared" si="24"/>
        <v/>
      </c>
    </row>
    <row r="475" spans="5:7" x14ac:dyDescent="0.2">
      <c r="E475" s="133" t="str">
        <f t="shared" si="22"/>
        <v/>
      </c>
      <c r="F475" s="133" t="str">
        <f t="shared" si="23"/>
        <v/>
      </c>
      <c r="G475" s="133" t="str">
        <f t="shared" si="24"/>
        <v/>
      </c>
    </row>
    <row r="476" spans="5:7" x14ac:dyDescent="0.2">
      <c r="E476" s="133" t="str">
        <f t="shared" si="22"/>
        <v/>
      </c>
      <c r="F476" s="133" t="str">
        <f t="shared" si="23"/>
        <v/>
      </c>
      <c r="G476" s="133" t="str">
        <f t="shared" si="24"/>
        <v/>
      </c>
    </row>
    <row r="477" spans="5:7" x14ac:dyDescent="0.2">
      <c r="E477" s="133" t="str">
        <f t="shared" si="22"/>
        <v/>
      </c>
      <c r="F477" s="133" t="str">
        <f t="shared" si="23"/>
        <v/>
      </c>
      <c r="G477" s="133" t="str">
        <f t="shared" si="24"/>
        <v/>
      </c>
    </row>
    <row r="478" spans="5:7" x14ac:dyDescent="0.2">
      <c r="E478" s="133" t="str">
        <f t="shared" si="22"/>
        <v/>
      </c>
      <c r="F478" s="133" t="str">
        <f t="shared" si="23"/>
        <v/>
      </c>
      <c r="G478" s="133" t="str">
        <f t="shared" si="24"/>
        <v/>
      </c>
    </row>
    <row r="479" spans="5:7" x14ac:dyDescent="0.2">
      <c r="E479" s="133" t="str">
        <f t="shared" si="22"/>
        <v/>
      </c>
      <c r="F479" s="133" t="str">
        <f t="shared" si="23"/>
        <v/>
      </c>
      <c r="G479" s="133" t="str">
        <f t="shared" si="24"/>
        <v/>
      </c>
    </row>
    <row r="480" spans="5:7" x14ac:dyDescent="0.2">
      <c r="E480" s="133" t="str">
        <f t="shared" si="22"/>
        <v/>
      </c>
      <c r="F480" s="133" t="str">
        <f t="shared" si="23"/>
        <v/>
      </c>
      <c r="G480" s="133" t="str">
        <f t="shared" si="24"/>
        <v/>
      </c>
    </row>
    <row r="481" spans="5:7" x14ac:dyDescent="0.2">
      <c r="E481" s="133" t="str">
        <f t="shared" si="22"/>
        <v/>
      </c>
      <c r="F481" s="133" t="str">
        <f t="shared" si="23"/>
        <v/>
      </c>
      <c r="G481" s="133" t="str">
        <f t="shared" si="24"/>
        <v/>
      </c>
    </row>
    <row r="482" spans="5:7" x14ac:dyDescent="0.2">
      <c r="E482" s="133" t="str">
        <f t="shared" si="22"/>
        <v/>
      </c>
      <c r="F482" s="133" t="str">
        <f t="shared" si="23"/>
        <v/>
      </c>
      <c r="G482" s="133" t="str">
        <f t="shared" si="24"/>
        <v/>
      </c>
    </row>
    <row r="483" spans="5:7" x14ac:dyDescent="0.2">
      <c r="E483" s="133" t="str">
        <f t="shared" si="22"/>
        <v/>
      </c>
      <c r="F483" s="133" t="str">
        <f t="shared" si="23"/>
        <v/>
      </c>
      <c r="G483" s="133" t="str">
        <f t="shared" si="24"/>
        <v/>
      </c>
    </row>
    <row r="484" spans="5:7" x14ac:dyDescent="0.2">
      <c r="E484" s="133" t="str">
        <f t="shared" si="22"/>
        <v/>
      </c>
      <c r="F484" s="133" t="str">
        <f t="shared" si="23"/>
        <v/>
      </c>
      <c r="G484" s="133" t="str">
        <f t="shared" si="24"/>
        <v/>
      </c>
    </row>
    <row r="485" spans="5:7" x14ac:dyDescent="0.2">
      <c r="E485" s="133" t="str">
        <f t="shared" si="22"/>
        <v/>
      </c>
      <c r="F485" s="133" t="str">
        <f t="shared" si="23"/>
        <v/>
      </c>
      <c r="G485" s="133" t="str">
        <f t="shared" si="24"/>
        <v/>
      </c>
    </row>
    <row r="486" spans="5:7" x14ac:dyDescent="0.2">
      <c r="E486" s="133" t="str">
        <f t="shared" si="22"/>
        <v/>
      </c>
      <c r="F486" s="133" t="str">
        <f t="shared" si="23"/>
        <v/>
      </c>
      <c r="G486" s="133" t="str">
        <f t="shared" si="24"/>
        <v/>
      </c>
    </row>
    <row r="487" spans="5:7" x14ac:dyDescent="0.2">
      <c r="E487" s="133" t="str">
        <f t="shared" si="22"/>
        <v/>
      </c>
      <c r="F487" s="133" t="str">
        <f t="shared" si="23"/>
        <v/>
      </c>
      <c r="G487" s="133" t="str">
        <f t="shared" si="24"/>
        <v/>
      </c>
    </row>
    <row r="488" spans="5:7" x14ac:dyDescent="0.2">
      <c r="E488" s="133" t="str">
        <f t="shared" si="22"/>
        <v/>
      </c>
      <c r="F488" s="133" t="str">
        <f t="shared" si="23"/>
        <v/>
      </c>
      <c r="G488" s="133" t="str">
        <f t="shared" si="24"/>
        <v/>
      </c>
    </row>
    <row r="489" spans="5:7" x14ac:dyDescent="0.2">
      <c r="E489" s="133" t="str">
        <f t="shared" si="22"/>
        <v/>
      </c>
      <c r="F489" s="133" t="str">
        <f t="shared" si="23"/>
        <v/>
      </c>
      <c r="G489" s="133" t="str">
        <f t="shared" si="24"/>
        <v/>
      </c>
    </row>
    <row r="490" spans="5:7" x14ac:dyDescent="0.2">
      <c r="E490" s="133" t="str">
        <f t="shared" si="22"/>
        <v/>
      </c>
      <c r="F490" s="133" t="str">
        <f t="shared" si="23"/>
        <v/>
      </c>
      <c r="G490" s="133" t="str">
        <f t="shared" si="24"/>
        <v/>
      </c>
    </row>
    <row r="491" spans="5:7" x14ac:dyDescent="0.2">
      <c r="E491" s="133" t="str">
        <f t="shared" si="22"/>
        <v/>
      </c>
      <c r="F491" s="133" t="str">
        <f t="shared" si="23"/>
        <v/>
      </c>
      <c r="G491" s="133" t="str">
        <f t="shared" si="24"/>
        <v/>
      </c>
    </row>
    <row r="492" spans="5:7" x14ac:dyDescent="0.2">
      <c r="E492" s="133" t="str">
        <f t="shared" si="22"/>
        <v/>
      </c>
      <c r="F492" s="133" t="str">
        <f t="shared" si="23"/>
        <v/>
      </c>
      <c r="G492" s="133" t="str">
        <f t="shared" si="24"/>
        <v/>
      </c>
    </row>
    <row r="493" spans="5:7" x14ac:dyDescent="0.2">
      <c r="E493" s="133" t="str">
        <f t="shared" si="22"/>
        <v/>
      </c>
      <c r="F493" s="133" t="str">
        <f t="shared" si="23"/>
        <v/>
      </c>
      <c r="G493" s="133" t="str">
        <f t="shared" si="24"/>
        <v/>
      </c>
    </row>
    <row r="494" spans="5:7" x14ac:dyDescent="0.2">
      <c r="E494" s="133" t="str">
        <f t="shared" si="22"/>
        <v/>
      </c>
      <c r="F494" s="133" t="str">
        <f t="shared" si="23"/>
        <v/>
      </c>
      <c r="G494" s="133" t="str">
        <f t="shared" si="24"/>
        <v/>
      </c>
    </row>
    <row r="495" spans="5:7" x14ac:dyDescent="0.2">
      <c r="E495" s="133" t="str">
        <f t="shared" si="22"/>
        <v/>
      </c>
      <c r="F495" s="133" t="str">
        <f t="shared" si="23"/>
        <v/>
      </c>
      <c r="G495" s="133" t="str">
        <f t="shared" si="24"/>
        <v/>
      </c>
    </row>
    <row r="496" spans="5:7" x14ac:dyDescent="0.2">
      <c r="E496" s="133" t="str">
        <f t="shared" si="22"/>
        <v/>
      </c>
      <c r="F496" s="133" t="str">
        <f t="shared" si="23"/>
        <v/>
      </c>
      <c r="G496" s="133" t="str">
        <f t="shared" si="24"/>
        <v/>
      </c>
    </row>
    <row r="497" spans="5:7" x14ac:dyDescent="0.2">
      <c r="E497" s="133" t="str">
        <f t="shared" si="22"/>
        <v/>
      </c>
      <c r="F497" s="133" t="str">
        <f t="shared" si="23"/>
        <v/>
      </c>
      <c r="G497" s="133" t="str">
        <f t="shared" si="24"/>
        <v/>
      </c>
    </row>
    <row r="498" spans="5:7" x14ac:dyDescent="0.2">
      <c r="E498" s="133" t="str">
        <f t="shared" si="22"/>
        <v/>
      </c>
      <c r="F498" s="133" t="str">
        <f t="shared" si="23"/>
        <v/>
      </c>
      <c r="G498" s="133" t="str">
        <f t="shared" si="24"/>
        <v/>
      </c>
    </row>
    <row r="499" spans="5:7" x14ac:dyDescent="0.2">
      <c r="E499" s="133" t="str">
        <f t="shared" si="22"/>
        <v/>
      </c>
      <c r="F499" s="133" t="str">
        <f t="shared" si="23"/>
        <v/>
      </c>
      <c r="G499" s="133" t="str">
        <f t="shared" si="24"/>
        <v/>
      </c>
    </row>
    <row r="500" spans="5:7" x14ac:dyDescent="0.2">
      <c r="E500" s="133" t="str">
        <f t="shared" si="22"/>
        <v/>
      </c>
      <c r="F500" s="133" t="str">
        <f t="shared" si="23"/>
        <v/>
      </c>
      <c r="G500" s="133" t="str">
        <f t="shared" si="24"/>
        <v/>
      </c>
    </row>
    <row r="501" spans="5:7" x14ac:dyDescent="0.2">
      <c r="E501" s="133" t="str">
        <f t="shared" si="22"/>
        <v/>
      </c>
      <c r="F501" s="133" t="str">
        <f t="shared" si="23"/>
        <v/>
      </c>
      <c r="G501" s="133" t="str">
        <f t="shared" si="24"/>
        <v/>
      </c>
    </row>
    <row r="502" spans="5:7" x14ac:dyDescent="0.2">
      <c r="E502" s="133" t="str">
        <f t="shared" si="22"/>
        <v/>
      </c>
      <c r="F502" s="133" t="str">
        <f t="shared" si="23"/>
        <v/>
      </c>
      <c r="G502" s="133" t="str">
        <f t="shared" si="24"/>
        <v/>
      </c>
    </row>
    <row r="503" spans="5:7" x14ac:dyDescent="0.2">
      <c r="E503" s="133" t="str">
        <f t="shared" si="22"/>
        <v/>
      </c>
      <c r="F503" s="133" t="str">
        <f t="shared" si="23"/>
        <v/>
      </c>
      <c r="G503" s="133" t="str">
        <f t="shared" si="24"/>
        <v/>
      </c>
    </row>
    <row r="504" spans="5:7" x14ac:dyDescent="0.2">
      <c r="E504" s="133" t="str">
        <f t="shared" si="22"/>
        <v/>
      </c>
      <c r="F504" s="133" t="str">
        <f t="shared" si="23"/>
        <v/>
      </c>
      <c r="G504" s="133" t="str">
        <f t="shared" si="24"/>
        <v/>
      </c>
    </row>
    <row r="505" spans="5:7" x14ac:dyDescent="0.2">
      <c r="E505" s="133" t="str">
        <f t="shared" si="22"/>
        <v/>
      </c>
      <c r="F505" s="133" t="str">
        <f t="shared" si="23"/>
        <v/>
      </c>
      <c r="G505" s="133" t="str">
        <f t="shared" si="24"/>
        <v/>
      </c>
    </row>
    <row r="506" spans="5:7" x14ac:dyDescent="0.2">
      <c r="E506" s="133" t="str">
        <f t="shared" si="22"/>
        <v/>
      </c>
      <c r="F506" s="133" t="str">
        <f t="shared" si="23"/>
        <v/>
      </c>
      <c r="G506" s="133" t="str">
        <f t="shared" si="24"/>
        <v/>
      </c>
    </row>
    <row r="507" spans="5:7" x14ac:dyDescent="0.2">
      <c r="E507" s="133" t="str">
        <f t="shared" si="22"/>
        <v/>
      </c>
      <c r="F507" s="133" t="str">
        <f t="shared" si="23"/>
        <v/>
      </c>
      <c r="G507" s="133" t="str">
        <f t="shared" si="24"/>
        <v/>
      </c>
    </row>
    <row r="508" spans="5:7" x14ac:dyDescent="0.2">
      <c r="E508" s="133" t="str">
        <f t="shared" si="22"/>
        <v/>
      </c>
      <c r="F508" s="133" t="str">
        <f t="shared" si="23"/>
        <v/>
      </c>
      <c r="G508" s="133" t="str">
        <f t="shared" si="24"/>
        <v/>
      </c>
    </row>
    <row r="509" spans="5:7" x14ac:dyDescent="0.2">
      <c r="E509" s="133" t="str">
        <f t="shared" si="22"/>
        <v/>
      </c>
      <c r="F509" s="133" t="str">
        <f t="shared" si="23"/>
        <v/>
      </c>
      <c r="G509" s="133" t="str">
        <f t="shared" si="24"/>
        <v/>
      </c>
    </row>
    <row r="510" spans="5:7" x14ac:dyDescent="0.2">
      <c r="E510" s="133" t="str">
        <f t="shared" si="22"/>
        <v/>
      </c>
      <c r="F510" s="133" t="str">
        <f t="shared" si="23"/>
        <v/>
      </c>
      <c r="G510" s="133" t="str">
        <f t="shared" si="24"/>
        <v/>
      </c>
    </row>
    <row r="511" spans="5:7" x14ac:dyDescent="0.2">
      <c r="E511" s="133" t="str">
        <f t="shared" si="22"/>
        <v/>
      </c>
      <c r="F511" s="133" t="str">
        <f t="shared" si="23"/>
        <v/>
      </c>
      <c r="G511" s="133" t="str">
        <f t="shared" si="24"/>
        <v/>
      </c>
    </row>
    <row r="512" spans="5:7" x14ac:dyDescent="0.2">
      <c r="E512" s="133" t="str">
        <f t="shared" si="22"/>
        <v/>
      </c>
      <c r="F512" s="133" t="str">
        <f t="shared" si="23"/>
        <v/>
      </c>
      <c r="G512" s="133" t="str">
        <f t="shared" si="24"/>
        <v/>
      </c>
    </row>
    <row r="513" spans="5:7" x14ac:dyDescent="0.2">
      <c r="E513" s="133" t="str">
        <f t="shared" si="22"/>
        <v/>
      </c>
      <c r="F513" s="133" t="str">
        <f t="shared" si="23"/>
        <v/>
      </c>
      <c r="G513" s="133" t="str">
        <f t="shared" si="24"/>
        <v/>
      </c>
    </row>
    <row r="514" spans="5:7" x14ac:dyDescent="0.2">
      <c r="E514" s="133" t="str">
        <f t="shared" ref="E514:E577" si="25">IF(OR(A514="",D514=""),"",(D514-A514)*24)</f>
        <v/>
      </c>
      <c r="F514" s="133" t="str">
        <f t="shared" ref="F514:F577" si="26">IF(OR(A514="",D514=""),"",INT((D514-A514)*24)&amp;" час "&amp;ROUND(((D514-A514)*24-INT((D514-A514)*24))*60,0)&amp;" минут")</f>
        <v/>
      </c>
      <c r="G514" s="133" t="str">
        <f t="shared" ref="G514:G577" si="27">IF(D514="","",TEXT(D514,"ММММ ГГГГ"))</f>
        <v/>
      </c>
    </row>
    <row r="515" spans="5:7" x14ac:dyDescent="0.2">
      <c r="E515" s="133" t="str">
        <f t="shared" si="25"/>
        <v/>
      </c>
      <c r="F515" s="133" t="str">
        <f t="shared" si="26"/>
        <v/>
      </c>
      <c r="G515" s="133" t="str">
        <f t="shared" si="27"/>
        <v/>
      </c>
    </row>
    <row r="516" spans="5:7" x14ac:dyDescent="0.2">
      <c r="E516" s="133" t="str">
        <f t="shared" si="25"/>
        <v/>
      </c>
      <c r="F516" s="133" t="str">
        <f t="shared" si="26"/>
        <v/>
      </c>
      <c r="G516" s="133" t="str">
        <f t="shared" si="27"/>
        <v/>
      </c>
    </row>
    <row r="517" spans="5:7" x14ac:dyDescent="0.2">
      <c r="E517" s="133" t="str">
        <f t="shared" si="25"/>
        <v/>
      </c>
      <c r="F517" s="133" t="str">
        <f t="shared" si="26"/>
        <v/>
      </c>
      <c r="G517" s="133" t="str">
        <f t="shared" si="27"/>
        <v/>
      </c>
    </row>
    <row r="518" spans="5:7" x14ac:dyDescent="0.2">
      <c r="E518" s="133" t="str">
        <f t="shared" si="25"/>
        <v/>
      </c>
      <c r="F518" s="133" t="str">
        <f t="shared" si="26"/>
        <v/>
      </c>
      <c r="G518" s="133" t="str">
        <f t="shared" si="27"/>
        <v/>
      </c>
    </row>
    <row r="519" spans="5:7" x14ac:dyDescent="0.2">
      <c r="E519" s="133" t="str">
        <f t="shared" si="25"/>
        <v/>
      </c>
      <c r="F519" s="133" t="str">
        <f t="shared" si="26"/>
        <v/>
      </c>
      <c r="G519" s="133" t="str">
        <f t="shared" si="27"/>
        <v/>
      </c>
    </row>
    <row r="520" spans="5:7" x14ac:dyDescent="0.2">
      <c r="E520" s="133" t="str">
        <f t="shared" si="25"/>
        <v/>
      </c>
      <c r="F520" s="133" t="str">
        <f t="shared" si="26"/>
        <v/>
      </c>
      <c r="G520" s="133" t="str">
        <f t="shared" si="27"/>
        <v/>
      </c>
    </row>
    <row r="521" spans="5:7" x14ac:dyDescent="0.2">
      <c r="E521" s="133" t="str">
        <f t="shared" si="25"/>
        <v/>
      </c>
      <c r="F521" s="133" t="str">
        <f t="shared" si="26"/>
        <v/>
      </c>
      <c r="G521" s="133" t="str">
        <f t="shared" si="27"/>
        <v/>
      </c>
    </row>
    <row r="522" spans="5:7" x14ac:dyDescent="0.2">
      <c r="E522" s="133" t="str">
        <f t="shared" si="25"/>
        <v/>
      </c>
      <c r="F522" s="133" t="str">
        <f t="shared" si="26"/>
        <v/>
      </c>
      <c r="G522" s="133" t="str">
        <f t="shared" si="27"/>
        <v/>
      </c>
    </row>
    <row r="523" spans="5:7" x14ac:dyDescent="0.2">
      <c r="E523" s="133" t="str">
        <f t="shared" si="25"/>
        <v/>
      </c>
      <c r="F523" s="133" t="str">
        <f t="shared" si="26"/>
        <v/>
      </c>
      <c r="G523" s="133" t="str">
        <f t="shared" si="27"/>
        <v/>
      </c>
    </row>
    <row r="524" spans="5:7" x14ac:dyDescent="0.2">
      <c r="E524" s="133" t="str">
        <f t="shared" si="25"/>
        <v/>
      </c>
      <c r="F524" s="133" t="str">
        <f t="shared" si="26"/>
        <v/>
      </c>
      <c r="G524" s="133" t="str">
        <f t="shared" si="27"/>
        <v/>
      </c>
    </row>
    <row r="525" spans="5:7" x14ac:dyDescent="0.2">
      <c r="E525" s="133" t="str">
        <f t="shared" si="25"/>
        <v/>
      </c>
      <c r="F525" s="133" t="str">
        <f t="shared" si="26"/>
        <v/>
      </c>
      <c r="G525" s="133" t="str">
        <f t="shared" si="27"/>
        <v/>
      </c>
    </row>
    <row r="526" spans="5:7" x14ac:dyDescent="0.2">
      <c r="E526" s="133" t="str">
        <f t="shared" si="25"/>
        <v/>
      </c>
      <c r="F526" s="133" t="str">
        <f t="shared" si="26"/>
        <v/>
      </c>
      <c r="G526" s="133" t="str">
        <f t="shared" si="27"/>
        <v/>
      </c>
    </row>
    <row r="527" spans="5:7" x14ac:dyDescent="0.2">
      <c r="E527" s="133" t="str">
        <f t="shared" si="25"/>
        <v/>
      </c>
      <c r="F527" s="133" t="str">
        <f t="shared" si="26"/>
        <v/>
      </c>
      <c r="G527" s="133" t="str">
        <f t="shared" si="27"/>
        <v/>
      </c>
    </row>
    <row r="528" spans="5:7" x14ac:dyDescent="0.2">
      <c r="E528" s="133" t="str">
        <f t="shared" si="25"/>
        <v/>
      </c>
      <c r="F528" s="133" t="str">
        <f t="shared" si="26"/>
        <v/>
      </c>
      <c r="G528" s="133" t="str">
        <f t="shared" si="27"/>
        <v/>
      </c>
    </row>
    <row r="529" spans="5:7" x14ac:dyDescent="0.2">
      <c r="E529" s="133" t="str">
        <f t="shared" si="25"/>
        <v/>
      </c>
      <c r="F529" s="133" t="str">
        <f t="shared" si="26"/>
        <v/>
      </c>
      <c r="G529" s="133" t="str">
        <f t="shared" si="27"/>
        <v/>
      </c>
    </row>
    <row r="530" spans="5:7" x14ac:dyDescent="0.2">
      <c r="E530" s="133" t="str">
        <f t="shared" si="25"/>
        <v/>
      </c>
      <c r="F530" s="133" t="str">
        <f t="shared" si="26"/>
        <v/>
      </c>
      <c r="G530" s="133" t="str">
        <f t="shared" si="27"/>
        <v/>
      </c>
    </row>
    <row r="531" spans="5:7" x14ac:dyDescent="0.2">
      <c r="E531" s="133" t="str">
        <f t="shared" si="25"/>
        <v/>
      </c>
      <c r="F531" s="133" t="str">
        <f t="shared" si="26"/>
        <v/>
      </c>
      <c r="G531" s="133" t="str">
        <f t="shared" si="27"/>
        <v/>
      </c>
    </row>
    <row r="532" spans="5:7" x14ac:dyDescent="0.2">
      <c r="E532" s="133" t="str">
        <f t="shared" si="25"/>
        <v/>
      </c>
      <c r="F532" s="133" t="str">
        <f t="shared" si="26"/>
        <v/>
      </c>
      <c r="G532" s="133" t="str">
        <f t="shared" si="27"/>
        <v/>
      </c>
    </row>
    <row r="533" spans="5:7" x14ac:dyDescent="0.2">
      <c r="E533" s="133" t="str">
        <f t="shared" si="25"/>
        <v/>
      </c>
      <c r="F533" s="133" t="str">
        <f t="shared" si="26"/>
        <v/>
      </c>
      <c r="G533" s="133" t="str">
        <f t="shared" si="27"/>
        <v/>
      </c>
    </row>
    <row r="534" spans="5:7" x14ac:dyDescent="0.2">
      <c r="E534" s="133" t="str">
        <f t="shared" si="25"/>
        <v/>
      </c>
      <c r="F534" s="133" t="str">
        <f t="shared" si="26"/>
        <v/>
      </c>
      <c r="G534" s="133" t="str">
        <f t="shared" si="27"/>
        <v/>
      </c>
    </row>
    <row r="535" spans="5:7" x14ac:dyDescent="0.2">
      <c r="E535" s="133" t="str">
        <f t="shared" si="25"/>
        <v/>
      </c>
      <c r="F535" s="133" t="str">
        <f t="shared" si="26"/>
        <v/>
      </c>
      <c r="G535" s="133" t="str">
        <f t="shared" si="27"/>
        <v/>
      </c>
    </row>
    <row r="536" spans="5:7" x14ac:dyDescent="0.2">
      <c r="E536" s="133" t="str">
        <f t="shared" si="25"/>
        <v/>
      </c>
      <c r="F536" s="133" t="str">
        <f t="shared" si="26"/>
        <v/>
      </c>
      <c r="G536" s="133" t="str">
        <f t="shared" si="27"/>
        <v/>
      </c>
    </row>
    <row r="537" spans="5:7" x14ac:dyDescent="0.2">
      <c r="E537" s="133" t="str">
        <f t="shared" si="25"/>
        <v/>
      </c>
      <c r="F537" s="133" t="str">
        <f t="shared" si="26"/>
        <v/>
      </c>
      <c r="G537" s="133" t="str">
        <f t="shared" si="27"/>
        <v/>
      </c>
    </row>
    <row r="538" spans="5:7" x14ac:dyDescent="0.2">
      <c r="E538" s="133" t="str">
        <f t="shared" si="25"/>
        <v/>
      </c>
      <c r="F538" s="133" t="str">
        <f t="shared" si="26"/>
        <v/>
      </c>
      <c r="G538" s="133" t="str">
        <f t="shared" si="27"/>
        <v/>
      </c>
    </row>
    <row r="539" spans="5:7" x14ac:dyDescent="0.2">
      <c r="E539" s="133" t="str">
        <f t="shared" si="25"/>
        <v/>
      </c>
      <c r="F539" s="133" t="str">
        <f t="shared" si="26"/>
        <v/>
      </c>
      <c r="G539" s="133" t="str">
        <f t="shared" si="27"/>
        <v/>
      </c>
    </row>
    <row r="540" spans="5:7" x14ac:dyDescent="0.2">
      <c r="E540" s="133" t="str">
        <f t="shared" si="25"/>
        <v/>
      </c>
      <c r="F540" s="133" t="str">
        <f t="shared" si="26"/>
        <v/>
      </c>
      <c r="G540" s="133" t="str">
        <f t="shared" si="27"/>
        <v/>
      </c>
    </row>
    <row r="541" spans="5:7" x14ac:dyDescent="0.2">
      <c r="E541" s="133" t="str">
        <f t="shared" si="25"/>
        <v/>
      </c>
      <c r="F541" s="133" t="str">
        <f t="shared" si="26"/>
        <v/>
      </c>
      <c r="G541" s="133" t="str">
        <f t="shared" si="27"/>
        <v/>
      </c>
    </row>
    <row r="542" spans="5:7" x14ac:dyDescent="0.2">
      <c r="E542" s="133" t="str">
        <f t="shared" si="25"/>
        <v/>
      </c>
      <c r="F542" s="133" t="str">
        <f t="shared" si="26"/>
        <v/>
      </c>
      <c r="G542" s="133" t="str">
        <f t="shared" si="27"/>
        <v/>
      </c>
    </row>
    <row r="543" spans="5:7" x14ac:dyDescent="0.2">
      <c r="E543" s="133" t="str">
        <f t="shared" si="25"/>
        <v/>
      </c>
      <c r="F543" s="133" t="str">
        <f t="shared" si="26"/>
        <v/>
      </c>
      <c r="G543" s="133" t="str">
        <f t="shared" si="27"/>
        <v/>
      </c>
    </row>
    <row r="544" spans="5:7" x14ac:dyDescent="0.2">
      <c r="E544" s="133" t="str">
        <f t="shared" si="25"/>
        <v/>
      </c>
      <c r="F544" s="133" t="str">
        <f t="shared" si="26"/>
        <v/>
      </c>
      <c r="G544" s="133" t="str">
        <f t="shared" si="27"/>
        <v/>
      </c>
    </row>
    <row r="545" spans="5:7" x14ac:dyDescent="0.2">
      <c r="E545" s="133" t="str">
        <f t="shared" si="25"/>
        <v/>
      </c>
      <c r="F545" s="133" t="str">
        <f t="shared" si="26"/>
        <v/>
      </c>
      <c r="G545" s="133" t="str">
        <f t="shared" si="27"/>
        <v/>
      </c>
    </row>
    <row r="546" spans="5:7" x14ac:dyDescent="0.2">
      <c r="E546" s="133" t="str">
        <f t="shared" si="25"/>
        <v/>
      </c>
      <c r="F546" s="133" t="str">
        <f t="shared" si="26"/>
        <v/>
      </c>
      <c r="G546" s="133" t="str">
        <f t="shared" si="27"/>
        <v/>
      </c>
    </row>
    <row r="547" spans="5:7" x14ac:dyDescent="0.2">
      <c r="E547" s="133" t="str">
        <f t="shared" si="25"/>
        <v/>
      </c>
      <c r="F547" s="133" t="str">
        <f t="shared" si="26"/>
        <v/>
      </c>
      <c r="G547" s="133" t="str">
        <f t="shared" si="27"/>
        <v/>
      </c>
    </row>
    <row r="548" spans="5:7" x14ac:dyDescent="0.2">
      <c r="E548" s="133" t="str">
        <f t="shared" si="25"/>
        <v/>
      </c>
      <c r="F548" s="133" t="str">
        <f t="shared" si="26"/>
        <v/>
      </c>
      <c r="G548" s="133" t="str">
        <f t="shared" si="27"/>
        <v/>
      </c>
    </row>
    <row r="549" spans="5:7" x14ac:dyDescent="0.2">
      <c r="E549" s="133" t="str">
        <f t="shared" si="25"/>
        <v/>
      </c>
      <c r="F549" s="133" t="str">
        <f t="shared" si="26"/>
        <v/>
      </c>
      <c r="G549" s="133" t="str">
        <f t="shared" si="27"/>
        <v/>
      </c>
    </row>
    <row r="550" spans="5:7" x14ac:dyDescent="0.2">
      <c r="E550" s="133" t="str">
        <f t="shared" si="25"/>
        <v/>
      </c>
      <c r="F550" s="133" t="str">
        <f t="shared" si="26"/>
        <v/>
      </c>
      <c r="G550" s="133" t="str">
        <f t="shared" si="27"/>
        <v/>
      </c>
    </row>
    <row r="551" spans="5:7" x14ac:dyDescent="0.2">
      <c r="E551" s="133" t="str">
        <f t="shared" si="25"/>
        <v/>
      </c>
      <c r="F551" s="133" t="str">
        <f t="shared" si="26"/>
        <v/>
      </c>
      <c r="G551" s="133" t="str">
        <f t="shared" si="27"/>
        <v/>
      </c>
    </row>
    <row r="552" spans="5:7" x14ac:dyDescent="0.2">
      <c r="E552" s="133" t="str">
        <f t="shared" si="25"/>
        <v/>
      </c>
      <c r="F552" s="133" t="str">
        <f t="shared" si="26"/>
        <v/>
      </c>
      <c r="G552" s="133" t="str">
        <f t="shared" si="27"/>
        <v/>
      </c>
    </row>
    <row r="553" spans="5:7" x14ac:dyDescent="0.2">
      <c r="E553" s="133" t="str">
        <f t="shared" si="25"/>
        <v/>
      </c>
      <c r="F553" s="133" t="str">
        <f t="shared" si="26"/>
        <v/>
      </c>
      <c r="G553" s="133" t="str">
        <f t="shared" si="27"/>
        <v/>
      </c>
    </row>
    <row r="554" spans="5:7" x14ac:dyDescent="0.2">
      <c r="E554" s="133" t="str">
        <f t="shared" si="25"/>
        <v/>
      </c>
      <c r="F554" s="133" t="str">
        <f t="shared" si="26"/>
        <v/>
      </c>
      <c r="G554" s="133" t="str">
        <f t="shared" si="27"/>
        <v/>
      </c>
    </row>
    <row r="555" spans="5:7" x14ac:dyDescent="0.2">
      <c r="E555" s="133" t="str">
        <f t="shared" si="25"/>
        <v/>
      </c>
      <c r="F555" s="133" t="str">
        <f t="shared" si="26"/>
        <v/>
      </c>
      <c r="G555" s="133" t="str">
        <f t="shared" si="27"/>
        <v/>
      </c>
    </row>
    <row r="556" spans="5:7" x14ac:dyDescent="0.2">
      <c r="E556" s="133" t="str">
        <f t="shared" si="25"/>
        <v/>
      </c>
      <c r="F556" s="133" t="str">
        <f t="shared" si="26"/>
        <v/>
      </c>
      <c r="G556" s="133" t="str">
        <f t="shared" si="27"/>
        <v/>
      </c>
    </row>
    <row r="557" spans="5:7" x14ac:dyDescent="0.2">
      <c r="E557" s="133" t="str">
        <f t="shared" si="25"/>
        <v/>
      </c>
      <c r="F557" s="133" t="str">
        <f t="shared" si="26"/>
        <v/>
      </c>
      <c r="G557" s="133" t="str">
        <f t="shared" si="27"/>
        <v/>
      </c>
    </row>
    <row r="558" spans="5:7" x14ac:dyDescent="0.2">
      <c r="E558" s="133" t="str">
        <f t="shared" si="25"/>
        <v/>
      </c>
      <c r="F558" s="133" t="str">
        <f t="shared" si="26"/>
        <v/>
      </c>
      <c r="G558" s="133" t="str">
        <f t="shared" si="27"/>
        <v/>
      </c>
    </row>
    <row r="559" spans="5:7" x14ac:dyDescent="0.2">
      <c r="E559" s="133" t="str">
        <f t="shared" si="25"/>
        <v/>
      </c>
      <c r="F559" s="133" t="str">
        <f t="shared" si="26"/>
        <v/>
      </c>
      <c r="G559" s="133" t="str">
        <f t="shared" si="27"/>
        <v/>
      </c>
    </row>
    <row r="560" spans="5:7" x14ac:dyDescent="0.2">
      <c r="E560" s="133" t="str">
        <f t="shared" si="25"/>
        <v/>
      </c>
      <c r="F560" s="133" t="str">
        <f t="shared" si="26"/>
        <v/>
      </c>
      <c r="G560" s="133" t="str">
        <f t="shared" si="27"/>
        <v/>
      </c>
    </row>
    <row r="561" spans="5:7" x14ac:dyDescent="0.2">
      <c r="E561" s="133" t="str">
        <f t="shared" si="25"/>
        <v/>
      </c>
      <c r="F561" s="133" t="str">
        <f t="shared" si="26"/>
        <v/>
      </c>
      <c r="G561" s="133" t="str">
        <f t="shared" si="27"/>
        <v/>
      </c>
    </row>
    <row r="562" spans="5:7" x14ac:dyDescent="0.2">
      <c r="E562" s="133" t="str">
        <f t="shared" si="25"/>
        <v/>
      </c>
      <c r="F562" s="133" t="str">
        <f t="shared" si="26"/>
        <v/>
      </c>
      <c r="G562" s="133" t="str">
        <f t="shared" si="27"/>
        <v/>
      </c>
    </row>
    <row r="563" spans="5:7" x14ac:dyDescent="0.2">
      <c r="E563" s="133" t="str">
        <f t="shared" si="25"/>
        <v/>
      </c>
      <c r="F563" s="133" t="str">
        <f t="shared" si="26"/>
        <v/>
      </c>
      <c r="G563" s="133" t="str">
        <f t="shared" si="27"/>
        <v/>
      </c>
    </row>
    <row r="564" spans="5:7" x14ac:dyDescent="0.2">
      <c r="E564" s="133" t="str">
        <f t="shared" si="25"/>
        <v/>
      </c>
      <c r="F564" s="133" t="str">
        <f t="shared" si="26"/>
        <v/>
      </c>
      <c r="G564" s="133" t="str">
        <f t="shared" si="27"/>
        <v/>
      </c>
    </row>
    <row r="565" spans="5:7" x14ac:dyDescent="0.2">
      <c r="E565" s="133" t="str">
        <f t="shared" si="25"/>
        <v/>
      </c>
      <c r="F565" s="133" t="str">
        <f t="shared" si="26"/>
        <v/>
      </c>
      <c r="G565" s="133" t="str">
        <f t="shared" si="27"/>
        <v/>
      </c>
    </row>
    <row r="566" spans="5:7" x14ac:dyDescent="0.2">
      <c r="E566" s="133" t="str">
        <f t="shared" si="25"/>
        <v/>
      </c>
      <c r="F566" s="133" t="str">
        <f t="shared" si="26"/>
        <v/>
      </c>
      <c r="G566" s="133" t="str">
        <f t="shared" si="27"/>
        <v/>
      </c>
    </row>
    <row r="567" spans="5:7" x14ac:dyDescent="0.2">
      <c r="E567" s="133" t="str">
        <f t="shared" si="25"/>
        <v/>
      </c>
      <c r="F567" s="133" t="str">
        <f t="shared" si="26"/>
        <v/>
      </c>
      <c r="G567" s="133" t="str">
        <f t="shared" si="27"/>
        <v/>
      </c>
    </row>
    <row r="568" spans="5:7" x14ac:dyDescent="0.2">
      <c r="E568" s="133" t="str">
        <f t="shared" si="25"/>
        <v/>
      </c>
      <c r="F568" s="133" t="str">
        <f t="shared" si="26"/>
        <v/>
      </c>
      <c r="G568" s="133" t="str">
        <f t="shared" si="27"/>
        <v/>
      </c>
    </row>
    <row r="569" spans="5:7" x14ac:dyDescent="0.2">
      <c r="E569" s="133" t="str">
        <f t="shared" si="25"/>
        <v/>
      </c>
      <c r="F569" s="133" t="str">
        <f t="shared" si="26"/>
        <v/>
      </c>
      <c r="G569" s="133" t="str">
        <f t="shared" si="27"/>
        <v/>
      </c>
    </row>
    <row r="570" spans="5:7" x14ac:dyDescent="0.2">
      <c r="E570" s="133" t="str">
        <f t="shared" si="25"/>
        <v/>
      </c>
      <c r="F570" s="133" t="str">
        <f t="shared" si="26"/>
        <v/>
      </c>
      <c r="G570" s="133" t="str">
        <f t="shared" si="27"/>
        <v/>
      </c>
    </row>
    <row r="571" spans="5:7" x14ac:dyDescent="0.2">
      <c r="E571" s="133" t="str">
        <f t="shared" si="25"/>
        <v/>
      </c>
      <c r="F571" s="133" t="str">
        <f t="shared" si="26"/>
        <v/>
      </c>
      <c r="G571" s="133" t="str">
        <f t="shared" si="27"/>
        <v/>
      </c>
    </row>
    <row r="572" spans="5:7" x14ac:dyDescent="0.2">
      <c r="E572" s="133" t="str">
        <f t="shared" si="25"/>
        <v/>
      </c>
      <c r="F572" s="133" t="str">
        <f t="shared" si="26"/>
        <v/>
      </c>
      <c r="G572" s="133" t="str">
        <f t="shared" si="27"/>
        <v/>
      </c>
    </row>
    <row r="573" spans="5:7" x14ac:dyDescent="0.2">
      <c r="E573" s="133" t="str">
        <f t="shared" si="25"/>
        <v/>
      </c>
      <c r="F573" s="133" t="str">
        <f t="shared" si="26"/>
        <v/>
      </c>
      <c r="G573" s="133" t="str">
        <f t="shared" si="27"/>
        <v/>
      </c>
    </row>
    <row r="574" spans="5:7" x14ac:dyDescent="0.2">
      <c r="E574" s="133" t="str">
        <f t="shared" si="25"/>
        <v/>
      </c>
      <c r="F574" s="133" t="str">
        <f t="shared" si="26"/>
        <v/>
      </c>
      <c r="G574" s="133" t="str">
        <f t="shared" si="27"/>
        <v/>
      </c>
    </row>
    <row r="575" spans="5:7" x14ac:dyDescent="0.2">
      <c r="E575" s="133" t="str">
        <f t="shared" si="25"/>
        <v/>
      </c>
      <c r="F575" s="133" t="str">
        <f t="shared" si="26"/>
        <v/>
      </c>
      <c r="G575" s="133" t="str">
        <f t="shared" si="27"/>
        <v/>
      </c>
    </row>
    <row r="576" spans="5:7" x14ac:dyDescent="0.2">
      <c r="E576" s="133" t="str">
        <f t="shared" si="25"/>
        <v/>
      </c>
      <c r="F576" s="133" t="str">
        <f t="shared" si="26"/>
        <v/>
      </c>
      <c r="G576" s="133" t="str">
        <f t="shared" si="27"/>
        <v/>
      </c>
    </row>
    <row r="577" spans="5:7" x14ac:dyDescent="0.2">
      <c r="E577" s="133" t="str">
        <f t="shared" si="25"/>
        <v/>
      </c>
      <c r="F577" s="133" t="str">
        <f t="shared" si="26"/>
        <v/>
      </c>
      <c r="G577" s="133" t="str">
        <f t="shared" si="27"/>
        <v/>
      </c>
    </row>
    <row r="578" spans="5:7" x14ac:dyDescent="0.2">
      <c r="E578" s="133" t="str">
        <f t="shared" ref="E578:E641" si="28">IF(OR(A578="",D578=""),"",(D578-A578)*24)</f>
        <v/>
      </c>
      <c r="F578" s="133" t="str">
        <f t="shared" ref="F578:F641" si="29">IF(OR(A578="",D578=""),"",INT((D578-A578)*24)&amp;" час "&amp;ROUND(((D578-A578)*24-INT((D578-A578)*24))*60,0)&amp;" минут")</f>
        <v/>
      </c>
      <c r="G578" s="133" t="str">
        <f t="shared" ref="G578:G641" si="30">IF(D578="","",TEXT(D578,"ММММ ГГГГ"))</f>
        <v/>
      </c>
    </row>
    <row r="579" spans="5:7" x14ac:dyDescent="0.2">
      <c r="E579" s="133" t="str">
        <f t="shared" si="28"/>
        <v/>
      </c>
      <c r="F579" s="133" t="str">
        <f t="shared" si="29"/>
        <v/>
      </c>
      <c r="G579" s="133" t="str">
        <f t="shared" si="30"/>
        <v/>
      </c>
    </row>
    <row r="580" spans="5:7" x14ac:dyDescent="0.2">
      <c r="E580" s="133" t="str">
        <f t="shared" si="28"/>
        <v/>
      </c>
      <c r="F580" s="133" t="str">
        <f t="shared" si="29"/>
        <v/>
      </c>
      <c r="G580" s="133" t="str">
        <f t="shared" si="30"/>
        <v/>
      </c>
    </row>
    <row r="581" spans="5:7" x14ac:dyDescent="0.2">
      <c r="E581" s="133" t="str">
        <f t="shared" si="28"/>
        <v/>
      </c>
      <c r="F581" s="133" t="str">
        <f t="shared" si="29"/>
        <v/>
      </c>
      <c r="G581" s="133" t="str">
        <f t="shared" si="30"/>
        <v/>
      </c>
    </row>
    <row r="582" spans="5:7" x14ac:dyDescent="0.2">
      <c r="E582" s="133" t="str">
        <f t="shared" si="28"/>
        <v/>
      </c>
      <c r="F582" s="133" t="str">
        <f t="shared" si="29"/>
        <v/>
      </c>
      <c r="G582" s="133" t="str">
        <f t="shared" si="30"/>
        <v/>
      </c>
    </row>
    <row r="583" spans="5:7" x14ac:dyDescent="0.2">
      <c r="E583" s="133" t="str">
        <f t="shared" si="28"/>
        <v/>
      </c>
      <c r="F583" s="133" t="str">
        <f t="shared" si="29"/>
        <v/>
      </c>
      <c r="G583" s="133" t="str">
        <f t="shared" si="30"/>
        <v/>
      </c>
    </row>
    <row r="584" spans="5:7" x14ac:dyDescent="0.2">
      <c r="E584" s="133" t="str">
        <f t="shared" si="28"/>
        <v/>
      </c>
      <c r="F584" s="133" t="str">
        <f t="shared" si="29"/>
        <v/>
      </c>
      <c r="G584" s="133" t="str">
        <f t="shared" si="30"/>
        <v/>
      </c>
    </row>
    <row r="585" spans="5:7" x14ac:dyDescent="0.2">
      <c r="E585" s="133" t="str">
        <f t="shared" si="28"/>
        <v/>
      </c>
      <c r="F585" s="133" t="str">
        <f t="shared" si="29"/>
        <v/>
      </c>
      <c r="G585" s="133" t="str">
        <f t="shared" si="30"/>
        <v/>
      </c>
    </row>
    <row r="586" spans="5:7" x14ac:dyDescent="0.2">
      <c r="E586" s="133" t="str">
        <f t="shared" si="28"/>
        <v/>
      </c>
      <c r="F586" s="133" t="str">
        <f t="shared" si="29"/>
        <v/>
      </c>
      <c r="G586" s="133" t="str">
        <f t="shared" si="30"/>
        <v/>
      </c>
    </row>
    <row r="587" spans="5:7" x14ac:dyDescent="0.2">
      <c r="E587" s="133" t="str">
        <f t="shared" si="28"/>
        <v/>
      </c>
      <c r="F587" s="133" t="str">
        <f t="shared" si="29"/>
        <v/>
      </c>
      <c r="G587" s="133" t="str">
        <f t="shared" si="30"/>
        <v/>
      </c>
    </row>
    <row r="588" spans="5:7" x14ac:dyDescent="0.2">
      <c r="E588" s="133" t="str">
        <f t="shared" si="28"/>
        <v/>
      </c>
      <c r="F588" s="133" t="str">
        <f t="shared" si="29"/>
        <v/>
      </c>
      <c r="G588" s="133" t="str">
        <f t="shared" si="30"/>
        <v/>
      </c>
    </row>
    <row r="589" spans="5:7" x14ac:dyDescent="0.2">
      <c r="E589" s="133" t="str">
        <f t="shared" si="28"/>
        <v/>
      </c>
      <c r="F589" s="133" t="str">
        <f t="shared" si="29"/>
        <v/>
      </c>
      <c r="G589" s="133" t="str">
        <f t="shared" si="30"/>
        <v/>
      </c>
    </row>
    <row r="590" spans="5:7" x14ac:dyDescent="0.2">
      <c r="E590" s="133" t="str">
        <f t="shared" si="28"/>
        <v/>
      </c>
      <c r="F590" s="133" t="str">
        <f t="shared" si="29"/>
        <v/>
      </c>
      <c r="G590" s="133" t="str">
        <f t="shared" si="30"/>
        <v/>
      </c>
    </row>
    <row r="591" spans="5:7" x14ac:dyDescent="0.2">
      <c r="E591" s="133" t="str">
        <f t="shared" si="28"/>
        <v/>
      </c>
      <c r="F591" s="133" t="str">
        <f t="shared" si="29"/>
        <v/>
      </c>
      <c r="G591" s="133" t="str">
        <f t="shared" si="30"/>
        <v/>
      </c>
    </row>
    <row r="592" spans="5:7" x14ac:dyDescent="0.2">
      <c r="E592" s="133" t="str">
        <f t="shared" si="28"/>
        <v/>
      </c>
      <c r="F592" s="133" t="str">
        <f t="shared" si="29"/>
        <v/>
      </c>
      <c r="G592" s="133" t="str">
        <f t="shared" si="30"/>
        <v/>
      </c>
    </row>
    <row r="593" spans="5:7" x14ac:dyDescent="0.2">
      <c r="E593" s="133" t="str">
        <f t="shared" si="28"/>
        <v/>
      </c>
      <c r="F593" s="133" t="str">
        <f t="shared" si="29"/>
        <v/>
      </c>
      <c r="G593" s="133" t="str">
        <f t="shared" si="30"/>
        <v/>
      </c>
    </row>
    <row r="594" spans="5:7" x14ac:dyDescent="0.2">
      <c r="E594" s="133" t="str">
        <f t="shared" si="28"/>
        <v/>
      </c>
      <c r="F594" s="133" t="str">
        <f t="shared" si="29"/>
        <v/>
      </c>
      <c r="G594" s="133" t="str">
        <f t="shared" si="30"/>
        <v/>
      </c>
    </row>
    <row r="595" spans="5:7" x14ac:dyDescent="0.2">
      <c r="E595" s="133" t="str">
        <f t="shared" si="28"/>
        <v/>
      </c>
      <c r="F595" s="133" t="str">
        <f t="shared" si="29"/>
        <v/>
      </c>
      <c r="G595" s="133" t="str">
        <f t="shared" si="30"/>
        <v/>
      </c>
    </row>
    <row r="596" spans="5:7" x14ac:dyDescent="0.2">
      <c r="E596" s="133" t="str">
        <f t="shared" si="28"/>
        <v/>
      </c>
      <c r="F596" s="133" t="str">
        <f t="shared" si="29"/>
        <v/>
      </c>
      <c r="G596" s="133" t="str">
        <f t="shared" si="30"/>
        <v/>
      </c>
    </row>
    <row r="597" spans="5:7" x14ac:dyDescent="0.2">
      <c r="E597" s="133" t="str">
        <f t="shared" si="28"/>
        <v/>
      </c>
      <c r="F597" s="133" t="str">
        <f t="shared" si="29"/>
        <v/>
      </c>
      <c r="G597" s="133" t="str">
        <f t="shared" si="30"/>
        <v/>
      </c>
    </row>
    <row r="598" spans="5:7" x14ac:dyDescent="0.2">
      <c r="E598" s="133" t="str">
        <f t="shared" si="28"/>
        <v/>
      </c>
      <c r="F598" s="133" t="str">
        <f t="shared" si="29"/>
        <v/>
      </c>
      <c r="G598" s="133" t="str">
        <f t="shared" si="30"/>
        <v/>
      </c>
    </row>
    <row r="599" spans="5:7" x14ac:dyDescent="0.2">
      <c r="E599" s="133" t="str">
        <f t="shared" si="28"/>
        <v/>
      </c>
      <c r="F599" s="133" t="str">
        <f t="shared" si="29"/>
        <v/>
      </c>
      <c r="G599" s="133" t="str">
        <f t="shared" si="30"/>
        <v/>
      </c>
    </row>
    <row r="600" spans="5:7" x14ac:dyDescent="0.2">
      <c r="E600" s="133" t="str">
        <f t="shared" si="28"/>
        <v/>
      </c>
      <c r="F600" s="133" t="str">
        <f t="shared" si="29"/>
        <v/>
      </c>
      <c r="G600" s="133" t="str">
        <f t="shared" si="30"/>
        <v/>
      </c>
    </row>
    <row r="601" spans="5:7" x14ac:dyDescent="0.2">
      <c r="E601" s="133" t="str">
        <f t="shared" si="28"/>
        <v/>
      </c>
      <c r="F601" s="133" t="str">
        <f t="shared" si="29"/>
        <v/>
      </c>
      <c r="G601" s="133" t="str">
        <f t="shared" si="30"/>
        <v/>
      </c>
    </row>
    <row r="602" spans="5:7" x14ac:dyDescent="0.2">
      <c r="E602" s="133" t="str">
        <f t="shared" si="28"/>
        <v/>
      </c>
      <c r="F602" s="133" t="str">
        <f t="shared" si="29"/>
        <v/>
      </c>
      <c r="G602" s="133" t="str">
        <f t="shared" si="30"/>
        <v/>
      </c>
    </row>
    <row r="603" spans="5:7" x14ac:dyDescent="0.2">
      <c r="E603" s="133" t="str">
        <f t="shared" si="28"/>
        <v/>
      </c>
      <c r="F603" s="133" t="str">
        <f t="shared" si="29"/>
        <v/>
      </c>
      <c r="G603" s="133" t="str">
        <f t="shared" si="30"/>
        <v/>
      </c>
    </row>
    <row r="604" spans="5:7" x14ac:dyDescent="0.2">
      <c r="E604" s="133" t="str">
        <f t="shared" si="28"/>
        <v/>
      </c>
      <c r="F604" s="133" t="str">
        <f t="shared" si="29"/>
        <v/>
      </c>
      <c r="G604" s="133" t="str">
        <f t="shared" si="30"/>
        <v/>
      </c>
    </row>
    <row r="605" spans="5:7" x14ac:dyDescent="0.2">
      <c r="E605" s="133" t="str">
        <f t="shared" si="28"/>
        <v/>
      </c>
      <c r="F605" s="133" t="str">
        <f t="shared" si="29"/>
        <v/>
      </c>
      <c r="G605" s="133" t="str">
        <f t="shared" si="30"/>
        <v/>
      </c>
    </row>
    <row r="606" spans="5:7" x14ac:dyDescent="0.2">
      <c r="E606" s="133" t="str">
        <f t="shared" si="28"/>
        <v/>
      </c>
      <c r="F606" s="133" t="str">
        <f t="shared" si="29"/>
        <v/>
      </c>
      <c r="G606" s="133" t="str">
        <f t="shared" si="30"/>
        <v/>
      </c>
    </row>
    <row r="607" spans="5:7" x14ac:dyDescent="0.2">
      <c r="E607" s="133" t="str">
        <f t="shared" si="28"/>
        <v/>
      </c>
      <c r="F607" s="133" t="str">
        <f t="shared" si="29"/>
        <v/>
      </c>
      <c r="G607" s="133" t="str">
        <f t="shared" si="30"/>
        <v/>
      </c>
    </row>
    <row r="608" spans="5:7" x14ac:dyDescent="0.2">
      <c r="E608" s="133" t="str">
        <f t="shared" si="28"/>
        <v/>
      </c>
      <c r="F608" s="133" t="str">
        <f t="shared" si="29"/>
        <v/>
      </c>
      <c r="G608" s="133" t="str">
        <f t="shared" si="30"/>
        <v/>
      </c>
    </row>
    <row r="609" spans="5:7" x14ac:dyDescent="0.2">
      <c r="E609" s="133" t="str">
        <f t="shared" si="28"/>
        <v/>
      </c>
      <c r="F609" s="133" t="str">
        <f t="shared" si="29"/>
        <v/>
      </c>
      <c r="G609" s="133" t="str">
        <f t="shared" si="30"/>
        <v/>
      </c>
    </row>
    <row r="610" spans="5:7" x14ac:dyDescent="0.2">
      <c r="E610" s="133" t="str">
        <f t="shared" si="28"/>
        <v/>
      </c>
      <c r="F610" s="133" t="str">
        <f t="shared" si="29"/>
        <v/>
      </c>
      <c r="G610" s="133" t="str">
        <f t="shared" si="30"/>
        <v/>
      </c>
    </row>
    <row r="611" spans="5:7" x14ac:dyDescent="0.2">
      <c r="E611" s="133" t="str">
        <f t="shared" si="28"/>
        <v/>
      </c>
      <c r="F611" s="133" t="str">
        <f t="shared" si="29"/>
        <v/>
      </c>
      <c r="G611" s="133" t="str">
        <f t="shared" si="30"/>
        <v/>
      </c>
    </row>
    <row r="612" spans="5:7" x14ac:dyDescent="0.2">
      <c r="E612" s="133" t="str">
        <f t="shared" si="28"/>
        <v/>
      </c>
      <c r="F612" s="133" t="str">
        <f t="shared" si="29"/>
        <v/>
      </c>
      <c r="G612" s="133" t="str">
        <f t="shared" si="30"/>
        <v/>
      </c>
    </row>
    <row r="613" spans="5:7" x14ac:dyDescent="0.2">
      <c r="E613" s="133" t="str">
        <f t="shared" si="28"/>
        <v/>
      </c>
      <c r="F613" s="133" t="str">
        <f t="shared" si="29"/>
        <v/>
      </c>
      <c r="G613" s="133" t="str">
        <f t="shared" si="30"/>
        <v/>
      </c>
    </row>
    <row r="614" spans="5:7" x14ac:dyDescent="0.2">
      <c r="E614" s="133" t="str">
        <f t="shared" si="28"/>
        <v/>
      </c>
      <c r="F614" s="133" t="str">
        <f t="shared" si="29"/>
        <v/>
      </c>
      <c r="G614" s="133" t="str">
        <f t="shared" si="30"/>
        <v/>
      </c>
    </row>
    <row r="615" spans="5:7" x14ac:dyDescent="0.2">
      <c r="E615" s="133" t="str">
        <f t="shared" si="28"/>
        <v/>
      </c>
      <c r="F615" s="133" t="str">
        <f t="shared" si="29"/>
        <v/>
      </c>
      <c r="G615" s="133" t="str">
        <f t="shared" si="30"/>
        <v/>
      </c>
    </row>
    <row r="616" spans="5:7" x14ac:dyDescent="0.2">
      <c r="E616" s="133" t="str">
        <f t="shared" si="28"/>
        <v/>
      </c>
      <c r="F616" s="133" t="str">
        <f t="shared" si="29"/>
        <v/>
      </c>
      <c r="G616" s="133" t="str">
        <f t="shared" si="30"/>
        <v/>
      </c>
    </row>
    <row r="617" spans="5:7" x14ac:dyDescent="0.2">
      <c r="E617" s="133" t="str">
        <f t="shared" si="28"/>
        <v/>
      </c>
      <c r="F617" s="133" t="str">
        <f t="shared" si="29"/>
        <v/>
      </c>
      <c r="G617" s="133" t="str">
        <f t="shared" si="30"/>
        <v/>
      </c>
    </row>
    <row r="618" spans="5:7" x14ac:dyDescent="0.2">
      <c r="E618" s="133" t="str">
        <f t="shared" si="28"/>
        <v/>
      </c>
      <c r="F618" s="133" t="str">
        <f t="shared" si="29"/>
        <v/>
      </c>
      <c r="G618" s="133" t="str">
        <f t="shared" si="30"/>
        <v/>
      </c>
    </row>
    <row r="619" spans="5:7" x14ac:dyDescent="0.2">
      <c r="E619" s="133" t="str">
        <f t="shared" si="28"/>
        <v/>
      </c>
      <c r="F619" s="133" t="str">
        <f t="shared" si="29"/>
        <v/>
      </c>
      <c r="G619" s="133" t="str">
        <f t="shared" si="30"/>
        <v/>
      </c>
    </row>
    <row r="620" spans="5:7" x14ac:dyDescent="0.2">
      <c r="E620" s="133" t="str">
        <f t="shared" si="28"/>
        <v/>
      </c>
      <c r="F620" s="133" t="str">
        <f t="shared" si="29"/>
        <v/>
      </c>
      <c r="G620" s="133" t="str">
        <f t="shared" si="30"/>
        <v/>
      </c>
    </row>
    <row r="621" spans="5:7" x14ac:dyDescent="0.2">
      <c r="E621" s="133" t="str">
        <f t="shared" si="28"/>
        <v/>
      </c>
      <c r="F621" s="133" t="str">
        <f t="shared" si="29"/>
        <v/>
      </c>
      <c r="G621" s="133" t="str">
        <f t="shared" si="30"/>
        <v/>
      </c>
    </row>
    <row r="622" spans="5:7" x14ac:dyDescent="0.2">
      <c r="E622" s="133" t="str">
        <f t="shared" si="28"/>
        <v/>
      </c>
      <c r="F622" s="133" t="str">
        <f t="shared" si="29"/>
        <v/>
      </c>
      <c r="G622" s="133" t="str">
        <f t="shared" si="30"/>
        <v/>
      </c>
    </row>
    <row r="623" spans="5:7" x14ac:dyDescent="0.2">
      <c r="E623" s="133" t="str">
        <f t="shared" si="28"/>
        <v/>
      </c>
      <c r="F623" s="133" t="str">
        <f t="shared" si="29"/>
        <v/>
      </c>
      <c r="G623" s="133" t="str">
        <f t="shared" si="30"/>
        <v/>
      </c>
    </row>
    <row r="624" spans="5:7" x14ac:dyDescent="0.2">
      <c r="E624" s="133" t="str">
        <f t="shared" si="28"/>
        <v/>
      </c>
      <c r="F624" s="133" t="str">
        <f t="shared" si="29"/>
        <v/>
      </c>
      <c r="G624" s="133" t="str">
        <f t="shared" si="30"/>
        <v/>
      </c>
    </row>
    <row r="625" spans="5:7" x14ac:dyDescent="0.2">
      <c r="E625" s="133" t="str">
        <f t="shared" si="28"/>
        <v/>
      </c>
      <c r="F625" s="133" t="str">
        <f t="shared" si="29"/>
        <v/>
      </c>
      <c r="G625" s="133" t="str">
        <f t="shared" si="30"/>
        <v/>
      </c>
    </row>
    <row r="626" spans="5:7" x14ac:dyDescent="0.2">
      <c r="E626" s="133" t="str">
        <f t="shared" si="28"/>
        <v/>
      </c>
      <c r="F626" s="133" t="str">
        <f t="shared" si="29"/>
        <v/>
      </c>
      <c r="G626" s="133" t="str">
        <f t="shared" si="30"/>
        <v/>
      </c>
    </row>
    <row r="627" spans="5:7" x14ac:dyDescent="0.2">
      <c r="E627" s="133" t="str">
        <f t="shared" si="28"/>
        <v/>
      </c>
      <c r="F627" s="133" t="str">
        <f t="shared" si="29"/>
        <v/>
      </c>
      <c r="G627" s="133" t="str">
        <f t="shared" si="30"/>
        <v/>
      </c>
    </row>
    <row r="628" spans="5:7" x14ac:dyDescent="0.2">
      <c r="E628" s="133" t="str">
        <f t="shared" si="28"/>
        <v/>
      </c>
      <c r="F628" s="133" t="str">
        <f t="shared" si="29"/>
        <v/>
      </c>
      <c r="G628" s="133" t="str">
        <f t="shared" si="30"/>
        <v/>
      </c>
    </row>
    <row r="629" spans="5:7" x14ac:dyDescent="0.2">
      <c r="E629" s="133" t="str">
        <f t="shared" si="28"/>
        <v/>
      </c>
      <c r="F629" s="133" t="str">
        <f t="shared" si="29"/>
        <v/>
      </c>
      <c r="G629" s="133" t="str">
        <f t="shared" si="30"/>
        <v/>
      </c>
    </row>
    <row r="630" spans="5:7" x14ac:dyDescent="0.2">
      <c r="E630" s="133" t="str">
        <f t="shared" si="28"/>
        <v/>
      </c>
      <c r="F630" s="133" t="str">
        <f t="shared" si="29"/>
        <v/>
      </c>
      <c r="G630" s="133" t="str">
        <f t="shared" si="30"/>
        <v/>
      </c>
    </row>
    <row r="631" spans="5:7" x14ac:dyDescent="0.2">
      <c r="E631" s="133" t="str">
        <f t="shared" si="28"/>
        <v/>
      </c>
      <c r="F631" s="133" t="str">
        <f t="shared" si="29"/>
        <v/>
      </c>
      <c r="G631" s="133" t="str">
        <f t="shared" si="30"/>
        <v/>
      </c>
    </row>
    <row r="632" spans="5:7" x14ac:dyDescent="0.2">
      <c r="E632" s="133" t="str">
        <f t="shared" si="28"/>
        <v/>
      </c>
      <c r="F632" s="133" t="str">
        <f t="shared" si="29"/>
        <v/>
      </c>
      <c r="G632" s="133" t="str">
        <f t="shared" si="30"/>
        <v/>
      </c>
    </row>
    <row r="633" spans="5:7" x14ac:dyDescent="0.2">
      <c r="E633" s="133" t="str">
        <f t="shared" si="28"/>
        <v/>
      </c>
      <c r="F633" s="133" t="str">
        <f t="shared" si="29"/>
        <v/>
      </c>
      <c r="G633" s="133" t="str">
        <f t="shared" si="30"/>
        <v/>
      </c>
    </row>
    <row r="634" spans="5:7" x14ac:dyDescent="0.2">
      <c r="E634" s="133" t="str">
        <f t="shared" si="28"/>
        <v/>
      </c>
      <c r="F634" s="133" t="str">
        <f t="shared" si="29"/>
        <v/>
      </c>
      <c r="G634" s="133" t="str">
        <f t="shared" si="30"/>
        <v/>
      </c>
    </row>
    <row r="635" spans="5:7" x14ac:dyDescent="0.2">
      <c r="E635" s="133" t="str">
        <f t="shared" si="28"/>
        <v/>
      </c>
      <c r="F635" s="133" t="str">
        <f t="shared" si="29"/>
        <v/>
      </c>
      <c r="G635" s="133" t="str">
        <f t="shared" si="30"/>
        <v/>
      </c>
    </row>
    <row r="636" spans="5:7" x14ac:dyDescent="0.2">
      <c r="E636" s="133" t="str">
        <f t="shared" si="28"/>
        <v/>
      </c>
      <c r="F636" s="133" t="str">
        <f t="shared" si="29"/>
        <v/>
      </c>
      <c r="G636" s="133" t="str">
        <f t="shared" si="30"/>
        <v/>
      </c>
    </row>
    <row r="637" spans="5:7" x14ac:dyDescent="0.2">
      <c r="E637" s="133" t="str">
        <f t="shared" si="28"/>
        <v/>
      </c>
      <c r="F637" s="133" t="str">
        <f t="shared" si="29"/>
        <v/>
      </c>
      <c r="G637" s="133" t="str">
        <f t="shared" si="30"/>
        <v/>
      </c>
    </row>
    <row r="638" spans="5:7" x14ac:dyDescent="0.2">
      <c r="E638" s="133" t="str">
        <f t="shared" si="28"/>
        <v/>
      </c>
      <c r="F638" s="133" t="str">
        <f t="shared" si="29"/>
        <v/>
      </c>
      <c r="G638" s="133" t="str">
        <f t="shared" si="30"/>
        <v/>
      </c>
    </row>
    <row r="639" spans="5:7" x14ac:dyDescent="0.2">
      <c r="E639" s="133" t="str">
        <f t="shared" si="28"/>
        <v/>
      </c>
      <c r="F639" s="133" t="str">
        <f t="shared" si="29"/>
        <v/>
      </c>
      <c r="G639" s="133" t="str">
        <f t="shared" si="30"/>
        <v/>
      </c>
    </row>
    <row r="640" spans="5:7" x14ac:dyDescent="0.2">
      <c r="E640" s="133" t="str">
        <f t="shared" si="28"/>
        <v/>
      </c>
      <c r="F640" s="133" t="str">
        <f t="shared" si="29"/>
        <v/>
      </c>
      <c r="G640" s="133" t="str">
        <f t="shared" si="30"/>
        <v/>
      </c>
    </row>
    <row r="641" spans="5:7" x14ac:dyDescent="0.2">
      <c r="E641" s="133" t="str">
        <f t="shared" si="28"/>
        <v/>
      </c>
      <c r="F641" s="133" t="str">
        <f t="shared" si="29"/>
        <v/>
      </c>
      <c r="G641" s="133" t="str">
        <f t="shared" si="30"/>
        <v/>
      </c>
    </row>
    <row r="642" spans="5:7" x14ac:dyDescent="0.2">
      <c r="E642" s="133" t="str">
        <f t="shared" ref="E642:E705" si="31">IF(OR(A642="",D642=""),"",(D642-A642)*24)</f>
        <v/>
      </c>
      <c r="F642" s="133" t="str">
        <f t="shared" ref="F642:F705" si="32">IF(OR(A642="",D642=""),"",INT((D642-A642)*24)&amp;" час "&amp;ROUND(((D642-A642)*24-INT((D642-A642)*24))*60,0)&amp;" минут")</f>
        <v/>
      </c>
      <c r="G642" s="133" t="str">
        <f t="shared" ref="G642:G705" si="33">IF(D642="","",TEXT(D642,"ММММ ГГГГ"))</f>
        <v/>
      </c>
    </row>
    <row r="643" spans="5:7" x14ac:dyDescent="0.2">
      <c r="E643" s="133" t="str">
        <f t="shared" si="31"/>
        <v/>
      </c>
      <c r="F643" s="133" t="str">
        <f t="shared" si="32"/>
        <v/>
      </c>
      <c r="G643" s="133" t="str">
        <f t="shared" si="33"/>
        <v/>
      </c>
    </row>
    <row r="644" spans="5:7" x14ac:dyDescent="0.2">
      <c r="E644" s="133" t="str">
        <f t="shared" si="31"/>
        <v/>
      </c>
      <c r="F644" s="133" t="str">
        <f t="shared" si="32"/>
        <v/>
      </c>
      <c r="G644" s="133" t="str">
        <f t="shared" si="33"/>
        <v/>
      </c>
    </row>
    <row r="645" spans="5:7" x14ac:dyDescent="0.2">
      <c r="E645" s="133" t="str">
        <f t="shared" si="31"/>
        <v/>
      </c>
      <c r="F645" s="133" t="str">
        <f t="shared" si="32"/>
        <v/>
      </c>
      <c r="G645" s="133" t="str">
        <f t="shared" si="33"/>
        <v/>
      </c>
    </row>
    <row r="646" spans="5:7" x14ac:dyDescent="0.2">
      <c r="E646" s="133" t="str">
        <f t="shared" si="31"/>
        <v/>
      </c>
      <c r="F646" s="133" t="str">
        <f t="shared" si="32"/>
        <v/>
      </c>
      <c r="G646" s="133" t="str">
        <f t="shared" si="33"/>
        <v/>
      </c>
    </row>
    <row r="647" spans="5:7" x14ac:dyDescent="0.2">
      <c r="E647" s="133" t="str">
        <f t="shared" si="31"/>
        <v/>
      </c>
      <c r="F647" s="133" t="str">
        <f t="shared" si="32"/>
        <v/>
      </c>
      <c r="G647" s="133" t="str">
        <f t="shared" si="33"/>
        <v/>
      </c>
    </row>
    <row r="648" spans="5:7" x14ac:dyDescent="0.2">
      <c r="E648" s="133" t="str">
        <f t="shared" si="31"/>
        <v/>
      </c>
      <c r="F648" s="133" t="str">
        <f t="shared" si="32"/>
        <v/>
      </c>
      <c r="G648" s="133" t="str">
        <f t="shared" si="33"/>
        <v/>
      </c>
    </row>
    <row r="649" spans="5:7" x14ac:dyDescent="0.2">
      <c r="E649" s="133" t="str">
        <f t="shared" si="31"/>
        <v/>
      </c>
      <c r="F649" s="133" t="str">
        <f t="shared" si="32"/>
        <v/>
      </c>
      <c r="G649" s="133" t="str">
        <f t="shared" si="33"/>
        <v/>
      </c>
    </row>
    <row r="650" spans="5:7" x14ac:dyDescent="0.2">
      <c r="E650" s="133" t="str">
        <f t="shared" si="31"/>
        <v/>
      </c>
      <c r="F650" s="133" t="str">
        <f t="shared" si="32"/>
        <v/>
      </c>
      <c r="G650" s="133" t="str">
        <f t="shared" si="33"/>
        <v/>
      </c>
    </row>
    <row r="651" spans="5:7" x14ac:dyDescent="0.2">
      <c r="E651" s="133" t="str">
        <f t="shared" si="31"/>
        <v/>
      </c>
      <c r="F651" s="133" t="str">
        <f t="shared" si="32"/>
        <v/>
      </c>
      <c r="G651" s="133" t="str">
        <f t="shared" si="33"/>
        <v/>
      </c>
    </row>
    <row r="652" spans="5:7" x14ac:dyDescent="0.2">
      <c r="E652" s="133" t="str">
        <f t="shared" si="31"/>
        <v/>
      </c>
      <c r="F652" s="133" t="str">
        <f t="shared" si="32"/>
        <v/>
      </c>
      <c r="G652" s="133" t="str">
        <f t="shared" si="33"/>
        <v/>
      </c>
    </row>
    <row r="653" spans="5:7" x14ac:dyDescent="0.2">
      <c r="E653" s="133" t="str">
        <f t="shared" si="31"/>
        <v/>
      </c>
      <c r="F653" s="133" t="str">
        <f t="shared" si="32"/>
        <v/>
      </c>
      <c r="G653" s="133" t="str">
        <f t="shared" si="33"/>
        <v/>
      </c>
    </row>
    <row r="654" spans="5:7" x14ac:dyDescent="0.2">
      <c r="E654" s="133" t="str">
        <f t="shared" si="31"/>
        <v/>
      </c>
      <c r="F654" s="133" t="str">
        <f t="shared" si="32"/>
        <v/>
      </c>
      <c r="G654" s="133" t="str">
        <f t="shared" si="33"/>
        <v/>
      </c>
    </row>
    <row r="655" spans="5:7" x14ac:dyDescent="0.2">
      <c r="E655" s="133" t="str">
        <f t="shared" si="31"/>
        <v/>
      </c>
      <c r="F655" s="133" t="str">
        <f t="shared" si="32"/>
        <v/>
      </c>
      <c r="G655" s="133" t="str">
        <f t="shared" si="33"/>
        <v/>
      </c>
    </row>
    <row r="656" spans="5:7" x14ac:dyDescent="0.2">
      <c r="E656" s="133" t="str">
        <f t="shared" si="31"/>
        <v/>
      </c>
      <c r="F656" s="133" t="str">
        <f t="shared" si="32"/>
        <v/>
      </c>
      <c r="G656" s="133" t="str">
        <f t="shared" si="33"/>
        <v/>
      </c>
    </row>
    <row r="657" spans="5:7" x14ac:dyDescent="0.2">
      <c r="E657" s="133" t="str">
        <f t="shared" si="31"/>
        <v/>
      </c>
      <c r="F657" s="133" t="str">
        <f t="shared" si="32"/>
        <v/>
      </c>
      <c r="G657" s="133" t="str">
        <f t="shared" si="33"/>
        <v/>
      </c>
    </row>
    <row r="658" spans="5:7" x14ac:dyDescent="0.2">
      <c r="E658" s="133" t="str">
        <f t="shared" si="31"/>
        <v/>
      </c>
      <c r="F658" s="133" t="str">
        <f t="shared" si="32"/>
        <v/>
      </c>
      <c r="G658" s="133" t="str">
        <f t="shared" si="33"/>
        <v/>
      </c>
    </row>
    <row r="659" spans="5:7" x14ac:dyDescent="0.2">
      <c r="E659" s="133" t="str">
        <f t="shared" si="31"/>
        <v/>
      </c>
      <c r="F659" s="133" t="str">
        <f t="shared" si="32"/>
        <v/>
      </c>
      <c r="G659" s="133" t="str">
        <f t="shared" si="33"/>
        <v/>
      </c>
    </row>
    <row r="660" spans="5:7" x14ac:dyDescent="0.2">
      <c r="E660" s="133" t="str">
        <f t="shared" si="31"/>
        <v/>
      </c>
      <c r="F660" s="133" t="str">
        <f t="shared" si="32"/>
        <v/>
      </c>
      <c r="G660" s="133" t="str">
        <f t="shared" si="33"/>
        <v/>
      </c>
    </row>
    <row r="661" spans="5:7" x14ac:dyDescent="0.2">
      <c r="E661" s="133" t="str">
        <f t="shared" si="31"/>
        <v/>
      </c>
      <c r="F661" s="133" t="str">
        <f t="shared" si="32"/>
        <v/>
      </c>
      <c r="G661" s="133" t="str">
        <f t="shared" si="33"/>
        <v/>
      </c>
    </row>
    <row r="662" spans="5:7" x14ac:dyDescent="0.2">
      <c r="E662" s="133" t="str">
        <f t="shared" si="31"/>
        <v/>
      </c>
      <c r="F662" s="133" t="str">
        <f t="shared" si="32"/>
        <v/>
      </c>
      <c r="G662" s="133" t="str">
        <f t="shared" si="33"/>
        <v/>
      </c>
    </row>
    <row r="663" spans="5:7" x14ac:dyDescent="0.2">
      <c r="E663" s="133" t="str">
        <f t="shared" si="31"/>
        <v/>
      </c>
      <c r="F663" s="133" t="str">
        <f t="shared" si="32"/>
        <v/>
      </c>
      <c r="G663" s="133" t="str">
        <f t="shared" si="33"/>
        <v/>
      </c>
    </row>
    <row r="664" spans="5:7" x14ac:dyDescent="0.2">
      <c r="E664" s="133" t="str">
        <f t="shared" si="31"/>
        <v/>
      </c>
      <c r="F664" s="133" t="str">
        <f t="shared" si="32"/>
        <v/>
      </c>
      <c r="G664" s="133" t="str">
        <f t="shared" si="33"/>
        <v/>
      </c>
    </row>
    <row r="665" spans="5:7" x14ac:dyDescent="0.2">
      <c r="E665" s="133" t="str">
        <f t="shared" si="31"/>
        <v/>
      </c>
      <c r="F665" s="133" t="str">
        <f t="shared" si="32"/>
        <v/>
      </c>
      <c r="G665" s="133" t="str">
        <f t="shared" si="33"/>
        <v/>
      </c>
    </row>
    <row r="666" spans="5:7" x14ac:dyDescent="0.2">
      <c r="E666" s="133" t="str">
        <f t="shared" si="31"/>
        <v/>
      </c>
      <c r="F666" s="133" t="str">
        <f t="shared" si="32"/>
        <v/>
      </c>
      <c r="G666" s="133" t="str">
        <f t="shared" si="33"/>
        <v/>
      </c>
    </row>
    <row r="667" spans="5:7" x14ac:dyDescent="0.2">
      <c r="E667" s="133" t="str">
        <f t="shared" si="31"/>
        <v/>
      </c>
      <c r="F667" s="133" t="str">
        <f t="shared" si="32"/>
        <v/>
      </c>
      <c r="G667" s="133" t="str">
        <f t="shared" si="33"/>
        <v/>
      </c>
    </row>
    <row r="668" spans="5:7" x14ac:dyDescent="0.2">
      <c r="E668" s="133" t="str">
        <f t="shared" si="31"/>
        <v/>
      </c>
      <c r="F668" s="133" t="str">
        <f t="shared" si="32"/>
        <v/>
      </c>
      <c r="G668" s="133" t="str">
        <f t="shared" si="33"/>
        <v/>
      </c>
    </row>
    <row r="669" spans="5:7" x14ac:dyDescent="0.2">
      <c r="E669" s="133" t="str">
        <f t="shared" si="31"/>
        <v/>
      </c>
      <c r="F669" s="133" t="str">
        <f t="shared" si="32"/>
        <v/>
      </c>
      <c r="G669" s="133" t="str">
        <f t="shared" si="33"/>
        <v/>
      </c>
    </row>
    <row r="670" spans="5:7" x14ac:dyDescent="0.2">
      <c r="E670" s="133" t="str">
        <f t="shared" si="31"/>
        <v/>
      </c>
      <c r="F670" s="133" t="str">
        <f t="shared" si="32"/>
        <v/>
      </c>
      <c r="G670" s="133" t="str">
        <f t="shared" si="33"/>
        <v/>
      </c>
    </row>
    <row r="671" spans="5:7" x14ac:dyDescent="0.2">
      <c r="E671" s="133" t="str">
        <f t="shared" si="31"/>
        <v/>
      </c>
      <c r="F671" s="133" t="str">
        <f t="shared" si="32"/>
        <v/>
      </c>
      <c r="G671" s="133" t="str">
        <f t="shared" si="33"/>
        <v/>
      </c>
    </row>
    <row r="672" spans="5:7" x14ac:dyDescent="0.2">
      <c r="E672" s="133" t="str">
        <f t="shared" si="31"/>
        <v/>
      </c>
      <c r="F672" s="133" t="str">
        <f t="shared" si="32"/>
        <v/>
      </c>
      <c r="G672" s="133" t="str">
        <f t="shared" si="33"/>
        <v/>
      </c>
    </row>
    <row r="673" spans="5:7" x14ac:dyDescent="0.2">
      <c r="E673" s="133" t="str">
        <f t="shared" si="31"/>
        <v/>
      </c>
      <c r="F673" s="133" t="str">
        <f t="shared" si="32"/>
        <v/>
      </c>
      <c r="G673" s="133" t="str">
        <f t="shared" si="33"/>
        <v/>
      </c>
    </row>
    <row r="674" spans="5:7" x14ac:dyDescent="0.2">
      <c r="E674" s="133" t="str">
        <f t="shared" si="31"/>
        <v/>
      </c>
      <c r="F674" s="133" t="str">
        <f t="shared" si="32"/>
        <v/>
      </c>
      <c r="G674" s="133" t="str">
        <f t="shared" si="33"/>
        <v/>
      </c>
    </row>
    <row r="675" spans="5:7" x14ac:dyDescent="0.2">
      <c r="E675" s="133" t="str">
        <f t="shared" si="31"/>
        <v/>
      </c>
      <c r="F675" s="133" t="str">
        <f t="shared" si="32"/>
        <v/>
      </c>
      <c r="G675" s="133" t="str">
        <f t="shared" si="33"/>
        <v/>
      </c>
    </row>
    <row r="676" spans="5:7" x14ac:dyDescent="0.2">
      <c r="E676" s="133" t="str">
        <f t="shared" si="31"/>
        <v/>
      </c>
      <c r="F676" s="133" t="str">
        <f t="shared" si="32"/>
        <v/>
      </c>
      <c r="G676" s="133" t="str">
        <f t="shared" si="33"/>
        <v/>
      </c>
    </row>
    <row r="677" spans="5:7" x14ac:dyDescent="0.2">
      <c r="E677" s="133" t="str">
        <f t="shared" si="31"/>
        <v/>
      </c>
      <c r="F677" s="133" t="str">
        <f t="shared" si="32"/>
        <v/>
      </c>
      <c r="G677" s="133" t="str">
        <f t="shared" si="33"/>
        <v/>
      </c>
    </row>
    <row r="678" spans="5:7" x14ac:dyDescent="0.2">
      <c r="E678" s="133" t="str">
        <f t="shared" si="31"/>
        <v/>
      </c>
      <c r="F678" s="133" t="str">
        <f t="shared" si="32"/>
        <v/>
      </c>
      <c r="G678" s="133" t="str">
        <f t="shared" si="33"/>
        <v/>
      </c>
    </row>
    <row r="679" spans="5:7" x14ac:dyDescent="0.2">
      <c r="E679" s="133" t="str">
        <f t="shared" si="31"/>
        <v/>
      </c>
      <c r="F679" s="133" t="str">
        <f t="shared" si="32"/>
        <v/>
      </c>
      <c r="G679" s="133" t="str">
        <f t="shared" si="33"/>
        <v/>
      </c>
    </row>
    <row r="680" spans="5:7" x14ac:dyDescent="0.2">
      <c r="E680" s="133" t="str">
        <f t="shared" si="31"/>
        <v/>
      </c>
      <c r="F680" s="133" t="str">
        <f t="shared" si="32"/>
        <v/>
      </c>
      <c r="G680" s="133" t="str">
        <f t="shared" si="33"/>
        <v/>
      </c>
    </row>
    <row r="681" spans="5:7" x14ac:dyDescent="0.2">
      <c r="E681" s="133" t="str">
        <f t="shared" si="31"/>
        <v/>
      </c>
      <c r="F681" s="133" t="str">
        <f t="shared" si="32"/>
        <v/>
      </c>
      <c r="G681" s="133" t="str">
        <f t="shared" si="33"/>
        <v/>
      </c>
    </row>
    <row r="682" spans="5:7" x14ac:dyDescent="0.2">
      <c r="E682" s="133" t="str">
        <f t="shared" si="31"/>
        <v/>
      </c>
      <c r="F682" s="133" t="str">
        <f t="shared" si="32"/>
        <v/>
      </c>
      <c r="G682" s="133" t="str">
        <f t="shared" si="33"/>
        <v/>
      </c>
    </row>
    <row r="683" spans="5:7" x14ac:dyDescent="0.2">
      <c r="E683" s="133" t="str">
        <f t="shared" si="31"/>
        <v/>
      </c>
      <c r="F683" s="133" t="str">
        <f t="shared" si="32"/>
        <v/>
      </c>
      <c r="G683" s="133" t="str">
        <f t="shared" si="33"/>
        <v/>
      </c>
    </row>
    <row r="684" spans="5:7" x14ac:dyDescent="0.2">
      <c r="E684" s="133" t="str">
        <f t="shared" si="31"/>
        <v/>
      </c>
      <c r="F684" s="133" t="str">
        <f t="shared" si="32"/>
        <v/>
      </c>
      <c r="G684" s="133" t="str">
        <f t="shared" si="33"/>
        <v/>
      </c>
    </row>
    <row r="685" spans="5:7" x14ac:dyDescent="0.2">
      <c r="E685" s="133" t="str">
        <f t="shared" si="31"/>
        <v/>
      </c>
      <c r="F685" s="133" t="str">
        <f t="shared" si="32"/>
        <v/>
      </c>
      <c r="G685" s="133" t="str">
        <f t="shared" si="33"/>
        <v/>
      </c>
    </row>
    <row r="686" spans="5:7" x14ac:dyDescent="0.2">
      <c r="E686" s="133" t="str">
        <f t="shared" si="31"/>
        <v/>
      </c>
      <c r="F686" s="133" t="str">
        <f t="shared" si="32"/>
        <v/>
      </c>
      <c r="G686" s="133" t="str">
        <f t="shared" si="33"/>
        <v/>
      </c>
    </row>
    <row r="687" spans="5:7" x14ac:dyDescent="0.2">
      <c r="E687" s="133" t="str">
        <f t="shared" si="31"/>
        <v/>
      </c>
      <c r="F687" s="133" t="str">
        <f t="shared" si="32"/>
        <v/>
      </c>
      <c r="G687" s="133" t="str">
        <f t="shared" si="33"/>
        <v/>
      </c>
    </row>
    <row r="688" spans="5:7" x14ac:dyDescent="0.2">
      <c r="E688" s="133" t="str">
        <f t="shared" si="31"/>
        <v/>
      </c>
      <c r="F688" s="133" t="str">
        <f t="shared" si="32"/>
        <v/>
      </c>
      <c r="G688" s="133" t="str">
        <f t="shared" si="33"/>
        <v/>
      </c>
    </row>
    <row r="689" spans="5:7" x14ac:dyDescent="0.2">
      <c r="E689" s="133" t="str">
        <f t="shared" si="31"/>
        <v/>
      </c>
      <c r="F689" s="133" t="str">
        <f t="shared" si="32"/>
        <v/>
      </c>
      <c r="G689" s="133" t="str">
        <f t="shared" si="33"/>
        <v/>
      </c>
    </row>
    <row r="690" spans="5:7" x14ac:dyDescent="0.2">
      <c r="E690" s="133" t="str">
        <f t="shared" si="31"/>
        <v/>
      </c>
      <c r="F690" s="133" t="str">
        <f t="shared" si="32"/>
        <v/>
      </c>
      <c r="G690" s="133" t="str">
        <f t="shared" si="33"/>
        <v/>
      </c>
    </row>
    <row r="691" spans="5:7" x14ac:dyDescent="0.2">
      <c r="E691" s="133" t="str">
        <f t="shared" si="31"/>
        <v/>
      </c>
      <c r="F691" s="133" t="str">
        <f t="shared" si="32"/>
        <v/>
      </c>
      <c r="G691" s="133" t="str">
        <f t="shared" si="33"/>
        <v/>
      </c>
    </row>
    <row r="692" spans="5:7" x14ac:dyDescent="0.2">
      <c r="E692" s="133" t="str">
        <f t="shared" si="31"/>
        <v/>
      </c>
      <c r="F692" s="133" t="str">
        <f t="shared" si="32"/>
        <v/>
      </c>
      <c r="G692" s="133" t="str">
        <f t="shared" si="33"/>
        <v/>
      </c>
    </row>
    <row r="693" spans="5:7" x14ac:dyDescent="0.2">
      <c r="E693" s="133" t="str">
        <f t="shared" si="31"/>
        <v/>
      </c>
      <c r="F693" s="133" t="str">
        <f t="shared" si="32"/>
        <v/>
      </c>
      <c r="G693" s="133" t="str">
        <f t="shared" si="33"/>
        <v/>
      </c>
    </row>
    <row r="694" spans="5:7" x14ac:dyDescent="0.2">
      <c r="E694" s="133" t="str">
        <f t="shared" si="31"/>
        <v/>
      </c>
      <c r="F694" s="133" t="str">
        <f t="shared" si="32"/>
        <v/>
      </c>
      <c r="G694" s="133" t="str">
        <f t="shared" si="33"/>
        <v/>
      </c>
    </row>
    <row r="695" spans="5:7" x14ac:dyDescent="0.2">
      <c r="E695" s="133" t="str">
        <f t="shared" si="31"/>
        <v/>
      </c>
      <c r="F695" s="133" t="str">
        <f t="shared" si="32"/>
        <v/>
      </c>
      <c r="G695" s="133" t="str">
        <f t="shared" si="33"/>
        <v/>
      </c>
    </row>
    <row r="696" spans="5:7" x14ac:dyDescent="0.2">
      <c r="E696" s="133" t="str">
        <f t="shared" si="31"/>
        <v/>
      </c>
      <c r="F696" s="133" t="str">
        <f t="shared" si="32"/>
        <v/>
      </c>
      <c r="G696" s="133" t="str">
        <f t="shared" si="33"/>
        <v/>
      </c>
    </row>
    <row r="697" spans="5:7" x14ac:dyDescent="0.2">
      <c r="E697" s="133" t="str">
        <f t="shared" si="31"/>
        <v/>
      </c>
      <c r="F697" s="133" t="str">
        <f t="shared" si="32"/>
        <v/>
      </c>
      <c r="G697" s="133" t="str">
        <f t="shared" si="33"/>
        <v/>
      </c>
    </row>
    <row r="698" spans="5:7" x14ac:dyDescent="0.2">
      <c r="E698" s="133" t="str">
        <f t="shared" si="31"/>
        <v/>
      </c>
      <c r="F698" s="133" t="str">
        <f t="shared" si="32"/>
        <v/>
      </c>
      <c r="G698" s="133" t="str">
        <f t="shared" si="33"/>
        <v/>
      </c>
    </row>
    <row r="699" spans="5:7" x14ac:dyDescent="0.2">
      <c r="E699" s="133" t="str">
        <f t="shared" si="31"/>
        <v/>
      </c>
      <c r="F699" s="133" t="str">
        <f t="shared" si="32"/>
        <v/>
      </c>
      <c r="G699" s="133" t="str">
        <f t="shared" si="33"/>
        <v/>
      </c>
    </row>
    <row r="700" spans="5:7" x14ac:dyDescent="0.2">
      <c r="E700" s="133" t="str">
        <f t="shared" si="31"/>
        <v/>
      </c>
      <c r="F700" s="133" t="str">
        <f t="shared" si="32"/>
        <v/>
      </c>
      <c r="G700" s="133" t="str">
        <f t="shared" si="33"/>
        <v/>
      </c>
    </row>
    <row r="701" spans="5:7" x14ac:dyDescent="0.2">
      <c r="E701" s="133" t="str">
        <f t="shared" si="31"/>
        <v/>
      </c>
      <c r="F701" s="133" t="str">
        <f t="shared" si="32"/>
        <v/>
      </c>
      <c r="G701" s="133" t="str">
        <f t="shared" si="33"/>
        <v/>
      </c>
    </row>
    <row r="702" spans="5:7" x14ac:dyDescent="0.2">
      <c r="E702" s="133" t="str">
        <f t="shared" si="31"/>
        <v/>
      </c>
      <c r="F702" s="133" t="str">
        <f t="shared" si="32"/>
        <v/>
      </c>
      <c r="G702" s="133" t="str">
        <f t="shared" si="33"/>
        <v/>
      </c>
    </row>
    <row r="703" spans="5:7" x14ac:dyDescent="0.2">
      <c r="E703" s="133" t="str">
        <f t="shared" si="31"/>
        <v/>
      </c>
      <c r="F703" s="133" t="str">
        <f t="shared" si="32"/>
        <v/>
      </c>
      <c r="G703" s="133" t="str">
        <f t="shared" si="33"/>
        <v/>
      </c>
    </row>
    <row r="704" spans="5:7" x14ac:dyDescent="0.2">
      <c r="E704" s="133" t="str">
        <f t="shared" si="31"/>
        <v/>
      </c>
      <c r="F704" s="133" t="str">
        <f t="shared" si="32"/>
        <v/>
      </c>
      <c r="G704" s="133" t="str">
        <f t="shared" si="33"/>
        <v/>
      </c>
    </row>
    <row r="705" spans="5:7" x14ac:dyDescent="0.2">
      <c r="E705" s="133" t="str">
        <f t="shared" si="31"/>
        <v/>
      </c>
      <c r="F705" s="133" t="str">
        <f t="shared" si="32"/>
        <v/>
      </c>
      <c r="G705" s="133" t="str">
        <f t="shared" si="33"/>
        <v/>
      </c>
    </row>
    <row r="706" spans="5:7" x14ac:dyDescent="0.2">
      <c r="E706" s="133" t="str">
        <f t="shared" ref="E706:E769" si="34">IF(OR(A706="",D706=""),"",(D706-A706)*24)</f>
        <v/>
      </c>
      <c r="F706" s="133" t="str">
        <f t="shared" ref="F706:F769" si="35">IF(OR(A706="",D706=""),"",INT((D706-A706)*24)&amp;" час "&amp;ROUND(((D706-A706)*24-INT((D706-A706)*24))*60,0)&amp;" минут")</f>
        <v/>
      </c>
      <c r="G706" s="133" t="str">
        <f t="shared" ref="G706:G769" si="36">IF(D706="","",TEXT(D706,"ММММ ГГГГ"))</f>
        <v/>
      </c>
    </row>
    <row r="707" spans="5:7" x14ac:dyDescent="0.2">
      <c r="E707" s="133" t="str">
        <f t="shared" si="34"/>
        <v/>
      </c>
      <c r="F707" s="133" t="str">
        <f t="shared" si="35"/>
        <v/>
      </c>
      <c r="G707" s="133" t="str">
        <f t="shared" si="36"/>
        <v/>
      </c>
    </row>
    <row r="708" spans="5:7" x14ac:dyDescent="0.2">
      <c r="E708" s="133" t="str">
        <f t="shared" si="34"/>
        <v/>
      </c>
      <c r="F708" s="133" t="str">
        <f t="shared" si="35"/>
        <v/>
      </c>
      <c r="G708" s="133" t="str">
        <f t="shared" si="36"/>
        <v/>
      </c>
    </row>
    <row r="709" spans="5:7" x14ac:dyDescent="0.2">
      <c r="E709" s="133" t="str">
        <f t="shared" si="34"/>
        <v/>
      </c>
      <c r="F709" s="133" t="str">
        <f t="shared" si="35"/>
        <v/>
      </c>
      <c r="G709" s="133" t="str">
        <f t="shared" si="36"/>
        <v/>
      </c>
    </row>
    <row r="710" spans="5:7" x14ac:dyDescent="0.2">
      <c r="E710" s="133" t="str">
        <f t="shared" si="34"/>
        <v/>
      </c>
      <c r="F710" s="133" t="str">
        <f t="shared" si="35"/>
        <v/>
      </c>
      <c r="G710" s="133" t="str">
        <f t="shared" si="36"/>
        <v/>
      </c>
    </row>
    <row r="711" spans="5:7" x14ac:dyDescent="0.2">
      <c r="E711" s="133" t="str">
        <f t="shared" si="34"/>
        <v/>
      </c>
      <c r="F711" s="133" t="str">
        <f t="shared" si="35"/>
        <v/>
      </c>
      <c r="G711" s="133" t="str">
        <f t="shared" si="36"/>
        <v/>
      </c>
    </row>
    <row r="712" spans="5:7" x14ac:dyDescent="0.2">
      <c r="E712" s="133" t="str">
        <f t="shared" si="34"/>
        <v/>
      </c>
      <c r="F712" s="133" t="str">
        <f t="shared" si="35"/>
        <v/>
      </c>
      <c r="G712" s="133" t="str">
        <f t="shared" si="36"/>
        <v/>
      </c>
    </row>
    <row r="713" spans="5:7" x14ac:dyDescent="0.2">
      <c r="E713" s="133" t="str">
        <f t="shared" si="34"/>
        <v/>
      </c>
      <c r="F713" s="133" t="str">
        <f t="shared" si="35"/>
        <v/>
      </c>
      <c r="G713" s="133" t="str">
        <f t="shared" si="36"/>
        <v/>
      </c>
    </row>
    <row r="714" spans="5:7" x14ac:dyDescent="0.2">
      <c r="E714" s="133" t="str">
        <f t="shared" si="34"/>
        <v/>
      </c>
      <c r="F714" s="133" t="str">
        <f t="shared" si="35"/>
        <v/>
      </c>
      <c r="G714" s="133" t="str">
        <f t="shared" si="36"/>
        <v/>
      </c>
    </row>
    <row r="715" spans="5:7" x14ac:dyDescent="0.2">
      <c r="E715" s="133" t="str">
        <f t="shared" si="34"/>
        <v/>
      </c>
      <c r="F715" s="133" t="str">
        <f t="shared" si="35"/>
        <v/>
      </c>
      <c r="G715" s="133" t="str">
        <f t="shared" si="36"/>
        <v/>
      </c>
    </row>
    <row r="716" spans="5:7" x14ac:dyDescent="0.2">
      <c r="E716" s="133" t="str">
        <f t="shared" si="34"/>
        <v/>
      </c>
      <c r="F716" s="133" t="str">
        <f t="shared" si="35"/>
        <v/>
      </c>
      <c r="G716" s="133" t="str">
        <f t="shared" si="36"/>
        <v/>
      </c>
    </row>
    <row r="717" spans="5:7" x14ac:dyDescent="0.2">
      <c r="E717" s="133" t="str">
        <f t="shared" si="34"/>
        <v/>
      </c>
      <c r="F717" s="133" t="str">
        <f t="shared" si="35"/>
        <v/>
      </c>
      <c r="G717" s="133" t="str">
        <f t="shared" si="36"/>
        <v/>
      </c>
    </row>
    <row r="718" spans="5:7" x14ac:dyDescent="0.2">
      <c r="E718" s="133" t="str">
        <f t="shared" si="34"/>
        <v/>
      </c>
      <c r="F718" s="133" t="str">
        <f t="shared" si="35"/>
        <v/>
      </c>
      <c r="G718" s="133" t="str">
        <f t="shared" si="36"/>
        <v/>
      </c>
    </row>
    <row r="719" spans="5:7" x14ac:dyDescent="0.2">
      <c r="E719" s="133" t="str">
        <f t="shared" si="34"/>
        <v/>
      </c>
      <c r="F719" s="133" t="str">
        <f t="shared" si="35"/>
        <v/>
      </c>
      <c r="G719" s="133" t="str">
        <f t="shared" si="36"/>
        <v/>
      </c>
    </row>
    <row r="720" spans="5:7" x14ac:dyDescent="0.2">
      <c r="E720" s="133" t="str">
        <f t="shared" si="34"/>
        <v/>
      </c>
      <c r="F720" s="133" t="str">
        <f t="shared" si="35"/>
        <v/>
      </c>
      <c r="G720" s="133" t="str">
        <f t="shared" si="36"/>
        <v/>
      </c>
    </row>
    <row r="721" spans="5:7" x14ac:dyDescent="0.2">
      <c r="E721" s="133" t="str">
        <f t="shared" si="34"/>
        <v/>
      </c>
      <c r="F721" s="133" t="str">
        <f t="shared" si="35"/>
        <v/>
      </c>
      <c r="G721" s="133" t="str">
        <f t="shared" si="36"/>
        <v/>
      </c>
    </row>
    <row r="722" spans="5:7" x14ac:dyDescent="0.2">
      <c r="E722" s="133" t="str">
        <f t="shared" si="34"/>
        <v/>
      </c>
      <c r="F722" s="133" t="str">
        <f t="shared" si="35"/>
        <v/>
      </c>
      <c r="G722" s="133" t="str">
        <f t="shared" si="36"/>
        <v/>
      </c>
    </row>
    <row r="723" spans="5:7" x14ac:dyDescent="0.2">
      <c r="E723" s="133" t="str">
        <f t="shared" si="34"/>
        <v/>
      </c>
      <c r="F723" s="133" t="str">
        <f t="shared" si="35"/>
        <v/>
      </c>
      <c r="G723" s="133" t="str">
        <f t="shared" si="36"/>
        <v/>
      </c>
    </row>
    <row r="724" spans="5:7" x14ac:dyDescent="0.2">
      <c r="E724" s="133" t="str">
        <f t="shared" si="34"/>
        <v/>
      </c>
      <c r="F724" s="133" t="str">
        <f t="shared" si="35"/>
        <v/>
      </c>
      <c r="G724" s="133" t="str">
        <f t="shared" si="36"/>
        <v/>
      </c>
    </row>
    <row r="725" spans="5:7" x14ac:dyDescent="0.2">
      <c r="E725" s="133" t="str">
        <f t="shared" si="34"/>
        <v/>
      </c>
      <c r="F725" s="133" t="str">
        <f t="shared" si="35"/>
        <v/>
      </c>
      <c r="G725" s="133" t="str">
        <f t="shared" si="36"/>
        <v/>
      </c>
    </row>
    <row r="726" spans="5:7" x14ac:dyDescent="0.2">
      <c r="E726" s="133" t="str">
        <f t="shared" si="34"/>
        <v/>
      </c>
      <c r="F726" s="133" t="str">
        <f t="shared" si="35"/>
        <v/>
      </c>
      <c r="G726" s="133" t="str">
        <f t="shared" si="36"/>
        <v/>
      </c>
    </row>
    <row r="727" spans="5:7" x14ac:dyDescent="0.2">
      <c r="E727" s="133" t="str">
        <f t="shared" si="34"/>
        <v/>
      </c>
      <c r="F727" s="133" t="str">
        <f t="shared" si="35"/>
        <v/>
      </c>
      <c r="G727" s="133" t="str">
        <f t="shared" si="36"/>
        <v/>
      </c>
    </row>
    <row r="728" spans="5:7" x14ac:dyDescent="0.2">
      <c r="E728" s="133" t="str">
        <f t="shared" si="34"/>
        <v/>
      </c>
      <c r="F728" s="133" t="str">
        <f t="shared" si="35"/>
        <v/>
      </c>
      <c r="G728" s="133" t="str">
        <f t="shared" si="36"/>
        <v/>
      </c>
    </row>
    <row r="729" spans="5:7" x14ac:dyDescent="0.2">
      <c r="E729" s="133" t="str">
        <f t="shared" si="34"/>
        <v/>
      </c>
      <c r="F729" s="133" t="str">
        <f t="shared" si="35"/>
        <v/>
      </c>
      <c r="G729" s="133" t="str">
        <f t="shared" si="36"/>
        <v/>
      </c>
    </row>
    <row r="730" spans="5:7" x14ac:dyDescent="0.2">
      <c r="E730" s="133" t="str">
        <f t="shared" si="34"/>
        <v/>
      </c>
      <c r="F730" s="133" t="str">
        <f t="shared" si="35"/>
        <v/>
      </c>
      <c r="G730" s="133" t="str">
        <f t="shared" si="36"/>
        <v/>
      </c>
    </row>
    <row r="731" spans="5:7" x14ac:dyDescent="0.2">
      <c r="E731" s="133" t="str">
        <f t="shared" si="34"/>
        <v/>
      </c>
      <c r="F731" s="133" t="str">
        <f t="shared" si="35"/>
        <v/>
      </c>
      <c r="G731" s="133" t="str">
        <f t="shared" si="36"/>
        <v/>
      </c>
    </row>
    <row r="732" spans="5:7" x14ac:dyDescent="0.2">
      <c r="E732" s="133" t="str">
        <f t="shared" si="34"/>
        <v/>
      </c>
      <c r="F732" s="133" t="str">
        <f t="shared" si="35"/>
        <v/>
      </c>
      <c r="G732" s="133" t="str">
        <f t="shared" si="36"/>
        <v/>
      </c>
    </row>
    <row r="733" spans="5:7" x14ac:dyDescent="0.2">
      <c r="E733" s="133" t="str">
        <f t="shared" si="34"/>
        <v/>
      </c>
      <c r="F733" s="133" t="str">
        <f t="shared" si="35"/>
        <v/>
      </c>
      <c r="G733" s="133" t="str">
        <f t="shared" si="36"/>
        <v/>
      </c>
    </row>
    <row r="734" spans="5:7" x14ac:dyDescent="0.2">
      <c r="E734" s="133" t="str">
        <f t="shared" si="34"/>
        <v/>
      </c>
      <c r="F734" s="133" t="str">
        <f t="shared" si="35"/>
        <v/>
      </c>
      <c r="G734" s="133" t="str">
        <f t="shared" si="36"/>
        <v/>
      </c>
    </row>
    <row r="735" spans="5:7" x14ac:dyDescent="0.2">
      <c r="E735" s="133" t="str">
        <f t="shared" si="34"/>
        <v/>
      </c>
      <c r="F735" s="133" t="str">
        <f t="shared" si="35"/>
        <v/>
      </c>
      <c r="G735" s="133" t="str">
        <f t="shared" si="36"/>
        <v/>
      </c>
    </row>
    <row r="736" spans="5:7" x14ac:dyDescent="0.2">
      <c r="E736" s="133" t="str">
        <f t="shared" si="34"/>
        <v/>
      </c>
      <c r="F736" s="133" t="str">
        <f t="shared" si="35"/>
        <v/>
      </c>
      <c r="G736" s="133" t="str">
        <f t="shared" si="36"/>
        <v/>
      </c>
    </row>
    <row r="737" spans="5:7" x14ac:dyDescent="0.2">
      <c r="E737" s="133" t="str">
        <f t="shared" si="34"/>
        <v/>
      </c>
      <c r="F737" s="133" t="str">
        <f t="shared" si="35"/>
        <v/>
      </c>
      <c r="G737" s="133" t="str">
        <f t="shared" si="36"/>
        <v/>
      </c>
    </row>
    <row r="738" spans="5:7" x14ac:dyDescent="0.2">
      <c r="E738" s="133" t="str">
        <f t="shared" si="34"/>
        <v/>
      </c>
      <c r="F738" s="133" t="str">
        <f t="shared" si="35"/>
        <v/>
      </c>
      <c r="G738" s="133" t="str">
        <f t="shared" si="36"/>
        <v/>
      </c>
    </row>
    <row r="739" spans="5:7" x14ac:dyDescent="0.2">
      <c r="E739" s="133" t="str">
        <f t="shared" si="34"/>
        <v/>
      </c>
      <c r="F739" s="133" t="str">
        <f t="shared" si="35"/>
        <v/>
      </c>
      <c r="G739" s="133" t="str">
        <f t="shared" si="36"/>
        <v/>
      </c>
    </row>
    <row r="740" spans="5:7" x14ac:dyDescent="0.2">
      <c r="E740" s="133" t="str">
        <f t="shared" si="34"/>
        <v/>
      </c>
      <c r="F740" s="133" t="str">
        <f t="shared" si="35"/>
        <v/>
      </c>
      <c r="G740" s="133" t="str">
        <f t="shared" si="36"/>
        <v/>
      </c>
    </row>
    <row r="741" spans="5:7" x14ac:dyDescent="0.2">
      <c r="E741" s="133" t="str">
        <f t="shared" si="34"/>
        <v/>
      </c>
      <c r="F741" s="133" t="str">
        <f t="shared" si="35"/>
        <v/>
      </c>
      <c r="G741" s="133" t="str">
        <f t="shared" si="36"/>
        <v/>
      </c>
    </row>
    <row r="742" spans="5:7" x14ac:dyDescent="0.2">
      <c r="E742" s="133" t="str">
        <f t="shared" si="34"/>
        <v/>
      </c>
      <c r="F742" s="133" t="str">
        <f t="shared" si="35"/>
        <v/>
      </c>
      <c r="G742" s="133" t="str">
        <f t="shared" si="36"/>
        <v/>
      </c>
    </row>
    <row r="743" spans="5:7" x14ac:dyDescent="0.2">
      <c r="E743" s="133" t="str">
        <f t="shared" si="34"/>
        <v/>
      </c>
      <c r="F743" s="133" t="str">
        <f t="shared" si="35"/>
        <v/>
      </c>
      <c r="G743" s="133" t="str">
        <f t="shared" si="36"/>
        <v/>
      </c>
    </row>
    <row r="744" spans="5:7" x14ac:dyDescent="0.2">
      <c r="E744" s="133" t="str">
        <f t="shared" si="34"/>
        <v/>
      </c>
      <c r="F744" s="133" t="str">
        <f t="shared" si="35"/>
        <v/>
      </c>
      <c r="G744" s="133" t="str">
        <f t="shared" si="36"/>
        <v/>
      </c>
    </row>
    <row r="745" spans="5:7" x14ac:dyDescent="0.2">
      <c r="E745" s="133" t="str">
        <f t="shared" si="34"/>
        <v/>
      </c>
      <c r="F745" s="133" t="str">
        <f t="shared" si="35"/>
        <v/>
      </c>
      <c r="G745" s="133" t="str">
        <f t="shared" si="36"/>
        <v/>
      </c>
    </row>
    <row r="746" spans="5:7" x14ac:dyDescent="0.2">
      <c r="E746" s="133" t="str">
        <f t="shared" si="34"/>
        <v/>
      </c>
      <c r="F746" s="133" t="str">
        <f t="shared" si="35"/>
        <v/>
      </c>
      <c r="G746" s="133" t="str">
        <f t="shared" si="36"/>
        <v/>
      </c>
    </row>
    <row r="747" spans="5:7" x14ac:dyDescent="0.2">
      <c r="E747" s="133" t="str">
        <f t="shared" si="34"/>
        <v/>
      </c>
      <c r="F747" s="133" t="str">
        <f t="shared" si="35"/>
        <v/>
      </c>
      <c r="G747" s="133" t="str">
        <f t="shared" si="36"/>
        <v/>
      </c>
    </row>
    <row r="748" spans="5:7" x14ac:dyDescent="0.2">
      <c r="E748" s="133" t="str">
        <f t="shared" si="34"/>
        <v/>
      </c>
      <c r="F748" s="133" t="str">
        <f t="shared" si="35"/>
        <v/>
      </c>
      <c r="G748" s="133" t="str">
        <f t="shared" si="36"/>
        <v/>
      </c>
    </row>
    <row r="749" spans="5:7" x14ac:dyDescent="0.2">
      <c r="E749" s="133" t="str">
        <f t="shared" si="34"/>
        <v/>
      </c>
      <c r="F749" s="133" t="str">
        <f t="shared" si="35"/>
        <v/>
      </c>
      <c r="G749" s="133" t="str">
        <f t="shared" si="36"/>
        <v/>
      </c>
    </row>
    <row r="750" spans="5:7" x14ac:dyDescent="0.2">
      <c r="E750" s="133" t="str">
        <f t="shared" si="34"/>
        <v/>
      </c>
      <c r="F750" s="133" t="str">
        <f t="shared" si="35"/>
        <v/>
      </c>
      <c r="G750" s="133" t="str">
        <f t="shared" si="36"/>
        <v/>
      </c>
    </row>
    <row r="751" spans="5:7" x14ac:dyDescent="0.2">
      <c r="E751" s="133" t="str">
        <f t="shared" si="34"/>
        <v/>
      </c>
      <c r="F751" s="133" t="str">
        <f t="shared" si="35"/>
        <v/>
      </c>
      <c r="G751" s="133" t="str">
        <f t="shared" si="36"/>
        <v/>
      </c>
    </row>
    <row r="752" spans="5:7" x14ac:dyDescent="0.2">
      <c r="E752" s="133" t="str">
        <f t="shared" si="34"/>
        <v/>
      </c>
      <c r="F752" s="133" t="str">
        <f t="shared" si="35"/>
        <v/>
      </c>
      <c r="G752" s="133" t="str">
        <f t="shared" si="36"/>
        <v/>
      </c>
    </row>
    <row r="753" spans="5:7" x14ac:dyDescent="0.2">
      <c r="E753" s="133" t="str">
        <f t="shared" si="34"/>
        <v/>
      </c>
      <c r="F753" s="133" t="str">
        <f t="shared" si="35"/>
        <v/>
      </c>
      <c r="G753" s="133" t="str">
        <f t="shared" si="36"/>
        <v/>
      </c>
    </row>
    <row r="754" spans="5:7" x14ac:dyDescent="0.2">
      <c r="E754" s="133" t="str">
        <f t="shared" si="34"/>
        <v/>
      </c>
      <c r="F754" s="133" t="str">
        <f t="shared" si="35"/>
        <v/>
      </c>
      <c r="G754" s="133" t="str">
        <f t="shared" si="36"/>
        <v/>
      </c>
    </row>
    <row r="755" spans="5:7" x14ac:dyDescent="0.2">
      <c r="E755" s="133" t="str">
        <f t="shared" si="34"/>
        <v/>
      </c>
      <c r="F755" s="133" t="str">
        <f t="shared" si="35"/>
        <v/>
      </c>
      <c r="G755" s="133" t="str">
        <f t="shared" si="36"/>
        <v/>
      </c>
    </row>
    <row r="756" spans="5:7" x14ac:dyDescent="0.2">
      <c r="E756" s="133" t="str">
        <f t="shared" si="34"/>
        <v/>
      </c>
      <c r="F756" s="133" t="str">
        <f t="shared" si="35"/>
        <v/>
      </c>
      <c r="G756" s="133" t="str">
        <f t="shared" si="36"/>
        <v/>
      </c>
    </row>
    <row r="757" spans="5:7" x14ac:dyDescent="0.2">
      <c r="E757" s="133" t="str">
        <f t="shared" si="34"/>
        <v/>
      </c>
      <c r="F757" s="133" t="str">
        <f t="shared" si="35"/>
        <v/>
      </c>
      <c r="G757" s="133" t="str">
        <f t="shared" si="36"/>
        <v/>
      </c>
    </row>
    <row r="758" spans="5:7" x14ac:dyDescent="0.2">
      <c r="E758" s="133" t="str">
        <f t="shared" si="34"/>
        <v/>
      </c>
      <c r="F758" s="133" t="str">
        <f t="shared" si="35"/>
        <v/>
      </c>
      <c r="G758" s="133" t="str">
        <f t="shared" si="36"/>
        <v/>
      </c>
    </row>
    <row r="759" spans="5:7" x14ac:dyDescent="0.2">
      <c r="E759" s="133" t="str">
        <f t="shared" si="34"/>
        <v/>
      </c>
      <c r="F759" s="133" t="str">
        <f t="shared" si="35"/>
        <v/>
      </c>
      <c r="G759" s="133" t="str">
        <f t="shared" si="36"/>
        <v/>
      </c>
    </row>
    <row r="760" spans="5:7" x14ac:dyDescent="0.2">
      <c r="E760" s="133" t="str">
        <f t="shared" si="34"/>
        <v/>
      </c>
      <c r="F760" s="133" t="str">
        <f t="shared" si="35"/>
        <v/>
      </c>
      <c r="G760" s="133" t="str">
        <f t="shared" si="36"/>
        <v/>
      </c>
    </row>
    <row r="761" spans="5:7" x14ac:dyDescent="0.2">
      <c r="E761" s="133" t="str">
        <f t="shared" si="34"/>
        <v/>
      </c>
      <c r="F761" s="133" t="str">
        <f t="shared" si="35"/>
        <v/>
      </c>
      <c r="G761" s="133" t="str">
        <f t="shared" si="36"/>
        <v/>
      </c>
    </row>
    <row r="762" spans="5:7" x14ac:dyDescent="0.2">
      <c r="E762" s="133" t="str">
        <f t="shared" si="34"/>
        <v/>
      </c>
      <c r="F762" s="133" t="str">
        <f t="shared" si="35"/>
        <v/>
      </c>
      <c r="G762" s="133" t="str">
        <f t="shared" si="36"/>
        <v/>
      </c>
    </row>
    <row r="763" spans="5:7" x14ac:dyDescent="0.2">
      <c r="E763" s="133" t="str">
        <f t="shared" si="34"/>
        <v/>
      </c>
      <c r="F763" s="133" t="str">
        <f t="shared" si="35"/>
        <v/>
      </c>
      <c r="G763" s="133" t="str">
        <f t="shared" si="36"/>
        <v/>
      </c>
    </row>
    <row r="764" spans="5:7" x14ac:dyDescent="0.2">
      <c r="E764" s="133" t="str">
        <f t="shared" si="34"/>
        <v/>
      </c>
      <c r="F764" s="133" t="str">
        <f t="shared" si="35"/>
        <v/>
      </c>
      <c r="G764" s="133" t="str">
        <f t="shared" si="36"/>
        <v/>
      </c>
    </row>
    <row r="765" spans="5:7" x14ac:dyDescent="0.2">
      <c r="E765" s="133" t="str">
        <f t="shared" si="34"/>
        <v/>
      </c>
      <c r="F765" s="133" t="str">
        <f t="shared" si="35"/>
        <v/>
      </c>
      <c r="G765" s="133" t="str">
        <f t="shared" si="36"/>
        <v/>
      </c>
    </row>
    <row r="766" spans="5:7" x14ac:dyDescent="0.2">
      <c r="E766" s="133" t="str">
        <f t="shared" si="34"/>
        <v/>
      </c>
      <c r="F766" s="133" t="str">
        <f t="shared" si="35"/>
        <v/>
      </c>
      <c r="G766" s="133" t="str">
        <f t="shared" si="36"/>
        <v/>
      </c>
    </row>
    <row r="767" spans="5:7" x14ac:dyDescent="0.2">
      <c r="E767" s="133" t="str">
        <f t="shared" si="34"/>
        <v/>
      </c>
      <c r="F767" s="133" t="str">
        <f t="shared" si="35"/>
        <v/>
      </c>
      <c r="G767" s="133" t="str">
        <f t="shared" si="36"/>
        <v/>
      </c>
    </row>
    <row r="768" spans="5:7" x14ac:dyDescent="0.2">
      <c r="E768" s="133" t="str">
        <f t="shared" si="34"/>
        <v/>
      </c>
      <c r="F768" s="133" t="str">
        <f t="shared" si="35"/>
        <v/>
      </c>
      <c r="G768" s="133" t="str">
        <f t="shared" si="36"/>
        <v/>
      </c>
    </row>
    <row r="769" spans="5:7" x14ac:dyDescent="0.2">
      <c r="E769" s="133" t="str">
        <f t="shared" si="34"/>
        <v/>
      </c>
      <c r="F769" s="133" t="str">
        <f t="shared" si="35"/>
        <v/>
      </c>
      <c r="G769" s="133" t="str">
        <f t="shared" si="36"/>
        <v/>
      </c>
    </row>
    <row r="770" spans="5:7" x14ac:dyDescent="0.2">
      <c r="E770" s="133" t="str">
        <f t="shared" ref="E770:E833" si="37">IF(OR(A770="",D770=""),"",(D770-A770)*24)</f>
        <v/>
      </c>
      <c r="F770" s="133" t="str">
        <f t="shared" ref="F770:F833" si="38">IF(OR(A770="",D770=""),"",INT((D770-A770)*24)&amp;" час "&amp;ROUND(((D770-A770)*24-INT((D770-A770)*24))*60,0)&amp;" минут")</f>
        <v/>
      </c>
      <c r="G770" s="133" t="str">
        <f t="shared" ref="G770:G833" si="39">IF(D770="","",TEXT(D770,"ММММ ГГГГ"))</f>
        <v/>
      </c>
    </row>
    <row r="771" spans="5:7" x14ac:dyDescent="0.2">
      <c r="E771" s="133" t="str">
        <f t="shared" si="37"/>
        <v/>
      </c>
      <c r="F771" s="133" t="str">
        <f t="shared" si="38"/>
        <v/>
      </c>
      <c r="G771" s="133" t="str">
        <f t="shared" si="39"/>
        <v/>
      </c>
    </row>
    <row r="772" spans="5:7" x14ac:dyDescent="0.2">
      <c r="E772" s="133" t="str">
        <f t="shared" si="37"/>
        <v/>
      </c>
      <c r="F772" s="133" t="str">
        <f t="shared" si="38"/>
        <v/>
      </c>
      <c r="G772" s="133" t="str">
        <f t="shared" si="39"/>
        <v/>
      </c>
    </row>
    <row r="773" spans="5:7" x14ac:dyDescent="0.2">
      <c r="E773" s="133" t="str">
        <f t="shared" si="37"/>
        <v/>
      </c>
      <c r="F773" s="133" t="str">
        <f t="shared" si="38"/>
        <v/>
      </c>
      <c r="G773" s="133" t="str">
        <f t="shared" si="39"/>
        <v/>
      </c>
    </row>
    <row r="774" spans="5:7" x14ac:dyDescent="0.2">
      <c r="E774" s="133" t="str">
        <f t="shared" si="37"/>
        <v/>
      </c>
      <c r="F774" s="133" t="str">
        <f t="shared" si="38"/>
        <v/>
      </c>
      <c r="G774" s="133" t="str">
        <f t="shared" si="39"/>
        <v/>
      </c>
    </row>
    <row r="775" spans="5:7" x14ac:dyDescent="0.2">
      <c r="E775" s="133" t="str">
        <f t="shared" si="37"/>
        <v/>
      </c>
      <c r="F775" s="133" t="str">
        <f t="shared" si="38"/>
        <v/>
      </c>
      <c r="G775" s="133" t="str">
        <f t="shared" si="39"/>
        <v/>
      </c>
    </row>
    <row r="776" spans="5:7" x14ac:dyDescent="0.2">
      <c r="E776" s="133" t="str">
        <f t="shared" si="37"/>
        <v/>
      </c>
      <c r="F776" s="133" t="str">
        <f t="shared" si="38"/>
        <v/>
      </c>
      <c r="G776" s="133" t="str">
        <f t="shared" si="39"/>
        <v/>
      </c>
    </row>
    <row r="777" spans="5:7" x14ac:dyDescent="0.2">
      <c r="E777" s="133" t="str">
        <f t="shared" si="37"/>
        <v/>
      </c>
      <c r="F777" s="133" t="str">
        <f t="shared" si="38"/>
        <v/>
      </c>
      <c r="G777" s="133" t="str">
        <f t="shared" si="39"/>
        <v/>
      </c>
    </row>
    <row r="778" spans="5:7" x14ac:dyDescent="0.2">
      <c r="E778" s="133" t="str">
        <f t="shared" si="37"/>
        <v/>
      </c>
      <c r="F778" s="133" t="str">
        <f t="shared" si="38"/>
        <v/>
      </c>
      <c r="G778" s="133" t="str">
        <f t="shared" si="39"/>
        <v/>
      </c>
    </row>
    <row r="779" spans="5:7" x14ac:dyDescent="0.2">
      <c r="E779" s="133" t="str">
        <f t="shared" si="37"/>
        <v/>
      </c>
      <c r="F779" s="133" t="str">
        <f t="shared" si="38"/>
        <v/>
      </c>
      <c r="G779" s="133" t="str">
        <f t="shared" si="39"/>
        <v/>
      </c>
    </row>
    <row r="780" spans="5:7" x14ac:dyDescent="0.2">
      <c r="E780" s="133" t="str">
        <f t="shared" si="37"/>
        <v/>
      </c>
      <c r="F780" s="133" t="str">
        <f t="shared" si="38"/>
        <v/>
      </c>
      <c r="G780" s="133" t="str">
        <f t="shared" si="39"/>
        <v/>
      </c>
    </row>
    <row r="781" spans="5:7" x14ac:dyDescent="0.2">
      <c r="E781" s="133" t="str">
        <f t="shared" si="37"/>
        <v/>
      </c>
      <c r="F781" s="133" t="str">
        <f t="shared" si="38"/>
        <v/>
      </c>
      <c r="G781" s="133" t="str">
        <f t="shared" si="39"/>
        <v/>
      </c>
    </row>
    <row r="782" spans="5:7" x14ac:dyDescent="0.2">
      <c r="E782" s="133" t="str">
        <f t="shared" si="37"/>
        <v/>
      </c>
      <c r="F782" s="133" t="str">
        <f t="shared" si="38"/>
        <v/>
      </c>
      <c r="G782" s="133" t="str">
        <f t="shared" si="39"/>
        <v/>
      </c>
    </row>
    <row r="783" spans="5:7" x14ac:dyDescent="0.2">
      <c r="E783" s="133" t="str">
        <f t="shared" si="37"/>
        <v/>
      </c>
      <c r="F783" s="133" t="str">
        <f t="shared" si="38"/>
        <v/>
      </c>
      <c r="G783" s="133" t="str">
        <f t="shared" si="39"/>
        <v/>
      </c>
    </row>
    <row r="784" spans="5:7" x14ac:dyDescent="0.2">
      <c r="E784" s="133" t="str">
        <f t="shared" si="37"/>
        <v/>
      </c>
      <c r="F784" s="133" t="str">
        <f t="shared" si="38"/>
        <v/>
      </c>
      <c r="G784" s="133" t="str">
        <f t="shared" si="39"/>
        <v/>
      </c>
    </row>
    <row r="785" spans="5:7" x14ac:dyDescent="0.2">
      <c r="E785" s="133" t="str">
        <f t="shared" si="37"/>
        <v/>
      </c>
      <c r="F785" s="133" t="str">
        <f t="shared" si="38"/>
        <v/>
      </c>
      <c r="G785" s="133" t="str">
        <f t="shared" si="39"/>
        <v/>
      </c>
    </row>
    <row r="786" spans="5:7" x14ac:dyDescent="0.2">
      <c r="E786" s="133" t="str">
        <f t="shared" si="37"/>
        <v/>
      </c>
      <c r="F786" s="133" t="str">
        <f t="shared" si="38"/>
        <v/>
      </c>
      <c r="G786" s="133" t="str">
        <f t="shared" si="39"/>
        <v/>
      </c>
    </row>
    <row r="787" spans="5:7" x14ac:dyDescent="0.2">
      <c r="E787" s="133" t="str">
        <f t="shared" si="37"/>
        <v/>
      </c>
      <c r="F787" s="133" t="str">
        <f t="shared" si="38"/>
        <v/>
      </c>
      <c r="G787" s="133" t="str">
        <f t="shared" si="39"/>
        <v/>
      </c>
    </row>
    <row r="788" spans="5:7" x14ac:dyDescent="0.2">
      <c r="E788" s="133" t="str">
        <f t="shared" si="37"/>
        <v/>
      </c>
      <c r="F788" s="133" t="str">
        <f t="shared" si="38"/>
        <v/>
      </c>
      <c r="G788" s="133" t="str">
        <f t="shared" si="39"/>
        <v/>
      </c>
    </row>
    <row r="789" spans="5:7" x14ac:dyDescent="0.2">
      <c r="E789" s="133" t="str">
        <f t="shared" si="37"/>
        <v/>
      </c>
      <c r="F789" s="133" t="str">
        <f t="shared" si="38"/>
        <v/>
      </c>
      <c r="G789" s="133" t="str">
        <f t="shared" si="39"/>
        <v/>
      </c>
    </row>
    <row r="790" spans="5:7" x14ac:dyDescent="0.2">
      <c r="E790" s="133" t="str">
        <f t="shared" si="37"/>
        <v/>
      </c>
      <c r="F790" s="133" t="str">
        <f t="shared" si="38"/>
        <v/>
      </c>
      <c r="G790" s="133" t="str">
        <f t="shared" si="39"/>
        <v/>
      </c>
    </row>
    <row r="791" spans="5:7" x14ac:dyDescent="0.2">
      <c r="E791" s="133" t="str">
        <f t="shared" si="37"/>
        <v/>
      </c>
      <c r="F791" s="133" t="str">
        <f t="shared" si="38"/>
        <v/>
      </c>
      <c r="G791" s="133" t="str">
        <f t="shared" si="39"/>
        <v/>
      </c>
    </row>
    <row r="792" spans="5:7" x14ac:dyDescent="0.2">
      <c r="E792" s="133" t="str">
        <f t="shared" si="37"/>
        <v/>
      </c>
      <c r="F792" s="133" t="str">
        <f t="shared" si="38"/>
        <v/>
      </c>
      <c r="G792" s="133" t="str">
        <f t="shared" si="39"/>
        <v/>
      </c>
    </row>
    <row r="793" spans="5:7" x14ac:dyDescent="0.2">
      <c r="E793" s="133" t="str">
        <f t="shared" si="37"/>
        <v/>
      </c>
      <c r="F793" s="133" t="str">
        <f t="shared" si="38"/>
        <v/>
      </c>
      <c r="G793" s="133" t="str">
        <f t="shared" si="39"/>
        <v/>
      </c>
    </row>
    <row r="794" spans="5:7" x14ac:dyDescent="0.2">
      <c r="E794" s="133" t="str">
        <f t="shared" si="37"/>
        <v/>
      </c>
      <c r="F794" s="133" t="str">
        <f t="shared" si="38"/>
        <v/>
      </c>
      <c r="G794" s="133" t="str">
        <f t="shared" si="39"/>
        <v/>
      </c>
    </row>
    <row r="795" spans="5:7" x14ac:dyDescent="0.2">
      <c r="E795" s="133" t="str">
        <f t="shared" si="37"/>
        <v/>
      </c>
      <c r="F795" s="133" t="str">
        <f t="shared" si="38"/>
        <v/>
      </c>
      <c r="G795" s="133" t="str">
        <f t="shared" si="39"/>
        <v/>
      </c>
    </row>
    <row r="796" spans="5:7" x14ac:dyDescent="0.2">
      <c r="E796" s="133" t="str">
        <f t="shared" si="37"/>
        <v/>
      </c>
      <c r="F796" s="133" t="str">
        <f t="shared" si="38"/>
        <v/>
      </c>
      <c r="G796" s="133" t="str">
        <f t="shared" si="39"/>
        <v/>
      </c>
    </row>
    <row r="797" spans="5:7" x14ac:dyDescent="0.2">
      <c r="E797" s="133" t="str">
        <f t="shared" si="37"/>
        <v/>
      </c>
      <c r="F797" s="133" t="str">
        <f t="shared" si="38"/>
        <v/>
      </c>
      <c r="G797" s="133" t="str">
        <f t="shared" si="39"/>
        <v/>
      </c>
    </row>
    <row r="798" spans="5:7" x14ac:dyDescent="0.2">
      <c r="E798" s="133" t="str">
        <f t="shared" si="37"/>
        <v/>
      </c>
      <c r="F798" s="133" t="str">
        <f t="shared" si="38"/>
        <v/>
      </c>
      <c r="G798" s="133" t="str">
        <f t="shared" si="39"/>
        <v/>
      </c>
    </row>
    <row r="799" spans="5:7" x14ac:dyDescent="0.2">
      <c r="E799" s="133" t="str">
        <f t="shared" si="37"/>
        <v/>
      </c>
      <c r="F799" s="133" t="str">
        <f t="shared" si="38"/>
        <v/>
      </c>
      <c r="G799" s="133" t="str">
        <f t="shared" si="39"/>
        <v/>
      </c>
    </row>
    <row r="800" spans="5:7" x14ac:dyDescent="0.2">
      <c r="E800" s="133" t="str">
        <f t="shared" si="37"/>
        <v/>
      </c>
      <c r="F800" s="133" t="str">
        <f t="shared" si="38"/>
        <v/>
      </c>
      <c r="G800" s="133" t="str">
        <f t="shared" si="39"/>
        <v/>
      </c>
    </row>
    <row r="801" spans="5:7" x14ac:dyDescent="0.2">
      <c r="E801" s="133" t="str">
        <f t="shared" si="37"/>
        <v/>
      </c>
      <c r="F801" s="133" t="str">
        <f t="shared" si="38"/>
        <v/>
      </c>
      <c r="G801" s="133" t="str">
        <f t="shared" si="39"/>
        <v/>
      </c>
    </row>
    <row r="802" spans="5:7" x14ac:dyDescent="0.2">
      <c r="E802" s="133" t="str">
        <f t="shared" si="37"/>
        <v/>
      </c>
      <c r="F802" s="133" t="str">
        <f t="shared" si="38"/>
        <v/>
      </c>
      <c r="G802" s="133" t="str">
        <f t="shared" si="39"/>
        <v/>
      </c>
    </row>
    <row r="803" spans="5:7" x14ac:dyDescent="0.2">
      <c r="E803" s="133" t="str">
        <f t="shared" si="37"/>
        <v/>
      </c>
      <c r="F803" s="133" t="str">
        <f t="shared" si="38"/>
        <v/>
      </c>
      <c r="G803" s="133" t="str">
        <f t="shared" si="39"/>
        <v/>
      </c>
    </row>
    <row r="804" spans="5:7" x14ac:dyDescent="0.2">
      <c r="E804" s="133" t="str">
        <f t="shared" si="37"/>
        <v/>
      </c>
      <c r="F804" s="133" t="str">
        <f t="shared" si="38"/>
        <v/>
      </c>
      <c r="G804" s="133" t="str">
        <f t="shared" si="39"/>
        <v/>
      </c>
    </row>
    <row r="805" spans="5:7" x14ac:dyDescent="0.2">
      <c r="E805" s="133" t="str">
        <f t="shared" si="37"/>
        <v/>
      </c>
      <c r="F805" s="133" t="str">
        <f t="shared" si="38"/>
        <v/>
      </c>
      <c r="G805" s="133" t="str">
        <f t="shared" si="39"/>
        <v/>
      </c>
    </row>
    <row r="806" spans="5:7" x14ac:dyDescent="0.2">
      <c r="E806" s="133" t="str">
        <f t="shared" si="37"/>
        <v/>
      </c>
      <c r="F806" s="133" t="str">
        <f t="shared" si="38"/>
        <v/>
      </c>
      <c r="G806" s="133" t="str">
        <f t="shared" si="39"/>
        <v/>
      </c>
    </row>
    <row r="807" spans="5:7" x14ac:dyDescent="0.2">
      <c r="E807" s="133" t="str">
        <f t="shared" si="37"/>
        <v/>
      </c>
      <c r="F807" s="133" t="str">
        <f t="shared" si="38"/>
        <v/>
      </c>
      <c r="G807" s="133" t="str">
        <f t="shared" si="39"/>
        <v/>
      </c>
    </row>
    <row r="808" spans="5:7" x14ac:dyDescent="0.2">
      <c r="E808" s="133" t="str">
        <f t="shared" si="37"/>
        <v/>
      </c>
      <c r="F808" s="133" t="str">
        <f t="shared" si="38"/>
        <v/>
      </c>
      <c r="G808" s="133" t="str">
        <f t="shared" si="39"/>
        <v/>
      </c>
    </row>
    <row r="809" spans="5:7" x14ac:dyDescent="0.2">
      <c r="E809" s="133" t="str">
        <f t="shared" si="37"/>
        <v/>
      </c>
      <c r="F809" s="133" t="str">
        <f t="shared" si="38"/>
        <v/>
      </c>
      <c r="G809" s="133" t="str">
        <f t="shared" si="39"/>
        <v/>
      </c>
    </row>
    <row r="810" spans="5:7" x14ac:dyDescent="0.2">
      <c r="E810" s="133" t="str">
        <f t="shared" si="37"/>
        <v/>
      </c>
      <c r="F810" s="133" t="str">
        <f t="shared" si="38"/>
        <v/>
      </c>
      <c r="G810" s="133" t="str">
        <f t="shared" si="39"/>
        <v/>
      </c>
    </row>
    <row r="811" spans="5:7" x14ac:dyDescent="0.2">
      <c r="E811" s="133" t="str">
        <f t="shared" si="37"/>
        <v/>
      </c>
      <c r="F811" s="133" t="str">
        <f t="shared" si="38"/>
        <v/>
      </c>
      <c r="G811" s="133" t="str">
        <f t="shared" si="39"/>
        <v/>
      </c>
    </row>
    <row r="812" spans="5:7" x14ac:dyDescent="0.2">
      <c r="E812" s="133" t="str">
        <f t="shared" si="37"/>
        <v/>
      </c>
      <c r="F812" s="133" t="str">
        <f t="shared" si="38"/>
        <v/>
      </c>
      <c r="G812" s="133" t="str">
        <f t="shared" si="39"/>
        <v/>
      </c>
    </row>
    <row r="813" spans="5:7" x14ac:dyDescent="0.2">
      <c r="E813" s="133" t="str">
        <f t="shared" si="37"/>
        <v/>
      </c>
      <c r="F813" s="133" t="str">
        <f t="shared" si="38"/>
        <v/>
      </c>
      <c r="G813" s="133" t="str">
        <f t="shared" si="39"/>
        <v/>
      </c>
    </row>
    <row r="814" spans="5:7" x14ac:dyDescent="0.2">
      <c r="E814" s="133" t="str">
        <f t="shared" si="37"/>
        <v/>
      </c>
      <c r="F814" s="133" t="str">
        <f t="shared" si="38"/>
        <v/>
      </c>
      <c r="G814" s="133" t="str">
        <f t="shared" si="39"/>
        <v/>
      </c>
    </row>
    <row r="815" spans="5:7" x14ac:dyDescent="0.2">
      <c r="E815" s="133" t="str">
        <f t="shared" si="37"/>
        <v/>
      </c>
      <c r="F815" s="133" t="str">
        <f t="shared" si="38"/>
        <v/>
      </c>
      <c r="G815" s="133" t="str">
        <f t="shared" si="39"/>
        <v/>
      </c>
    </row>
    <row r="816" spans="5:7" x14ac:dyDescent="0.2">
      <c r="E816" s="133" t="str">
        <f t="shared" si="37"/>
        <v/>
      </c>
      <c r="F816" s="133" t="str">
        <f t="shared" si="38"/>
        <v/>
      </c>
      <c r="G816" s="133" t="str">
        <f t="shared" si="39"/>
        <v/>
      </c>
    </row>
    <row r="817" spans="5:7" x14ac:dyDescent="0.2">
      <c r="E817" s="133" t="str">
        <f t="shared" si="37"/>
        <v/>
      </c>
      <c r="F817" s="133" t="str">
        <f t="shared" si="38"/>
        <v/>
      </c>
      <c r="G817" s="133" t="str">
        <f t="shared" si="39"/>
        <v/>
      </c>
    </row>
    <row r="818" spans="5:7" x14ac:dyDescent="0.2">
      <c r="E818" s="133" t="str">
        <f t="shared" si="37"/>
        <v/>
      </c>
      <c r="F818" s="133" t="str">
        <f t="shared" si="38"/>
        <v/>
      </c>
      <c r="G818" s="133" t="str">
        <f t="shared" si="39"/>
        <v/>
      </c>
    </row>
    <row r="819" spans="5:7" x14ac:dyDescent="0.2">
      <c r="E819" s="133" t="str">
        <f t="shared" si="37"/>
        <v/>
      </c>
      <c r="F819" s="133" t="str">
        <f t="shared" si="38"/>
        <v/>
      </c>
      <c r="G819" s="133" t="str">
        <f t="shared" si="39"/>
        <v/>
      </c>
    </row>
    <row r="820" spans="5:7" x14ac:dyDescent="0.2">
      <c r="E820" s="133" t="str">
        <f t="shared" si="37"/>
        <v/>
      </c>
      <c r="F820" s="133" t="str">
        <f t="shared" si="38"/>
        <v/>
      </c>
      <c r="G820" s="133" t="str">
        <f t="shared" si="39"/>
        <v/>
      </c>
    </row>
    <row r="821" spans="5:7" x14ac:dyDescent="0.2">
      <c r="E821" s="133" t="str">
        <f t="shared" si="37"/>
        <v/>
      </c>
      <c r="F821" s="133" t="str">
        <f t="shared" si="38"/>
        <v/>
      </c>
      <c r="G821" s="133" t="str">
        <f t="shared" si="39"/>
        <v/>
      </c>
    </row>
    <row r="822" spans="5:7" x14ac:dyDescent="0.2">
      <c r="E822" s="133" t="str">
        <f t="shared" si="37"/>
        <v/>
      </c>
      <c r="F822" s="133" t="str">
        <f t="shared" si="38"/>
        <v/>
      </c>
      <c r="G822" s="133" t="str">
        <f t="shared" si="39"/>
        <v/>
      </c>
    </row>
    <row r="823" spans="5:7" x14ac:dyDescent="0.2">
      <c r="E823" s="133" t="str">
        <f t="shared" si="37"/>
        <v/>
      </c>
      <c r="F823" s="133" t="str">
        <f t="shared" si="38"/>
        <v/>
      </c>
      <c r="G823" s="133" t="str">
        <f t="shared" si="39"/>
        <v/>
      </c>
    </row>
    <row r="824" spans="5:7" x14ac:dyDescent="0.2">
      <c r="E824" s="133" t="str">
        <f t="shared" si="37"/>
        <v/>
      </c>
      <c r="F824" s="133" t="str">
        <f t="shared" si="38"/>
        <v/>
      </c>
      <c r="G824" s="133" t="str">
        <f t="shared" si="39"/>
        <v/>
      </c>
    </row>
    <row r="825" spans="5:7" x14ac:dyDescent="0.2">
      <c r="E825" s="133" t="str">
        <f t="shared" si="37"/>
        <v/>
      </c>
      <c r="F825" s="133" t="str">
        <f t="shared" si="38"/>
        <v/>
      </c>
      <c r="G825" s="133" t="str">
        <f t="shared" si="39"/>
        <v/>
      </c>
    </row>
    <row r="826" spans="5:7" x14ac:dyDescent="0.2">
      <c r="E826" s="133" t="str">
        <f t="shared" si="37"/>
        <v/>
      </c>
      <c r="F826" s="133" t="str">
        <f t="shared" si="38"/>
        <v/>
      </c>
      <c r="G826" s="133" t="str">
        <f t="shared" si="39"/>
        <v/>
      </c>
    </row>
    <row r="827" spans="5:7" x14ac:dyDescent="0.2">
      <c r="E827" s="133" t="str">
        <f t="shared" si="37"/>
        <v/>
      </c>
      <c r="F827" s="133" t="str">
        <f t="shared" si="38"/>
        <v/>
      </c>
      <c r="G827" s="133" t="str">
        <f t="shared" si="39"/>
        <v/>
      </c>
    </row>
    <row r="828" spans="5:7" x14ac:dyDescent="0.2">
      <c r="E828" s="133" t="str">
        <f t="shared" si="37"/>
        <v/>
      </c>
      <c r="F828" s="133" t="str">
        <f t="shared" si="38"/>
        <v/>
      </c>
      <c r="G828" s="133" t="str">
        <f t="shared" si="39"/>
        <v/>
      </c>
    </row>
    <row r="829" spans="5:7" x14ac:dyDescent="0.2">
      <c r="E829" s="133" t="str">
        <f t="shared" si="37"/>
        <v/>
      </c>
      <c r="F829" s="133" t="str">
        <f t="shared" si="38"/>
        <v/>
      </c>
      <c r="G829" s="133" t="str">
        <f t="shared" si="39"/>
        <v/>
      </c>
    </row>
    <row r="830" spans="5:7" x14ac:dyDescent="0.2">
      <c r="E830" s="133" t="str">
        <f t="shared" si="37"/>
        <v/>
      </c>
      <c r="F830" s="133" t="str">
        <f t="shared" si="38"/>
        <v/>
      </c>
      <c r="G830" s="133" t="str">
        <f t="shared" si="39"/>
        <v/>
      </c>
    </row>
    <row r="831" spans="5:7" x14ac:dyDescent="0.2">
      <c r="E831" s="133" t="str">
        <f t="shared" si="37"/>
        <v/>
      </c>
      <c r="F831" s="133" t="str">
        <f t="shared" si="38"/>
        <v/>
      </c>
      <c r="G831" s="133" t="str">
        <f t="shared" si="39"/>
        <v/>
      </c>
    </row>
    <row r="832" spans="5:7" x14ac:dyDescent="0.2">
      <c r="E832" s="133" t="str">
        <f t="shared" si="37"/>
        <v/>
      </c>
      <c r="F832" s="133" t="str">
        <f t="shared" si="38"/>
        <v/>
      </c>
      <c r="G832" s="133" t="str">
        <f t="shared" si="39"/>
        <v/>
      </c>
    </row>
    <row r="833" spans="5:7" x14ac:dyDescent="0.2">
      <c r="E833" s="133" t="str">
        <f t="shared" si="37"/>
        <v/>
      </c>
      <c r="F833" s="133" t="str">
        <f t="shared" si="38"/>
        <v/>
      </c>
      <c r="G833" s="133" t="str">
        <f t="shared" si="39"/>
        <v/>
      </c>
    </row>
    <row r="834" spans="5:7" x14ac:dyDescent="0.2">
      <c r="E834" s="133" t="str">
        <f t="shared" ref="E834:E897" si="40">IF(OR(A834="",D834=""),"",(D834-A834)*24)</f>
        <v/>
      </c>
      <c r="F834" s="133" t="str">
        <f t="shared" ref="F834:F897" si="41">IF(OR(A834="",D834=""),"",INT((D834-A834)*24)&amp;" час "&amp;ROUND(((D834-A834)*24-INT((D834-A834)*24))*60,0)&amp;" минут")</f>
        <v/>
      </c>
      <c r="G834" s="133" t="str">
        <f t="shared" ref="G834:G897" si="42">IF(D834="","",TEXT(D834,"ММММ ГГГГ"))</f>
        <v/>
      </c>
    </row>
    <row r="835" spans="5:7" x14ac:dyDescent="0.2">
      <c r="E835" s="133" t="str">
        <f t="shared" si="40"/>
        <v/>
      </c>
      <c r="F835" s="133" t="str">
        <f t="shared" si="41"/>
        <v/>
      </c>
      <c r="G835" s="133" t="str">
        <f t="shared" si="42"/>
        <v/>
      </c>
    </row>
    <row r="836" spans="5:7" x14ac:dyDescent="0.2">
      <c r="E836" s="133" t="str">
        <f t="shared" si="40"/>
        <v/>
      </c>
      <c r="F836" s="133" t="str">
        <f t="shared" si="41"/>
        <v/>
      </c>
      <c r="G836" s="133" t="str">
        <f t="shared" si="42"/>
        <v/>
      </c>
    </row>
    <row r="837" spans="5:7" x14ac:dyDescent="0.2">
      <c r="E837" s="133" t="str">
        <f t="shared" si="40"/>
        <v/>
      </c>
      <c r="F837" s="133" t="str">
        <f t="shared" si="41"/>
        <v/>
      </c>
      <c r="G837" s="133" t="str">
        <f t="shared" si="42"/>
        <v/>
      </c>
    </row>
    <row r="838" spans="5:7" x14ac:dyDescent="0.2">
      <c r="E838" s="133" t="str">
        <f t="shared" si="40"/>
        <v/>
      </c>
      <c r="F838" s="133" t="str">
        <f t="shared" si="41"/>
        <v/>
      </c>
      <c r="G838" s="133" t="str">
        <f t="shared" si="42"/>
        <v/>
      </c>
    </row>
    <row r="839" spans="5:7" x14ac:dyDescent="0.2">
      <c r="E839" s="133" t="str">
        <f t="shared" si="40"/>
        <v/>
      </c>
      <c r="F839" s="133" t="str">
        <f t="shared" si="41"/>
        <v/>
      </c>
      <c r="G839" s="133" t="str">
        <f t="shared" si="42"/>
        <v/>
      </c>
    </row>
    <row r="840" spans="5:7" x14ac:dyDescent="0.2">
      <c r="E840" s="133" t="str">
        <f t="shared" si="40"/>
        <v/>
      </c>
      <c r="F840" s="133" t="str">
        <f t="shared" si="41"/>
        <v/>
      </c>
      <c r="G840" s="133" t="str">
        <f t="shared" si="42"/>
        <v/>
      </c>
    </row>
    <row r="841" spans="5:7" x14ac:dyDescent="0.2">
      <c r="E841" s="133" t="str">
        <f t="shared" si="40"/>
        <v/>
      </c>
      <c r="F841" s="133" t="str">
        <f t="shared" si="41"/>
        <v/>
      </c>
      <c r="G841" s="133" t="str">
        <f t="shared" si="42"/>
        <v/>
      </c>
    </row>
    <row r="842" spans="5:7" x14ac:dyDescent="0.2">
      <c r="E842" s="133" t="str">
        <f t="shared" si="40"/>
        <v/>
      </c>
      <c r="F842" s="133" t="str">
        <f t="shared" si="41"/>
        <v/>
      </c>
      <c r="G842" s="133" t="str">
        <f t="shared" si="42"/>
        <v/>
      </c>
    </row>
    <row r="843" spans="5:7" x14ac:dyDescent="0.2">
      <c r="E843" s="133" t="str">
        <f t="shared" si="40"/>
        <v/>
      </c>
      <c r="F843" s="133" t="str">
        <f t="shared" si="41"/>
        <v/>
      </c>
      <c r="G843" s="133" t="str">
        <f t="shared" si="42"/>
        <v/>
      </c>
    </row>
    <row r="844" spans="5:7" x14ac:dyDescent="0.2">
      <c r="E844" s="133" t="str">
        <f t="shared" si="40"/>
        <v/>
      </c>
      <c r="F844" s="133" t="str">
        <f t="shared" si="41"/>
        <v/>
      </c>
      <c r="G844" s="133" t="str">
        <f t="shared" si="42"/>
        <v/>
      </c>
    </row>
    <row r="845" spans="5:7" x14ac:dyDescent="0.2">
      <c r="E845" s="133" t="str">
        <f t="shared" si="40"/>
        <v/>
      </c>
      <c r="F845" s="133" t="str">
        <f t="shared" si="41"/>
        <v/>
      </c>
      <c r="G845" s="133" t="str">
        <f t="shared" si="42"/>
        <v/>
      </c>
    </row>
    <row r="846" spans="5:7" x14ac:dyDescent="0.2">
      <c r="E846" s="133" t="str">
        <f t="shared" si="40"/>
        <v/>
      </c>
      <c r="F846" s="133" t="str">
        <f t="shared" si="41"/>
        <v/>
      </c>
      <c r="G846" s="133" t="str">
        <f t="shared" si="42"/>
        <v/>
      </c>
    </row>
    <row r="847" spans="5:7" x14ac:dyDescent="0.2">
      <c r="E847" s="133" t="str">
        <f t="shared" si="40"/>
        <v/>
      </c>
      <c r="F847" s="133" t="str">
        <f t="shared" si="41"/>
        <v/>
      </c>
      <c r="G847" s="133" t="str">
        <f t="shared" si="42"/>
        <v/>
      </c>
    </row>
    <row r="848" spans="5:7" x14ac:dyDescent="0.2">
      <c r="E848" s="133" t="str">
        <f t="shared" si="40"/>
        <v/>
      </c>
      <c r="F848" s="133" t="str">
        <f t="shared" si="41"/>
        <v/>
      </c>
      <c r="G848" s="133" t="str">
        <f t="shared" si="42"/>
        <v/>
      </c>
    </row>
    <row r="849" spans="5:7" x14ac:dyDescent="0.2">
      <c r="E849" s="133" t="str">
        <f t="shared" si="40"/>
        <v/>
      </c>
      <c r="F849" s="133" t="str">
        <f t="shared" si="41"/>
        <v/>
      </c>
      <c r="G849" s="133" t="str">
        <f t="shared" si="42"/>
        <v/>
      </c>
    </row>
    <row r="850" spans="5:7" x14ac:dyDescent="0.2">
      <c r="E850" s="133" t="str">
        <f t="shared" si="40"/>
        <v/>
      </c>
      <c r="F850" s="133" t="str">
        <f t="shared" si="41"/>
        <v/>
      </c>
      <c r="G850" s="133" t="str">
        <f t="shared" si="42"/>
        <v/>
      </c>
    </row>
    <row r="851" spans="5:7" x14ac:dyDescent="0.2">
      <c r="E851" s="133" t="str">
        <f t="shared" si="40"/>
        <v/>
      </c>
      <c r="F851" s="133" t="str">
        <f t="shared" si="41"/>
        <v/>
      </c>
      <c r="G851" s="133" t="str">
        <f t="shared" si="42"/>
        <v/>
      </c>
    </row>
    <row r="852" spans="5:7" x14ac:dyDescent="0.2">
      <c r="E852" s="133" t="str">
        <f t="shared" si="40"/>
        <v/>
      </c>
      <c r="F852" s="133" t="str">
        <f t="shared" si="41"/>
        <v/>
      </c>
      <c r="G852" s="133" t="str">
        <f t="shared" si="42"/>
        <v/>
      </c>
    </row>
    <row r="853" spans="5:7" x14ac:dyDescent="0.2">
      <c r="E853" s="133" t="str">
        <f t="shared" si="40"/>
        <v/>
      </c>
      <c r="F853" s="133" t="str">
        <f t="shared" si="41"/>
        <v/>
      </c>
      <c r="G853" s="133" t="str">
        <f t="shared" si="42"/>
        <v/>
      </c>
    </row>
    <row r="854" spans="5:7" x14ac:dyDescent="0.2">
      <c r="E854" s="133" t="str">
        <f t="shared" si="40"/>
        <v/>
      </c>
      <c r="F854" s="133" t="str">
        <f t="shared" si="41"/>
        <v/>
      </c>
      <c r="G854" s="133" t="str">
        <f t="shared" si="42"/>
        <v/>
      </c>
    </row>
    <row r="855" spans="5:7" x14ac:dyDescent="0.2">
      <c r="E855" s="133" t="str">
        <f t="shared" si="40"/>
        <v/>
      </c>
      <c r="F855" s="133" t="str">
        <f t="shared" si="41"/>
        <v/>
      </c>
      <c r="G855" s="133" t="str">
        <f t="shared" si="42"/>
        <v/>
      </c>
    </row>
    <row r="856" spans="5:7" x14ac:dyDescent="0.2">
      <c r="E856" s="133" t="str">
        <f t="shared" si="40"/>
        <v/>
      </c>
      <c r="F856" s="133" t="str">
        <f t="shared" si="41"/>
        <v/>
      </c>
      <c r="G856" s="133" t="str">
        <f t="shared" si="42"/>
        <v/>
      </c>
    </row>
    <row r="857" spans="5:7" x14ac:dyDescent="0.2">
      <c r="E857" s="133" t="str">
        <f t="shared" si="40"/>
        <v/>
      </c>
      <c r="F857" s="133" t="str">
        <f t="shared" si="41"/>
        <v/>
      </c>
      <c r="G857" s="133" t="str">
        <f t="shared" si="42"/>
        <v/>
      </c>
    </row>
    <row r="858" spans="5:7" x14ac:dyDescent="0.2">
      <c r="E858" s="133" t="str">
        <f t="shared" si="40"/>
        <v/>
      </c>
      <c r="F858" s="133" t="str">
        <f t="shared" si="41"/>
        <v/>
      </c>
      <c r="G858" s="133" t="str">
        <f t="shared" si="42"/>
        <v/>
      </c>
    </row>
    <row r="859" spans="5:7" x14ac:dyDescent="0.2">
      <c r="E859" s="133" t="str">
        <f t="shared" si="40"/>
        <v/>
      </c>
      <c r="F859" s="133" t="str">
        <f t="shared" si="41"/>
        <v/>
      </c>
      <c r="G859" s="133" t="str">
        <f t="shared" si="42"/>
        <v/>
      </c>
    </row>
    <row r="860" spans="5:7" x14ac:dyDescent="0.2">
      <c r="E860" s="133" t="str">
        <f t="shared" si="40"/>
        <v/>
      </c>
      <c r="F860" s="133" t="str">
        <f t="shared" si="41"/>
        <v/>
      </c>
      <c r="G860" s="133" t="str">
        <f t="shared" si="42"/>
        <v/>
      </c>
    </row>
    <row r="861" spans="5:7" x14ac:dyDescent="0.2">
      <c r="E861" s="133" t="str">
        <f t="shared" si="40"/>
        <v/>
      </c>
      <c r="F861" s="133" t="str">
        <f t="shared" si="41"/>
        <v/>
      </c>
      <c r="G861" s="133" t="str">
        <f t="shared" si="42"/>
        <v/>
      </c>
    </row>
    <row r="862" spans="5:7" x14ac:dyDescent="0.2">
      <c r="E862" s="133" t="str">
        <f t="shared" si="40"/>
        <v/>
      </c>
      <c r="F862" s="133" t="str">
        <f t="shared" si="41"/>
        <v/>
      </c>
      <c r="G862" s="133" t="str">
        <f t="shared" si="42"/>
        <v/>
      </c>
    </row>
    <row r="863" spans="5:7" x14ac:dyDescent="0.2">
      <c r="E863" s="133" t="str">
        <f t="shared" si="40"/>
        <v/>
      </c>
      <c r="F863" s="133" t="str">
        <f t="shared" si="41"/>
        <v/>
      </c>
      <c r="G863" s="133" t="str">
        <f t="shared" si="42"/>
        <v/>
      </c>
    </row>
    <row r="864" spans="5:7" x14ac:dyDescent="0.2">
      <c r="E864" s="133" t="str">
        <f t="shared" si="40"/>
        <v/>
      </c>
      <c r="F864" s="133" t="str">
        <f t="shared" si="41"/>
        <v/>
      </c>
      <c r="G864" s="133" t="str">
        <f t="shared" si="42"/>
        <v/>
      </c>
    </row>
    <row r="865" spans="5:7" x14ac:dyDescent="0.2">
      <c r="E865" s="133" t="str">
        <f t="shared" si="40"/>
        <v/>
      </c>
      <c r="F865" s="133" t="str">
        <f t="shared" si="41"/>
        <v/>
      </c>
      <c r="G865" s="133" t="str">
        <f t="shared" si="42"/>
        <v/>
      </c>
    </row>
    <row r="866" spans="5:7" x14ac:dyDescent="0.2">
      <c r="E866" s="133" t="str">
        <f t="shared" si="40"/>
        <v/>
      </c>
      <c r="F866" s="133" t="str">
        <f t="shared" si="41"/>
        <v/>
      </c>
      <c r="G866" s="133" t="str">
        <f t="shared" si="42"/>
        <v/>
      </c>
    </row>
    <row r="867" spans="5:7" x14ac:dyDescent="0.2">
      <c r="E867" s="133" t="str">
        <f t="shared" si="40"/>
        <v/>
      </c>
      <c r="F867" s="133" t="str">
        <f t="shared" si="41"/>
        <v/>
      </c>
      <c r="G867" s="133" t="str">
        <f t="shared" si="42"/>
        <v/>
      </c>
    </row>
    <row r="868" spans="5:7" x14ac:dyDescent="0.2">
      <c r="E868" s="133" t="str">
        <f t="shared" si="40"/>
        <v/>
      </c>
      <c r="F868" s="133" t="str">
        <f t="shared" si="41"/>
        <v/>
      </c>
      <c r="G868" s="133" t="str">
        <f t="shared" si="42"/>
        <v/>
      </c>
    </row>
    <row r="869" spans="5:7" x14ac:dyDescent="0.2">
      <c r="E869" s="133" t="str">
        <f t="shared" si="40"/>
        <v/>
      </c>
      <c r="F869" s="133" t="str">
        <f t="shared" si="41"/>
        <v/>
      </c>
      <c r="G869" s="133" t="str">
        <f t="shared" si="42"/>
        <v/>
      </c>
    </row>
    <row r="870" spans="5:7" x14ac:dyDescent="0.2">
      <c r="E870" s="133" t="str">
        <f t="shared" si="40"/>
        <v/>
      </c>
      <c r="F870" s="133" t="str">
        <f t="shared" si="41"/>
        <v/>
      </c>
      <c r="G870" s="133" t="str">
        <f t="shared" si="42"/>
        <v/>
      </c>
    </row>
    <row r="871" spans="5:7" x14ac:dyDescent="0.2">
      <c r="E871" s="133" t="str">
        <f t="shared" si="40"/>
        <v/>
      </c>
      <c r="F871" s="133" t="str">
        <f t="shared" si="41"/>
        <v/>
      </c>
      <c r="G871" s="133" t="str">
        <f t="shared" si="42"/>
        <v/>
      </c>
    </row>
    <row r="872" spans="5:7" x14ac:dyDescent="0.2">
      <c r="E872" s="133" t="str">
        <f t="shared" si="40"/>
        <v/>
      </c>
      <c r="F872" s="133" t="str">
        <f t="shared" si="41"/>
        <v/>
      </c>
      <c r="G872" s="133" t="str">
        <f t="shared" si="42"/>
        <v/>
      </c>
    </row>
    <row r="873" spans="5:7" x14ac:dyDescent="0.2">
      <c r="E873" s="133" t="str">
        <f t="shared" si="40"/>
        <v/>
      </c>
      <c r="F873" s="133" t="str">
        <f t="shared" si="41"/>
        <v/>
      </c>
      <c r="G873" s="133" t="str">
        <f t="shared" si="42"/>
        <v/>
      </c>
    </row>
    <row r="874" spans="5:7" x14ac:dyDescent="0.2">
      <c r="E874" s="133" t="str">
        <f t="shared" si="40"/>
        <v/>
      </c>
      <c r="F874" s="133" t="str">
        <f t="shared" si="41"/>
        <v/>
      </c>
      <c r="G874" s="133" t="str">
        <f t="shared" si="42"/>
        <v/>
      </c>
    </row>
    <row r="875" spans="5:7" x14ac:dyDescent="0.2">
      <c r="E875" s="133" t="str">
        <f t="shared" si="40"/>
        <v/>
      </c>
      <c r="F875" s="133" t="str">
        <f t="shared" si="41"/>
        <v/>
      </c>
      <c r="G875" s="133" t="str">
        <f t="shared" si="42"/>
        <v/>
      </c>
    </row>
    <row r="876" spans="5:7" x14ac:dyDescent="0.2">
      <c r="E876" s="133" t="str">
        <f t="shared" si="40"/>
        <v/>
      </c>
      <c r="F876" s="133" t="str">
        <f t="shared" si="41"/>
        <v/>
      </c>
      <c r="G876" s="133" t="str">
        <f t="shared" si="42"/>
        <v/>
      </c>
    </row>
    <row r="877" spans="5:7" x14ac:dyDescent="0.2">
      <c r="E877" s="133" t="str">
        <f t="shared" si="40"/>
        <v/>
      </c>
      <c r="F877" s="133" t="str">
        <f t="shared" si="41"/>
        <v/>
      </c>
      <c r="G877" s="133" t="str">
        <f t="shared" si="42"/>
        <v/>
      </c>
    </row>
    <row r="878" spans="5:7" x14ac:dyDescent="0.2">
      <c r="E878" s="133" t="str">
        <f t="shared" si="40"/>
        <v/>
      </c>
      <c r="F878" s="133" t="str">
        <f t="shared" si="41"/>
        <v/>
      </c>
      <c r="G878" s="133" t="str">
        <f t="shared" si="42"/>
        <v/>
      </c>
    </row>
    <row r="879" spans="5:7" x14ac:dyDescent="0.2">
      <c r="E879" s="133" t="str">
        <f t="shared" si="40"/>
        <v/>
      </c>
      <c r="F879" s="133" t="str">
        <f t="shared" si="41"/>
        <v/>
      </c>
      <c r="G879" s="133" t="str">
        <f t="shared" si="42"/>
        <v/>
      </c>
    </row>
    <row r="880" spans="5:7" x14ac:dyDescent="0.2">
      <c r="E880" s="133" t="str">
        <f t="shared" si="40"/>
        <v/>
      </c>
      <c r="F880" s="133" t="str">
        <f t="shared" si="41"/>
        <v/>
      </c>
      <c r="G880" s="133" t="str">
        <f t="shared" si="42"/>
        <v/>
      </c>
    </row>
    <row r="881" spans="5:7" x14ac:dyDescent="0.2">
      <c r="E881" s="133" t="str">
        <f t="shared" si="40"/>
        <v/>
      </c>
      <c r="F881" s="133" t="str">
        <f t="shared" si="41"/>
        <v/>
      </c>
      <c r="G881" s="133" t="str">
        <f t="shared" si="42"/>
        <v/>
      </c>
    </row>
    <row r="882" spans="5:7" x14ac:dyDescent="0.2">
      <c r="E882" s="133" t="str">
        <f t="shared" si="40"/>
        <v/>
      </c>
      <c r="F882" s="133" t="str">
        <f t="shared" si="41"/>
        <v/>
      </c>
      <c r="G882" s="133" t="str">
        <f t="shared" si="42"/>
        <v/>
      </c>
    </row>
    <row r="883" spans="5:7" x14ac:dyDescent="0.2">
      <c r="E883" s="133" t="str">
        <f t="shared" si="40"/>
        <v/>
      </c>
      <c r="F883" s="133" t="str">
        <f t="shared" si="41"/>
        <v/>
      </c>
      <c r="G883" s="133" t="str">
        <f t="shared" si="42"/>
        <v/>
      </c>
    </row>
    <row r="884" spans="5:7" x14ac:dyDescent="0.2">
      <c r="E884" s="133" t="str">
        <f t="shared" si="40"/>
        <v/>
      </c>
      <c r="F884" s="133" t="str">
        <f t="shared" si="41"/>
        <v/>
      </c>
      <c r="G884" s="133" t="str">
        <f t="shared" si="42"/>
        <v/>
      </c>
    </row>
    <row r="885" spans="5:7" x14ac:dyDescent="0.2">
      <c r="E885" s="133" t="str">
        <f t="shared" si="40"/>
        <v/>
      </c>
      <c r="F885" s="133" t="str">
        <f t="shared" si="41"/>
        <v/>
      </c>
      <c r="G885" s="133" t="str">
        <f t="shared" si="42"/>
        <v/>
      </c>
    </row>
    <row r="886" spans="5:7" x14ac:dyDescent="0.2">
      <c r="E886" s="133" t="str">
        <f t="shared" si="40"/>
        <v/>
      </c>
      <c r="F886" s="133" t="str">
        <f t="shared" si="41"/>
        <v/>
      </c>
      <c r="G886" s="133" t="str">
        <f t="shared" si="42"/>
        <v/>
      </c>
    </row>
    <row r="887" spans="5:7" x14ac:dyDescent="0.2">
      <c r="E887" s="133" t="str">
        <f t="shared" si="40"/>
        <v/>
      </c>
      <c r="F887" s="133" t="str">
        <f t="shared" si="41"/>
        <v/>
      </c>
      <c r="G887" s="133" t="str">
        <f t="shared" si="42"/>
        <v/>
      </c>
    </row>
    <row r="888" spans="5:7" x14ac:dyDescent="0.2">
      <c r="E888" s="133" t="str">
        <f t="shared" si="40"/>
        <v/>
      </c>
      <c r="F888" s="133" t="str">
        <f t="shared" si="41"/>
        <v/>
      </c>
      <c r="G888" s="133" t="str">
        <f t="shared" si="42"/>
        <v/>
      </c>
    </row>
    <row r="889" spans="5:7" x14ac:dyDescent="0.2">
      <c r="E889" s="133" t="str">
        <f t="shared" si="40"/>
        <v/>
      </c>
      <c r="F889" s="133" t="str">
        <f t="shared" si="41"/>
        <v/>
      </c>
      <c r="G889" s="133" t="str">
        <f t="shared" si="42"/>
        <v/>
      </c>
    </row>
    <row r="890" spans="5:7" x14ac:dyDescent="0.2">
      <c r="E890" s="133" t="str">
        <f t="shared" si="40"/>
        <v/>
      </c>
      <c r="F890" s="133" t="str">
        <f t="shared" si="41"/>
        <v/>
      </c>
      <c r="G890" s="133" t="str">
        <f t="shared" si="42"/>
        <v/>
      </c>
    </row>
    <row r="891" spans="5:7" x14ac:dyDescent="0.2">
      <c r="E891" s="133" t="str">
        <f t="shared" si="40"/>
        <v/>
      </c>
      <c r="F891" s="133" t="str">
        <f t="shared" si="41"/>
        <v/>
      </c>
      <c r="G891" s="133" t="str">
        <f t="shared" si="42"/>
        <v/>
      </c>
    </row>
    <row r="892" spans="5:7" x14ac:dyDescent="0.2">
      <c r="E892" s="133" t="str">
        <f t="shared" si="40"/>
        <v/>
      </c>
      <c r="F892" s="133" t="str">
        <f t="shared" si="41"/>
        <v/>
      </c>
      <c r="G892" s="133" t="str">
        <f t="shared" si="42"/>
        <v/>
      </c>
    </row>
    <row r="893" spans="5:7" x14ac:dyDescent="0.2">
      <c r="E893" s="133" t="str">
        <f t="shared" si="40"/>
        <v/>
      </c>
      <c r="F893" s="133" t="str">
        <f t="shared" si="41"/>
        <v/>
      </c>
      <c r="G893" s="133" t="str">
        <f t="shared" si="42"/>
        <v/>
      </c>
    </row>
    <row r="894" spans="5:7" x14ac:dyDescent="0.2">
      <c r="E894" s="133" t="str">
        <f t="shared" si="40"/>
        <v/>
      </c>
      <c r="F894" s="133" t="str">
        <f t="shared" si="41"/>
        <v/>
      </c>
      <c r="G894" s="133" t="str">
        <f t="shared" si="42"/>
        <v/>
      </c>
    </row>
    <row r="895" spans="5:7" x14ac:dyDescent="0.2">
      <c r="E895" s="133" t="str">
        <f t="shared" si="40"/>
        <v/>
      </c>
      <c r="F895" s="133" t="str">
        <f t="shared" si="41"/>
        <v/>
      </c>
      <c r="G895" s="133" t="str">
        <f t="shared" si="42"/>
        <v/>
      </c>
    </row>
    <row r="896" spans="5:7" x14ac:dyDescent="0.2">
      <c r="E896" s="133" t="str">
        <f t="shared" si="40"/>
        <v/>
      </c>
      <c r="F896" s="133" t="str">
        <f t="shared" si="41"/>
        <v/>
      </c>
      <c r="G896" s="133" t="str">
        <f t="shared" si="42"/>
        <v/>
      </c>
    </row>
    <row r="897" spans="5:7" x14ac:dyDescent="0.2">
      <c r="E897" s="133" t="str">
        <f t="shared" si="40"/>
        <v/>
      </c>
      <c r="F897" s="133" t="str">
        <f t="shared" si="41"/>
        <v/>
      </c>
      <c r="G897" s="133" t="str">
        <f t="shared" si="42"/>
        <v/>
      </c>
    </row>
    <row r="898" spans="5:7" x14ac:dyDescent="0.2">
      <c r="E898" s="133" t="str">
        <f t="shared" ref="E898:E961" si="43">IF(OR(A898="",D898=""),"",(D898-A898)*24)</f>
        <v/>
      </c>
      <c r="F898" s="133" t="str">
        <f t="shared" ref="F898:F961" si="44">IF(OR(A898="",D898=""),"",INT((D898-A898)*24)&amp;" час "&amp;ROUND(((D898-A898)*24-INT((D898-A898)*24))*60,0)&amp;" минут")</f>
        <v/>
      </c>
      <c r="G898" s="133" t="str">
        <f t="shared" ref="G898:G961" si="45">IF(D898="","",TEXT(D898,"ММММ ГГГГ"))</f>
        <v/>
      </c>
    </row>
    <row r="899" spans="5:7" x14ac:dyDescent="0.2">
      <c r="E899" s="133" t="str">
        <f t="shared" si="43"/>
        <v/>
      </c>
      <c r="F899" s="133" t="str">
        <f t="shared" si="44"/>
        <v/>
      </c>
      <c r="G899" s="133" t="str">
        <f t="shared" si="45"/>
        <v/>
      </c>
    </row>
    <row r="900" spans="5:7" x14ac:dyDescent="0.2">
      <c r="E900" s="133" t="str">
        <f t="shared" si="43"/>
        <v/>
      </c>
      <c r="F900" s="133" t="str">
        <f t="shared" si="44"/>
        <v/>
      </c>
      <c r="G900" s="133" t="str">
        <f t="shared" si="45"/>
        <v/>
      </c>
    </row>
    <row r="901" spans="5:7" x14ac:dyDescent="0.2">
      <c r="E901" s="133" t="str">
        <f t="shared" si="43"/>
        <v/>
      </c>
      <c r="F901" s="133" t="str">
        <f t="shared" si="44"/>
        <v/>
      </c>
      <c r="G901" s="133" t="str">
        <f t="shared" si="45"/>
        <v/>
      </c>
    </row>
    <row r="902" spans="5:7" x14ac:dyDescent="0.2">
      <c r="E902" s="133" t="str">
        <f t="shared" si="43"/>
        <v/>
      </c>
      <c r="F902" s="133" t="str">
        <f t="shared" si="44"/>
        <v/>
      </c>
      <c r="G902" s="133" t="str">
        <f t="shared" si="45"/>
        <v/>
      </c>
    </row>
    <row r="903" spans="5:7" x14ac:dyDescent="0.2">
      <c r="E903" s="133" t="str">
        <f t="shared" si="43"/>
        <v/>
      </c>
      <c r="F903" s="133" t="str">
        <f t="shared" si="44"/>
        <v/>
      </c>
      <c r="G903" s="133" t="str">
        <f t="shared" si="45"/>
        <v/>
      </c>
    </row>
    <row r="904" spans="5:7" x14ac:dyDescent="0.2">
      <c r="E904" s="133" t="str">
        <f t="shared" si="43"/>
        <v/>
      </c>
      <c r="F904" s="133" t="str">
        <f t="shared" si="44"/>
        <v/>
      </c>
      <c r="G904" s="133" t="str">
        <f t="shared" si="45"/>
        <v/>
      </c>
    </row>
    <row r="905" spans="5:7" x14ac:dyDescent="0.2">
      <c r="E905" s="133" t="str">
        <f t="shared" si="43"/>
        <v/>
      </c>
      <c r="F905" s="133" t="str">
        <f t="shared" si="44"/>
        <v/>
      </c>
      <c r="G905" s="133" t="str">
        <f t="shared" si="45"/>
        <v/>
      </c>
    </row>
    <row r="906" spans="5:7" x14ac:dyDescent="0.2">
      <c r="E906" s="133" t="str">
        <f t="shared" si="43"/>
        <v/>
      </c>
      <c r="F906" s="133" t="str">
        <f t="shared" si="44"/>
        <v/>
      </c>
      <c r="G906" s="133" t="str">
        <f t="shared" si="45"/>
        <v/>
      </c>
    </row>
    <row r="907" spans="5:7" x14ac:dyDescent="0.2">
      <c r="E907" s="133" t="str">
        <f t="shared" si="43"/>
        <v/>
      </c>
      <c r="F907" s="133" t="str">
        <f t="shared" si="44"/>
        <v/>
      </c>
      <c r="G907" s="133" t="str">
        <f t="shared" si="45"/>
        <v/>
      </c>
    </row>
    <row r="908" spans="5:7" x14ac:dyDescent="0.2">
      <c r="E908" s="133" t="str">
        <f t="shared" si="43"/>
        <v/>
      </c>
      <c r="F908" s="133" t="str">
        <f t="shared" si="44"/>
        <v/>
      </c>
      <c r="G908" s="133" t="str">
        <f t="shared" si="45"/>
        <v/>
      </c>
    </row>
    <row r="909" spans="5:7" x14ac:dyDescent="0.2">
      <c r="E909" s="133" t="str">
        <f t="shared" si="43"/>
        <v/>
      </c>
      <c r="F909" s="133" t="str">
        <f t="shared" si="44"/>
        <v/>
      </c>
      <c r="G909" s="133" t="str">
        <f t="shared" si="45"/>
        <v/>
      </c>
    </row>
    <row r="910" spans="5:7" x14ac:dyDescent="0.2">
      <c r="E910" s="133" t="str">
        <f t="shared" si="43"/>
        <v/>
      </c>
      <c r="F910" s="133" t="str">
        <f t="shared" si="44"/>
        <v/>
      </c>
      <c r="G910" s="133" t="str">
        <f t="shared" si="45"/>
        <v/>
      </c>
    </row>
    <row r="911" spans="5:7" x14ac:dyDescent="0.2">
      <c r="E911" s="133" t="str">
        <f t="shared" si="43"/>
        <v/>
      </c>
      <c r="F911" s="133" t="str">
        <f t="shared" si="44"/>
        <v/>
      </c>
      <c r="G911" s="133" t="str">
        <f t="shared" si="45"/>
        <v/>
      </c>
    </row>
    <row r="912" spans="5:7" x14ac:dyDescent="0.2">
      <c r="E912" s="133" t="str">
        <f t="shared" si="43"/>
        <v/>
      </c>
      <c r="F912" s="133" t="str">
        <f t="shared" si="44"/>
        <v/>
      </c>
      <c r="G912" s="133" t="str">
        <f t="shared" si="45"/>
        <v/>
      </c>
    </row>
    <row r="913" spans="5:7" x14ac:dyDescent="0.2">
      <c r="E913" s="133" t="str">
        <f t="shared" si="43"/>
        <v/>
      </c>
      <c r="F913" s="133" t="str">
        <f t="shared" si="44"/>
        <v/>
      </c>
      <c r="G913" s="133" t="str">
        <f t="shared" si="45"/>
        <v/>
      </c>
    </row>
    <row r="914" spans="5:7" x14ac:dyDescent="0.2">
      <c r="E914" s="133" t="str">
        <f t="shared" si="43"/>
        <v/>
      </c>
      <c r="F914" s="133" t="str">
        <f t="shared" si="44"/>
        <v/>
      </c>
      <c r="G914" s="133" t="str">
        <f t="shared" si="45"/>
        <v/>
      </c>
    </row>
    <row r="915" spans="5:7" x14ac:dyDescent="0.2">
      <c r="E915" s="133" t="str">
        <f t="shared" si="43"/>
        <v/>
      </c>
      <c r="F915" s="133" t="str">
        <f t="shared" si="44"/>
        <v/>
      </c>
      <c r="G915" s="133" t="str">
        <f t="shared" si="45"/>
        <v/>
      </c>
    </row>
    <row r="916" spans="5:7" x14ac:dyDescent="0.2">
      <c r="E916" s="133" t="str">
        <f t="shared" si="43"/>
        <v/>
      </c>
      <c r="F916" s="133" t="str">
        <f t="shared" si="44"/>
        <v/>
      </c>
      <c r="G916" s="133" t="str">
        <f t="shared" si="45"/>
        <v/>
      </c>
    </row>
    <row r="917" spans="5:7" x14ac:dyDescent="0.2">
      <c r="E917" s="133" t="str">
        <f t="shared" si="43"/>
        <v/>
      </c>
      <c r="F917" s="133" t="str">
        <f t="shared" si="44"/>
        <v/>
      </c>
      <c r="G917" s="133" t="str">
        <f t="shared" si="45"/>
        <v/>
      </c>
    </row>
    <row r="918" spans="5:7" x14ac:dyDescent="0.2">
      <c r="E918" s="133" t="str">
        <f t="shared" si="43"/>
        <v/>
      </c>
      <c r="F918" s="133" t="str">
        <f t="shared" si="44"/>
        <v/>
      </c>
      <c r="G918" s="133" t="str">
        <f t="shared" si="45"/>
        <v/>
      </c>
    </row>
    <row r="919" spans="5:7" x14ac:dyDescent="0.2">
      <c r="E919" s="133" t="str">
        <f t="shared" si="43"/>
        <v/>
      </c>
      <c r="F919" s="133" t="str">
        <f t="shared" si="44"/>
        <v/>
      </c>
      <c r="G919" s="133" t="str">
        <f t="shared" si="45"/>
        <v/>
      </c>
    </row>
    <row r="920" spans="5:7" x14ac:dyDescent="0.2">
      <c r="E920" s="133" t="str">
        <f t="shared" si="43"/>
        <v/>
      </c>
      <c r="F920" s="133" t="str">
        <f t="shared" si="44"/>
        <v/>
      </c>
      <c r="G920" s="133" t="str">
        <f t="shared" si="45"/>
        <v/>
      </c>
    </row>
    <row r="921" spans="5:7" x14ac:dyDescent="0.2">
      <c r="E921" s="133" t="str">
        <f t="shared" si="43"/>
        <v/>
      </c>
      <c r="F921" s="133" t="str">
        <f t="shared" si="44"/>
        <v/>
      </c>
      <c r="G921" s="133" t="str">
        <f t="shared" si="45"/>
        <v/>
      </c>
    </row>
    <row r="922" spans="5:7" x14ac:dyDescent="0.2">
      <c r="E922" s="133" t="str">
        <f t="shared" si="43"/>
        <v/>
      </c>
      <c r="F922" s="133" t="str">
        <f t="shared" si="44"/>
        <v/>
      </c>
      <c r="G922" s="133" t="str">
        <f t="shared" si="45"/>
        <v/>
      </c>
    </row>
    <row r="923" spans="5:7" x14ac:dyDescent="0.2">
      <c r="E923" s="133" t="str">
        <f t="shared" si="43"/>
        <v/>
      </c>
      <c r="F923" s="133" t="str">
        <f t="shared" si="44"/>
        <v/>
      </c>
      <c r="G923" s="133" t="str">
        <f t="shared" si="45"/>
        <v/>
      </c>
    </row>
    <row r="924" spans="5:7" x14ac:dyDescent="0.2">
      <c r="E924" s="133" t="str">
        <f t="shared" si="43"/>
        <v/>
      </c>
      <c r="F924" s="133" t="str">
        <f t="shared" si="44"/>
        <v/>
      </c>
      <c r="G924" s="133" t="str">
        <f t="shared" si="45"/>
        <v/>
      </c>
    </row>
    <row r="925" spans="5:7" x14ac:dyDescent="0.2">
      <c r="E925" s="133" t="str">
        <f t="shared" si="43"/>
        <v/>
      </c>
      <c r="F925" s="133" t="str">
        <f t="shared" si="44"/>
        <v/>
      </c>
      <c r="G925" s="133" t="str">
        <f t="shared" si="45"/>
        <v/>
      </c>
    </row>
    <row r="926" spans="5:7" x14ac:dyDescent="0.2">
      <c r="E926" s="133" t="str">
        <f t="shared" si="43"/>
        <v/>
      </c>
      <c r="F926" s="133" t="str">
        <f t="shared" si="44"/>
        <v/>
      </c>
      <c r="G926" s="133" t="str">
        <f t="shared" si="45"/>
        <v/>
      </c>
    </row>
    <row r="927" spans="5:7" x14ac:dyDescent="0.2">
      <c r="E927" s="133" t="str">
        <f t="shared" si="43"/>
        <v/>
      </c>
      <c r="F927" s="133" t="str">
        <f t="shared" si="44"/>
        <v/>
      </c>
      <c r="G927" s="133" t="str">
        <f t="shared" si="45"/>
        <v/>
      </c>
    </row>
    <row r="928" spans="5:7" x14ac:dyDescent="0.2">
      <c r="E928" s="133" t="str">
        <f t="shared" si="43"/>
        <v/>
      </c>
      <c r="F928" s="133" t="str">
        <f t="shared" si="44"/>
        <v/>
      </c>
      <c r="G928" s="133" t="str">
        <f t="shared" si="45"/>
        <v/>
      </c>
    </row>
    <row r="929" spans="5:7" x14ac:dyDescent="0.2">
      <c r="E929" s="133" t="str">
        <f t="shared" si="43"/>
        <v/>
      </c>
      <c r="F929" s="133" t="str">
        <f t="shared" si="44"/>
        <v/>
      </c>
      <c r="G929" s="133" t="str">
        <f t="shared" si="45"/>
        <v/>
      </c>
    </row>
    <row r="930" spans="5:7" x14ac:dyDescent="0.2">
      <c r="E930" s="133" t="str">
        <f t="shared" si="43"/>
        <v/>
      </c>
      <c r="F930" s="133" t="str">
        <f t="shared" si="44"/>
        <v/>
      </c>
      <c r="G930" s="133" t="str">
        <f t="shared" si="45"/>
        <v/>
      </c>
    </row>
    <row r="931" spans="5:7" x14ac:dyDescent="0.2">
      <c r="E931" s="133" t="str">
        <f t="shared" si="43"/>
        <v/>
      </c>
      <c r="F931" s="133" t="str">
        <f t="shared" si="44"/>
        <v/>
      </c>
      <c r="G931" s="133" t="str">
        <f t="shared" si="45"/>
        <v/>
      </c>
    </row>
    <row r="932" spans="5:7" x14ac:dyDescent="0.2">
      <c r="E932" s="133" t="str">
        <f t="shared" si="43"/>
        <v/>
      </c>
      <c r="F932" s="133" t="str">
        <f t="shared" si="44"/>
        <v/>
      </c>
      <c r="G932" s="133" t="str">
        <f t="shared" si="45"/>
        <v/>
      </c>
    </row>
    <row r="933" spans="5:7" x14ac:dyDescent="0.2">
      <c r="E933" s="133" t="str">
        <f t="shared" si="43"/>
        <v/>
      </c>
      <c r="F933" s="133" t="str">
        <f t="shared" si="44"/>
        <v/>
      </c>
      <c r="G933" s="133" t="str">
        <f t="shared" si="45"/>
        <v/>
      </c>
    </row>
    <row r="934" spans="5:7" x14ac:dyDescent="0.2">
      <c r="E934" s="133" t="str">
        <f t="shared" si="43"/>
        <v/>
      </c>
      <c r="F934" s="133" t="str">
        <f t="shared" si="44"/>
        <v/>
      </c>
      <c r="G934" s="133" t="str">
        <f t="shared" si="45"/>
        <v/>
      </c>
    </row>
    <row r="935" spans="5:7" x14ac:dyDescent="0.2">
      <c r="E935" s="133" t="str">
        <f t="shared" si="43"/>
        <v/>
      </c>
      <c r="F935" s="133" t="str">
        <f t="shared" si="44"/>
        <v/>
      </c>
      <c r="G935" s="133" t="str">
        <f t="shared" si="45"/>
        <v/>
      </c>
    </row>
    <row r="936" spans="5:7" x14ac:dyDescent="0.2">
      <c r="E936" s="133" t="str">
        <f t="shared" si="43"/>
        <v/>
      </c>
      <c r="F936" s="133" t="str">
        <f t="shared" si="44"/>
        <v/>
      </c>
      <c r="G936" s="133" t="str">
        <f t="shared" si="45"/>
        <v/>
      </c>
    </row>
    <row r="937" spans="5:7" x14ac:dyDescent="0.2">
      <c r="E937" s="133" t="str">
        <f t="shared" si="43"/>
        <v/>
      </c>
      <c r="F937" s="133" t="str">
        <f t="shared" si="44"/>
        <v/>
      </c>
      <c r="G937" s="133" t="str">
        <f t="shared" si="45"/>
        <v/>
      </c>
    </row>
    <row r="938" spans="5:7" x14ac:dyDescent="0.2">
      <c r="E938" s="133" t="str">
        <f t="shared" si="43"/>
        <v/>
      </c>
      <c r="F938" s="133" t="str">
        <f t="shared" si="44"/>
        <v/>
      </c>
      <c r="G938" s="133" t="str">
        <f t="shared" si="45"/>
        <v/>
      </c>
    </row>
    <row r="939" spans="5:7" x14ac:dyDescent="0.2">
      <c r="E939" s="133" t="str">
        <f t="shared" si="43"/>
        <v/>
      </c>
      <c r="F939" s="133" t="str">
        <f t="shared" si="44"/>
        <v/>
      </c>
      <c r="G939" s="133" t="str">
        <f t="shared" si="45"/>
        <v/>
      </c>
    </row>
    <row r="940" spans="5:7" x14ac:dyDescent="0.2">
      <c r="E940" s="133" t="str">
        <f t="shared" si="43"/>
        <v/>
      </c>
      <c r="F940" s="133" t="str">
        <f t="shared" si="44"/>
        <v/>
      </c>
      <c r="G940" s="133" t="str">
        <f t="shared" si="45"/>
        <v/>
      </c>
    </row>
    <row r="941" spans="5:7" x14ac:dyDescent="0.2">
      <c r="E941" s="133" t="str">
        <f t="shared" si="43"/>
        <v/>
      </c>
      <c r="F941" s="133" t="str">
        <f t="shared" si="44"/>
        <v/>
      </c>
      <c r="G941" s="133" t="str">
        <f t="shared" si="45"/>
        <v/>
      </c>
    </row>
    <row r="942" spans="5:7" x14ac:dyDescent="0.2">
      <c r="E942" s="133" t="str">
        <f t="shared" si="43"/>
        <v/>
      </c>
      <c r="F942" s="133" t="str">
        <f t="shared" si="44"/>
        <v/>
      </c>
      <c r="G942" s="133" t="str">
        <f t="shared" si="45"/>
        <v/>
      </c>
    </row>
    <row r="943" spans="5:7" x14ac:dyDescent="0.2">
      <c r="E943" s="133" t="str">
        <f t="shared" si="43"/>
        <v/>
      </c>
      <c r="F943" s="133" t="str">
        <f t="shared" si="44"/>
        <v/>
      </c>
      <c r="G943" s="133" t="str">
        <f t="shared" si="45"/>
        <v/>
      </c>
    </row>
    <row r="944" spans="5:7" x14ac:dyDescent="0.2">
      <c r="E944" s="133" t="str">
        <f t="shared" si="43"/>
        <v/>
      </c>
      <c r="F944" s="133" t="str">
        <f t="shared" si="44"/>
        <v/>
      </c>
      <c r="G944" s="133" t="str">
        <f t="shared" si="45"/>
        <v/>
      </c>
    </row>
    <row r="945" spans="5:7" x14ac:dyDescent="0.2">
      <c r="E945" s="133" t="str">
        <f t="shared" si="43"/>
        <v/>
      </c>
      <c r="F945" s="133" t="str">
        <f t="shared" si="44"/>
        <v/>
      </c>
      <c r="G945" s="133" t="str">
        <f t="shared" si="45"/>
        <v/>
      </c>
    </row>
    <row r="946" spans="5:7" x14ac:dyDescent="0.2">
      <c r="E946" s="133" t="str">
        <f t="shared" si="43"/>
        <v/>
      </c>
      <c r="F946" s="133" t="str">
        <f t="shared" si="44"/>
        <v/>
      </c>
      <c r="G946" s="133" t="str">
        <f t="shared" si="45"/>
        <v/>
      </c>
    </row>
    <row r="947" spans="5:7" x14ac:dyDescent="0.2">
      <c r="E947" s="133" t="str">
        <f t="shared" si="43"/>
        <v/>
      </c>
      <c r="F947" s="133" t="str">
        <f t="shared" si="44"/>
        <v/>
      </c>
      <c r="G947" s="133" t="str">
        <f t="shared" si="45"/>
        <v/>
      </c>
    </row>
    <row r="948" spans="5:7" x14ac:dyDescent="0.2">
      <c r="E948" s="133" t="str">
        <f t="shared" si="43"/>
        <v/>
      </c>
      <c r="F948" s="133" t="str">
        <f t="shared" si="44"/>
        <v/>
      </c>
      <c r="G948" s="133" t="str">
        <f t="shared" si="45"/>
        <v/>
      </c>
    </row>
    <row r="949" spans="5:7" x14ac:dyDescent="0.2">
      <c r="E949" s="133" t="str">
        <f t="shared" si="43"/>
        <v/>
      </c>
      <c r="F949" s="133" t="str">
        <f t="shared" si="44"/>
        <v/>
      </c>
      <c r="G949" s="133" t="str">
        <f t="shared" si="45"/>
        <v/>
      </c>
    </row>
    <row r="950" spans="5:7" x14ac:dyDescent="0.2">
      <c r="E950" s="133" t="str">
        <f t="shared" si="43"/>
        <v/>
      </c>
      <c r="F950" s="133" t="str">
        <f t="shared" si="44"/>
        <v/>
      </c>
      <c r="G950" s="133" t="str">
        <f t="shared" si="45"/>
        <v/>
      </c>
    </row>
    <row r="951" spans="5:7" x14ac:dyDescent="0.2">
      <c r="E951" s="133" t="str">
        <f t="shared" si="43"/>
        <v/>
      </c>
      <c r="F951" s="133" t="str">
        <f t="shared" si="44"/>
        <v/>
      </c>
      <c r="G951" s="133" t="str">
        <f t="shared" si="45"/>
        <v/>
      </c>
    </row>
    <row r="952" spans="5:7" x14ac:dyDescent="0.2">
      <c r="E952" s="133" t="str">
        <f t="shared" si="43"/>
        <v/>
      </c>
      <c r="F952" s="133" t="str">
        <f t="shared" si="44"/>
        <v/>
      </c>
      <c r="G952" s="133" t="str">
        <f t="shared" si="45"/>
        <v/>
      </c>
    </row>
    <row r="953" spans="5:7" x14ac:dyDescent="0.2">
      <c r="E953" s="133" t="str">
        <f t="shared" si="43"/>
        <v/>
      </c>
      <c r="F953" s="133" t="str">
        <f t="shared" si="44"/>
        <v/>
      </c>
      <c r="G953" s="133" t="str">
        <f t="shared" si="45"/>
        <v/>
      </c>
    </row>
    <row r="954" spans="5:7" x14ac:dyDescent="0.2">
      <c r="E954" s="133" t="str">
        <f t="shared" si="43"/>
        <v/>
      </c>
      <c r="F954" s="133" t="str">
        <f t="shared" si="44"/>
        <v/>
      </c>
      <c r="G954" s="133" t="str">
        <f t="shared" si="45"/>
        <v/>
      </c>
    </row>
    <row r="955" spans="5:7" x14ac:dyDescent="0.2">
      <c r="E955" s="133" t="str">
        <f t="shared" si="43"/>
        <v/>
      </c>
      <c r="F955" s="133" t="str">
        <f t="shared" si="44"/>
        <v/>
      </c>
      <c r="G955" s="133" t="str">
        <f t="shared" si="45"/>
        <v/>
      </c>
    </row>
    <row r="956" spans="5:7" x14ac:dyDescent="0.2">
      <c r="E956" s="133" t="str">
        <f t="shared" si="43"/>
        <v/>
      </c>
      <c r="F956" s="133" t="str">
        <f t="shared" si="44"/>
        <v/>
      </c>
      <c r="G956" s="133" t="str">
        <f t="shared" si="45"/>
        <v/>
      </c>
    </row>
    <row r="957" spans="5:7" x14ac:dyDescent="0.2">
      <c r="E957" s="133" t="str">
        <f t="shared" si="43"/>
        <v/>
      </c>
      <c r="F957" s="133" t="str">
        <f t="shared" si="44"/>
        <v/>
      </c>
      <c r="G957" s="133" t="str">
        <f t="shared" si="45"/>
        <v/>
      </c>
    </row>
    <row r="958" spans="5:7" x14ac:dyDescent="0.2">
      <c r="E958" s="133" t="str">
        <f t="shared" si="43"/>
        <v/>
      </c>
      <c r="F958" s="133" t="str">
        <f t="shared" si="44"/>
        <v/>
      </c>
      <c r="G958" s="133" t="str">
        <f t="shared" si="45"/>
        <v/>
      </c>
    </row>
    <row r="959" spans="5:7" x14ac:dyDescent="0.2">
      <c r="E959" s="133" t="str">
        <f t="shared" si="43"/>
        <v/>
      </c>
      <c r="F959" s="133" t="str">
        <f t="shared" si="44"/>
        <v/>
      </c>
      <c r="G959" s="133" t="str">
        <f t="shared" si="45"/>
        <v/>
      </c>
    </row>
    <row r="960" spans="5:7" x14ac:dyDescent="0.2">
      <c r="E960" s="133" t="str">
        <f t="shared" si="43"/>
        <v/>
      </c>
      <c r="F960" s="133" t="str">
        <f t="shared" si="44"/>
        <v/>
      </c>
      <c r="G960" s="133" t="str">
        <f t="shared" si="45"/>
        <v/>
      </c>
    </row>
    <row r="961" spans="5:7" x14ac:dyDescent="0.2">
      <c r="E961" s="133" t="str">
        <f t="shared" si="43"/>
        <v/>
      </c>
      <c r="F961" s="133" t="str">
        <f t="shared" si="44"/>
        <v/>
      </c>
      <c r="G961" s="133" t="str">
        <f t="shared" si="45"/>
        <v/>
      </c>
    </row>
    <row r="962" spans="5:7" x14ac:dyDescent="0.2">
      <c r="E962" s="133" t="str">
        <f t="shared" ref="E962:E1000" si="46">IF(OR(A962="",D962=""),"",(D962-A962)*24)</f>
        <v/>
      </c>
      <c r="F962" s="133" t="str">
        <f t="shared" ref="F962:F1025" si="47">IF(OR(A962="",D962=""),"",INT((D962-A962)*24)&amp;" час "&amp;ROUND(((D962-A962)*24-INT((D962-A962)*24))*60,0)&amp;" минут")</f>
        <v/>
      </c>
      <c r="G962" s="133" t="str">
        <f t="shared" ref="G962:G1000" si="48">IF(D962="","",TEXT(D962,"ММММ ГГГГ"))</f>
        <v/>
      </c>
    </row>
    <row r="963" spans="5:7" x14ac:dyDescent="0.2">
      <c r="E963" s="133" t="str">
        <f t="shared" si="46"/>
        <v/>
      </c>
      <c r="F963" s="133" t="str">
        <f t="shared" si="47"/>
        <v/>
      </c>
      <c r="G963" s="133" t="str">
        <f t="shared" si="48"/>
        <v/>
      </c>
    </row>
    <row r="964" spans="5:7" x14ac:dyDescent="0.2">
      <c r="E964" s="133" t="str">
        <f t="shared" si="46"/>
        <v/>
      </c>
      <c r="F964" s="133" t="str">
        <f t="shared" si="47"/>
        <v/>
      </c>
      <c r="G964" s="133" t="str">
        <f t="shared" si="48"/>
        <v/>
      </c>
    </row>
    <row r="965" spans="5:7" x14ac:dyDescent="0.2">
      <c r="E965" s="133" t="str">
        <f t="shared" si="46"/>
        <v/>
      </c>
      <c r="F965" s="133" t="str">
        <f t="shared" si="47"/>
        <v/>
      </c>
      <c r="G965" s="133" t="str">
        <f t="shared" si="48"/>
        <v/>
      </c>
    </row>
    <row r="966" spans="5:7" x14ac:dyDescent="0.2">
      <c r="E966" s="133" t="str">
        <f t="shared" si="46"/>
        <v/>
      </c>
      <c r="F966" s="133" t="str">
        <f t="shared" si="47"/>
        <v/>
      </c>
      <c r="G966" s="133" t="str">
        <f t="shared" si="48"/>
        <v/>
      </c>
    </row>
    <row r="967" spans="5:7" x14ac:dyDescent="0.2">
      <c r="E967" s="133" t="str">
        <f t="shared" si="46"/>
        <v/>
      </c>
      <c r="F967" s="133" t="str">
        <f t="shared" si="47"/>
        <v/>
      </c>
      <c r="G967" s="133" t="str">
        <f t="shared" si="48"/>
        <v/>
      </c>
    </row>
    <row r="968" spans="5:7" x14ac:dyDescent="0.2">
      <c r="E968" s="133" t="str">
        <f t="shared" si="46"/>
        <v/>
      </c>
      <c r="F968" s="133" t="str">
        <f t="shared" si="47"/>
        <v/>
      </c>
      <c r="G968" s="133" t="str">
        <f t="shared" si="48"/>
        <v/>
      </c>
    </row>
    <row r="969" spans="5:7" x14ac:dyDescent="0.2">
      <c r="E969" s="133" t="str">
        <f t="shared" si="46"/>
        <v/>
      </c>
      <c r="F969" s="133" t="str">
        <f t="shared" si="47"/>
        <v/>
      </c>
      <c r="G969" s="133" t="str">
        <f t="shared" si="48"/>
        <v/>
      </c>
    </row>
    <row r="970" spans="5:7" x14ac:dyDescent="0.2">
      <c r="E970" s="133" t="str">
        <f t="shared" si="46"/>
        <v/>
      </c>
      <c r="F970" s="133" t="str">
        <f t="shared" si="47"/>
        <v/>
      </c>
      <c r="G970" s="133" t="str">
        <f t="shared" si="48"/>
        <v/>
      </c>
    </row>
    <row r="971" spans="5:7" x14ac:dyDescent="0.2">
      <c r="E971" s="133" t="str">
        <f t="shared" si="46"/>
        <v/>
      </c>
      <c r="F971" s="133" t="str">
        <f t="shared" si="47"/>
        <v/>
      </c>
      <c r="G971" s="133" t="str">
        <f t="shared" si="48"/>
        <v/>
      </c>
    </row>
    <row r="972" spans="5:7" x14ac:dyDescent="0.2">
      <c r="E972" s="133" t="str">
        <f t="shared" si="46"/>
        <v/>
      </c>
      <c r="F972" s="133" t="str">
        <f t="shared" si="47"/>
        <v/>
      </c>
      <c r="G972" s="133" t="str">
        <f t="shared" si="48"/>
        <v/>
      </c>
    </row>
    <row r="973" spans="5:7" x14ac:dyDescent="0.2">
      <c r="E973" s="133" t="str">
        <f t="shared" si="46"/>
        <v/>
      </c>
      <c r="F973" s="133" t="str">
        <f t="shared" si="47"/>
        <v/>
      </c>
      <c r="G973" s="133" t="str">
        <f t="shared" si="48"/>
        <v/>
      </c>
    </row>
    <row r="974" spans="5:7" x14ac:dyDescent="0.2">
      <c r="E974" s="133" t="str">
        <f t="shared" si="46"/>
        <v/>
      </c>
      <c r="F974" s="133" t="str">
        <f t="shared" si="47"/>
        <v/>
      </c>
      <c r="G974" s="133" t="str">
        <f t="shared" si="48"/>
        <v/>
      </c>
    </row>
    <row r="975" spans="5:7" x14ac:dyDescent="0.2">
      <c r="E975" s="133" t="str">
        <f t="shared" si="46"/>
        <v/>
      </c>
      <c r="F975" s="133" t="str">
        <f t="shared" si="47"/>
        <v/>
      </c>
      <c r="G975" s="133" t="str">
        <f t="shared" si="48"/>
        <v/>
      </c>
    </row>
    <row r="976" spans="5:7" x14ac:dyDescent="0.2">
      <c r="E976" s="133" t="str">
        <f t="shared" si="46"/>
        <v/>
      </c>
      <c r="F976" s="133" t="str">
        <f t="shared" si="47"/>
        <v/>
      </c>
      <c r="G976" s="133" t="str">
        <f t="shared" si="48"/>
        <v/>
      </c>
    </row>
    <row r="977" spans="5:7" x14ac:dyDescent="0.2">
      <c r="E977" s="133" t="str">
        <f t="shared" si="46"/>
        <v/>
      </c>
      <c r="F977" s="133" t="str">
        <f t="shared" si="47"/>
        <v/>
      </c>
      <c r="G977" s="133" t="str">
        <f t="shared" si="48"/>
        <v/>
      </c>
    </row>
    <row r="978" spans="5:7" x14ac:dyDescent="0.2">
      <c r="E978" s="133" t="str">
        <f t="shared" si="46"/>
        <v/>
      </c>
      <c r="F978" s="133" t="str">
        <f t="shared" si="47"/>
        <v/>
      </c>
      <c r="G978" s="133" t="str">
        <f t="shared" si="48"/>
        <v/>
      </c>
    </row>
    <row r="979" spans="5:7" x14ac:dyDescent="0.2">
      <c r="E979" s="133" t="str">
        <f t="shared" si="46"/>
        <v/>
      </c>
      <c r="F979" s="133" t="str">
        <f t="shared" si="47"/>
        <v/>
      </c>
      <c r="G979" s="133" t="str">
        <f t="shared" si="48"/>
        <v/>
      </c>
    </row>
    <row r="980" spans="5:7" x14ac:dyDescent="0.2">
      <c r="E980" s="133" t="str">
        <f t="shared" si="46"/>
        <v/>
      </c>
      <c r="F980" s="133" t="str">
        <f t="shared" si="47"/>
        <v/>
      </c>
      <c r="G980" s="133" t="str">
        <f t="shared" si="48"/>
        <v/>
      </c>
    </row>
    <row r="981" spans="5:7" x14ac:dyDescent="0.2">
      <c r="E981" s="133" t="str">
        <f t="shared" si="46"/>
        <v/>
      </c>
      <c r="F981" s="133" t="str">
        <f t="shared" si="47"/>
        <v/>
      </c>
      <c r="G981" s="133" t="str">
        <f t="shared" si="48"/>
        <v/>
      </c>
    </row>
    <row r="982" spans="5:7" x14ac:dyDescent="0.2">
      <c r="E982" s="133" t="str">
        <f t="shared" si="46"/>
        <v/>
      </c>
      <c r="F982" s="133" t="str">
        <f t="shared" si="47"/>
        <v/>
      </c>
      <c r="G982" s="133" t="str">
        <f t="shared" si="48"/>
        <v/>
      </c>
    </row>
    <row r="983" spans="5:7" x14ac:dyDescent="0.2">
      <c r="E983" s="133" t="str">
        <f t="shared" si="46"/>
        <v/>
      </c>
      <c r="F983" s="133" t="str">
        <f t="shared" si="47"/>
        <v/>
      </c>
      <c r="G983" s="133" t="str">
        <f t="shared" si="48"/>
        <v/>
      </c>
    </row>
    <row r="984" spans="5:7" x14ac:dyDescent="0.2">
      <c r="E984" s="133" t="str">
        <f t="shared" si="46"/>
        <v/>
      </c>
      <c r="F984" s="133" t="str">
        <f t="shared" si="47"/>
        <v/>
      </c>
      <c r="G984" s="133" t="str">
        <f t="shared" si="48"/>
        <v/>
      </c>
    </row>
    <row r="985" spans="5:7" x14ac:dyDescent="0.2">
      <c r="E985" s="133" t="str">
        <f t="shared" si="46"/>
        <v/>
      </c>
      <c r="F985" s="133" t="str">
        <f t="shared" si="47"/>
        <v/>
      </c>
      <c r="G985" s="133" t="str">
        <f t="shared" si="48"/>
        <v/>
      </c>
    </row>
    <row r="986" spans="5:7" x14ac:dyDescent="0.2">
      <c r="E986" s="133" t="str">
        <f t="shared" si="46"/>
        <v/>
      </c>
      <c r="F986" s="133" t="str">
        <f t="shared" si="47"/>
        <v/>
      </c>
      <c r="G986" s="133" t="str">
        <f t="shared" si="48"/>
        <v/>
      </c>
    </row>
    <row r="987" spans="5:7" x14ac:dyDescent="0.2">
      <c r="E987" s="133" t="str">
        <f t="shared" si="46"/>
        <v/>
      </c>
      <c r="F987" s="133" t="str">
        <f t="shared" si="47"/>
        <v/>
      </c>
      <c r="G987" s="133" t="str">
        <f t="shared" si="48"/>
        <v/>
      </c>
    </row>
    <row r="988" spans="5:7" x14ac:dyDescent="0.2">
      <c r="E988" s="133" t="str">
        <f t="shared" si="46"/>
        <v/>
      </c>
      <c r="F988" s="133" t="str">
        <f t="shared" si="47"/>
        <v/>
      </c>
      <c r="G988" s="133" t="str">
        <f t="shared" si="48"/>
        <v/>
      </c>
    </row>
    <row r="989" spans="5:7" x14ac:dyDescent="0.2">
      <c r="E989" s="133" t="str">
        <f t="shared" si="46"/>
        <v/>
      </c>
      <c r="F989" s="133" t="str">
        <f t="shared" si="47"/>
        <v/>
      </c>
      <c r="G989" s="133" t="str">
        <f t="shared" si="48"/>
        <v/>
      </c>
    </row>
    <row r="990" spans="5:7" x14ac:dyDescent="0.2">
      <c r="E990" s="133" t="str">
        <f t="shared" si="46"/>
        <v/>
      </c>
      <c r="F990" s="133" t="str">
        <f t="shared" si="47"/>
        <v/>
      </c>
      <c r="G990" s="133" t="str">
        <f t="shared" si="48"/>
        <v/>
      </c>
    </row>
    <row r="991" spans="5:7" x14ac:dyDescent="0.2">
      <c r="E991" s="133" t="str">
        <f t="shared" si="46"/>
        <v/>
      </c>
      <c r="F991" s="133" t="str">
        <f t="shared" si="47"/>
        <v/>
      </c>
      <c r="G991" s="133" t="str">
        <f t="shared" si="48"/>
        <v/>
      </c>
    </row>
    <row r="992" spans="5:7" x14ac:dyDescent="0.2">
      <c r="E992" s="133" t="str">
        <f t="shared" si="46"/>
        <v/>
      </c>
      <c r="F992" s="133" t="str">
        <f t="shared" si="47"/>
        <v/>
      </c>
      <c r="G992" s="133" t="str">
        <f t="shared" si="48"/>
        <v/>
      </c>
    </row>
    <row r="993" spans="5:7" x14ac:dyDescent="0.2">
      <c r="E993" s="133" t="str">
        <f t="shared" si="46"/>
        <v/>
      </c>
      <c r="F993" s="133" t="str">
        <f t="shared" si="47"/>
        <v/>
      </c>
      <c r="G993" s="133" t="str">
        <f t="shared" si="48"/>
        <v/>
      </c>
    </row>
    <row r="994" spans="5:7" x14ac:dyDescent="0.2">
      <c r="E994" s="133" t="str">
        <f t="shared" si="46"/>
        <v/>
      </c>
      <c r="F994" s="133" t="str">
        <f t="shared" si="47"/>
        <v/>
      </c>
      <c r="G994" s="133" t="str">
        <f t="shared" si="48"/>
        <v/>
      </c>
    </row>
    <row r="995" spans="5:7" x14ac:dyDescent="0.2">
      <c r="E995" s="133" t="str">
        <f t="shared" si="46"/>
        <v/>
      </c>
      <c r="F995" s="133" t="str">
        <f t="shared" si="47"/>
        <v/>
      </c>
      <c r="G995" s="133" t="str">
        <f t="shared" si="48"/>
        <v/>
      </c>
    </row>
    <row r="996" spans="5:7" x14ac:dyDescent="0.2">
      <c r="E996" s="133" t="str">
        <f t="shared" si="46"/>
        <v/>
      </c>
      <c r="F996" s="133" t="str">
        <f t="shared" si="47"/>
        <v/>
      </c>
      <c r="G996" s="133" t="str">
        <f t="shared" si="48"/>
        <v/>
      </c>
    </row>
    <row r="997" spans="5:7" x14ac:dyDescent="0.2">
      <c r="E997" s="133" t="str">
        <f t="shared" si="46"/>
        <v/>
      </c>
      <c r="F997" s="133" t="str">
        <f t="shared" si="47"/>
        <v/>
      </c>
      <c r="G997" s="133" t="str">
        <f t="shared" si="48"/>
        <v/>
      </c>
    </row>
    <row r="998" spans="5:7" x14ac:dyDescent="0.2">
      <c r="E998" s="133" t="str">
        <f t="shared" si="46"/>
        <v/>
      </c>
      <c r="F998" s="133" t="str">
        <f t="shared" si="47"/>
        <v/>
      </c>
      <c r="G998" s="133" t="str">
        <f t="shared" si="48"/>
        <v/>
      </c>
    </row>
    <row r="999" spans="5:7" x14ac:dyDescent="0.2">
      <c r="E999" s="133" t="str">
        <f t="shared" si="46"/>
        <v/>
      </c>
      <c r="F999" s="133" t="str">
        <f t="shared" si="47"/>
        <v/>
      </c>
      <c r="G999" s="133" t="str">
        <f t="shared" si="48"/>
        <v/>
      </c>
    </row>
    <row r="1000" spans="5:7" x14ac:dyDescent="0.2">
      <c r="E1000" s="133" t="str">
        <f t="shared" si="46"/>
        <v/>
      </c>
      <c r="F1000" s="133" t="str">
        <f t="shared" si="47"/>
        <v/>
      </c>
      <c r="G1000" s="133" t="str">
        <f t="shared" si="48"/>
        <v/>
      </c>
    </row>
    <row r="1001" spans="5:7" x14ac:dyDescent="0.2">
      <c r="F1001" s="133" t="str">
        <f t="shared" si="47"/>
        <v/>
      </c>
    </row>
    <row r="1002" spans="5:7" x14ac:dyDescent="0.2">
      <c r="F1002" s="133" t="str">
        <f t="shared" si="47"/>
        <v/>
      </c>
    </row>
    <row r="1003" spans="5:7" x14ac:dyDescent="0.2">
      <c r="F1003" s="133" t="str">
        <f t="shared" si="47"/>
        <v/>
      </c>
    </row>
    <row r="1004" spans="5:7" x14ac:dyDescent="0.2">
      <c r="F1004" s="133" t="str">
        <f t="shared" si="47"/>
        <v/>
      </c>
    </row>
    <row r="1005" spans="5:7" x14ac:dyDescent="0.2">
      <c r="F1005" s="133" t="str">
        <f t="shared" si="47"/>
        <v/>
      </c>
    </row>
    <row r="1006" spans="5:7" x14ac:dyDescent="0.2">
      <c r="F1006" s="133" t="str">
        <f t="shared" si="47"/>
        <v/>
      </c>
    </row>
    <row r="1007" spans="5:7" x14ac:dyDescent="0.2">
      <c r="F1007" s="133" t="str">
        <f t="shared" si="47"/>
        <v/>
      </c>
    </row>
    <row r="1008" spans="5:7" x14ac:dyDescent="0.2">
      <c r="F1008" s="133" t="str">
        <f t="shared" si="47"/>
        <v/>
      </c>
    </row>
    <row r="1009" spans="6:6" x14ac:dyDescent="0.2">
      <c r="F1009" s="133" t="str">
        <f t="shared" si="47"/>
        <v/>
      </c>
    </row>
    <row r="1010" spans="6:6" x14ac:dyDescent="0.2">
      <c r="F1010" s="133" t="str">
        <f t="shared" si="47"/>
        <v/>
      </c>
    </row>
    <row r="1011" spans="6:6" x14ac:dyDescent="0.2">
      <c r="F1011" s="133" t="str">
        <f t="shared" si="47"/>
        <v/>
      </c>
    </row>
    <row r="1012" spans="6:6" x14ac:dyDescent="0.2">
      <c r="F1012" s="133" t="str">
        <f t="shared" si="47"/>
        <v/>
      </c>
    </row>
    <row r="1013" spans="6:6" x14ac:dyDescent="0.2">
      <c r="F1013" s="133" t="str">
        <f t="shared" si="47"/>
        <v/>
      </c>
    </row>
    <row r="1014" spans="6:6" x14ac:dyDescent="0.2">
      <c r="F1014" s="133" t="str">
        <f t="shared" si="47"/>
        <v/>
      </c>
    </row>
    <row r="1015" spans="6:6" x14ac:dyDescent="0.2">
      <c r="F1015" s="133" t="str">
        <f t="shared" si="47"/>
        <v/>
      </c>
    </row>
    <row r="1016" spans="6:6" x14ac:dyDescent="0.2">
      <c r="F1016" s="133" t="str">
        <f t="shared" si="47"/>
        <v/>
      </c>
    </row>
    <row r="1017" spans="6:6" x14ac:dyDescent="0.2">
      <c r="F1017" s="133" t="str">
        <f t="shared" si="47"/>
        <v/>
      </c>
    </row>
    <row r="1018" spans="6:6" x14ac:dyDescent="0.2">
      <c r="F1018" s="133" t="str">
        <f t="shared" si="47"/>
        <v/>
      </c>
    </row>
    <row r="1019" spans="6:6" x14ac:dyDescent="0.2">
      <c r="F1019" s="133" t="str">
        <f t="shared" si="47"/>
        <v/>
      </c>
    </row>
    <row r="1020" spans="6:6" x14ac:dyDescent="0.2">
      <c r="F1020" s="133" t="str">
        <f t="shared" si="47"/>
        <v/>
      </c>
    </row>
    <row r="1021" spans="6:6" x14ac:dyDescent="0.2">
      <c r="F1021" s="133" t="str">
        <f t="shared" si="47"/>
        <v/>
      </c>
    </row>
    <row r="1022" spans="6:6" x14ac:dyDescent="0.2">
      <c r="F1022" s="133" t="str">
        <f t="shared" si="47"/>
        <v/>
      </c>
    </row>
    <row r="1023" spans="6:6" x14ac:dyDescent="0.2">
      <c r="F1023" s="133" t="str">
        <f t="shared" si="47"/>
        <v/>
      </c>
    </row>
    <row r="1024" spans="6:6" x14ac:dyDescent="0.2">
      <c r="F1024" s="133" t="str">
        <f t="shared" si="47"/>
        <v/>
      </c>
    </row>
    <row r="1025" spans="6:6" x14ac:dyDescent="0.2">
      <c r="F1025" s="133" t="str">
        <f t="shared" si="47"/>
        <v/>
      </c>
    </row>
    <row r="1026" spans="6:6" x14ac:dyDescent="0.2">
      <c r="F1026" s="133" t="str">
        <f t="shared" ref="F1026:F1089" si="49">IF(OR(A1026="",D1026=""),"",INT((D1026-A1026)*24)&amp;" час "&amp;ROUND(((D1026-A1026)*24-INT((D1026-A1026)*24))*60,0)&amp;" минут")</f>
        <v/>
      </c>
    </row>
    <row r="1027" spans="6:6" x14ac:dyDescent="0.2">
      <c r="F1027" s="133" t="str">
        <f t="shared" si="49"/>
        <v/>
      </c>
    </row>
    <row r="1028" spans="6:6" x14ac:dyDescent="0.2">
      <c r="F1028" s="133" t="str">
        <f t="shared" si="49"/>
        <v/>
      </c>
    </row>
    <row r="1029" spans="6:6" x14ac:dyDescent="0.2">
      <c r="F1029" s="133" t="str">
        <f t="shared" si="49"/>
        <v/>
      </c>
    </row>
    <row r="1030" spans="6:6" x14ac:dyDescent="0.2">
      <c r="F1030" s="133" t="str">
        <f t="shared" si="49"/>
        <v/>
      </c>
    </row>
    <row r="1031" spans="6:6" x14ac:dyDescent="0.2">
      <c r="F1031" s="133" t="str">
        <f t="shared" si="49"/>
        <v/>
      </c>
    </row>
    <row r="1032" spans="6:6" x14ac:dyDescent="0.2">
      <c r="F1032" s="133" t="str">
        <f t="shared" si="49"/>
        <v/>
      </c>
    </row>
    <row r="1033" spans="6:6" x14ac:dyDescent="0.2">
      <c r="F1033" s="133" t="str">
        <f t="shared" si="49"/>
        <v/>
      </c>
    </row>
    <row r="1034" spans="6:6" x14ac:dyDescent="0.2">
      <c r="F1034" s="133" t="str">
        <f t="shared" si="49"/>
        <v/>
      </c>
    </row>
    <row r="1035" spans="6:6" x14ac:dyDescent="0.2">
      <c r="F1035" s="133" t="str">
        <f t="shared" si="49"/>
        <v/>
      </c>
    </row>
    <row r="1036" spans="6:6" x14ac:dyDescent="0.2">
      <c r="F1036" s="133" t="str">
        <f t="shared" si="49"/>
        <v/>
      </c>
    </row>
    <row r="1037" spans="6:6" x14ac:dyDescent="0.2">
      <c r="F1037" s="133" t="str">
        <f t="shared" si="49"/>
        <v/>
      </c>
    </row>
    <row r="1038" spans="6:6" x14ac:dyDescent="0.2">
      <c r="F1038" s="133" t="str">
        <f t="shared" si="49"/>
        <v/>
      </c>
    </row>
    <row r="1039" spans="6:6" x14ac:dyDescent="0.2">
      <c r="F1039" s="133" t="str">
        <f t="shared" si="49"/>
        <v/>
      </c>
    </row>
    <row r="1040" spans="6:6" x14ac:dyDescent="0.2">
      <c r="F1040" s="133" t="str">
        <f t="shared" si="49"/>
        <v/>
      </c>
    </row>
    <row r="1041" spans="6:6" x14ac:dyDescent="0.2">
      <c r="F1041" s="133" t="str">
        <f t="shared" si="49"/>
        <v/>
      </c>
    </row>
    <row r="1042" spans="6:6" x14ac:dyDescent="0.2">
      <c r="F1042" s="133" t="str">
        <f t="shared" si="49"/>
        <v/>
      </c>
    </row>
    <row r="1043" spans="6:6" x14ac:dyDescent="0.2">
      <c r="F1043" s="133" t="str">
        <f t="shared" si="49"/>
        <v/>
      </c>
    </row>
    <row r="1044" spans="6:6" x14ac:dyDescent="0.2">
      <c r="F1044" s="133" t="str">
        <f t="shared" si="49"/>
        <v/>
      </c>
    </row>
    <row r="1045" spans="6:6" x14ac:dyDescent="0.2">
      <c r="F1045" s="133" t="str">
        <f t="shared" si="49"/>
        <v/>
      </c>
    </row>
    <row r="1046" spans="6:6" x14ac:dyDescent="0.2">
      <c r="F1046" s="133" t="str">
        <f t="shared" si="49"/>
        <v/>
      </c>
    </row>
    <row r="1047" spans="6:6" x14ac:dyDescent="0.2">
      <c r="F1047" s="133" t="str">
        <f t="shared" si="49"/>
        <v/>
      </c>
    </row>
    <row r="1048" spans="6:6" x14ac:dyDescent="0.2">
      <c r="F1048" s="133" t="str">
        <f t="shared" si="49"/>
        <v/>
      </c>
    </row>
    <row r="1049" spans="6:6" x14ac:dyDescent="0.2">
      <c r="F1049" s="133" t="str">
        <f t="shared" si="49"/>
        <v/>
      </c>
    </row>
    <row r="1050" spans="6:6" x14ac:dyDescent="0.2">
      <c r="F1050" s="133" t="str">
        <f t="shared" si="49"/>
        <v/>
      </c>
    </row>
    <row r="1051" spans="6:6" x14ac:dyDescent="0.2">
      <c r="F1051" s="133" t="str">
        <f t="shared" si="49"/>
        <v/>
      </c>
    </row>
    <row r="1052" spans="6:6" x14ac:dyDescent="0.2">
      <c r="F1052" s="133" t="str">
        <f t="shared" si="49"/>
        <v/>
      </c>
    </row>
    <row r="1053" spans="6:6" x14ac:dyDescent="0.2">
      <c r="F1053" s="133" t="str">
        <f t="shared" si="49"/>
        <v/>
      </c>
    </row>
    <row r="1054" spans="6:6" x14ac:dyDescent="0.2">
      <c r="F1054" s="133" t="str">
        <f t="shared" si="49"/>
        <v/>
      </c>
    </row>
    <row r="1055" spans="6:6" x14ac:dyDescent="0.2">
      <c r="F1055" s="133" t="str">
        <f t="shared" si="49"/>
        <v/>
      </c>
    </row>
    <row r="1056" spans="6:6" x14ac:dyDescent="0.2">
      <c r="F1056" s="133" t="str">
        <f t="shared" si="49"/>
        <v/>
      </c>
    </row>
    <row r="1057" spans="6:6" x14ac:dyDescent="0.2">
      <c r="F1057" s="133" t="str">
        <f t="shared" si="49"/>
        <v/>
      </c>
    </row>
    <row r="1058" spans="6:6" x14ac:dyDescent="0.2">
      <c r="F1058" s="133" t="str">
        <f t="shared" si="49"/>
        <v/>
      </c>
    </row>
    <row r="1059" spans="6:6" x14ac:dyDescent="0.2">
      <c r="F1059" s="133" t="str">
        <f t="shared" si="49"/>
        <v/>
      </c>
    </row>
    <row r="1060" spans="6:6" x14ac:dyDescent="0.2">
      <c r="F1060" s="133" t="str">
        <f t="shared" si="49"/>
        <v/>
      </c>
    </row>
    <row r="1061" spans="6:6" x14ac:dyDescent="0.2">
      <c r="F1061" s="133" t="str">
        <f t="shared" si="49"/>
        <v/>
      </c>
    </row>
    <row r="1062" spans="6:6" x14ac:dyDescent="0.2">
      <c r="F1062" s="133" t="str">
        <f t="shared" si="49"/>
        <v/>
      </c>
    </row>
    <row r="1063" spans="6:6" x14ac:dyDescent="0.2">
      <c r="F1063" s="133" t="str">
        <f t="shared" si="49"/>
        <v/>
      </c>
    </row>
    <row r="1064" spans="6:6" x14ac:dyDescent="0.2">
      <c r="F1064" s="133" t="str">
        <f t="shared" si="49"/>
        <v/>
      </c>
    </row>
    <row r="1065" spans="6:6" x14ac:dyDescent="0.2">
      <c r="F1065" s="133" t="str">
        <f t="shared" si="49"/>
        <v/>
      </c>
    </row>
    <row r="1066" spans="6:6" x14ac:dyDescent="0.2">
      <c r="F1066" s="133" t="str">
        <f t="shared" si="49"/>
        <v/>
      </c>
    </row>
    <row r="1067" spans="6:6" x14ac:dyDescent="0.2">
      <c r="F1067" s="133" t="str">
        <f t="shared" si="49"/>
        <v/>
      </c>
    </row>
    <row r="1068" spans="6:6" x14ac:dyDescent="0.2">
      <c r="F1068" s="133" t="str">
        <f t="shared" si="49"/>
        <v/>
      </c>
    </row>
    <row r="1069" spans="6:6" x14ac:dyDescent="0.2">
      <c r="F1069" s="133" t="str">
        <f t="shared" si="49"/>
        <v/>
      </c>
    </row>
    <row r="1070" spans="6:6" x14ac:dyDescent="0.2">
      <c r="F1070" s="133" t="str">
        <f t="shared" si="49"/>
        <v/>
      </c>
    </row>
    <row r="1071" spans="6:6" x14ac:dyDescent="0.2">
      <c r="F1071" s="133" t="str">
        <f t="shared" si="49"/>
        <v/>
      </c>
    </row>
    <row r="1072" spans="6:6" x14ac:dyDescent="0.2">
      <c r="F1072" s="133" t="str">
        <f t="shared" si="49"/>
        <v/>
      </c>
    </row>
    <row r="1073" spans="6:6" x14ac:dyDescent="0.2">
      <c r="F1073" s="133" t="str">
        <f t="shared" si="49"/>
        <v/>
      </c>
    </row>
    <row r="1074" spans="6:6" x14ac:dyDescent="0.2">
      <c r="F1074" s="133" t="str">
        <f t="shared" si="49"/>
        <v/>
      </c>
    </row>
    <row r="1075" spans="6:6" x14ac:dyDescent="0.2">
      <c r="F1075" s="133" t="str">
        <f t="shared" si="49"/>
        <v/>
      </c>
    </row>
    <row r="1076" spans="6:6" x14ac:dyDescent="0.2">
      <c r="F1076" s="133" t="str">
        <f t="shared" si="49"/>
        <v/>
      </c>
    </row>
    <row r="1077" spans="6:6" x14ac:dyDescent="0.2">
      <c r="F1077" s="133" t="str">
        <f t="shared" si="49"/>
        <v/>
      </c>
    </row>
    <row r="1078" spans="6:6" x14ac:dyDescent="0.2">
      <c r="F1078" s="133" t="str">
        <f t="shared" si="49"/>
        <v/>
      </c>
    </row>
    <row r="1079" spans="6:6" x14ac:dyDescent="0.2">
      <c r="F1079" s="133" t="str">
        <f t="shared" si="49"/>
        <v/>
      </c>
    </row>
    <row r="1080" spans="6:6" x14ac:dyDescent="0.2">
      <c r="F1080" s="133" t="str">
        <f t="shared" si="49"/>
        <v/>
      </c>
    </row>
    <row r="1081" spans="6:6" x14ac:dyDescent="0.2">
      <c r="F1081" s="133" t="str">
        <f t="shared" si="49"/>
        <v/>
      </c>
    </row>
    <row r="1082" spans="6:6" x14ac:dyDescent="0.2">
      <c r="F1082" s="133" t="str">
        <f t="shared" si="49"/>
        <v/>
      </c>
    </row>
    <row r="1083" spans="6:6" x14ac:dyDescent="0.2">
      <c r="F1083" s="133" t="str">
        <f t="shared" si="49"/>
        <v/>
      </c>
    </row>
    <row r="1084" spans="6:6" x14ac:dyDescent="0.2">
      <c r="F1084" s="133" t="str">
        <f t="shared" si="49"/>
        <v/>
      </c>
    </row>
    <row r="1085" spans="6:6" x14ac:dyDescent="0.2">
      <c r="F1085" s="133" t="str">
        <f t="shared" si="49"/>
        <v/>
      </c>
    </row>
    <row r="1086" spans="6:6" x14ac:dyDescent="0.2">
      <c r="F1086" s="133" t="str">
        <f t="shared" si="49"/>
        <v/>
      </c>
    </row>
    <row r="1087" spans="6:6" x14ac:dyDescent="0.2">
      <c r="F1087" s="133" t="str">
        <f t="shared" si="49"/>
        <v/>
      </c>
    </row>
    <row r="1088" spans="6:6" x14ac:dyDescent="0.2">
      <c r="F1088" s="133" t="str">
        <f t="shared" si="49"/>
        <v/>
      </c>
    </row>
    <row r="1089" spans="6:6" x14ac:dyDescent="0.2">
      <c r="F1089" s="133" t="str">
        <f t="shared" si="49"/>
        <v/>
      </c>
    </row>
    <row r="1090" spans="6:6" x14ac:dyDescent="0.2">
      <c r="F1090" s="133" t="str">
        <f t="shared" ref="F1090:F1153" si="50">IF(OR(A1090="",D1090=""),"",INT((D1090-A1090)*24)&amp;" час "&amp;ROUND(((D1090-A1090)*24-INT((D1090-A1090)*24))*60,0)&amp;" минут")</f>
        <v/>
      </c>
    </row>
    <row r="1091" spans="6:6" x14ac:dyDescent="0.2">
      <c r="F1091" s="133" t="str">
        <f t="shared" si="50"/>
        <v/>
      </c>
    </row>
    <row r="1092" spans="6:6" x14ac:dyDescent="0.2">
      <c r="F1092" s="133" t="str">
        <f t="shared" si="50"/>
        <v/>
      </c>
    </row>
    <row r="1093" spans="6:6" x14ac:dyDescent="0.2">
      <c r="F1093" s="133" t="str">
        <f t="shared" si="50"/>
        <v/>
      </c>
    </row>
    <row r="1094" spans="6:6" x14ac:dyDescent="0.2">
      <c r="F1094" s="133" t="str">
        <f t="shared" si="50"/>
        <v/>
      </c>
    </row>
    <row r="1095" spans="6:6" x14ac:dyDescent="0.2">
      <c r="F1095" s="133" t="str">
        <f t="shared" si="50"/>
        <v/>
      </c>
    </row>
    <row r="1096" spans="6:6" x14ac:dyDescent="0.2">
      <c r="F1096" s="133" t="str">
        <f t="shared" si="50"/>
        <v/>
      </c>
    </row>
    <row r="1097" spans="6:6" x14ac:dyDescent="0.2">
      <c r="F1097" s="133" t="str">
        <f t="shared" si="50"/>
        <v/>
      </c>
    </row>
    <row r="1098" spans="6:6" x14ac:dyDescent="0.2">
      <c r="F1098" s="133" t="str">
        <f t="shared" si="50"/>
        <v/>
      </c>
    </row>
    <row r="1099" spans="6:6" x14ac:dyDescent="0.2">
      <c r="F1099" s="133" t="str">
        <f t="shared" si="50"/>
        <v/>
      </c>
    </row>
    <row r="1100" spans="6:6" x14ac:dyDescent="0.2">
      <c r="F1100" s="133" t="str">
        <f t="shared" si="50"/>
        <v/>
      </c>
    </row>
    <row r="1101" spans="6:6" x14ac:dyDescent="0.2">
      <c r="F1101" s="133" t="str">
        <f t="shared" si="50"/>
        <v/>
      </c>
    </row>
    <row r="1102" spans="6:6" x14ac:dyDescent="0.2">
      <c r="F1102" s="133" t="str">
        <f t="shared" si="50"/>
        <v/>
      </c>
    </row>
    <row r="1103" spans="6:6" x14ac:dyDescent="0.2">
      <c r="F1103" s="133" t="str">
        <f t="shared" si="50"/>
        <v/>
      </c>
    </row>
    <row r="1104" spans="6:6" x14ac:dyDescent="0.2">
      <c r="F1104" s="133" t="str">
        <f t="shared" si="50"/>
        <v/>
      </c>
    </row>
    <row r="1105" spans="6:6" x14ac:dyDescent="0.2">
      <c r="F1105" s="133" t="str">
        <f t="shared" si="50"/>
        <v/>
      </c>
    </row>
    <row r="1106" spans="6:6" x14ac:dyDescent="0.2">
      <c r="F1106" s="133" t="str">
        <f t="shared" si="50"/>
        <v/>
      </c>
    </row>
    <row r="1107" spans="6:6" x14ac:dyDescent="0.2">
      <c r="F1107" s="133" t="str">
        <f t="shared" si="50"/>
        <v/>
      </c>
    </row>
    <row r="1108" spans="6:6" x14ac:dyDescent="0.2">
      <c r="F1108" s="133" t="str">
        <f t="shared" si="50"/>
        <v/>
      </c>
    </row>
    <row r="1109" spans="6:6" x14ac:dyDescent="0.2">
      <c r="F1109" s="133" t="str">
        <f t="shared" si="50"/>
        <v/>
      </c>
    </row>
    <row r="1110" spans="6:6" x14ac:dyDescent="0.2">
      <c r="F1110" s="133" t="str">
        <f t="shared" si="50"/>
        <v/>
      </c>
    </row>
    <row r="1111" spans="6:6" x14ac:dyDescent="0.2">
      <c r="F1111" s="133" t="str">
        <f t="shared" si="50"/>
        <v/>
      </c>
    </row>
    <row r="1112" spans="6:6" x14ac:dyDescent="0.2">
      <c r="F1112" s="133" t="str">
        <f t="shared" si="50"/>
        <v/>
      </c>
    </row>
    <row r="1113" spans="6:6" x14ac:dyDescent="0.2">
      <c r="F1113" s="133" t="str">
        <f t="shared" si="50"/>
        <v/>
      </c>
    </row>
    <row r="1114" spans="6:6" x14ac:dyDescent="0.2">
      <c r="F1114" s="133" t="str">
        <f t="shared" si="50"/>
        <v/>
      </c>
    </row>
    <row r="1115" spans="6:6" x14ac:dyDescent="0.2">
      <c r="F1115" s="133" t="str">
        <f t="shared" si="50"/>
        <v/>
      </c>
    </row>
    <row r="1116" spans="6:6" x14ac:dyDescent="0.2">
      <c r="F1116" s="133" t="str">
        <f t="shared" si="50"/>
        <v/>
      </c>
    </row>
    <row r="1117" spans="6:6" x14ac:dyDescent="0.2">
      <c r="F1117" s="133" t="str">
        <f t="shared" si="50"/>
        <v/>
      </c>
    </row>
    <row r="1118" spans="6:6" x14ac:dyDescent="0.2">
      <c r="F1118" s="133" t="str">
        <f t="shared" si="50"/>
        <v/>
      </c>
    </row>
    <row r="1119" spans="6:6" x14ac:dyDescent="0.2">
      <c r="F1119" s="133" t="str">
        <f t="shared" si="50"/>
        <v/>
      </c>
    </row>
    <row r="1120" spans="6:6" x14ac:dyDescent="0.2">
      <c r="F1120" s="133" t="str">
        <f t="shared" si="50"/>
        <v/>
      </c>
    </row>
    <row r="1121" spans="6:6" x14ac:dyDescent="0.2">
      <c r="F1121" s="133" t="str">
        <f t="shared" si="50"/>
        <v/>
      </c>
    </row>
    <row r="1122" spans="6:6" x14ac:dyDescent="0.2">
      <c r="F1122" s="133" t="str">
        <f t="shared" si="50"/>
        <v/>
      </c>
    </row>
    <row r="1123" spans="6:6" x14ac:dyDescent="0.2">
      <c r="F1123" s="133" t="str">
        <f t="shared" si="50"/>
        <v/>
      </c>
    </row>
    <row r="1124" spans="6:6" x14ac:dyDescent="0.2">
      <c r="F1124" s="133" t="str">
        <f t="shared" si="50"/>
        <v/>
      </c>
    </row>
    <row r="1125" spans="6:6" x14ac:dyDescent="0.2">
      <c r="F1125" s="133" t="str">
        <f t="shared" si="50"/>
        <v/>
      </c>
    </row>
    <row r="1126" spans="6:6" x14ac:dyDescent="0.2">
      <c r="F1126" s="133" t="str">
        <f t="shared" si="50"/>
        <v/>
      </c>
    </row>
    <row r="1127" spans="6:6" x14ac:dyDescent="0.2">
      <c r="F1127" s="133" t="str">
        <f t="shared" si="50"/>
        <v/>
      </c>
    </row>
    <row r="1128" spans="6:6" x14ac:dyDescent="0.2">
      <c r="F1128" s="133" t="str">
        <f t="shared" si="50"/>
        <v/>
      </c>
    </row>
    <row r="1129" spans="6:6" x14ac:dyDescent="0.2">
      <c r="F1129" s="133" t="str">
        <f t="shared" si="50"/>
        <v/>
      </c>
    </row>
    <row r="1130" spans="6:6" x14ac:dyDescent="0.2">
      <c r="F1130" s="133" t="str">
        <f t="shared" si="50"/>
        <v/>
      </c>
    </row>
    <row r="1131" spans="6:6" x14ac:dyDescent="0.2">
      <c r="F1131" s="133" t="str">
        <f t="shared" si="50"/>
        <v/>
      </c>
    </row>
    <row r="1132" spans="6:6" x14ac:dyDescent="0.2">
      <c r="F1132" s="133" t="str">
        <f t="shared" si="50"/>
        <v/>
      </c>
    </row>
    <row r="1133" spans="6:6" x14ac:dyDescent="0.2">
      <c r="F1133" s="133" t="str">
        <f t="shared" si="50"/>
        <v/>
      </c>
    </row>
    <row r="1134" spans="6:6" x14ac:dyDescent="0.2">
      <c r="F1134" s="133" t="str">
        <f t="shared" si="50"/>
        <v/>
      </c>
    </row>
    <row r="1135" spans="6:6" x14ac:dyDescent="0.2">
      <c r="F1135" s="133" t="str">
        <f t="shared" si="50"/>
        <v/>
      </c>
    </row>
    <row r="1136" spans="6:6" x14ac:dyDescent="0.2">
      <c r="F1136" s="133" t="str">
        <f t="shared" si="50"/>
        <v/>
      </c>
    </row>
    <row r="1137" spans="6:6" x14ac:dyDescent="0.2">
      <c r="F1137" s="133" t="str">
        <f t="shared" si="50"/>
        <v/>
      </c>
    </row>
    <row r="1138" spans="6:6" x14ac:dyDescent="0.2">
      <c r="F1138" s="133" t="str">
        <f t="shared" si="50"/>
        <v/>
      </c>
    </row>
    <row r="1139" spans="6:6" x14ac:dyDescent="0.2">
      <c r="F1139" s="133" t="str">
        <f t="shared" si="50"/>
        <v/>
      </c>
    </row>
    <row r="1140" spans="6:6" x14ac:dyDescent="0.2">
      <c r="F1140" s="133" t="str">
        <f t="shared" si="50"/>
        <v/>
      </c>
    </row>
    <row r="1141" spans="6:6" x14ac:dyDescent="0.2">
      <c r="F1141" s="133" t="str">
        <f t="shared" si="50"/>
        <v/>
      </c>
    </row>
    <row r="1142" spans="6:6" x14ac:dyDescent="0.2">
      <c r="F1142" s="133" t="str">
        <f t="shared" si="50"/>
        <v/>
      </c>
    </row>
    <row r="1143" spans="6:6" x14ac:dyDescent="0.2">
      <c r="F1143" s="133" t="str">
        <f t="shared" si="50"/>
        <v/>
      </c>
    </row>
    <row r="1144" spans="6:6" x14ac:dyDescent="0.2">
      <c r="F1144" s="133" t="str">
        <f t="shared" si="50"/>
        <v/>
      </c>
    </row>
    <row r="1145" spans="6:6" x14ac:dyDescent="0.2">
      <c r="F1145" s="133" t="str">
        <f t="shared" si="50"/>
        <v/>
      </c>
    </row>
    <row r="1146" spans="6:6" x14ac:dyDescent="0.2">
      <c r="F1146" s="133" t="str">
        <f t="shared" si="50"/>
        <v/>
      </c>
    </row>
    <row r="1147" spans="6:6" x14ac:dyDescent="0.2">
      <c r="F1147" s="133" t="str">
        <f t="shared" si="50"/>
        <v/>
      </c>
    </row>
    <row r="1148" spans="6:6" x14ac:dyDescent="0.2">
      <c r="F1148" s="133" t="str">
        <f t="shared" si="50"/>
        <v/>
      </c>
    </row>
    <row r="1149" spans="6:6" x14ac:dyDescent="0.2">
      <c r="F1149" s="133" t="str">
        <f t="shared" si="50"/>
        <v/>
      </c>
    </row>
    <row r="1150" spans="6:6" x14ac:dyDescent="0.2">
      <c r="F1150" s="133" t="str">
        <f t="shared" si="50"/>
        <v/>
      </c>
    </row>
    <row r="1151" spans="6:6" x14ac:dyDescent="0.2">
      <c r="F1151" s="133" t="str">
        <f t="shared" si="50"/>
        <v/>
      </c>
    </row>
    <row r="1152" spans="6:6" x14ac:dyDescent="0.2">
      <c r="F1152" s="133" t="str">
        <f t="shared" si="50"/>
        <v/>
      </c>
    </row>
    <row r="1153" spans="6:6" x14ac:dyDescent="0.2">
      <c r="F1153" s="133" t="str">
        <f t="shared" si="50"/>
        <v/>
      </c>
    </row>
    <row r="1154" spans="6:6" x14ac:dyDescent="0.2">
      <c r="F1154" s="133" t="str">
        <f t="shared" ref="F1154:F1217" si="51">IF(OR(A1154="",D1154=""),"",INT((D1154-A1154)*24)&amp;" час "&amp;ROUND(((D1154-A1154)*24-INT((D1154-A1154)*24))*60,0)&amp;" минут")</f>
        <v/>
      </c>
    </row>
    <row r="1155" spans="6:6" x14ac:dyDescent="0.2">
      <c r="F1155" s="133" t="str">
        <f t="shared" si="51"/>
        <v/>
      </c>
    </row>
    <row r="1156" spans="6:6" x14ac:dyDescent="0.2">
      <c r="F1156" s="133" t="str">
        <f t="shared" si="51"/>
        <v/>
      </c>
    </row>
    <row r="1157" spans="6:6" x14ac:dyDescent="0.2">
      <c r="F1157" s="133" t="str">
        <f t="shared" si="51"/>
        <v/>
      </c>
    </row>
    <row r="1158" spans="6:6" x14ac:dyDescent="0.2">
      <c r="F1158" s="133" t="str">
        <f t="shared" si="51"/>
        <v/>
      </c>
    </row>
    <row r="1159" spans="6:6" x14ac:dyDescent="0.2">
      <c r="F1159" s="133" t="str">
        <f t="shared" si="51"/>
        <v/>
      </c>
    </row>
    <row r="1160" spans="6:6" x14ac:dyDescent="0.2">
      <c r="F1160" s="133" t="str">
        <f t="shared" si="51"/>
        <v/>
      </c>
    </row>
    <row r="1161" spans="6:6" x14ac:dyDescent="0.2">
      <c r="F1161" s="133" t="str">
        <f t="shared" si="51"/>
        <v/>
      </c>
    </row>
    <row r="1162" spans="6:6" x14ac:dyDescent="0.2">
      <c r="F1162" s="133" t="str">
        <f t="shared" si="51"/>
        <v/>
      </c>
    </row>
    <row r="1163" spans="6:6" x14ac:dyDescent="0.2">
      <c r="F1163" s="133" t="str">
        <f t="shared" si="51"/>
        <v/>
      </c>
    </row>
    <row r="1164" spans="6:6" x14ac:dyDescent="0.2">
      <c r="F1164" s="133" t="str">
        <f t="shared" si="51"/>
        <v/>
      </c>
    </row>
    <row r="1165" spans="6:6" x14ac:dyDescent="0.2">
      <c r="F1165" s="133" t="str">
        <f t="shared" si="51"/>
        <v/>
      </c>
    </row>
    <row r="1166" spans="6:6" x14ac:dyDescent="0.2">
      <c r="F1166" s="133" t="str">
        <f t="shared" si="51"/>
        <v/>
      </c>
    </row>
    <row r="1167" spans="6:6" x14ac:dyDescent="0.2">
      <c r="F1167" s="133" t="str">
        <f t="shared" si="51"/>
        <v/>
      </c>
    </row>
    <row r="1168" spans="6:6" x14ac:dyDescent="0.2">
      <c r="F1168" s="133" t="str">
        <f t="shared" si="51"/>
        <v/>
      </c>
    </row>
    <row r="1169" spans="6:6" x14ac:dyDescent="0.2">
      <c r="F1169" s="133" t="str">
        <f t="shared" si="51"/>
        <v/>
      </c>
    </row>
    <row r="1170" spans="6:6" x14ac:dyDescent="0.2">
      <c r="F1170" s="133" t="str">
        <f t="shared" si="51"/>
        <v/>
      </c>
    </row>
    <row r="1171" spans="6:6" x14ac:dyDescent="0.2">
      <c r="F1171" s="133" t="str">
        <f t="shared" si="51"/>
        <v/>
      </c>
    </row>
    <row r="1172" spans="6:6" x14ac:dyDescent="0.2">
      <c r="F1172" s="133" t="str">
        <f t="shared" si="51"/>
        <v/>
      </c>
    </row>
    <row r="1173" spans="6:6" x14ac:dyDescent="0.2">
      <c r="F1173" s="133" t="str">
        <f t="shared" si="51"/>
        <v/>
      </c>
    </row>
    <row r="1174" spans="6:6" x14ac:dyDescent="0.2">
      <c r="F1174" s="133" t="str">
        <f t="shared" si="51"/>
        <v/>
      </c>
    </row>
    <row r="1175" spans="6:6" x14ac:dyDescent="0.2">
      <c r="F1175" s="133" t="str">
        <f t="shared" si="51"/>
        <v/>
      </c>
    </row>
    <row r="1176" spans="6:6" x14ac:dyDescent="0.2">
      <c r="F1176" s="133" t="str">
        <f t="shared" si="51"/>
        <v/>
      </c>
    </row>
    <row r="1177" spans="6:6" x14ac:dyDescent="0.2">
      <c r="F1177" s="133" t="str">
        <f t="shared" si="51"/>
        <v/>
      </c>
    </row>
    <row r="1178" spans="6:6" x14ac:dyDescent="0.2">
      <c r="F1178" s="133" t="str">
        <f t="shared" si="51"/>
        <v/>
      </c>
    </row>
    <row r="1179" spans="6:6" x14ac:dyDescent="0.2">
      <c r="F1179" s="133" t="str">
        <f t="shared" si="51"/>
        <v/>
      </c>
    </row>
    <row r="1180" spans="6:6" x14ac:dyDescent="0.2">
      <c r="F1180" s="133" t="str">
        <f t="shared" si="51"/>
        <v/>
      </c>
    </row>
    <row r="1181" spans="6:6" x14ac:dyDescent="0.2">
      <c r="F1181" s="133" t="str">
        <f t="shared" si="51"/>
        <v/>
      </c>
    </row>
    <row r="1182" spans="6:6" x14ac:dyDescent="0.2">
      <c r="F1182" s="133" t="str">
        <f t="shared" si="51"/>
        <v/>
      </c>
    </row>
    <row r="1183" spans="6:6" x14ac:dyDescent="0.2">
      <c r="F1183" s="133" t="str">
        <f t="shared" si="51"/>
        <v/>
      </c>
    </row>
    <row r="1184" spans="6:6" x14ac:dyDescent="0.2">
      <c r="F1184" s="133" t="str">
        <f t="shared" si="51"/>
        <v/>
      </c>
    </row>
    <row r="1185" spans="6:6" x14ac:dyDescent="0.2">
      <c r="F1185" s="133" t="str">
        <f t="shared" si="51"/>
        <v/>
      </c>
    </row>
    <row r="1186" spans="6:6" x14ac:dyDescent="0.2">
      <c r="F1186" s="133" t="str">
        <f t="shared" si="51"/>
        <v/>
      </c>
    </row>
    <row r="1187" spans="6:6" x14ac:dyDescent="0.2">
      <c r="F1187" s="133" t="str">
        <f t="shared" si="51"/>
        <v/>
      </c>
    </row>
    <row r="1188" spans="6:6" x14ac:dyDescent="0.2">
      <c r="F1188" s="133" t="str">
        <f t="shared" si="51"/>
        <v/>
      </c>
    </row>
    <row r="1189" spans="6:6" x14ac:dyDescent="0.2">
      <c r="F1189" s="133" t="str">
        <f t="shared" si="51"/>
        <v/>
      </c>
    </row>
    <row r="1190" spans="6:6" x14ac:dyDescent="0.2">
      <c r="F1190" s="133" t="str">
        <f t="shared" si="51"/>
        <v/>
      </c>
    </row>
    <row r="1191" spans="6:6" x14ac:dyDescent="0.2">
      <c r="F1191" s="133" t="str">
        <f t="shared" si="51"/>
        <v/>
      </c>
    </row>
    <row r="1192" spans="6:6" x14ac:dyDescent="0.2">
      <c r="F1192" s="133" t="str">
        <f t="shared" si="51"/>
        <v/>
      </c>
    </row>
    <row r="1193" spans="6:6" x14ac:dyDescent="0.2">
      <c r="F1193" s="133" t="str">
        <f t="shared" si="51"/>
        <v/>
      </c>
    </row>
    <row r="1194" spans="6:6" x14ac:dyDescent="0.2">
      <c r="F1194" s="133" t="str">
        <f t="shared" si="51"/>
        <v/>
      </c>
    </row>
    <row r="1195" spans="6:6" x14ac:dyDescent="0.2">
      <c r="F1195" s="133" t="str">
        <f t="shared" si="51"/>
        <v/>
      </c>
    </row>
    <row r="1196" spans="6:6" x14ac:dyDescent="0.2">
      <c r="F1196" s="133" t="str">
        <f t="shared" si="51"/>
        <v/>
      </c>
    </row>
    <row r="1197" spans="6:6" x14ac:dyDescent="0.2">
      <c r="F1197" s="133" t="str">
        <f t="shared" si="51"/>
        <v/>
      </c>
    </row>
    <row r="1198" spans="6:6" x14ac:dyDescent="0.2">
      <c r="F1198" s="133" t="str">
        <f t="shared" si="51"/>
        <v/>
      </c>
    </row>
    <row r="1199" spans="6:6" x14ac:dyDescent="0.2">
      <c r="F1199" s="133" t="str">
        <f t="shared" si="51"/>
        <v/>
      </c>
    </row>
    <row r="1200" spans="6:6" x14ac:dyDescent="0.2">
      <c r="F1200" s="133" t="str">
        <f t="shared" si="51"/>
        <v/>
      </c>
    </row>
    <row r="1201" spans="6:6" x14ac:dyDescent="0.2">
      <c r="F1201" s="133" t="str">
        <f t="shared" si="51"/>
        <v/>
      </c>
    </row>
    <row r="1202" spans="6:6" x14ac:dyDescent="0.2">
      <c r="F1202" s="133" t="str">
        <f t="shared" si="51"/>
        <v/>
      </c>
    </row>
    <row r="1203" spans="6:6" x14ac:dyDescent="0.2">
      <c r="F1203" s="133" t="str">
        <f t="shared" si="51"/>
        <v/>
      </c>
    </row>
    <row r="1204" spans="6:6" x14ac:dyDescent="0.2">
      <c r="F1204" s="133" t="str">
        <f t="shared" si="51"/>
        <v/>
      </c>
    </row>
    <row r="1205" spans="6:6" x14ac:dyDescent="0.2">
      <c r="F1205" s="133" t="str">
        <f t="shared" si="51"/>
        <v/>
      </c>
    </row>
    <row r="1206" spans="6:6" x14ac:dyDescent="0.2">
      <c r="F1206" s="133" t="str">
        <f t="shared" si="51"/>
        <v/>
      </c>
    </row>
    <row r="1207" spans="6:6" x14ac:dyDescent="0.2">
      <c r="F1207" s="133" t="str">
        <f t="shared" si="51"/>
        <v/>
      </c>
    </row>
    <row r="1208" spans="6:6" x14ac:dyDescent="0.2">
      <c r="F1208" s="133" t="str">
        <f t="shared" si="51"/>
        <v/>
      </c>
    </row>
    <row r="1209" spans="6:6" x14ac:dyDescent="0.2">
      <c r="F1209" s="133" t="str">
        <f t="shared" si="51"/>
        <v/>
      </c>
    </row>
    <row r="1210" spans="6:6" x14ac:dyDescent="0.2">
      <c r="F1210" s="133" t="str">
        <f t="shared" si="51"/>
        <v/>
      </c>
    </row>
    <row r="1211" spans="6:6" x14ac:dyDescent="0.2">
      <c r="F1211" s="133" t="str">
        <f t="shared" si="51"/>
        <v/>
      </c>
    </row>
    <row r="1212" spans="6:6" x14ac:dyDescent="0.2">
      <c r="F1212" s="133" t="str">
        <f t="shared" si="51"/>
        <v/>
      </c>
    </row>
    <row r="1213" spans="6:6" x14ac:dyDescent="0.2">
      <c r="F1213" s="133" t="str">
        <f t="shared" si="51"/>
        <v/>
      </c>
    </row>
    <row r="1214" spans="6:6" x14ac:dyDescent="0.2">
      <c r="F1214" s="133" t="str">
        <f t="shared" si="51"/>
        <v/>
      </c>
    </row>
    <row r="1215" spans="6:6" x14ac:dyDescent="0.2">
      <c r="F1215" s="133" t="str">
        <f t="shared" si="51"/>
        <v/>
      </c>
    </row>
    <row r="1216" spans="6:6" x14ac:dyDescent="0.2">
      <c r="F1216" s="133" t="str">
        <f t="shared" si="51"/>
        <v/>
      </c>
    </row>
    <row r="1217" spans="6:6" x14ac:dyDescent="0.2">
      <c r="F1217" s="133" t="str">
        <f t="shared" si="51"/>
        <v/>
      </c>
    </row>
    <row r="1218" spans="6:6" x14ac:dyDescent="0.2">
      <c r="F1218" s="133" t="str">
        <f t="shared" ref="F1218:F1281" si="52">IF(OR(A1218="",D1218=""),"",INT((D1218-A1218)*24)&amp;" час "&amp;ROUND(((D1218-A1218)*24-INT((D1218-A1218)*24))*60,0)&amp;" минут")</f>
        <v/>
      </c>
    </row>
    <row r="1219" spans="6:6" x14ac:dyDescent="0.2">
      <c r="F1219" s="133" t="str">
        <f t="shared" si="52"/>
        <v/>
      </c>
    </row>
    <row r="1220" spans="6:6" x14ac:dyDescent="0.2">
      <c r="F1220" s="133" t="str">
        <f t="shared" si="52"/>
        <v/>
      </c>
    </row>
    <row r="1221" spans="6:6" x14ac:dyDescent="0.2">
      <c r="F1221" s="133" t="str">
        <f t="shared" si="52"/>
        <v/>
      </c>
    </row>
    <row r="1222" spans="6:6" x14ac:dyDescent="0.2">
      <c r="F1222" s="133" t="str">
        <f t="shared" si="52"/>
        <v/>
      </c>
    </row>
    <row r="1223" spans="6:6" x14ac:dyDescent="0.2">
      <c r="F1223" s="133" t="str">
        <f t="shared" si="52"/>
        <v/>
      </c>
    </row>
    <row r="1224" spans="6:6" x14ac:dyDescent="0.2">
      <c r="F1224" s="133" t="str">
        <f t="shared" si="52"/>
        <v/>
      </c>
    </row>
    <row r="1225" spans="6:6" x14ac:dyDescent="0.2">
      <c r="F1225" s="133" t="str">
        <f t="shared" si="52"/>
        <v/>
      </c>
    </row>
    <row r="1226" spans="6:6" x14ac:dyDescent="0.2">
      <c r="F1226" s="133" t="str">
        <f t="shared" si="52"/>
        <v/>
      </c>
    </row>
    <row r="1227" spans="6:6" x14ac:dyDescent="0.2">
      <c r="F1227" s="133" t="str">
        <f t="shared" si="52"/>
        <v/>
      </c>
    </row>
    <row r="1228" spans="6:6" x14ac:dyDescent="0.2">
      <c r="F1228" s="133" t="str">
        <f t="shared" si="52"/>
        <v/>
      </c>
    </row>
    <row r="1229" spans="6:6" x14ac:dyDescent="0.2">
      <c r="F1229" s="133" t="str">
        <f t="shared" si="52"/>
        <v/>
      </c>
    </row>
    <row r="1230" spans="6:6" x14ac:dyDescent="0.2">
      <c r="F1230" s="133" t="str">
        <f t="shared" si="52"/>
        <v/>
      </c>
    </row>
    <row r="1231" spans="6:6" x14ac:dyDescent="0.2">
      <c r="F1231" s="133" t="str">
        <f t="shared" si="52"/>
        <v/>
      </c>
    </row>
    <row r="1232" spans="6:6" x14ac:dyDescent="0.2">
      <c r="F1232" s="133" t="str">
        <f t="shared" si="52"/>
        <v/>
      </c>
    </row>
    <row r="1233" spans="6:6" x14ac:dyDescent="0.2">
      <c r="F1233" s="133" t="str">
        <f t="shared" si="52"/>
        <v/>
      </c>
    </row>
    <row r="1234" spans="6:6" x14ac:dyDescent="0.2">
      <c r="F1234" s="133" t="str">
        <f t="shared" si="52"/>
        <v/>
      </c>
    </row>
    <row r="1235" spans="6:6" x14ac:dyDescent="0.2">
      <c r="F1235" s="133" t="str">
        <f t="shared" si="52"/>
        <v/>
      </c>
    </row>
    <row r="1236" spans="6:6" x14ac:dyDescent="0.2">
      <c r="F1236" s="133" t="str">
        <f t="shared" si="52"/>
        <v/>
      </c>
    </row>
    <row r="1237" spans="6:6" x14ac:dyDescent="0.2">
      <c r="F1237" s="133" t="str">
        <f t="shared" si="52"/>
        <v/>
      </c>
    </row>
    <row r="1238" spans="6:6" x14ac:dyDescent="0.2">
      <c r="F1238" s="133" t="str">
        <f t="shared" si="52"/>
        <v/>
      </c>
    </row>
    <row r="1239" spans="6:6" x14ac:dyDescent="0.2">
      <c r="F1239" s="133" t="str">
        <f t="shared" si="52"/>
        <v/>
      </c>
    </row>
    <row r="1240" spans="6:6" x14ac:dyDescent="0.2">
      <c r="F1240" s="133" t="str">
        <f t="shared" si="52"/>
        <v/>
      </c>
    </row>
    <row r="1241" spans="6:6" x14ac:dyDescent="0.2">
      <c r="F1241" s="133" t="str">
        <f t="shared" si="52"/>
        <v/>
      </c>
    </row>
    <row r="1242" spans="6:6" x14ac:dyDescent="0.2">
      <c r="F1242" s="133" t="str">
        <f t="shared" si="52"/>
        <v/>
      </c>
    </row>
    <row r="1243" spans="6:6" x14ac:dyDescent="0.2">
      <c r="F1243" s="133" t="str">
        <f t="shared" si="52"/>
        <v/>
      </c>
    </row>
    <row r="1244" spans="6:6" x14ac:dyDescent="0.2">
      <c r="F1244" s="133" t="str">
        <f t="shared" si="52"/>
        <v/>
      </c>
    </row>
    <row r="1245" spans="6:6" x14ac:dyDescent="0.2">
      <c r="F1245" s="133" t="str">
        <f t="shared" si="52"/>
        <v/>
      </c>
    </row>
    <row r="1246" spans="6:6" x14ac:dyDescent="0.2">
      <c r="F1246" s="133" t="str">
        <f t="shared" si="52"/>
        <v/>
      </c>
    </row>
    <row r="1247" spans="6:6" x14ac:dyDescent="0.2">
      <c r="F1247" s="133" t="str">
        <f t="shared" si="52"/>
        <v/>
      </c>
    </row>
    <row r="1248" spans="6:6" x14ac:dyDescent="0.2">
      <c r="F1248" s="133" t="str">
        <f t="shared" si="52"/>
        <v/>
      </c>
    </row>
    <row r="1249" spans="6:6" x14ac:dyDescent="0.2">
      <c r="F1249" s="133" t="str">
        <f t="shared" si="52"/>
        <v/>
      </c>
    </row>
    <row r="1250" spans="6:6" x14ac:dyDescent="0.2">
      <c r="F1250" s="133" t="str">
        <f t="shared" si="52"/>
        <v/>
      </c>
    </row>
    <row r="1251" spans="6:6" x14ac:dyDescent="0.2">
      <c r="F1251" s="133" t="str">
        <f t="shared" si="52"/>
        <v/>
      </c>
    </row>
    <row r="1252" spans="6:6" x14ac:dyDescent="0.2">
      <c r="F1252" s="133" t="str">
        <f t="shared" si="52"/>
        <v/>
      </c>
    </row>
    <row r="1253" spans="6:6" x14ac:dyDescent="0.2">
      <c r="F1253" s="133" t="str">
        <f t="shared" si="52"/>
        <v/>
      </c>
    </row>
    <row r="1254" spans="6:6" x14ac:dyDescent="0.2">
      <c r="F1254" s="133" t="str">
        <f t="shared" si="52"/>
        <v/>
      </c>
    </row>
    <row r="1255" spans="6:6" x14ac:dyDescent="0.2">
      <c r="F1255" s="133" t="str">
        <f t="shared" si="52"/>
        <v/>
      </c>
    </row>
    <row r="1256" spans="6:6" x14ac:dyDescent="0.2">
      <c r="F1256" s="133" t="str">
        <f t="shared" si="52"/>
        <v/>
      </c>
    </row>
    <row r="1257" spans="6:6" x14ac:dyDescent="0.2">
      <c r="F1257" s="133" t="str">
        <f t="shared" si="52"/>
        <v/>
      </c>
    </row>
    <row r="1258" spans="6:6" x14ac:dyDescent="0.2">
      <c r="F1258" s="133" t="str">
        <f t="shared" si="52"/>
        <v/>
      </c>
    </row>
    <row r="1259" spans="6:6" x14ac:dyDescent="0.2">
      <c r="F1259" s="133" t="str">
        <f t="shared" si="52"/>
        <v/>
      </c>
    </row>
    <row r="1260" spans="6:6" x14ac:dyDescent="0.2">
      <c r="F1260" s="133" t="str">
        <f t="shared" si="52"/>
        <v/>
      </c>
    </row>
    <row r="1261" spans="6:6" x14ac:dyDescent="0.2">
      <c r="F1261" s="133" t="str">
        <f t="shared" si="52"/>
        <v/>
      </c>
    </row>
    <row r="1262" spans="6:6" x14ac:dyDescent="0.2">
      <c r="F1262" s="133" t="str">
        <f t="shared" si="52"/>
        <v/>
      </c>
    </row>
    <row r="1263" spans="6:6" x14ac:dyDescent="0.2">
      <c r="F1263" s="133" t="str">
        <f t="shared" si="52"/>
        <v/>
      </c>
    </row>
    <row r="1264" spans="6:6" x14ac:dyDescent="0.2">
      <c r="F1264" s="133" t="str">
        <f t="shared" si="52"/>
        <v/>
      </c>
    </row>
    <row r="1265" spans="6:6" x14ac:dyDescent="0.2">
      <c r="F1265" s="133" t="str">
        <f t="shared" si="52"/>
        <v/>
      </c>
    </row>
    <row r="1266" spans="6:6" x14ac:dyDescent="0.2">
      <c r="F1266" s="133" t="str">
        <f t="shared" si="52"/>
        <v/>
      </c>
    </row>
    <row r="1267" spans="6:6" x14ac:dyDescent="0.2">
      <c r="F1267" s="133" t="str">
        <f t="shared" si="52"/>
        <v/>
      </c>
    </row>
    <row r="1268" spans="6:6" x14ac:dyDescent="0.2">
      <c r="F1268" s="133" t="str">
        <f t="shared" si="52"/>
        <v/>
      </c>
    </row>
    <row r="1269" spans="6:6" x14ac:dyDescent="0.2">
      <c r="F1269" s="133" t="str">
        <f t="shared" si="52"/>
        <v/>
      </c>
    </row>
    <row r="1270" spans="6:6" x14ac:dyDescent="0.2">
      <c r="F1270" s="133" t="str">
        <f t="shared" si="52"/>
        <v/>
      </c>
    </row>
    <row r="1271" spans="6:6" x14ac:dyDescent="0.2">
      <c r="F1271" s="133" t="str">
        <f t="shared" si="52"/>
        <v/>
      </c>
    </row>
    <row r="1272" spans="6:6" x14ac:dyDescent="0.2">
      <c r="F1272" s="133" t="str">
        <f t="shared" si="52"/>
        <v/>
      </c>
    </row>
    <row r="1273" spans="6:6" x14ac:dyDescent="0.2">
      <c r="F1273" s="133" t="str">
        <f t="shared" si="52"/>
        <v/>
      </c>
    </row>
    <row r="1274" spans="6:6" x14ac:dyDescent="0.2">
      <c r="F1274" s="133" t="str">
        <f t="shared" si="52"/>
        <v/>
      </c>
    </row>
    <row r="1275" spans="6:6" x14ac:dyDescent="0.2">
      <c r="F1275" s="133" t="str">
        <f t="shared" si="52"/>
        <v/>
      </c>
    </row>
    <row r="1276" spans="6:6" x14ac:dyDescent="0.2">
      <c r="F1276" s="133" t="str">
        <f t="shared" si="52"/>
        <v/>
      </c>
    </row>
    <row r="1277" spans="6:6" x14ac:dyDescent="0.2">
      <c r="F1277" s="133" t="str">
        <f t="shared" si="52"/>
        <v/>
      </c>
    </row>
    <row r="1278" spans="6:6" x14ac:dyDescent="0.2">
      <c r="F1278" s="133" t="str">
        <f t="shared" si="52"/>
        <v/>
      </c>
    </row>
    <row r="1279" spans="6:6" x14ac:dyDescent="0.2">
      <c r="F1279" s="133" t="str">
        <f t="shared" si="52"/>
        <v/>
      </c>
    </row>
    <row r="1280" spans="6:6" x14ac:dyDescent="0.2">
      <c r="F1280" s="133" t="str">
        <f t="shared" si="52"/>
        <v/>
      </c>
    </row>
    <row r="1281" spans="6:6" x14ac:dyDescent="0.2">
      <c r="F1281" s="133" t="str">
        <f t="shared" si="52"/>
        <v/>
      </c>
    </row>
    <row r="1282" spans="6:6" x14ac:dyDescent="0.2">
      <c r="F1282" s="133" t="str">
        <f t="shared" ref="F1282:F1345" si="53">IF(OR(A1282="",D1282=""),"",INT((D1282-A1282)*24)&amp;" час "&amp;ROUND(((D1282-A1282)*24-INT((D1282-A1282)*24))*60,0)&amp;" минут")</f>
        <v/>
      </c>
    </row>
    <row r="1283" spans="6:6" x14ac:dyDescent="0.2">
      <c r="F1283" s="133" t="str">
        <f t="shared" si="53"/>
        <v/>
      </c>
    </row>
    <row r="1284" spans="6:6" x14ac:dyDescent="0.2">
      <c r="F1284" s="133" t="str">
        <f t="shared" si="53"/>
        <v/>
      </c>
    </row>
    <row r="1285" spans="6:6" x14ac:dyDescent="0.2">
      <c r="F1285" s="133" t="str">
        <f t="shared" si="53"/>
        <v/>
      </c>
    </row>
    <row r="1286" spans="6:6" x14ac:dyDescent="0.2">
      <c r="F1286" s="133" t="str">
        <f t="shared" si="53"/>
        <v/>
      </c>
    </row>
    <row r="1287" spans="6:6" x14ac:dyDescent="0.2">
      <c r="F1287" s="133" t="str">
        <f t="shared" si="53"/>
        <v/>
      </c>
    </row>
    <row r="1288" spans="6:6" x14ac:dyDescent="0.2">
      <c r="F1288" s="133" t="str">
        <f t="shared" si="53"/>
        <v/>
      </c>
    </row>
    <row r="1289" spans="6:6" x14ac:dyDescent="0.2">
      <c r="F1289" s="133" t="str">
        <f t="shared" si="53"/>
        <v/>
      </c>
    </row>
    <row r="1290" spans="6:6" x14ac:dyDescent="0.2">
      <c r="F1290" s="133" t="str">
        <f t="shared" si="53"/>
        <v/>
      </c>
    </row>
    <row r="1291" spans="6:6" x14ac:dyDescent="0.2">
      <c r="F1291" s="133" t="str">
        <f t="shared" si="53"/>
        <v/>
      </c>
    </row>
    <row r="1292" spans="6:6" x14ac:dyDescent="0.2">
      <c r="F1292" s="133" t="str">
        <f t="shared" si="53"/>
        <v/>
      </c>
    </row>
    <row r="1293" spans="6:6" x14ac:dyDescent="0.2">
      <c r="F1293" s="133" t="str">
        <f t="shared" si="53"/>
        <v/>
      </c>
    </row>
    <row r="1294" spans="6:6" x14ac:dyDescent="0.2">
      <c r="F1294" s="133" t="str">
        <f t="shared" si="53"/>
        <v/>
      </c>
    </row>
    <row r="1295" spans="6:6" x14ac:dyDescent="0.2">
      <c r="F1295" s="133" t="str">
        <f t="shared" si="53"/>
        <v/>
      </c>
    </row>
    <row r="1296" spans="6:6" x14ac:dyDescent="0.2">
      <c r="F1296" s="133" t="str">
        <f t="shared" si="53"/>
        <v/>
      </c>
    </row>
    <row r="1297" spans="6:6" x14ac:dyDescent="0.2">
      <c r="F1297" s="133" t="str">
        <f t="shared" si="53"/>
        <v/>
      </c>
    </row>
    <row r="1298" spans="6:6" x14ac:dyDescent="0.2">
      <c r="F1298" s="133" t="str">
        <f t="shared" si="53"/>
        <v/>
      </c>
    </row>
    <row r="1299" spans="6:6" x14ac:dyDescent="0.2">
      <c r="F1299" s="133" t="str">
        <f t="shared" si="53"/>
        <v/>
      </c>
    </row>
    <row r="1300" spans="6:6" x14ac:dyDescent="0.2">
      <c r="F1300" s="133" t="str">
        <f t="shared" si="53"/>
        <v/>
      </c>
    </row>
    <row r="1301" spans="6:6" x14ac:dyDescent="0.2">
      <c r="F1301" s="133" t="str">
        <f t="shared" si="53"/>
        <v/>
      </c>
    </row>
    <row r="1302" spans="6:6" x14ac:dyDescent="0.2">
      <c r="F1302" s="133" t="str">
        <f t="shared" si="53"/>
        <v/>
      </c>
    </row>
    <row r="1303" spans="6:6" x14ac:dyDescent="0.2">
      <c r="F1303" s="133" t="str">
        <f t="shared" si="53"/>
        <v/>
      </c>
    </row>
    <row r="1304" spans="6:6" x14ac:dyDescent="0.2">
      <c r="F1304" s="133" t="str">
        <f t="shared" si="53"/>
        <v/>
      </c>
    </row>
    <row r="1305" spans="6:6" x14ac:dyDescent="0.2">
      <c r="F1305" s="133" t="str">
        <f t="shared" si="53"/>
        <v/>
      </c>
    </row>
    <row r="1306" spans="6:6" x14ac:dyDescent="0.2">
      <c r="F1306" s="133" t="str">
        <f t="shared" si="53"/>
        <v/>
      </c>
    </row>
    <row r="1307" spans="6:6" x14ac:dyDescent="0.2">
      <c r="F1307" s="133" t="str">
        <f t="shared" si="53"/>
        <v/>
      </c>
    </row>
    <row r="1308" spans="6:6" x14ac:dyDescent="0.2">
      <c r="F1308" s="133" t="str">
        <f t="shared" si="53"/>
        <v/>
      </c>
    </row>
    <row r="1309" spans="6:6" x14ac:dyDescent="0.2">
      <c r="F1309" s="133" t="str">
        <f t="shared" si="53"/>
        <v/>
      </c>
    </row>
    <row r="1310" spans="6:6" x14ac:dyDescent="0.2">
      <c r="F1310" s="133" t="str">
        <f t="shared" si="53"/>
        <v/>
      </c>
    </row>
    <row r="1311" spans="6:6" x14ac:dyDescent="0.2">
      <c r="F1311" s="133" t="str">
        <f t="shared" si="53"/>
        <v/>
      </c>
    </row>
    <row r="1312" spans="6:6" x14ac:dyDescent="0.2">
      <c r="F1312" s="133" t="str">
        <f t="shared" si="53"/>
        <v/>
      </c>
    </row>
    <row r="1313" spans="6:6" x14ac:dyDescent="0.2">
      <c r="F1313" s="133" t="str">
        <f t="shared" si="53"/>
        <v/>
      </c>
    </row>
    <row r="1314" spans="6:6" x14ac:dyDescent="0.2">
      <c r="F1314" s="133" t="str">
        <f t="shared" si="53"/>
        <v/>
      </c>
    </row>
    <row r="1315" spans="6:6" x14ac:dyDescent="0.2">
      <c r="F1315" s="133" t="str">
        <f t="shared" si="53"/>
        <v/>
      </c>
    </row>
    <row r="1316" spans="6:6" x14ac:dyDescent="0.2">
      <c r="F1316" s="133" t="str">
        <f t="shared" si="53"/>
        <v/>
      </c>
    </row>
    <row r="1317" spans="6:6" x14ac:dyDescent="0.2">
      <c r="F1317" s="133" t="str">
        <f t="shared" si="53"/>
        <v/>
      </c>
    </row>
    <row r="1318" spans="6:6" x14ac:dyDescent="0.2">
      <c r="F1318" s="133" t="str">
        <f t="shared" si="53"/>
        <v/>
      </c>
    </row>
    <row r="1319" spans="6:6" x14ac:dyDescent="0.2">
      <c r="F1319" s="133" t="str">
        <f t="shared" si="53"/>
        <v/>
      </c>
    </row>
    <row r="1320" spans="6:6" x14ac:dyDescent="0.2">
      <c r="F1320" s="133" t="str">
        <f t="shared" si="53"/>
        <v/>
      </c>
    </row>
    <row r="1321" spans="6:6" x14ac:dyDescent="0.2">
      <c r="F1321" s="133" t="str">
        <f t="shared" si="53"/>
        <v/>
      </c>
    </row>
    <row r="1322" spans="6:6" x14ac:dyDescent="0.2">
      <c r="F1322" s="133" t="str">
        <f t="shared" si="53"/>
        <v/>
      </c>
    </row>
    <row r="1323" spans="6:6" x14ac:dyDescent="0.2">
      <c r="F1323" s="133" t="str">
        <f t="shared" si="53"/>
        <v/>
      </c>
    </row>
    <row r="1324" spans="6:6" x14ac:dyDescent="0.2">
      <c r="F1324" s="133" t="str">
        <f t="shared" si="53"/>
        <v/>
      </c>
    </row>
    <row r="1325" spans="6:6" x14ac:dyDescent="0.2">
      <c r="F1325" s="133" t="str">
        <f t="shared" si="53"/>
        <v/>
      </c>
    </row>
    <row r="1326" spans="6:6" x14ac:dyDescent="0.2">
      <c r="F1326" s="133" t="str">
        <f t="shared" si="53"/>
        <v/>
      </c>
    </row>
    <row r="1327" spans="6:6" x14ac:dyDescent="0.2">
      <c r="F1327" s="133" t="str">
        <f t="shared" si="53"/>
        <v/>
      </c>
    </row>
    <row r="1328" spans="6:6" x14ac:dyDescent="0.2">
      <c r="F1328" s="133" t="str">
        <f t="shared" si="53"/>
        <v/>
      </c>
    </row>
    <row r="1329" spans="6:6" x14ac:dyDescent="0.2">
      <c r="F1329" s="133" t="str">
        <f t="shared" si="53"/>
        <v/>
      </c>
    </row>
    <row r="1330" spans="6:6" x14ac:dyDescent="0.2">
      <c r="F1330" s="133" t="str">
        <f t="shared" si="53"/>
        <v/>
      </c>
    </row>
    <row r="1331" spans="6:6" x14ac:dyDescent="0.2">
      <c r="F1331" s="133" t="str">
        <f t="shared" si="53"/>
        <v/>
      </c>
    </row>
    <row r="1332" spans="6:6" x14ac:dyDescent="0.2">
      <c r="F1332" s="133" t="str">
        <f t="shared" si="53"/>
        <v/>
      </c>
    </row>
    <row r="1333" spans="6:6" x14ac:dyDescent="0.2">
      <c r="F1333" s="133" t="str">
        <f t="shared" si="53"/>
        <v/>
      </c>
    </row>
    <row r="1334" spans="6:6" x14ac:dyDescent="0.2">
      <c r="F1334" s="133" t="str">
        <f t="shared" si="53"/>
        <v/>
      </c>
    </row>
    <row r="1335" spans="6:6" x14ac:dyDescent="0.2">
      <c r="F1335" s="133" t="str">
        <f t="shared" si="53"/>
        <v/>
      </c>
    </row>
    <row r="1336" spans="6:6" x14ac:dyDescent="0.2">
      <c r="F1336" s="133" t="str">
        <f t="shared" si="53"/>
        <v/>
      </c>
    </row>
    <row r="1337" spans="6:6" x14ac:dyDescent="0.2">
      <c r="F1337" s="133" t="str">
        <f t="shared" si="53"/>
        <v/>
      </c>
    </row>
    <row r="1338" spans="6:6" x14ac:dyDescent="0.2">
      <c r="F1338" s="133" t="str">
        <f t="shared" si="53"/>
        <v/>
      </c>
    </row>
    <row r="1339" spans="6:6" x14ac:dyDescent="0.2">
      <c r="F1339" s="133" t="str">
        <f t="shared" si="53"/>
        <v/>
      </c>
    </row>
    <row r="1340" spans="6:6" x14ac:dyDescent="0.2">
      <c r="F1340" s="133" t="str">
        <f t="shared" si="53"/>
        <v/>
      </c>
    </row>
    <row r="1341" spans="6:6" x14ac:dyDescent="0.2">
      <c r="F1341" s="133" t="str">
        <f t="shared" si="53"/>
        <v/>
      </c>
    </row>
    <row r="1342" spans="6:6" x14ac:dyDescent="0.2">
      <c r="F1342" s="133" t="str">
        <f t="shared" si="53"/>
        <v/>
      </c>
    </row>
    <row r="1343" spans="6:6" x14ac:dyDescent="0.2">
      <c r="F1343" s="133" t="str">
        <f t="shared" si="53"/>
        <v/>
      </c>
    </row>
    <row r="1344" spans="6:6" x14ac:dyDescent="0.2">
      <c r="F1344" s="133" t="str">
        <f t="shared" si="53"/>
        <v/>
      </c>
    </row>
    <row r="1345" spans="6:6" x14ac:dyDescent="0.2">
      <c r="F1345" s="133" t="str">
        <f t="shared" si="53"/>
        <v/>
      </c>
    </row>
    <row r="1346" spans="6:6" x14ac:dyDescent="0.2">
      <c r="F1346" s="133" t="str">
        <f t="shared" ref="F1346:F1411" si="54">IF(OR(A1346="",D1346=""),"",INT((D1346-A1346)*24)&amp;" час "&amp;ROUND(((D1346-A1346)*24-INT((D1346-A1346)*24))*60,0)&amp;" минут")</f>
        <v/>
      </c>
    </row>
    <row r="1347" spans="6:6" x14ac:dyDescent="0.2">
      <c r="F1347" s="133" t="str">
        <f t="shared" si="54"/>
        <v/>
      </c>
    </row>
    <row r="1348" spans="6:6" x14ac:dyDescent="0.2">
      <c r="F1348" s="133" t="str">
        <f t="shared" si="54"/>
        <v/>
      </c>
    </row>
    <row r="1349" spans="6:6" x14ac:dyDescent="0.2">
      <c r="F1349" s="133" t="str">
        <f t="shared" si="54"/>
        <v/>
      </c>
    </row>
    <row r="1350" spans="6:6" x14ac:dyDescent="0.2">
      <c r="F1350" s="133" t="str">
        <f t="shared" si="54"/>
        <v/>
      </c>
    </row>
    <row r="1351" spans="6:6" x14ac:dyDescent="0.2">
      <c r="F1351" s="133" t="str">
        <f t="shared" si="54"/>
        <v/>
      </c>
    </row>
    <row r="1352" spans="6:6" x14ac:dyDescent="0.2">
      <c r="F1352" s="133" t="str">
        <f t="shared" si="54"/>
        <v/>
      </c>
    </row>
    <row r="1353" spans="6:6" x14ac:dyDescent="0.2">
      <c r="F1353" s="133" t="str">
        <f t="shared" si="54"/>
        <v/>
      </c>
    </row>
    <row r="1354" spans="6:6" x14ac:dyDescent="0.2">
      <c r="F1354" s="133" t="str">
        <f t="shared" si="54"/>
        <v/>
      </c>
    </row>
    <row r="1355" spans="6:6" x14ac:dyDescent="0.2">
      <c r="F1355" s="133" t="str">
        <f t="shared" si="54"/>
        <v/>
      </c>
    </row>
    <row r="1356" spans="6:6" x14ac:dyDescent="0.2">
      <c r="F1356" s="133" t="str">
        <f t="shared" si="54"/>
        <v/>
      </c>
    </row>
    <row r="1357" spans="6:6" x14ac:dyDescent="0.2">
      <c r="F1357" s="133" t="str">
        <f t="shared" si="54"/>
        <v/>
      </c>
    </row>
    <row r="1358" spans="6:6" x14ac:dyDescent="0.2">
      <c r="F1358" s="133" t="str">
        <f t="shared" si="54"/>
        <v/>
      </c>
    </row>
    <row r="1359" spans="6:6" x14ac:dyDescent="0.2">
      <c r="F1359" s="133" t="str">
        <f t="shared" si="54"/>
        <v/>
      </c>
    </row>
    <row r="1360" spans="6:6" x14ac:dyDescent="0.2">
      <c r="F1360" s="133" t="str">
        <f t="shared" si="54"/>
        <v/>
      </c>
    </row>
    <row r="1361" spans="6:6" x14ac:dyDescent="0.2">
      <c r="F1361" s="133" t="str">
        <f t="shared" si="54"/>
        <v/>
      </c>
    </row>
    <row r="1362" spans="6:6" x14ac:dyDescent="0.2">
      <c r="F1362" s="133" t="str">
        <f t="shared" si="54"/>
        <v/>
      </c>
    </row>
    <row r="1363" spans="6:6" x14ac:dyDescent="0.2">
      <c r="F1363" s="133" t="str">
        <f t="shared" si="54"/>
        <v/>
      </c>
    </row>
    <row r="1364" spans="6:6" x14ac:dyDescent="0.2">
      <c r="F1364" s="133" t="str">
        <f t="shared" si="54"/>
        <v/>
      </c>
    </row>
    <row r="1365" spans="6:6" x14ac:dyDescent="0.2">
      <c r="F1365" s="133" t="str">
        <f t="shared" si="54"/>
        <v/>
      </c>
    </row>
    <row r="1366" spans="6:6" x14ac:dyDescent="0.2">
      <c r="F1366" s="133" t="str">
        <f t="shared" si="54"/>
        <v/>
      </c>
    </row>
    <row r="1367" spans="6:6" x14ac:dyDescent="0.2">
      <c r="F1367" s="133" t="str">
        <f t="shared" si="54"/>
        <v/>
      </c>
    </row>
    <row r="1368" spans="6:6" x14ac:dyDescent="0.2">
      <c r="F1368" s="133" t="str">
        <f t="shared" si="54"/>
        <v/>
      </c>
    </row>
    <row r="1369" spans="6:6" x14ac:dyDescent="0.2">
      <c r="F1369" s="133" t="str">
        <f t="shared" si="54"/>
        <v/>
      </c>
    </row>
    <row r="1370" spans="6:6" x14ac:dyDescent="0.2">
      <c r="F1370" s="133" t="str">
        <f t="shared" si="54"/>
        <v/>
      </c>
    </row>
    <row r="1371" spans="6:6" x14ac:dyDescent="0.2">
      <c r="F1371" s="133" t="str">
        <f t="shared" si="54"/>
        <v/>
      </c>
    </row>
    <row r="1372" spans="6:6" x14ac:dyDescent="0.2">
      <c r="F1372" s="133" t="str">
        <f t="shared" si="54"/>
        <v/>
      </c>
    </row>
    <row r="1373" spans="6:6" x14ac:dyDescent="0.2">
      <c r="F1373" s="133" t="str">
        <f t="shared" si="54"/>
        <v/>
      </c>
    </row>
    <row r="1374" spans="6:6" x14ac:dyDescent="0.2">
      <c r="F1374" s="133" t="str">
        <f t="shared" si="54"/>
        <v/>
      </c>
    </row>
    <row r="1375" spans="6:6" x14ac:dyDescent="0.2">
      <c r="F1375" s="133" t="str">
        <f t="shared" si="54"/>
        <v/>
      </c>
    </row>
    <row r="1376" spans="6:6" x14ac:dyDescent="0.2">
      <c r="F1376" s="133" t="str">
        <f t="shared" si="54"/>
        <v/>
      </c>
    </row>
    <row r="1377" spans="6:6" x14ac:dyDescent="0.2">
      <c r="F1377" s="133" t="str">
        <f t="shared" si="54"/>
        <v/>
      </c>
    </row>
    <row r="1378" spans="6:6" x14ac:dyDescent="0.2">
      <c r="F1378" s="133" t="str">
        <f t="shared" si="54"/>
        <v/>
      </c>
    </row>
    <row r="1379" spans="6:6" x14ac:dyDescent="0.2">
      <c r="F1379" s="133" t="str">
        <f t="shared" si="54"/>
        <v/>
      </c>
    </row>
    <row r="1380" spans="6:6" x14ac:dyDescent="0.2">
      <c r="F1380" s="133" t="str">
        <f t="shared" si="54"/>
        <v/>
      </c>
    </row>
    <row r="1381" spans="6:6" x14ac:dyDescent="0.2">
      <c r="F1381" s="133" t="str">
        <f t="shared" si="54"/>
        <v/>
      </c>
    </row>
    <row r="1382" spans="6:6" x14ac:dyDescent="0.2">
      <c r="F1382" s="133" t="str">
        <f t="shared" si="54"/>
        <v/>
      </c>
    </row>
    <row r="1383" spans="6:6" x14ac:dyDescent="0.2">
      <c r="F1383" s="133" t="str">
        <f t="shared" si="54"/>
        <v/>
      </c>
    </row>
    <row r="1384" spans="6:6" x14ac:dyDescent="0.2">
      <c r="F1384" s="133" t="str">
        <f t="shared" si="54"/>
        <v/>
      </c>
    </row>
    <row r="1385" spans="6:6" x14ac:dyDescent="0.2">
      <c r="F1385" s="133" t="str">
        <f t="shared" si="54"/>
        <v/>
      </c>
    </row>
    <row r="1386" spans="6:6" x14ac:dyDescent="0.2">
      <c r="F1386" s="133" t="str">
        <f t="shared" si="54"/>
        <v/>
      </c>
    </row>
    <row r="1387" spans="6:6" x14ac:dyDescent="0.2">
      <c r="F1387" s="133" t="str">
        <f t="shared" si="54"/>
        <v/>
      </c>
    </row>
    <row r="1388" spans="6:6" x14ac:dyDescent="0.2">
      <c r="F1388" s="133" t="str">
        <f t="shared" si="54"/>
        <v/>
      </c>
    </row>
    <row r="1389" spans="6:6" x14ac:dyDescent="0.2">
      <c r="F1389" s="133" t="str">
        <f t="shared" si="54"/>
        <v/>
      </c>
    </row>
    <row r="1390" spans="6:6" x14ac:dyDescent="0.2">
      <c r="F1390" s="133" t="str">
        <f t="shared" si="54"/>
        <v/>
      </c>
    </row>
    <row r="1391" spans="6:6" x14ac:dyDescent="0.2">
      <c r="F1391" s="133" t="str">
        <f t="shared" si="54"/>
        <v/>
      </c>
    </row>
    <row r="1392" spans="6:6" x14ac:dyDescent="0.2">
      <c r="F1392" s="133" t="str">
        <f t="shared" si="54"/>
        <v/>
      </c>
    </row>
    <row r="1393" spans="6:6" x14ac:dyDescent="0.2">
      <c r="F1393" s="133" t="str">
        <f t="shared" si="54"/>
        <v/>
      </c>
    </row>
    <row r="1394" spans="6:6" x14ac:dyDescent="0.2">
      <c r="F1394" s="133" t="str">
        <f t="shared" si="54"/>
        <v/>
      </c>
    </row>
    <row r="1395" spans="6:6" x14ac:dyDescent="0.2">
      <c r="F1395" s="133" t="str">
        <f t="shared" si="54"/>
        <v/>
      </c>
    </row>
    <row r="1396" spans="6:6" x14ac:dyDescent="0.2">
      <c r="F1396" s="133" t="str">
        <f t="shared" si="54"/>
        <v/>
      </c>
    </row>
    <row r="1397" spans="6:6" x14ac:dyDescent="0.2">
      <c r="F1397" s="133" t="str">
        <f t="shared" si="54"/>
        <v/>
      </c>
    </row>
    <row r="1398" spans="6:6" x14ac:dyDescent="0.2">
      <c r="F1398" s="133" t="str">
        <f t="shared" si="54"/>
        <v/>
      </c>
    </row>
    <row r="1399" spans="6:6" x14ac:dyDescent="0.2">
      <c r="F1399" s="133" t="str">
        <f t="shared" si="54"/>
        <v/>
      </c>
    </row>
    <row r="1400" spans="6:6" x14ac:dyDescent="0.2">
      <c r="F1400" s="133" t="str">
        <f t="shared" si="54"/>
        <v/>
      </c>
    </row>
    <row r="1401" spans="6:6" x14ac:dyDescent="0.2">
      <c r="F1401" s="133" t="str">
        <f t="shared" si="54"/>
        <v/>
      </c>
    </row>
    <row r="1402" spans="6:6" x14ac:dyDescent="0.2">
      <c r="F1402" s="133" t="str">
        <f t="shared" si="54"/>
        <v/>
      </c>
    </row>
    <row r="1403" spans="6:6" x14ac:dyDescent="0.2">
      <c r="F1403" s="133" t="str">
        <f t="shared" si="54"/>
        <v/>
      </c>
    </row>
    <row r="1404" spans="6:6" x14ac:dyDescent="0.2">
      <c r="F1404" s="133" t="str">
        <f t="shared" si="54"/>
        <v/>
      </c>
    </row>
    <row r="1405" spans="6:6" x14ac:dyDescent="0.2">
      <c r="F1405" s="133" t="str">
        <f t="shared" si="54"/>
        <v/>
      </c>
    </row>
    <row r="1406" spans="6:6" x14ac:dyDescent="0.2">
      <c r="F1406" s="133" t="str">
        <f t="shared" si="54"/>
        <v/>
      </c>
    </row>
    <row r="1407" spans="6:6" x14ac:dyDescent="0.2">
      <c r="F1407" s="133" t="str">
        <f t="shared" si="54"/>
        <v/>
      </c>
    </row>
    <row r="1408" spans="6:6" x14ac:dyDescent="0.2">
      <c r="F1408" s="133" t="str">
        <f t="shared" si="54"/>
        <v/>
      </c>
    </row>
    <row r="1409" spans="6:6" x14ac:dyDescent="0.2">
      <c r="F1409" s="133" t="str">
        <f t="shared" si="54"/>
        <v/>
      </c>
    </row>
    <row r="1410" spans="6:6" x14ac:dyDescent="0.2">
      <c r="F1410" s="133" t="str">
        <f t="shared" si="54"/>
        <v/>
      </c>
    </row>
    <row r="1411" spans="6:6" x14ac:dyDescent="0.2">
      <c r="F1411" s="133" t="str">
        <f t="shared" si="54"/>
        <v/>
      </c>
    </row>
  </sheetData>
  <mergeCells count="1">
    <mergeCell ref="H1:I1"/>
  </mergeCells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66"/>
  <sheetViews>
    <sheetView zoomScale="80" zoomScaleNormal="80" workbookViewId="0">
      <pane xSplit="11" ySplit="21" topLeftCell="L78" activePane="bottomRight" state="frozen"/>
      <selection pane="topRight" activeCell="L1" sqref="L1"/>
      <selection pane="bottomLeft" activeCell="A22" sqref="A22"/>
      <selection pane="bottomRight" activeCell="K18" sqref="K18"/>
    </sheetView>
  </sheetViews>
  <sheetFormatPr baseColWidth="10" defaultColWidth="9.1640625" defaultRowHeight="16" x14ac:dyDescent="0.2"/>
  <cols>
    <col min="1" max="1" width="12.33203125" style="54" customWidth="1"/>
    <col min="2" max="2" width="9" style="55" customWidth="1"/>
    <col min="3" max="3" width="7.83203125" style="55" customWidth="1"/>
    <col min="4" max="4" width="9.83203125" style="56" customWidth="1"/>
    <col min="5" max="5" width="31" style="56" customWidth="1"/>
    <col min="6" max="6" width="17.5" style="56" customWidth="1"/>
    <col min="7" max="7" width="9.1640625" style="57" customWidth="1"/>
    <col min="8" max="8" width="23.1640625" style="57" customWidth="1"/>
    <col min="9" max="9" width="36.1640625" style="57" customWidth="1"/>
    <col min="10" max="10" width="29" style="57" customWidth="1"/>
    <col min="11" max="11" width="10.33203125" style="56" customWidth="1"/>
    <col min="12" max="12" width="18" style="56" customWidth="1"/>
    <col min="13" max="13" width="36" style="56" customWidth="1"/>
    <col min="14" max="14" width="28.33203125" style="56" customWidth="1"/>
    <col min="15" max="15" width="9.1640625" style="56" customWidth="1"/>
    <col min="16" max="16" width="9.1640625" style="58" customWidth="1"/>
    <col min="17" max="16384" width="9.1640625" style="58"/>
  </cols>
  <sheetData>
    <row r="1" spans="1:14" x14ac:dyDescent="0.2">
      <c r="A1" s="59" t="s">
        <v>66</v>
      </c>
      <c r="B1" s="60" t="s">
        <v>330</v>
      </c>
      <c r="C1" s="61" t="s">
        <v>333</v>
      </c>
      <c r="D1" s="62" t="s">
        <v>12</v>
      </c>
      <c r="E1" s="62" t="s">
        <v>13</v>
      </c>
      <c r="F1" s="63" t="s">
        <v>14</v>
      </c>
      <c r="G1" s="64" t="s">
        <v>137</v>
      </c>
      <c r="H1" s="62" t="s">
        <v>324</v>
      </c>
      <c r="I1" s="62" t="s">
        <v>325</v>
      </c>
      <c r="J1" s="63" t="s">
        <v>326</v>
      </c>
      <c r="K1" s="64" t="s">
        <v>68</v>
      </c>
      <c r="L1" s="62" t="s">
        <v>327</v>
      </c>
      <c r="M1" s="62" t="s">
        <v>328</v>
      </c>
      <c r="N1" s="63" t="s">
        <v>329</v>
      </c>
    </row>
    <row r="2" spans="1:14" x14ac:dyDescent="0.2">
      <c r="A2" s="65">
        <v>46023</v>
      </c>
      <c r="B2" s="66">
        <f t="shared" ref="B2:B65" si="0">WEEKNUM(A2,2)</f>
        <v>1</v>
      </c>
      <c r="C2" s="67">
        <f t="shared" ref="C2:C65" si="1">MONTH(A2)</f>
        <v>1</v>
      </c>
      <c r="F2" s="68"/>
      <c r="G2" s="69">
        <v>1</v>
      </c>
      <c r="H2" s="57" t="str">
        <f>IFERROR(AVERAGE(D2:D5),"")</f>
        <v/>
      </c>
      <c r="I2" s="57" t="str">
        <f>IFERROR(AVERAGE(E2:E5),"")</f>
        <v/>
      </c>
      <c r="J2" s="72" t="str">
        <f>IFERROR(AVERAGE(F2:F5),"")</f>
        <v/>
      </c>
      <c r="K2" s="69" t="s">
        <v>47</v>
      </c>
      <c r="L2" s="57" t="str">
        <f>IFERROR(AVERAGEIF($C:$C,1,D:D),"")</f>
        <v/>
      </c>
      <c r="M2" s="57" t="str">
        <f>IFERROR(AVERAGEIF($C:$C,1,E:E),"")</f>
        <v/>
      </c>
      <c r="N2" s="72" t="str">
        <f>IFERROR(AVERAGEIF($C:$C,1,F:F),"")</f>
        <v/>
      </c>
    </row>
    <row r="3" spans="1:14" x14ac:dyDescent="0.2">
      <c r="A3" s="65">
        <v>46024</v>
      </c>
      <c r="B3" s="66">
        <f t="shared" si="0"/>
        <v>1</v>
      </c>
      <c r="C3" s="67">
        <f t="shared" si="1"/>
        <v>1</v>
      </c>
      <c r="F3" s="68"/>
      <c r="G3" s="69">
        <v>2</v>
      </c>
      <c r="H3" s="57" t="str">
        <f>IFERROR(AVERAGE(INDEX(D:D,6+(ROW(A1)-1)*7):INDEX(D:D,12+(ROW(A1)-1)*7)),"")</f>
        <v/>
      </c>
      <c r="I3" s="57" t="str">
        <f>IFERROR(AVERAGE(INDEX(E:E,6+(ROW(B1)-1)*7):INDEX(E:E,12+(ROW(B1)-1)*7)),"")</f>
        <v/>
      </c>
      <c r="J3" s="72" t="str">
        <f>IFERROR(AVERAGE(INDEX(F:F,6+(ROW(C1)-1)*7):INDEX(F:F,12+(ROW(C1)-1)*7)),"")</f>
        <v/>
      </c>
      <c r="K3" s="69" t="s">
        <v>36</v>
      </c>
      <c r="L3" s="57" t="str">
        <f>IFERROR(AVERAGEIF($C:$C,2,D:D),"")</f>
        <v/>
      </c>
      <c r="M3" s="57" t="str">
        <f>IFERROR(AVERAGEIF($C:$C,2,E:E),"")</f>
        <v/>
      </c>
      <c r="N3" s="72">
        <f>IFERROR(AVERAGEIF($C:$C,2,F:F),"")</f>
        <v>99.06</v>
      </c>
    </row>
    <row r="4" spans="1:14" x14ac:dyDescent="0.2">
      <c r="A4" s="65">
        <v>46025</v>
      </c>
      <c r="B4" s="66">
        <f t="shared" si="0"/>
        <v>1</v>
      </c>
      <c r="C4" s="67">
        <f t="shared" si="1"/>
        <v>1</v>
      </c>
      <c r="F4" s="68"/>
      <c r="G4" s="69">
        <v>3</v>
      </c>
      <c r="H4" s="57" t="str">
        <f>IFERROR(AVERAGE(INDEX(D:D,6+(ROW(A2)-1)*7):INDEX(D:D,12+(ROW(A2)-1)*7)),"")</f>
        <v/>
      </c>
      <c r="I4" s="57" t="str">
        <f>IFERROR(AVERAGE(INDEX(E:E,6+(ROW(B2)-1)*7):INDEX(E:E,12+(ROW(B2)-1)*7)),"")</f>
        <v/>
      </c>
      <c r="J4" s="72" t="str">
        <f>IFERROR(AVERAGE(INDEX(F:F,6+(ROW(C2)-1)*7):INDEX(F:F,12+(ROW(C2)-1)*7)),"")</f>
        <v/>
      </c>
      <c r="K4" s="69" t="s">
        <v>17</v>
      </c>
      <c r="L4" s="194">
        <f>IFERROR(AVERAGEIF($C:$C,3,D:D),"")</f>
        <v>98.679285714285697</v>
      </c>
      <c r="M4" s="57">
        <f>IFERROR(AVERAGEIF($C:$C,3,E:E),"")</f>
        <v>93.6164285714286</v>
      </c>
      <c r="N4" s="72">
        <f>IFERROR(AVERAGEIF($C:$C,3,F:F),"")</f>
        <v>98.234999999999999</v>
      </c>
    </row>
    <row r="5" spans="1:14" x14ac:dyDescent="0.2">
      <c r="A5" s="65">
        <v>46026</v>
      </c>
      <c r="B5" s="66">
        <f t="shared" si="0"/>
        <v>1</v>
      </c>
      <c r="C5" s="67">
        <f t="shared" si="1"/>
        <v>1</v>
      </c>
      <c r="F5" s="68"/>
      <c r="G5" s="69">
        <v>4</v>
      </c>
      <c r="H5" s="57" t="str">
        <f>IFERROR(AVERAGE(INDEX(D:D,6+(ROW(A3)-1)*7):INDEX(D:D,12+(ROW(A3)-1)*7)),"")</f>
        <v/>
      </c>
      <c r="I5" s="57" t="str">
        <f>IFERROR(AVERAGE(INDEX(E:E,6+(ROW(B3)-1)*7):INDEX(E:E,12+(ROW(B3)-1)*7)),"")</f>
        <v/>
      </c>
      <c r="J5" s="72" t="str">
        <f>IFERROR(AVERAGE(INDEX(F:F,6+(ROW(C3)-1)*7):INDEX(F:F,12+(ROW(C3)-1)*7)),"")</f>
        <v/>
      </c>
      <c r="K5" s="69" t="s">
        <v>48</v>
      </c>
      <c r="L5" s="57" t="str">
        <f>IFERROR(AVERAGEIF($C:$C,4,D:D),"")</f>
        <v/>
      </c>
      <c r="M5" s="57" t="str">
        <f>IFERROR(AVERAGEIF($C:$C,4,E:E),"")</f>
        <v/>
      </c>
      <c r="N5" s="72" t="str">
        <f>IFERROR(AVERAGEIF($C:$C,4,F:F),"")</f>
        <v/>
      </c>
    </row>
    <row r="6" spans="1:14" x14ac:dyDescent="0.2">
      <c r="A6" s="65">
        <v>46027</v>
      </c>
      <c r="B6" s="66">
        <f t="shared" si="0"/>
        <v>2</v>
      </c>
      <c r="C6" s="67">
        <f t="shared" si="1"/>
        <v>1</v>
      </c>
      <c r="F6" s="68"/>
      <c r="G6" s="69">
        <v>5</v>
      </c>
      <c r="H6" s="57" t="str">
        <f>IFERROR(AVERAGE(INDEX(D:D,6+(ROW(A4)-1)*7):INDEX(D:D,12+(ROW(A4)-1)*7)),"")</f>
        <v/>
      </c>
      <c r="I6" s="57" t="str">
        <f>IFERROR(AVERAGE(INDEX(E:E,6+(ROW(B4)-1)*7):INDEX(E:E,12+(ROW(B4)-1)*7)),"")</f>
        <v/>
      </c>
      <c r="J6" s="72" t="str">
        <f>IFERROR(AVERAGE(INDEX(F:F,6+(ROW(C4)-1)*7):INDEX(F:F,12+(ROW(C4)-1)*7)),"")</f>
        <v/>
      </c>
      <c r="K6" s="69" t="s">
        <v>49</v>
      </c>
      <c r="L6" s="57" t="str">
        <f>IFERROR(AVERAGEIF($C:$C,5,D:D),"")</f>
        <v/>
      </c>
      <c r="M6" s="57" t="str">
        <f>IFERROR(AVERAGEIF($C:$C,5,E:E),"")</f>
        <v/>
      </c>
      <c r="N6" s="72" t="str">
        <f>IFERROR(AVERAGEIF($C:$C,5,F:F),"")</f>
        <v/>
      </c>
    </row>
    <row r="7" spans="1:14" x14ac:dyDescent="0.2">
      <c r="A7" s="65">
        <v>46028</v>
      </c>
      <c r="B7" s="66">
        <f t="shared" si="0"/>
        <v>2</v>
      </c>
      <c r="C7" s="67">
        <f t="shared" si="1"/>
        <v>1</v>
      </c>
      <c r="F7" s="68"/>
      <c r="G7" s="69">
        <v>6</v>
      </c>
      <c r="H7" s="57" t="str">
        <f>IFERROR(AVERAGE(INDEX(D:D,6+(ROW(A5)-1)*7):INDEX(D:D,12+(ROW(A5)-1)*7)),"")</f>
        <v/>
      </c>
      <c r="I7" s="57" t="str">
        <f>IFERROR(AVERAGE(INDEX(E:E,6+(ROW(B5)-1)*7):INDEX(E:E,12+(ROW(B5)-1)*7)),"")</f>
        <v/>
      </c>
      <c r="J7" s="72" t="str">
        <f>IFERROR(AVERAGE(INDEX(F:F,6+(ROW(C5)-1)*7):INDEX(F:F,12+(ROW(C5)-1)*7)),"")</f>
        <v/>
      </c>
      <c r="K7" s="69" t="s">
        <v>50</v>
      </c>
      <c r="L7" s="57" t="str">
        <f>IFERROR(AVERAGEIF($C:$C,6,D:D),"")</f>
        <v/>
      </c>
      <c r="M7" s="57" t="str">
        <f>IFERROR(AVERAGEIF($C:$C,6,E:E),"")</f>
        <v/>
      </c>
      <c r="N7" s="72" t="str">
        <f>IFERROR(AVERAGEIF($C:$C,6,F:F),"")</f>
        <v/>
      </c>
    </row>
    <row r="8" spans="1:14" x14ac:dyDescent="0.2">
      <c r="A8" s="65">
        <v>46029</v>
      </c>
      <c r="B8" s="66">
        <f t="shared" si="0"/>
        <v>2</v>
      </c>
      <c r="C8" s="67">
        <f t="shared" si="1"/>
        <v>1</v>
      </c>
      <c r="F8" s="68"/>
      <c r="G8" s="69">
        <v>7</v>
      </c>
      <c r="H8" s="57" t="str">
        <f>IFERROR(AVERAGE(INDEX(D:D,6+(ROW(A6)-1)*7):INDEX(D:D,12+(ROW(A6)-1)*7)),"")</f>
        <v/>
      </c>
      <c r="I8" s="57" t="str">
        <f>IFERROR(AVERAGE(INDEX(E:E,6+(ROW(B6)-1)*7):INDEX(E:E,12+(ROW(B6)-1)*7)),"")</f>
        <v/>
      </c>
      <c r="J8" s="72" t="str">
        <f>IFERROR(AVERAGE(INDEX(F:F,6+(ROW(C6)-1)*7):INDEX(F:F,12+(ROW(C6)-1)*7)),"")</f>
        <v/>
      </c>
      <c r="K8" s="69" t="s">
        <v>51</v>
      </c>
      <c r="L8" s="57" t="str">
        <f>IFERROR(AVERAGEIF($C:$C,7,D:D),"")</f>
        <v/>
      </c>
      <c r="M8" s="57" t="str">
        <f>IFERROR(AVERAGEIF($C:$C,7,E:E),"")</f>
        <v/>
      </c>
      <c r="N8" s="72" t="str">
        <f>IFERROR(AVERAGEIF($C:$C,7,F:F),"")</f>
        <v/>
      </c>
    </row>
    <row r="9" spans="1:14" x14ac:dyDescent="0.2">
      <c r="A9" s="65">
        <v>46030</v>
      </c>
      <c r="B9" s="66">
        <f t="shared" si="0"/>
        <v>2</v>
      </c>
      <c r="C9" s="67">
        <f t="shared" si="1"/>
        <v>1</v>
      </c>
      <c r="F9" s="68"/>
      <c r="G9" s="69">
        <v>8</v>
      </c>
      <c r="H9" s="57" t="str">
        <f>IFERROR(AVERAGE(INDEX(D:D,6+(ROW(A7)-1)*7):INDEX(D:D,12+(ROW(A7)-1)*7)),"")</f>
        <v/>
      </c>
      <c r="I9" s="57" t="str">
        <f>IFERROR(AVERAGE(INDEX(E:E,6+(ROW(B7)-1)*7):INDEX(E:E,12+(ROW(B7)-1)*7)),"")</f>
        <v/>
      </c>
      <c r="J9" s="72" t="str">
        <f>IFERROR(AVERAGE(INDEX(F:F,6+(ROW(C7)-1)*7):INDEX(F:F,12+(ROW(C7)-1)*7)),"")</f>
        <v/>
      </c>
      <c r="K9" s="69" t="s">
        <v>52</v>
      </c>
      <c r="L9" s="57" t="str">
        <f>IFERROR(AVERAGEIF($C:$C,8,D:D),"")</f>
        <v/>
      </c>
      <c r="M9" s="57" t="str">
        <f>IFERROR(AVERAGEIF($C:$C,8,E:E),"")</f>
        <v/>
      </c>
      <c r="N9" s="72" t="str">
        <f>IFERROR(AVERAGEIF($C:$C,8,F:F),"")</f>
        <v/>
      </c>
    </row>
    <row r="10" spans="1:14" x14ac:dyDescent="0.2">
      <c r="A10" s="65">
        <v>46031</v>
      </c>
      <c r="B10" s="66">
        <f t="shared" si="0"/>
        <v>2</v>
      </c>
      <c r="C10" s="67">
        <f t="shared" si="1"/>
        <v>1</v>
      </c>
      <c r="F10" s="68"/>
      <c r="G10" s="69">
        <v>9</v>
      </c>
      <c r="H10" s="57" t="str">
        <f>IFERROR(AVERAGE(INDEX(D:D,6+(ROW(A8)-1)*7):INDEX(D:D,12+(ROW(A8)-1)*7)),"")</f>
        <v/>
      </c>
      <c r="I10" s="57" t="str">
        <f>IFERROR(AVERAGE(INDEX(E:E,6+(ROW(B8)-1)*7):INDEX(E:E,12+(ROW(B8)-1)*7)),"")</f>
        <v/>
      </c>
      <c r="J10" s="72">
        <f>IFERROR(AVERAGE(INDEX(F:F,6+(ROW(C8)-1)*7):INDEX(F:F,12+(ROW(C8)-1)*7)),"")</f>
        <v>99.06</v>
      </c>
      <c r="K10" s="69" t="s">
        <v>53</v>
      </c>
      <c r="L10" s="57" t="str">
        <f>IFERROR(AVERAGEIF($C:$C,9,D:D),"")</f>
        <v/>
      </c>
      <c r="M10" s="57" t="str">
        <f>IFERROR(AVERAGEIF($C:$C,9,E:E),"")</f>
        <v/>
      </c>
      <c r="N10" s="72" t="str">
        <f>IFERROR(AVERAGEIF($C:$C,9,F:F),"")</f>
        <v/>
      </c>
    </row>
    <row r="11" spans="1:14" x14ac:dyDescent="0.2">
      <c r="A11" s="65">
        <v>46032</v>
      </c>
      <c r="B11" s="66">
        <f t="shared" si="0"/>
        <v>2</v>
      </c>
      <c r="C11" s="67">
        <f t="shared" si="1"/>
        <v>1</v>
      </c>
      <c r="F11" s="68"/>
      <c r="G11" s="69">
        <v>10</v>
      </c>
      <c r="H11" s="57">
        <f>IFERROR(AVERAGE(INDEX(D:D,6+(ROW(A9)-1)*7):INDEX(D:D,12+(ROW(A9)-1)*7)),"")</f>
        <v>99.431999999999988</v>
      </c>
      <c r="I11" s="57">
        <f>IFERROR(AVERAGE(INDEX(E:E,6+(ROW(B9)-1)*7):INDEX(E:E,12+(ROW(B9)-1)*7)),"")</f>
        <v>89.73599999999999</v>
      </c>
      <c r="J11" s="72">
        <f>IFERROR(AVERAGE(INDEX(F:F,6+(ROW(C9)-1)*7):INDEX(F:F,12+(ROW(C9)-1)*7)),"")</f>
        <v>97.765999999999991</v>
      </c>
      <c r="K11" s="69" t="s">
        <v>54</v>
      </c>
      <c r="L11" s="57" t="str">
        <f>IFERROR(AVERAGEIF($C:$C,10,D:D),"")</f>
        <v/>
      </c>
      <c r="M11" s="57" t="str">
        <f>IFERROR(AVERAGEIF($C:$C,10,E:E),"")</f>
        <v/>
      </c>
      <c r="N11" s="72" t="str">
        <f>IFERROR(AVERAGEIF($C:$C,10,F:F),"")</f>
        <v/>
      </c>
    </row>
    <row r="12" spans="1:14" x14ac:dyDescent="0.2">
      <c r="A12" s="65">
        <v>46033</v>
      </c>
      <c r="B12" s="66">
        <f t="shared" si="0"/>
        <v>2</v>
      </c>
      <c r="C12" s="67">
        <f t="shared" si="1"/>
        <v>1</v>
      </c>
      <c r="F12" s="68"/>
      <c r="G12" s="69">
        <v>11</v>
      </c>
      <c r="H12" s="57">
        <f>IFERROR(AVERAGE(INDEX(D:D,6+(ROW(A10)-1)*7):INDEX(D:D,12+(ROW(A10)-1)*7)),"")</f>
        <v>97.158000000000001</v>
      </c>
      <c r="I12" s="57">
        <f>IFERROR(AVERAGE(INDEX(E:E,6+(ROW(B10)-1)*7):INDEX(E:E,12+(ROW(B10)-1)*7)),"")</f>
        <v>93.722000000000008</v>
      </c>
      <c r="J12" s="72">
        <f>IFERROR(AVERAGE(INDEX(F:F,6+(ROW(C10)-1)*7):INDEX(F:F,12+(ROW(C10)-1)*7)),"")</f>
        <v>98.515999999999991</v>
      </c>
      <c r="K12" s="69" t="s">
        <v>55</v>
      </c>
      <c r="L12" s="57" t="str">
        <f>IFERROR(AVERAGEIF($C:$C,11,D:D),"")</f>
        <v/>
      </c>
      <c r="M12" s="57" t="str">
        <f>IFERROR(AVERAGEIF($C:$C,11,E:E),"")</f>
        <v/>
      </c>
      <c r="N12" s="72" t="str">
        <f>IFERROR(AVERAGEIF($C:$C,11,F:F),"")</f>
        <v/>
      </c>
    </row>
    <row r="13" spans="1:14" x14ac:dyDescent="0.2">
      <c r="A13" s="65">
        <v>46034</v>
      </c>
      <c r="B13" s="66">
        <f t="shared" si="0"/>
        <v>3</v>
      </c>
      <c r="C13" s="67">
        <f t="shared" si="1"/>
        <v>1</v>
      </c>
      <c r="F13" s="68"/>
      <c r="G13" s="69">
        <v>12</v>
      </c>
      <c r="H13" s="57">
        <f>IFERROR(AVERAGE(INDEX(D:D,6+(ROW(A11)-1)*7):INDEX(D:D,12+(ROW(A11)-1)*7)),"")</f>
        <v>99.640000000000015</v>
      </c>
      <c r="I13" s="57">
        <f>IFERROR(AVERAGE(INDEX(E:E,6+(ROW(B11)-1)*7):INDEX(E:E,12+(ROW(B11)-1)*7)),"")</f>
        <v>98.335000000000008</v>
      </c>
      <c r="J13" s="72">
        <f>IFERROR(AVERAGE(INDEX(F:F,6+(ROW(C11)-1)*7):INDEX(F:F,12+(ROW(C11)-1)*7)),"")</f>
        <v>98.47</v>
      </c>
      <c r="K13" s="69" t="s">
        <v>56</v>
      </c>
      <c r="L13" s="57" t="str">
        <f>IFERROR(AVERAGEIF($C:$C,12,D:D),"")</f>
        <v/>
      </c>
      <c r="M13" s="57" t="str">
        <f>IFERROR(AVERAGEIF($C:$C,12,E:E),"")</f>
        <v/>
      </c>
      <c r="N13" s="72" t="str">
        <f>IFERROR(AVERAGEIF($C:$C,12,F:F),"")</f>
        <v/>
      </c>
    </row>
    <row r="14" spans="1:14" x14ac:dyDescent="0.2">
      <c r="A14" s="65">
        <v>46035</v>
      </c>
      <c r="B14" s="66">
        <f t="shared" si="0"/>
        <v>3</v>
      </c>
      <c r="C14" s="67">
        <f t="shared" si="1"/>
        <v>1</v>
      </c>
      <c r="F14" s="68"/>
      <c r="G14" s="69">
        <v>13</v>
      </c>
      <c r="H14" s="57" t="str">
        <f>IFERROR(AVERAGE(INDEX(D:D,6+(ROW(A12)-1)*7):INDEX(D:D,12+(ROW(A12)-1)*7)),"")</f>
        <v/>
      </c>
      <c r="I14" s="57" t="str">
        <f>IFERROR(AVERAGE(INDEX(E:E,6+(ROW(B12)-1)*7):INDEX(E:E,12+(ROW(B12)-1)*7)),"")</f>
        <v/>
      </c>
      <c r="J14" s="72" t="str">
        <f>IFERROR(AVERAGE(INDEX(F:F,6+(ROW(C12)-1)*7):INDEX(F:F,12+(ROW(C12)-1)*7)),"")</f>
        <v/>
      </c>
      <c r="K14" s="73">
        <v>2026</v>
      </c>
      <c r="L14" s="74">
        <f>IFERROR(AVERAGE(L2:L13),"")</f>
        <v>98.679285714285697</v>
      </c>
      <c r="M14" s="74">
        <f>IFERROR(AVERAGE(M2:M13),"")</f>
        <v>93.6164285714286</v>
      </c>
      <c r="N14" s="75">
        <f>IFERROR(AVERAGE(N2:N13),"")</f>
        <v>98.647500000000008</v>
      </c>
    </row>
    <row r="15" spans="1:14" x14ac:dyDescent="0.2">
      <c r="A15" s="65">
        <v>46036</v>
      </c>
      <c r="B15" s="66">
        <f t="shared" si="0"/>
        <v>3</v>
      </c>
      <c r="C15" s="67">
        <f t="shared" si="1"/>
        <v>1</v>
      </c>
      <c r="F15" s="68"/>
      <c r="G15" s="69">
        <v>14</v>
      </c>
      <c r="H15" s="57" t="str">
        <f>IFERROR(AVERAGE(INDEX(D:D,6+(ROW(A13)-1)*7):INDEX(D:D,12+(ROW(A13)-1)*7)),"")</f>
        <v/>
      </c>
      <c r="I15" s="57" t="str">
        <f>IFERROR(AVERAGE(INDEX(E:E,6+(ROW(B13)-1)*7):INDEX(E:E,12+(ROW(B13)-1)*7)),"")</f>
        <v/>
      </c>
      <c r="J15" s="72" t="str">
        <f>IFERROR(AVERAGE(INDEX(F:F,6+(ROW(C13)-1)*7):INDEX(F:F,12+(ROW(C13)-1)*7)),"")</f>
        <v/>
      </c>
    </row>
    <row r="16" spans="1:14" x14ac:dyDescent="0.2">
      <c r="A16" s="65">
        <v>46037</v>
      </c>
      <c r="B16" s="66">
        <f t="shared" si="0"/>
        <v>3</v>
      </c>
      <c r="C16" s="67">
        <f t="shared" si="1"/>
        <v>1</v>
      </c>
      <c r="F16" s="68"/>
      <c r="G16" s="69">
        <v>15</v>
      </c>
      <c r="H16" s="57" t="str">
        <f>IFERROR(AVERAGE(INDEX(D:D,6+(ROW(A14)-1)*7):INDEX(D:D,12+(ROW(A14)-1)*7)),"")</f>
        <v/>
      </c>
      <c r="I16" s="57" t="str">
        <f>IFERROR(AVERAGE(INDEX(E:E,6+(ROW(B14)-1)*7):INDEX(E:E,12+(ROW(B14)-1)*7)),"")</f>
        <v/>
      </c>
      <c r="J16" s="72" t="str">
        <f>IFERROR(AVERAGE(INDEX(F:F,6+(ROW(C14)-1)*7):INDEX(F:F,12+(ROW(C14)-1)*7)),"")</f>
        <v/>
      </c>
    </row>
    <row r="17" spans="1:10" x14ac:dyDescent="0.2">
      <c r="A17" s="65">
        <v>46038</v>
      </c>
      <c r="B17" s="66">
        <f t="shared" si="0"/>
        <v>3</v>
      </c>
      <c r="C17" s="67">
        <f t="shared" si="1"/>
        <v>1</v>
      </c>
      <c r="F17" s="68"/>
      <c r="G17" s="69">
        <v>16</v>
      </c>
      <c r="H17" s="57" t="str">
        <f>IFERROR(AVERAGE(INDEX(D:D,6+(ROW(A15)-1)*7):INDEX(D:D,12+(ROW(A15)-1)*7)),"")</f>
        <v/>
      </c>
      <c r="I17" s="57" t="str">
        <f>IFERROR(AVERAGE(INDEX(E:E,6+(ROW(B15)-1)*7):INDEX(E:E,12+(ROW(B15)-1)*7)),"")</f>
        <v/>
      </c>
      <c r="J17" s="72" t="str">
        <f>IFERROR(AVERAGE(INDEX(F:F,6+(ROW(C15)-1)*7):INDEX(F:F,12+(ROW(C15)-1)*7)),"")</f>
        <v/>
      </c>
    </row>
    <row r="18" spans="1:10" x14ac:dyDescent="0.2">
      <c r="A18" s="65">
        <v>46039</v>
      </c>
      <c r="B18" s="66">
        <f t="shared" si="0"/>
        <v>3</v>
      </c>
      <c r="C18" s="67">
        <f t="shared" si="1"/>
        <v>1</v>
      </c>
      <c r="F18" s="68"/>
      <c r="G18" s="69">
        <v>17</v>
      </c>
      <c r="H18" s="57" t="str">
        <f>IFERROR(AVERAGE(INDEX(D:D,6+(ROW(A16)-1)*7):INDEX(D:D,12+(ROW(A16)-1)*7)),"")</f>
        <v/>
      </c>
      <c r="I18" s="57" t="str">
        <f>IFERROR(AVERAGE(INDEX(E:E,6+(ROW(B16)-1)*7):INDEX(E:E,12+(ROW(B16)-1)*7)),"")</f>
        <v/>
      </c>
      <c r="J18" s="72" t="str">
        <f>IFERROR(AVERAGE(INDEX(F:F,6+(ROW(C16)-1)*7):INDEX(F:F,12+(ROW(C16)-1)*7)),"")</f>
        <v/>
      </c>
    </row>
    <row r="19" spans="1:10" x14ac:dyDescent="0.2">
      <c r="A19" s="65">
        <v>46040</v>
      </c>
      <c r="B19" s="66">
        <f t="shared" si="0"/>
        <v>3</v>
      </c>
      <c r="C19" s="67">
        <f t="shared" si="1"/>
        <v>1</v>
      </c>
      <c r="F19" s="68"/>
      <c r="G19" s="69">
        <v>18</v>
      </c>
      <c r="H19" s="57" t="str">
        <f>IFERROR(AVERAGE(INDEX(D:D,6+(ROW(A17)-1)*7):INDEX(D:D,12+(ROW(A17)-1)*7)),"")</f>
        <v/>
      </c>
      <c r="I19" s="57" t="str">
        <f>IFERROR(AVERAGE(INDEX(E:E,6+(ROW(B17)-1)*7):INDEX(E:E,12+(ROW(B17)-1)*7)),"")</f>
        <v/>
      </c>
      <c r="J19" s="72" t="str">
        <f>IFERROR(AVERAGE(INDEX(F:F,6+(ROW(C17)-1)*7):INDEX(F:F,12+(ROW(C17)-1)*7)),"")</f>
        <v/>
      </c>
    </row>
    <row r="20" spans="1:10" x14ac:dyDescent="0.2">
      <c r="A20" s="65">
        <v>46041</v>
      </c>
      <c r="B20" s="66">
        <f t="shared" si="0"/>
        <v>4</v>
      </c>
      <c r="C20" s="67">
        <f t="shared" si="1"/>
        <v>1</v>
      </c>
      <c r="F20" s="68"/>
      <c r="G20" s="69">
        <v>19</v>
      </c>
      <c r="H20" s="57" t="str">
        <f>IFERROR(AVERAGE(INDEX(D:D,6+(ROW(A18)-1)*7):INDEX(D:D,12+(ROW(A18)-1)*7)),"")</f>
        <v/>
      </c>
      <c r="I20" s="57" t="str">
        <f>IFERROR(AVERAGE(INDEX(E:E,6+(ROW(B18)-1)*7):INDEX(E:E,12+(ROW(B18)-1)*7)),"")</f>
        <v/>
      </c>
      <c r="J20" s="72" t="str">
        <f>IFERROR(AVERAGE(INDEX(F:F,6+(ROW(C18)-1)*7):INDEX(F:F,12+(ROW(C18)-1)*7)),"")</f>
        <v/>
      </c>
    </row>
    <row r="21" spans="1:10" x14ac:dyDescent="0.2">
      <c r="A21" s="65">
        <v>46042</v>
      </c>
      <c r="B21" s="66">
        <f t="shared" si="0"/>
        <v>4</v>
      </c>
      <c r="C21" s="67">
        <f t="shared" si="1"/>
        <v>1</v>
      </c>
      <c r="F21" s="68"/>
      <c r="G21" s="69">
        <v>20</v>
      </c>
      <c r="H21" s="57" t="str">
        <f>IFERROR(AVERAGE(INDEX(D:D,6+(ROW(A19)-1)*7):INDEX(D:D,12+(ROW(A19)-1)*7)),"")</f>
        <v/>
      </c>
      <c r="I21" s="57" t="str">
        <f>IFERROR(AVERAGE(INDEX(E:E,6+(ROW(B19)-1)*7):INDEX(E:E,12+(ROW(B19)-1)*7)),"")</f>
        <v/>
      </c>
      <c r="J21" s="72" t="str">
        <f>IFERROR(AVERAGE(INDEX(F:F,6+(ROW(C19)-1)*7):INDEX(F:F,12+(ROW(C19)-1)*7)),"")</f>
        <v/>
      </c>
    </row>
    <row r="22" spans="1:10" x14ac:dyDescent="0.2">
      <c r="A22" s="65">
        <v>46043</v>
      </c>
      <c r="B22" s="66">
        <f t="shared" si="0"/>
        <v>4</v>
      </c>
      <c r="C22" s="67">
        <f t="shared" si="1"/>
        <v>1</v>
      </c>
      <c r="F22" s="68"/>
      <c r="G22" s="69">
        <v>21</v>
      </c>
      <c r="H22" s="57" t="str">
        <f>IFERROR(AVERAGE(INDEX(D:D,6+(ROW(A20)-1)*7):INDEX(D:D,12+(ROW(A20)-1)*7)),"")</f>
        <v/>
      </c>
      <c r="I22" s="57" t="str">
        <f>IFERROR(AVERAGE(INDEX(E:E,6+(ROW(B20)-1)*7):INDEX(E:E,12+(ROW(B20)-1)*7)),"")</f>
        <v/>
      </c>
      <c r="J22" s="72" t="str">
        <f>IFERROR(AVERAGE(INDEX(F:F,6+(ROW(C20)-1)*7):INDEX(F:F,12+(ROW(C20)-1)*7)),"")</f>
        <v/>
      </c>
    </row>
    <row r="23" spans="1:10" x14ac:dyDescent="0.2">
      <c r="A23" s="65">
        <v>46044</v>
      </c>
      <c r="B23" s="66">
        <f t="shared" si="0"/>
        <v>4</v>
      </c>
      <c r="C23" s="67">
        <f t="shared" si="1"/>
        <v>1</v>
      </c>
      <c r="F23" s="68"/>
      <c r="G23" s="69">
        <v>22</v>
      </c>
      <c r="H23" s="57" t="str">
        <f>IFERROR(AVERAGE(INDEX(D:D,6+(ROW(A21)-1)*7):INDEX(D:D,12+(ROW(A21)-1)*7)),"")</f>
        <v/>
      </c>
      <c r="I23" s="57" t="str">
        <f>IFERROR(AVERAGE(INDEX(E:E,6+(ROW(B21)-1)*7):INDEX(E:E,12+(ROW(B21)-1)*7)),"")</f>
        <v/>
      </c>
      <c r="J23" s="72" t="str">
        <f>IFERROR(AVERAGE(INDEX(F:F,6+(ROW(C21)-1)*7):INDEX(F:F,12+(ROW(C21)-1)*7)),"")</f>
        <v/>
      </c>
    </row>
    <row r="24" spans="1:10" x14ac:dyDescent="0.2">
      <c r="A24" s="65">
        <v>46045</v>
      </c>
      <c r="B24" s="66">
        <f t="shared" si="0"/>
        <v>4</v>
      </c>
      <c r="C24" s="67">
        <f t="shared" si="1"/>
        <v>1</v>
      </c>
      <c r="F24" s="68"/>
      <c r="G24" s="69">
        <v>23</v>
      </c>
      <c r="H24" s="57" t="str">
        <f>IFERROR(AVERAGE(INDEX(D:D,6+(ROW(A22)-1)*7):INDEX(D:D,12+(ROW(A22)-1)*7)),"")</f>
        <v/>
      </c>
      <c r="I24" s="57" t="str">
        <f>IFERROR(AVERAGE(INDEX(E:E,6+(ROW(B22)-1)*7):INDEX(E:E,12+(ROW(B22)-1)*7)),"")</f>
        <v/>
      </c>
      <c r="J24" s="72" t="str">
        <f>IFERROR(AVERAGE(INDEX(F:F,6+(ROW(C22)-1)*7):INDEX(F:F,12+(ROW(C22)-1)*7)),"")</f>
        <v/>
      </c>
    </row>
    <row r="25" spans="1:10" x14ac:dyDescent="0.2">
      <c r="A25" s="65">
        <v>46046</v>
      </c>
      <c r="B25" s="66">
        <f t="shared" si="0"/>
        <v>4</v>
      </c>
      <c r="C25" s="67">
        <f t="shared" si="1"/>
        <v>1</v>
      </c>
      <c r="F25" s="68"/>
      <c r="G25" s="69">
        <v>24</v>
      </c>
      <c r="H25" s="57" t="str">
        <f>IFERROR(AVERAGE(INDEX(D:D,6+(ROW(A23)-1)*7):INDEX(D:D,12+(ROW(A23)-1)*7)),"")</f>
        <v/>
      </c>
      <c r="I25" s="57" t="str">
        <f>IFERROR(AVERAGE(INDEX(E:E,6+(ROW(B23)-1)*7):INDEX(E:E,12+(ROW(B23)-1)*7)),"")</f>
        <v/>
      </c>
      <c r="J25" s="72" t="str">
        <f>IFERROR(AVERAGE(INDEX(F:F,6+(ROW(C23)-1)*7):INDEX(F:F,12+(ROW(C23)-1)*7)),"")</f>
        <v/>
      </c>
    </row>
    <row r="26" spans="1:10" x14ac:dyDescent="0.2">
      <c r="A26" s="65">
        <v>46047</v>
      </c>
      <c r="B26" s="66">
        <f t="shared" si="0"/>
        <v>4</v>
      </c>
      <c r="C26" s="67">
        <f t="shared" si="1"/>
        <v>1</v>
      </c>
      <c r="F26" s="68"/>
      <c r="G26" s="69">
        <v>25</v>
      </c>
      <c r="H26" s="57" t="str">
        <f>IFERROR(AVERAGE(INDEX(D:D,6+(ROW(A24)-1)*7):INDEX(D:D,12+(ROW(A24)-1)*7)),"")</f>
        <v/>
      </c>
      <c r="I26" s="57" t="str">
        <f>IFERROR(AVERAGE(INDEX(E:E,6+(ROW(B24)-1)*7):INDEX(E:E,12+(ROW(B24)-1)*7)),"")</f>
        <v/>
      </c>
      <c r="J26" s="72" t="str">
        <f>IFERROR(AVERAGE(INDEX(F:F,6+(ROW(C24)-1)*7):INDEX(F:F,12+(ROW(C24)-1)*7)),"")</f>
        <v/>
      </c>
    </row>
    <row r="27" spans="1:10" x14ac:dyDescent="0.2">
      <c r="A27" s="65">
        <v>46048</v>
      </c>
      <c r="B27" s="66">
        <f t="shared" si="0"/>
        <v>5</v>
      </c>
      <c r="C27" s="67">
        <f t="shared" si="1"/>
        <v>1</v>
      </c>
      <c r="F27" s="68"/>
      <c r="G27" s="69">
        <v>26</v>
      </c>
      <c r="H27" s="57" t="str">
        <f>IFERROR(AVERAGE(INDEX(D:D,6+(ROW(A25)-1)*7):INDEX(D:D,12+(ROW(A25)-1)*7)),"")</f>
        <v/>
      </c>
      <c r="I27" s="57" t="str">
        <f>IFERROR(AVERAGE(INDEX(E:E,6+(ROW(B25)-1)*7):INDEX(E:E,12+(ROW(B25)-1)*7)),"")</f>
        <v/>
      </c>
      <c r="J27" s="72" t="str">
        <f>IFERROR(AVERAGE(INDEX(F:F,6+(ROW(C25)-1)*7):INDEX(F:F,12+(ROW(C25)-1)*7)),"")</f>
        <v/>
      </c>
    </row>
    <row r="28" spans="1:10" x14ac:dyDescent="0.2">
      <c r="A28" s="65">
        <v>46049</v>
      </c>
      <c r="B28" s="66">
        <f t="shared" si="0"/>
        <v>5</v>
      </c>
      <c r="C28" s="67">
        <f t="shared" si="1"/>
        <v>1</v>
      </c>
      <c r="F28" s="68"/>
      <c r="G28" s="69">
        <v>27</v>
      </c>
      <c r="H28" s="57" t="str">
        <f>IFERROR(AVERAGE(INDEX(D:D,6+(ROW(A26)-1)*7):INDEX(D:D,12+(ROW(A26)-1)*7)),"")</f>
        <v/>
      </c>
      <c r="I28" s="57" t="str">
        <f>IFERROR(AVERAGE(INDEX(E:E,6+(ROW(B26)-1)*7):INDEX(E:E,12+(ROW(B26)-1)*7)),"")</f>
        <v/>
      </c>
      <c r="J28" s="72" t="str">
        <f>IFERROR(AVERAGE(INDEX(F:F,6+(ROW(C26)-1)*7):INDEX(F:F,12+(ROW(C26)-1)*7)),"")</f>
        <v/>
      </c>
    </row>
    <row r="29" spans="1:10" x14ac:dyDescent="0.2">
      <c r="A29" s="65">
        <v>46050</v>
      </c>
      <c r="B29" s="66">
        <f t="shared" si="0"/>
        <v>5</v>
      </c>
      <c r="C29" s="67">
        <f t="shared" si="1"/>
        <v>1</v>
      </c>
      <c r="F29" s="68"/>
      <c r="G29" s="69">
        <v>28</v>
      </c>
      <c r="H29" s="57" t="str">
        <f>IFERROR(AVERAGE(INDEX(D:D,6+(ROW(A27)-1)*7):INDEX(D:D,12+(ROW(A27)-1)*7)),"")</f>
        <v/>
      </c>
      <c r="I29" s="57" t="str">
        <f>IFERROR(AVERAGE(INDEX(E:E,6+(ROW(B27)-1)*7):INDEX(E:E,12+(ROW(B27)-1)*7)),"")</f>
        <v/>
      </c>
      <c r="J29" s="72" t="str">
        <f>IFERROR(AVERAGE(INDEX(F:F,6+(ROW(C27)-1)*7):INDEX(F:F,12+(ROW(C27)-1)*7)),"")</f>
        <v/>
      </c>
    </row>
    <row r="30" spans="1:10" x14ac:dyDescent="0.2">
      <c r="A30" s="65">
        <v>46051</v>
      </c>
      <c r="B30" s="66">
        <f t="shared" si="0"/>
        <v>5</v>
      </c>
      <c r="C30" s="67">
        <f t="shared" si="1"/>
        <v>1</v>
      </c>
      <c r="F30" s="68"/>
      <c r="G30" s="69">
        <v>29</v>
      </c>
      <c r="H30" s="57" t="str">
        <f>IFERROR(AVERAGE(INDEX(D:D,6+(ROW(A28)-1)*7):INDEX(D:D,12+(ROW(A28)-1)*7)),"")</f>
        <v/>
      </c>
      <c r="I30" s="57" t="str">
        <f>IFERROR(AVERAGE(INDEX(E:E,6+(ROW(B28)-1)*7):INDEX(E:E,12+(ROW(B28)-1)*7)),"")</f>
        <v/>
      </c>
      <c r="J30" s="72" t="str">
        <f>IFERROR(AVERAGE(INDEX(F:F,6+(ROW(C28)-1)*7):INDEX(F:F,12+(ROW(C28)-1)*7)),"")</f>
        <v/>
      </c>
    </row>
    <row r="31" spans="1:10" x14ac:dyDescent="0.2">
      <c r="A31" s="65">
        <v>46052</v>
      </c>
      <c r="B31" s="66">
        <f t="shared" si="0"/>
        <v>5</v>
      </c>
      <c r="C31" s="67">
        <f t="shared" si="1"/>
        <v>1</v>
      </c>
      <c r="F31" s="68"/>
      <c r="G31" s="69">
        <v>30</v>
      </c>
      <c r="H31" s="57" t="str">
        <f>IFERROR(AVERAGE(INDEX(D:D,6+(ROW(A29)-1)*7):INDEX(D:D,12+(ROW(A29)-1)*7)),"")</f>
        <v/>
      </c>
      <c r="I31" s="57" t="str">
        <f>IFERROR(AVERAGE(INDEX(E:E,6+(ROW(B29)-1)*7):INDEX(E:E,12+(ROW(B29)-1)*7)),"")</f>
        <v/>
      </c>
      <c r="J31" s="72" t="str">
        <f>IFERROR(AVERAGE(INDEX(F:F,6+(ROW(C29)-1)*7):INDEX(F:F,12+(ROW(C29)-1)*7)),"")</f>
        <v/>
      </c>
    </row>
    <row r="32" spans="1:10" x14ac:dyDescent="0.2">
      <c r="A32" s="65">
        <v>46053</v>
      </c>
      <c r="B32" s="66">
        <f t="shared" si="0"/>
        <v>5</v>
      </c>
      <c r="C32" s="67">
        <f t="shared" si="1"/>
        <v>1</v>
      </c>
      <c r="F32" s="68"/>
      <c r="G32" s="69">
        <v>31</v>
      </c>
      <c r="H32" s="57" t="str">
        <f>IFERROR(AVERAGE(INDEX(D:D,6+(ROW(A30)-1)*7):INDEX(D:D,12+(ROW(A30)-1)*7)),"")</f>
        <v/>
      </c>
      <c r="I32" s="57" t="str">
        <f>IFERROR(AVERAGE(INDEX(E:E,6+(ROW(B30)-1)*7):INDEX(E:E,12+(ROW(B30)-1)*7)),"")</f>
        <v/>
      </c>
      <c r="J32" s="72" t="str">
        <f>IFERROR(AVERAGE(INDEX(F:F,6+(ROW(C30)-1)*7):INDEX(F:F,12+(ROW(C30)-1)*7)),"")</f>
        <v/>
      </c>
    </row>
    <row r="33" spans="1:10" x14ac:dyDescent="0.2">
      <c r="A33" s="65">
        <v>46054</v>
      </c>
      <c r="B33" s="66">
        <f t="shared" si="0"/>
        <v>5</v>
      </c>
      <c r="C33" s="67">
        <f t="shared" si="1"/>
        <v>2</v>
      </c>
      <c r="F33" s="68"/>
      <c r="G33" s="69">
        <v>32</v>
      </c>
      <c r="H33" s="57" t="str">
        <f>IFERROR(AVERAGE(INDEX(D:D,6+(ROW(A31)-1)*7):INDEX(D:D,12+(ROW(A31)-1)*7)),"")</f>
        <v/>
      </c>
      <c r="I33" s="57" t="str">
        <f>IFERROR(AVERAGE(INDEX(E:E,6+(ROW(B31)-1)*7):INDEX(E:E,12+(ROW(B31)-1)*7)),"")</f>
        <v/>
      </c>
      <c r="J33" s="72" t="str">
        <f>IFERROR(AVERAGE(INDEX(F:F,6+(ROW(C31)-1)*7):INDEX(F:F,12+(ROW(C31)-1)*7)),"")</f>
        <v/>
      </c>
    </row>
    <row r="34" spans="1:10" x14ac:dyDescent="0.2">
      <c r="A34" s="65">
        <v>46055</v>
      </c>
      <c r="B34" s="66">
        <f t="shared" si="0"/>
        <v>6</v>
      </c>
      <c r="C34" s="67">
        <f t="shared" si="1"/>
        <v>2</v>
      </c>
      <c r="F34" s="68"/>
      <c r="G34" s="69">
        <v>33</v>
      </c>
      <c r="H34" s="57" t="str">
        <f>IFERROR(AVERAGE(INDEX(D:D,6+(ROW(A32)-1)*7):INDEX(D:D,12+(ROW(A32)-1)*7)),"")</f>
        <v/>
      </c>
      <c r="I34" s="57" t="str">
        <f>IFERROR(AVERAGE(INDEX(E:E,6+(ROW(B32)-1)*7):INDEX(E:E,12+(ROW(B32)-1)*7)),"")</f>
        <v/>
      </c>
      <c r="J34" s="72" t="str">
        <f>IFERROR(AVERAGE(INDEX(F:F,6+(ROW(C32)-1)*7):INDEX(F:F,12+(ROW(C32)-1)*7)),"")</f>
        <v/>
      </c>
    </row>
    <row r="35" spans="1:10" x14ac:dyDescent="0.2">
      <c r="A35" s="65">
        <v>46056</v>
      </c>
      <c r="B35" s="66">
        <f t="shared" si="0"/>
        <v>6</v>
      </c>
      <c r="C35" s="67">
        <f t="shared" si="1"/>
        <v>2</v>
      </c>
      <c r="F35" s="68"/>
      <c r="G35" s="69">
        <v>34</v>
      </c>
      <c r="H35" s="57" t="str">
        <f>IFERROR(AVERAGE(INDEX(D:D,6+(ROW(A33)-1)*7):INDEX(D:D,12+(ROW(A33)-1)*7)),"")</f>
        <v/>
      </c>
      <c r="I35" s="57" t="str">
        <f>IFERROR(AVERAGE(INDEX(E:E,6+(ROW(B33)-1)*7):INDEX(E:E,12+(ROW(B33)-1)*7)),"")</f>
        <v/>
      </c>
      <c r="J35" s="72" t="str">
        <f>IFERROR(AVERAGE(INDEX(F:F,6+(ROW(C33)-1)*7):INDEX(F:F,12+(ROW(C33)-1)*7)),"")</f>
        <v/>
      </c>
    </row>
    <row r="36" spans="1:10" x14ac:dyDescent="0.2">
      <c r="A36" s="65">
        <v>46057</v>
      </c>
      <c r="B36" s="66">
        <f t="shared" si="0"/>
        <v>6</v>
      </c>
      <c r="C36" s="67">
        <f t="shared" si="1"/>
        <v>2</v>
      </c>
      <c r="F36" s="68"/>
      <c r="G36" s="69">
        <v>35</v>
      </c>
      <c r="H36" s="57" t="str">
        <f>IFERROR(AVERAGE(INDEX(D:D,6+(ROW(A34)-1)*7):INDEX(D:D,12+(ROW(A34)-1)*7)),"")</f>
        <v/>
      </c>
      <c r="I36" s="57" t="str">
        <f>IFERROR(AVERAGE(INDEX(E:E,6+(ROW(B34)-1)*7):INDEX(E:E,12+(ROW(B34)-1)*7)),"")</f>
        <v/>
      </c>
      <c r="J36" s="72" t="str">
        <f>IFERROR(AVERAGE(INDEX(F:F,6+(ROW(C34)-1)*7):INDEX(F:F,12+(ROW(C34)-1)*7)),"")</f>
        <v/>
      </c>
    </row>
    <row r="37" spans="1:10" x14ac:dyDescent="0.2">
      <c r="A37" s="65">
        <v>46058</v>
      </c>
      <c r="B37" s="66">
        <f t="shared" si="0"/>
        <v>6</v>
      </c>
      <c r="C37" s="67">
        <f t="shared" si="1"/>
        <v>2</v>
      </c>
      <c r="F37" s="68"/>
      <c r="G37" s="69">
        <v>36</v>
      </c>
      <c r="H37" s="57" t="str">
        <f>IFERROR(AVERAGE(INDEX(D:D,6+(ROW(A35)-1)*7):INDEX(D:D,12+(ROW(A35)-1)*7)),"")</f>
        <v/>
      </c>
      <c r="I37" s="57" t="str">
        <f>IFERROR(AVERAGE(INDEX(E:E,6+(ROW(B35)-1)*7):INDEX(E:E,12+(ROW(B35)-1)*7)),"")</f>
        <v/>
      </c>
      <c r="J37" s="72" t="str">
        <f>IFERROR(AVERAGE(INDEX(F:F,6+(ROW(C35)-1)*7):INDEX(F:F,12+(ROW(C35)-1)*7)),"")</f>
        <v/>
      </c>
    </row>
    <row r="38" spans="1:10" x14ac:dyDescent="0.2">
      <c r="A38" s="65">
        <v>46059</v>
      </c>
      <c r="B38" s="66">
        <f t="shared" si="0"/>
        <v>6</v>
      </c>
      <c r="C38" s="67">
        <f t="shared" si="1"/>
        <v>2</v>
      </c>
      <c r="F38" s="68"/>
      <c r="G38" s="69">
        <v>37</v>
      </c>
      <c r="H38" s="57" t="str">
        <f>IFERROR(AVERAGE(INDEX(D:D,6+(ROW(A36)-1)*7):INDEX(D:D,12+(ROW(A36)-1)*7)),"")</f>
        <v/>
      </c>
      <c r="I38" s="57" t="str">
        <f>IFERROR(AVERAGE(INDEX(E:E,6+(ROW(B36)-1)*7):INDEX(E:E,12+(ROW(B36)-1)*7)),"")</f>
        <v/>
      </c>
      <c r="J38" s="72" t="str">
        <f>IFERROR(AVERAGE(INDEX(F:F,6+(ROW(C36)-1)*7):INDEX(F:F,12+(ROW(C36)-1)*7)),"")</f>
        <v/>
      </c>
    </row>
    <row r="39" spans="1:10" x14ac:dyDescent="0.2">
      <c r="A39" s="65">
        <v>46060</v>
      </c>
      <c r="B39" s="66">
        <f t="shared" si="0"/>
        <v>6</v>
      </c>
      <c r="C39" s="67">
        <f t="shared" si="1"/>
        <v>2</v>
      </c>
      <c r="F39" s="68"/>
      <c r="G39" s="69">
        <v>38</v>
      </c>
      <c r="H39" s="57" t="str">
        <f>IFERROR(AVERAGE(INDEX(D:D,6+(ROW(A37)-1)*7):INDEX(D:D,12+(ROW(A37)-1)*7)),"")</f>
        <v/>
      </c>
      <c r="I39" s="57" t="str">
        <f>IFERROR(AVERAGE(INDEX(E:E,6+(ROW(B37)-1)*7):INDEX(E:E,12+(ROW(B37)-1)*7)),"")</f>
        <v/>
      </c>
      <c r="J39" s="72" t="str">
        <f>IFERROR(AVERAGE(INDEX(F:F,6+(ROW(C37)-1)*7):INDEX(F:F,12+(ROW(C37)-1)*7)),"")</f>
        <v/>
      </c>
    </row>
    <row r="40" spans="1:10" x14ac:dyDescent="0.2">
      <c r="A40" s="65">
        <v>46061</v>
      </c>
      <c r="B40" s="66">
        <f t="shared" si="0"/>
        <v>6</v>
      </c>
      <c r="C40" s="67">
        <f t="shared" si="1"/>
        <v>2</v>
      </c>
      <c r="F40" s="68"/>
      <c r="G40" s="69">
        <v>39</v>
      </c>
      <c r="H40" s="57" t="str">
        <f>IFERROR(AVERAGE(INDEX(D:D,6+(ROW(A38)-1)*7):INDEX(D:D,12+(ROW(A38)-1)*7)),"")</f>
        <v/>
      </c>
      <c r="I40" s="57" t="str">
        <f>IFERROR(AVERAGE(INDEX(E:E,6+(ROW(B38)-1)*7):INDEX(E:E,12+(ROW(B38)-1)*7)),"")</f>
        <v/>
      </c>
      <c r="J40" s="72" t="str">
        <f>IFERROR(AVERAGE(INDEX(F:F,6+(ROW(C38)-1)*7):INDEX(F:F,12+(ROW(C38)-1)*7)),"")</f>
        <v/>
      </c>
    </row>
    <row r="41" spans="1:10" x14ac:dyDescent="0.2">
      <c r="A41" s="65">
        <v>46062</v>
      </c>
      <c r="B41" s="66">
        <f t="shared" si="0"/>
        <v>7</v>
      </c>
      <c r="C41" s="67">
        <f t="shared" si="1"/>
        <v>2</v>
      </c>
      <c r="F41" s="68"/>
      <c r="G41" s="69">
        <v>40</v>
      </c>
      <c r="H41" s="57" t="str">
        <f>IFERROR(AVERAGE(INDEX(D:D,6+(ROW(A39)-1)*7):INDEX(D:D,12+(ROW(A39)-1)*7)),"")</f>
        <v/>
      </c>
      <c r="I41" s="57" t="str">
        <f>IFERROR(AVERAGE(INDEX(E:E,6+(ROW(B39)-1)*7):INDEX(E:E,12+(ROW(B39)-1)*7)),"")</f>
        <v/>
      </c>
      <c r="J41" s="72" t="str">
        <f>IFERROR(AVERAGE(INDEX(F:F,6+(ROW(C39)-1)*7):INDEX(F:F,12+(ROW(C39)-1)*7)),"")</f>
        <v/>
      </c>
    </row>
    <row r="42" spans="1:10" x14ac:dyDescent="0.2">
      <c r="A42" s="65">
        <v>46063</v>
      </c>
      <c r="B42" s="66">
        <f t="shared" si="0"/>
        <v>7</v>
      </c>
      <c r="C42" s="67">
        <f t="shared" si="1"/>
        <v>2</v>
      </c>
      <c r="F42" s="68"/>
      <c r="G42" s="69">
        <v>41</v>
      </c>
      <c r="H42" s="57" t="str">
        <f>IFERROR(AVERAGE(INDEX(D:D,6+(ROW(A40)-1)*7):INDEX(D:D,12+(ROW(A40)-1)*7)),"")</f>
        <v/>
      </c>
      <c r="I42" s="57" t="str">
        <f>IFERROR(AVERAGE(INDEX(E:E,6+(ROW(B40)-1)*7):INDEX(E:E,12+(ROW(B40)-1)*7)),"")</f>
        <v/>
      </c>
      <c r="J42" s="72" t="str">
        <f>IFERROR(AVERAGE(INDEX(F:F,6+(ROW(C40)-1)*7):INDEX(F:F,12+(ROW(C40)-1)*7)),"")</f>
        <v/>
      </c>
    </row>
    <row r="43" spans="1:10" x14ac:dyDescent="0.2">
      <c r="A43" s="65">
        <v>46064</v>
      </c>
      <c r="B43" s="66">
        <f t="shared" si="0"/>
        <v>7</v>
      </c>
      <c r="C43" s="67">
        <f t="shared" si="1"/>
        <v>2</v>
      </c>
      <c r="F43" s="68"/>
      <c r="G43" s="69">
        <v>42</v>
      </c>
      <c r="H43" s="57" t="str">
        <f>IFERROR(AVERAGE(INDEX(D:D,6+(ROW(A41)-1)*7):INDEX(D:D,12+(ROW(A41)-1)*7)),"")</f>
        <v/>
      </c>
      <c r="I43" s="57" t="str">
        <f>IFERROR(AVERAGE(INDEX(E:E,6+(ROW(B41)-1)*7):INDEX(E:E,12+(ROW(B41)-1)*7)),"")</f>
        <v/>
      </c>
      <c r="J43" s="72" t="str">
        <f>IFERROR(AVERAGE(INDEX(F:F,6+(ROW(C41)-1)*7):INDEX(F:F,12+(ROW(C41)-1)*7)),"")</f>
        <v/>
      </c>
    </row>
    <row r="44" spans="1:10" x14ac:dyDescent="0.2">
      <c r="A44" s="65">
        <v>46065</v>
      </c>
      <c r="B44" s="66">
        <f t="shared" si="0"/>
        <v>7</v>
      </c>
      <c r="C44" s="67">
        <f t="shared" si="1"/>
        <v>2</v>
      </c>
      <c r="F44" s="68"/>
      <c r="G44" s="69">
        <v>43</v>
      </c>
      <c r="H44" s="57" t="str">
        <f>IFERROR(AVERAGE(INDEX(D:D,6+(ROW(A42)-1)*7):INDEX(D:D,12+(ROW(A42)-1)*7)),"")</f>
        <v/>
      </c>
      <c r="I44" s="57" t="str">
        <f>IFERROR(AVERAGE(INDEX(E:E,6+(ROW(B42)-1)*7):INDEX(E:E,12+(ROW(B42)-1)*7)),"")</f>
        <v/>
      </c>
      <c r="J44" s="72" t="str">
        <f>IFERROR(AVERAGE(INDEX(F:F,6+(ROW(C42)-1)*7):INDEX(F:F,12+(ROW(C42)-1)*7)),"")</f>
        <v/>
      </c>
    </row>
    <row r="45" spans="1:10" x14ac:dyDescent="0.2">
      <c r="A45" s="65">
        <v>46066</v>
      </c>
      <c r="B45" s="66">
        <f t="shared" si="0"/>
        <v>7</v>
      </c>
      <c r="C45" s="67">
        <f t="shared" si="1"/>
        <v>2</v>
      </c>
      <c r="F45" s="68"/>
      <c r="G45" s="69">
        <v>44</v>
      </c>
      <c r="H45" s="57" t="str">
        <f>IFERROR(AVERAGE(INDEX(D:D,6+(ROW(A43)-1)*7):INDEX(D:D,12+(ROW(A43)-1)*7)),"")</f>
        <v/>
      </c>
      <c r="I45" s="57" t="str">
        <f>IFERROR(AVERAGE(INDEX(E:E,6+(ROW(B43)-1)*7):INDEX(E:E,12+(ROW(B43)-1)*7)),"")</f>
        <v/>
      </c>
      <c r="J45" s="72" t="str">
        <f>IFERROR(AVERAGE(INDEX(F:F,6+(ROW(C43)-1)*7):INDEX(F:F,12+(ROW(C43)-1)*7)),"")</f>
        <v/>
      </c>
    </row>
    <row r="46" spans="1:10" x14ac:dyDescent="0.2">
      <c r="A46" s="65">
        <v>46067</v>
      </c>
      <c r="B46" s="66">
        <f t="shared" si="0"/>
        <v>7</v>
      </c>
      <c r="C46" s="67">
        <f t="shared" si="1"/>
        <v>2</v>
      </c>
      <c r="F46" s="68"/>
      <c r="G46" s="69">
        <v>45</v>
      </c>
      <c r="H46" s="57" t="str">
        <f>IFERROR(AVERAGE(INDEX(D:D,6+(ROW(A44)-1)*7):INDEX(D:D,12+(ROW(A44)-1)*7)),"")</f>
        <v/>
      </c>
      <c r="I46" s="57" t="str">
        <f>IFERROR(AVERAGE(INDEX(E:E,6+(ROW(B44)-1)*7):INDEX(E:E,12+(ROW(B44)-1)*7)),"")</f>
        <v/>
      </c>
      <c r="J46" s="72" t="str">
        <f>IFERROR(AVERAGE(INDEX(F:F,6+(ROW(C44)-1)*7):INDEX(F:F,12+(ROW(C44)-1)*7)),"")</f>
        <v/>
      </c>
    </row>
    <row r="47" spans="1:10" x14ac:dyDescent="0.2">
      <c r="A47" s="65">
        <v>46068</v>
      </c>
      <c r="B47" s="66">
        <f t="shared" si="0"/>
        <v>7</v>
      </c>
      <c r="C47" s="67">
        <f t="shared" si="1"/>
        <v>2</v>
      </c>
      <c r="F47" s="68"/>
      <c r="G47" s="69">
        <v>46</v>
      </c>
      <c r="H47" s="57" t="str">
        <f>IFERROR(AVERAGE(INDEX(D:D,6+(ROW(A45)-1)*7):INDEX(D:D,12+(ROW(A45)-1)*7)),"")</f>
        <v/>
      </c>
      <c r="I47" s="57" t="str">
        <f>IFERROR(AVERAGE(INDEX(E:E,6+(ROW(B45)-1)*7):INDEX(E:E,12+(ROW(B45)-1)*7)),"")</f>
        <v/>
      </c>
      <c r="J47" s="72" t="str">
        <f>IFERROR(AVERAGE(INDEX(F:F,6+(ROW(C45)-1)*7):INDEX(F:F,12+(ROW(C45)-1)*7)),"")</f>
        <v/>
      </c>
    </row>
    <row r="48" spans="1:10" x14ac:dyDescent="0.2">
      <c r="A48" s="65">
        <v>46069</v>
      </c>
      <c r="B48" s="66">
        <f t="shared" si="0"/>
        <v>8</v>
      </c>
      <c r="C48" s="67">
        <f t="shared" si="1"/>
        <v>2</v>
      </c>
      <c r="F48" s="68"/>
      <c r="G48" s="69">
        <v>47</v>
      </c>
      <c r="H48" s="57" t="str">
        <f>IFERROR(AVERAGE(INDEX(D:D,6+(ROW(A46)-1)*7):INDEX(D:D,12+(ROW(A46)-1)*7)),"")</f>
        <v/>
      </c>
      <c r="I48" s="57" t="str">
        <f>IFERROR(AVERAGE(INDEX(E:E,6+(ROW(B46)-1)*7):INDEX(E:E,12+(ROW(B46)-1)*7)),"")</f>
        <v/>
      </c>
      <c r="J48" s="72" t="str">
        <f>IFERROR(AVERAGE(INDEX(F:F,6+(ROW(C46)-1)*7):INDEX(F:F,12+(ROW(C46)-1)*7)),"")</f>
        <v/>
      </c>
    </row>
    <row r="49" spans="1:10" x14ac:dyDescent="0.2">
      <c r="A49" s="65">
        <v>46070</v>
      </c>
      <c r="B49" s="66">
        <f t="shared" si="0"/>
        <v>8</v>
      </c>
      <c r="C49" s="67">
        <f t="shared" si="1"/>
        <v>2</v>
      </c>
      <c r="F49" s="68"/>
      <c r="G49" s="69">
        <v>48</v>
      </c>
      <c r="H49" s="57" t="str">
        <f>IFERROR(AVERAGE(INDEX(D:D,6+(ROW(A47)-1)*7):INDEX(D:D,12+(ROW(A47)-1)*7)),"")</f>
        <v/>
      </c>
      <c r="I49" s="57" t="str">
        <f>IFERROR(AVERAGE(INDEX(E:E,6+(ROW(B47)-1)*7):INDEX(E:E,12+(ROW(B47)-1)*7)),"")</f>
        <v/>
      </c>
      <c r="J49" s="72" t="str">
        <f>IFERROR(AVERAGE(INDEX(F:F,6+(ROW(C47)-1)*7):INDEX(F:F,12+(ROW(C47)-1)*7)),"")</f>
        <v/>
      </c>
    </row>
    <row r="50" spans="1:10" x14ac:dyDescent="0.2">
      <c r="A50" s="65">
        <v>46071</v>
      </c>
      <c r="B50" s="66">
        <f t="shared" si="0"/>
        <v>8</v>
      </c>
      <c r="C50" s="67">
        <f t="shared" si="1"/>
        <v>2</v>
      </c>
      <c r="F50" s="68"/>
      <c r="G50" s="69">
        <v>49</v>
      </c>
      <c r="H50" s="57" t="str">
        <f>IFERROR(AVERAGE(INDEX(D:D,6+(ROW(A48)-1)*7):INDEX(D:D,12+(ROW(A48)-1)*7)),"")</f>
        <v/>
      </c>
      <c r="I50" s="57" t="str">
        <f>IFERROR(AVERAGE(INDEX(E:E,6+(ROW(B48)-1)*7):INDEX(E:E,12+(ROW(B48)-1)*7)),"")</f>
        <v/>
      </c>
      <c r="J50" s="72" t="str">
        <f>IFERROR(AVERAGE(INDEX(F:F,6+(ROW(C48)-1)*7):INDEX(F:F,12+(ROW(C48)-1)*7)),"")</f>
        <v/>
      </c>
    </row>
    <row r="51" spans="1:10" x14ac:dyDescent="0.2">
      <c r="A51" s="65">
        <v>46072</v>
      </c>
      <c r="B51" s="66">
        <f t="shared" si="0"/>
        <v>8</v>
      </c>
      <c r="C51" s="67">
        <f t="shared" si="1"/>
        <v>2</v>
      </c>
      <c r="F51" s="68"/>
      <c r="G51" s="69">
        <v>50</v>
      </c>
      <c r="H51" s="57" t="str">
        <f>IFERROR(AVERAGE(INDEX(D:D,6+(ROW(A49)-1)*7):INDEX(D:D,12+(ROW(A49)-1)*7)),"")</f>
        <v/>
      </c>
      <c r="I51" s="57" t="str">
        <f>IFERROR(AVERAGE(INDEX(E:E,6+(ROW(B49)-1)*7):INDEX(E:E,12+(ROW(B49)-1)*7)),"")</f>
        <v/>
      </c>
      <c r="J51" s="72" t="str">
        <f>IFERROR(AVERAGE(INDEX(F:F,6+(ROW(C49)-1)*7):INDEX(F:F,12+(ROW(C49)-1)*7)),"")</f>
        <v/>
      </c>
    </row>
    <row r="52" spans="1:10" x14ac:dyDescent="0.2">
      <c r="A52" s="65">
        <v>46073</v>
      </c>
      <c r="B52" s="66">
        <f t="shared" si="0"/>
        <v>8</v>
      </c>
      <c r="C52" s="67">
        <f t="shared" si="1"/>
        <v>2</v>
      </c>
      <c r="F52" s="68"/>
      <c r="G52" s="69">
        <v>51</v>
      </c>
      <c r="H52" s="57" t="str">
        <f>IFERROR(AVERAGE(INDEX(D:D,6+(ROW(A50)-1)*7):INDEX(D:D,12+(ROW(A50)-1)*7)),"")</f>
        <v/>
      </c>
      <c r="I52" s="57" t="str">
        <f>IFERROR(AVERAGE(INDEX(E:E,6+(ROW(B50)-1)*7):INDEX(E:E,12+(ROW(B50)-1)*7)),"")</f>
        <v/>
      </c>
      <c r="J52" s="72" t="str">
        <f>IFERROR(AVERAGE(INDEX(F:F,6+(ROW(C50)-1)*7):INDEX(F:F,12+(ROW(C50)-1)*7)),"")</f>
        <v/>
      </c>
    </row>
    <row r="53" spans="1:10" x14ac:dyDescent="0.2">
      <c r="A53" s="65">
        <v>46074</v>
      </c>
      <c r="B53" s="66">
        <f t="shared" si="0"/>
        <v>8</v>
      </c>
      <c r="C53" s="67">
        <f t="shared" si="1"/>
        <v>2</v>
      </c>
      <c r="F53" s="68"/>
      <c r="G53" s="69">
        <v>52</v>
      </c>
      <c r="H53" s="57" t="str">
        <f>IFERROR(AVERAGE(INDEX(D:D,6+(ROW(A51)-1)*7):INDEX(D:D,12+(ROW(A51)-1)*7)),"")</f>
        <v/>
      </c>
      <c r="I53" s="57" t="str">
        <f>IFERROR(AVERAGE(INDEX(E:E,6+(ROW(B51)-1)*7):INDEX(E:E,12+(ROW(B51)-1)*7)),"")</f>
        <v/>
      </c>
      <c r="J53" s="72" t="str">
        <f>IFERROR(AVERAGE(INDEX(F:F,6+(ROW(C51)-1)*7):INDEX(F:F,12+(ROW(C51)-1)*7)),"")</f>
        <v/>
      </c>
    </row>
    <row r="54" spans="1:10" x14ac:dyDescent="0.2">
      <c r="A54" s="65">
        <v>46075</v>
      </c>
      <c r="B54" s="66">
        <f t="shared" si="0"/>
        <v>8</v>
      </c>
      <c r="C54" s="67">
        <f t="shared" si="1"/>
        <v>2</v>
      </c>
      <c r="F54" s="68"/>
      <c r="G54" s="70">
        <v>53</v>
      </c>
      <c r="H54" s="71" t="str">
        <f>IFERROR(AVERAGE(INDEX(D:D,6+(ROW(A52)-1)*7):INDEX(D:D,12+(ROW(A52)-1)*7)),"")</f>
        <v/>
      </c>
      <c r="I54" s="71" t="str">
        <f>IFERROR(AVERAGE(INDEX(E:E,6+(ROW(B52)-1)*7):INDEX(E:E,12+(ROW(B52)-1)*7)),"")</f>
        <v/>
      </c>
      <c r="J54" s="76" t="str">
        <f>IFERROR(AVERAGE(INDEX(F:F,6+(ROW(C52)-1)*7):INDEX(F:F,12+(ROW(C52)-1)*7)),"")</f>
        <v/>
      </c>
    </row>
    <row r="55" spans="1:10" x14ac:dyDescent="0.2">
      <c r="A55" s="65">
        <v>46076</v>
      </c>
      <c r="B55" s="66">
        <f t="shared" si="0"/>
        <v>9</v>
      </c>
      <c r="C55" s="67">
        <f t="shared" si="1"/>
        <v>2</v>
      </c>
      <c r="F55" s="68"/>
    </row>
    <row r="56" spans="1:10" x14ac:dyDescent="0.2">
      <c r="A56" s="65">
        <v>46077</v>
      </c>
      <c r="B56" s="66">
        <f t="shared" si="0"/>
        <v>9</v>
      </c>
      <c r="C56" s="67">
        <f t="shared" si="1"/>
        <v>2</v>
      </c>
      <c r="F56" s="68"/>
    </row>
    <row r="57" spans="1:10" x14ac:dyDescent="0.2">
      <c r="A57" s="65">
        <v>46078</v>
      </c>
      <c r="B57" s="66">
        <f t="shared" si="0"/>
        <v>9</v>
      </c>
      <c r="C57" s="67">
        <f t="shared" si="1"/>
        <v>2</v>
      </c>
      <c r="F57" s="68"/>
    </row>
    <row r="58" spans="1:10" x14ac:dyDescent="0.2">
      <c r="A58" s="65">
        <v>46079</v>
      </c>
      <c r="B58" s="66">
        <f t="shared" si="0"/>
        <v>9</v>
      </c>
      <c r="C58" s="67">
        <f t="shared" si="1"/>
        <v>2</v>
      </c>
      <c r="F58" s="68"/>
    </row>
    <row r="59" spans="1:10" x14ac:dyDescent="0.2">
      <c r="A59" s="65">
        <v>46080</v>
      </c>
      <c r="B59" s="66">
        <f t="shared" si="0"/>
        <v>9</v>
      </c>
      <c r="C59" s="67">
        <f t="shared" si="1"/>
        <v>2</v>
      </c>
      <c r="F59" s="68"/>
    </row>
    <row r="60" spans="1:10" x14ac:dyDescent="0.2">
      <c r="A60" s="65">
        <v>46081</v>
      </c>
      <c r="B60" s="66">
        <f t="shared" si="0"/>
        <v>9</v>
      </c>
      <c r="C60" s="67">
        <f t="shared" si="1"/>
        <v>2</v>
      </c>
      <c r="D60" s="56" t="s">
        <v>138</v>
      </c>
      <c r="E60" s="56" t="s">
        <v>138</v>
      </c>
      <c r="F60" s="68">
        <v>99.06</v>
      </c>
    </row>
    <row r="61" spans="1:10" x14ac:dyDescent="0.2">
      <c r="A61" s="65">
        <v>46082</v>
      </c>
      <c r="B61" s="66">
        <f t="shared" si="0"/>
        <v>9</v>
      </c>
      <c r="C61" s="67">
        <f t="shared" si="1"/>
        <v>3</v>
      </c>
      <c r="F61" s="68"/>
    </row>
    <row r="62" spans="1:10" x14ac:dyDescent="0.2">
      <c r="A62" s="65">
        <v>46083</v>
      </c>
      <c r="B62" s="66">
        <f t="shared" si="0"/>
        <v>10</v>
      </c>
      <c r="C62" s="67">
        <f t="shared" si="1"/>
        <v>3</v>
      </c>
      <c r="D62" s="56">
        <v>99.98</v>
      </c>
      <c r="E62" s="56">
        <v>90.26</v>
      </c>
      <c r="F62" s="68">
        <v>98.82</v>
      </c>
    </row>
    <row r="63" spans="1:10" x14ac:dyDescent="0.2">
      <c r="A63" s="65">
        <v>46084</v>
      </c>
      <c r="B63" s="66">
        <f t="shared" si="0"/>
        <v>10</v>
      </c>
      <c r="C63" s="67">
        <f t="shared" si="1"/>
        <v>3</v>
      </c>
      <c r="D63" s="56">
        <v>98.95</v>
      </c>
      <c r="E63" s="56">
        <v>78.069999999999993</v>
      </c>
      <c r="F63" s="68">
        <v>98.24</v>
      </c>
    </row>
    <row r="64" spans="1:10" x14ac:dyDescent="0.2">
      <c r="A64" s="65">
        <v>46085</v>
      </c>
      <c r="B64" s="66">
        <f t="shared" si="0"/>
        <v>10</v>
      </c>
      <c r="C64" s="67">
        <f t="shared" si="1"/>
        <v>3</v>
      </c>
      <c r="D64" s="56">
        <v>99.63</v>
      </c>
      <c r="E64" s="56">
        <v>82.65</v>
      </c>
      <c r="F64" s="68">
        <v>98.27</v>
      </c>
    </row>
    <row r="65" spans="1:6" x14ac:dyDescent="0.2">
      <c r="A65" s="65">
        <v>46086</v>
      </c>
      <c r="B65" s="66">
        <f t="shared" si="0"/>
        <v>10</v>
      </c>
      <c r="C65" s="67">
        <f t="shared" si="1"/>
        <v>3</v>
      </c>
      <c r="D65" s="56">
        <v>99.33</v>
      </c>
      <c r="E65" s="56">
        <v>98.19</v>
      </c>
      <c r="F65" s="68">
        <v>95.69</v>
      </c>
    </row>
    <row r="66" spans="1:6" x14ac:dyDescent="0.2">
      <c r="A66" s="65">
        <v>46087</v>
      </c>
      <c r="B66" s="66">
        <f t="shared" ref="B66:B129" si="2">WEEKNUM(A66,2)</f>
        <v>10</v>
      </c>
      <c r="C66" s="67">
        <f t="shared" ref="C66:C129" si="3">MONTH(A66)</f>
        <v>3</v>
      </c>
      <c r="D66" s="56">
        <v>99.27</v>
      </c>
      <c r="E66" s="56">
        <v>99.51</v>
      </c>
      <c r="F66" s="68">
        <v>97.81</v>
      </c>
    </row>
    <row r="67" spans="1:6" x14ac:dyDescent="0.2">
      <c r="A67" s="65">
        <v>46088</v>
      </c>
      <c r="B67" s="66">
        <f t="shared" si="2"/>
        <v>10</v>
      </c>
      <c r="C67" s="67">
        <f t="shared" si="3"/>
        <v>3</v>
      </c>
      <c r="F67" s="68"/>
    </row>
    <row r="68" spans="1:6" x14ac:dyDescent="0.2">
      <c r="A68" s="65">
        <v>46089</v>
      </c>
      <c r="B68" s="66">
        <f t="shared" si="2"/>
        <v>10</v>
      </c>
      <c r="C68" s="67">
        <f t="shared" si="3"/>
        <v>3</v>
      </c>
      <c r="F68" s="68"/>
    </row>
    <row r="69" spans="1:6" x14ac:dyDescent="0.2">
      <c r="A69" s="65">
        <v>46090</v>
      </c>
      <c r="B69" s="66">
        <f t="shared" si="2"/>
        <v>11</v>
      </c>
      <c r="C69" s="67">
        <f t="shared" si="3"/>
        <v>3</v>
      </c>
      <c r="F69" s="68"/>
    </row>
    <row r="70" spans="1:6" x14ac:dyDescent="0.2">
      <c r="A70" s="65">
        <v>46091</v>
      </c>
      <c r="B70" s="66">
        <f t="shared" si="2"/>
        <v>11</v>
      </c>
      <c r="C70" s="67">
        <f t="shared" si="3"/>
        <v>3</v>
      </c>
      <c r="D70" s="56">
        <v>90.62</v>
      </c>
      <c r="E70" s="56">
        <v>99.31</v>
      </c>
      <c r="F70" s="68">
        <v>98.71</v>
      </c>
    </row>
    <row r="71" spans="1:6" x14ac:dyDescent="0.2">
      <c r="A71" s="65">
        <v>46092</v>
      </c>
      <c r="B71" s="66">
        <f t="shared" si="2"/>
        <v>11</v>
      </c>
      <c r="C71" s="67">
        <f t="shared" si="3"/>
        <v>3</v>
      </c>
      <c r="D71" s="56">
        <v>99.97</v>
      </c>
      <c r="E71" s="56">
        <v>71.87</v>
      </c>
      <c r="F71" s="68">
        <v>98.54</v>
      </c>
    </row>
    <row r="72" spans="1:6" x14ac:dyDescent="0.2">
      <c r="A72" s="65">
        <v>46093</v>
      </c>
      <c r="B72" s="66">
        <f t="shared" si="2"/>
        <v>11</v>
      </c>
      <c r="C72" s="67">
        <f t="shared" si="3"/>
        <v>3</v>
      </c>
      <c r="D72" s="56">
        <v>97.88</v>
      </c>
      <c r="E72" s="56">
        <v>100</v>
      </c>
      <c r="F72" s="68">
        <v>98.78</v>
      </c>
    </row>
    <row r="73" spans="1:6" x14ac:dyDescent="0.2">
      <c r="A73" s="65">
        <v>46094</v>
      </c>
      <c r="B73" s="66">
        <f t="shared" si="2"/>
        <v>11</v>
      </c>
      <c r="C73" s="67">
        <f t="shared" si="3"/>
        <v>3</v>
      </c>
      <c r="D73" s="56">
        <v>99.28</v>
      </c>
      <c r="E73" s="56">
        <v>98.09</v>
      </c>
      <c r="F73" s="68">
        <v>98.37</v>
      </c>
    </row>
    <row r="74" spans="1:6" x14ac:dyDescent="0.2">
      <c r="A74" s="65">
        <v>46095</v>
      </c>
      <c r="B74" s="66">
        <f t="shared" si="2"/>
        <v>11</v>
      </c>
      <c r="C74" s="67">
        <f t="shared" si="3"/>
        <v>3</v>
      </c>
      <c r="D74" s="56">
        <v>98.04</v>
      </c>
      <c r="E74" s="56">
        <v>99.34</v>
      </c>
      <c r="F74" s="68">
        <v>98.18</v>
      </c>
    </row>
    <row r="75" spans="1:6" x14ac:dyDescent="0.2">
      <c r="A75" s="65">
        <v>46096</v>
      </c>
      <c r="B75" s="66">
        <f t="shared" si="2"/>
        <v>11</v>
      </c>
      <c r="C75" s="67">
        <f t="shared" si="3"/>
        <v>3</v>
      </c>
      <c r="F75" s="68"/>
    </row>
    <row r="76" spans="1:6" x14ac:dyDescent="0.2">
      <c r="A76" s="65">
        <v>46097</v>
      </c>
      <c r="B76" s="66">
        <f t="shared" si="2"/>
        <v>12</v>
      </c>
      <c r="C76" s="67">
        <f t="shared" si="3"/>
        <v>3</v>
      </c>
      <c r="D76" s="56">
        <v>98.94</v>
      </c>
      <c r="E76" s="56">
        <v>97.34</v>
      </c>
      <c r="F76" s="68">
        <v>97.86</v>
      </c>
    </row>
    <row r="77" spans="1:6" x14ac:dyDescent="0.2">
      <c r="A77" s="65">
        <v>46098</v>
      </c>
      <c r="B77" s="66">
        <f t="shared" si="2"/>
        <v>12</v>
      </c>
      <c r="C77" s="67">
        <f t="shared" si="3"/>
        <v>3</v>
      </c>
      <c r="D77" s="56">
        <v>99.99</v>
      </c>
      <c r="E77" s="56">
        <v>96.88</v>
      </c>
      <c r="F77" s="68">
        <v>98.44</v>
      </c>
    </row>
    <row r="78" spans="1:6" x14ac:dyDescent="0.2">
      <c r="A78" s="65">
        <v>46099</v>
      </c>
      <c r="B78" s="66">
        <f t="shared" si="2"/>
        <v>12</v>
      </c>
      <c r="C78" s="67">
        <f t="shared" si="3"/>
        <v>3</v>
      </c>
      <c r="D78" s="56">
        <v>99.79</v>
      </c>
      <c r="E78" s="56">
        <v>99.89</v>
      </c>
      <c r="F78" s="68">
        <v>98.45</v>
      </c>
    </row>
    <row r="79" spans="1:6" x14ac:dyDescent="0.2">
      <c r="A79" s="65">
        <v>46100</v>
      </c>
      <c r="B79" s="66">
        <f t="shared" si="2"/>
        <v>12</v>
      </c>
      <c r="C79" s="67">
        <f t="shared" si="3"/>
        <v>3</v>
      </c>
      <c r="D79" s="56">
        <v>99.84</v>
      </c>
      <c r="E79" s="56">
        <v>99.23</v>
      </c>
      <c r="F79" s="68">
        <v>99.13</v>
      </c>
    </row>
    <row r="80" spans="1:6" x14ac:dyDescent="0.2">
      <c r="A80" s="65">
        <v>46101</v>
      </c>
      <c r="B80" s="66">
        <f t="shared" si="2"/>
        <v>12</v>
      </c>
      <c r="C80" s="67">
        <f t="shared" si="3"/>
        <v>3</v>
      </c>
      <c r="F80" s="68"/>
    </row>
    <row r="81" spans="1:6" x14ac:dyDescent="0.2">
      <c r="A81" s="65">
        <v>46102</v>
      </c>
      <c r="B81" s="66">
        <f t="shared" si="2"/>
        <v>12</v>
      </c>
      <c r="C81" s="67">
        <f t="shared" si="3"/>
        <v>3</v>
      </c>
      <c r="F81" s="68"/>
    </row>
    <row r="82" spans="1:6" x14ac:dyDescent="0.2">
      <c r="A82" s="65">
        <v>46103</v>
      </c>
      <c r="B82" s="66">
        <f t="shared" si="2"/>
        <v>12</v>
      </c>
      <c r="C82" s="67">
        <f t="shared" si="3"/>
        <v>3</v>
      </c>
      <c r="F82" s="68"/>
    </row>
    <row r="83" spans="1:6" x14ac:dyDescent="0.2">
      <c r="A83" s="65">
        <v>46104</v>
      </c>
      <c r="B83" s="66">
        <f t="shared" si="2"/>
        <v>13</v>
      </c>
      <c r="C83" s="67">
        <f t="shared" si="3"/>
        <v>3</v>
      </c>
      <c r="F83" s="68"/>
    </row>
    <row r="84" spans="1:6" x14ac:dyDescent="0.2">
      <c r="A84" s="65">
        <v>46105</v>
      </c>
      <c r="B84" s="66">
        <f t="shared" si="2"/>
        <v>13</v>
      </c>
      <c r="C84" s="67">
        <f t="shared" si="3"/>
        <v>3</v>
      </c>
      <c r="F84" s="68"/>
    </row>
    <row r="85" spans="1:6" x14ac:dyDescent="0.2">
      <c r="A85" s="65">
        <v>46106</v>
      </c>
      <c r="B85" s="66">
        <f t="shared" si="2"/>
        <v>13</v>
      </c>
      <c r="C85" s="67">
        <f t="shared" si="3"/>
        <v>3</v>
      </c>
      <c r="F85" s="68"/>
    </row>
    <row r="86" spans="1:6" x14ac:dyDescent="0.2">
      <c r="A86" s="65">
        <v>46107</v>
      </c>
      <c r="B86" s="66">
        <f t="shared" si="2"/>
        <v>13</v>
      </c>
      <c r="C86" s="67">
        <f t="shared" si="3"/>
        <v>3</v>
      </c>
      <c r="F86" s="68"/>
    </row>
    <row r="87" spans="1:6" x14ac:dyDescent="0.2">
      <c r="A87" s="65">
        <v>46108</v>
      </c>
      <c r="B87" s="66">
        <f t="shared" si="2"/>
        <v>13</v>
      </c>
      <c r="C87" s="67">
        <f t="shared" si="3"/>
        <v>3</v>
      </c>
      <c r="F87" s="68"/>
    </row>
    <row r="88" spans="1:6" x14ac:dyDescent="0.2">
      <c r="A88" s="65">
        <v>46109</v>
      </c>
      <c r="B88" s="66">
        <f t="shared" si="2"/>
        <v>13</v>
      </c>
      <c r="C88" s="67">
        <f t="shared" si="3"/>
        <v>3</v>
      </c>
      <c r="F88" s="68"/>
    </row>
    <row r="89" spans="1:6" x14ac:dyDescent="0.2">
      <c r="A89" s="65">
        <v>46110</v>
      </c>
      <c r="B89" s="66">
        <f t="shared" si="2"/>
        <v>13</v>
      </c>
      <c r="C89" s="67">
        <f t="shared" si="3"/>
        <v>3</v>
      </c>
      <c r="F89" s="68"/>
    </row>
    <row r="90" spans="1:6" x14ac:dyDescent="0.2">
      <c r="A90" s="65">
        <v>46111</v>
      </c>
      <c r="B90" s="66">
        <f t="shared" si="2"/>
        <v>14</v>
      </c>
      <c r="C90" s="67">
        <f t="shared" si="3"/>
        <v>3</v>
      </c>
      <c r="F90" s="68"/>
    </row>
    <row r="91" spans="1:6" x14ac:dyDescent="0.2">
      <c r="A91" s="65">
        <v>46112</v>
      </c>
      <c r="B91" s="66">
        <f t="shared" si="2"/>
        <v>14</v>
      </c>
      <c r="C91" s="67">
        <f t="shared" si="3"/>
        <v>3</v>
      </c>
      <c r="F91" s="68"/>
    </row>
    <row r="92" spans="1:6" x14ac:dyDescent="0.2">
      <c r="A92" s="65">
        <v>46113</v>
      </c>
      <c r="B92" s="66">
        <f t="shared" si="2"/>
        <v>14</v>
      </c>
      <c r="C92" s="67">
        <f t="shared" si="3"/>
        <v>4</v>
      </c>
      <c r="F92" s="68"/>
    </row>
    <row r="93" spans="1:6" x14ac:dyDescent="0.2">
      <c r="A93" s="65">
        <v>46114</v>
      </c>
      <c r="B93" s="66">
        <f t="shared" si="2"/>
        <v>14</v>
      </c>
      <c r="C93" s="67">
        <f t="shared" si="3"/>
        <v>4</v>
      </c>
      <c r="F93" s="68"/>
    </row>
    <row r="94" spans="1:6" x14ac:dyDescent="0.2">
      <c r="A94" s="65">
        <v>46115</v>
      </c>
      <c r="B94" s="66">
        <f t="shared" si="2"/>
        <v>14</v>
      </c>
      <c r="C94" s="67">
        <f t="shared" si="3"/>
        <v>4</v>
      </c>
      <c r="F94" s="68"/>
    </row>
    <row r="95" spans="1:6" x14ac:dyDescent="0.2">
      <c r="A95" s="65">
        <v>46116</v>
      </c>
      <c r="B95" s="66">
        <f t="shared" si="2"/>
        <v>14</v>
      </c>
      <c r="C95" s="67">
        <f t="shared" si="3"/>
        <v>4</v>
      </c>
      <c r="F95" s="68"/>
    </row>
    <row r="96" spans="1:6" x14ac:dyDescent="0.2">
      <c r="A96" s="65">
        <v>46117</v>
      </c>
      <c r="B96" s="66">
        <f t="shared" si="2"/>
        <v>14</v>
      </c>
      <c r="C96" s="67">
        <f t="shared" si="3"/>
        <v>4</v>
      </c>
      <c r="F96" s="68"/>
    </row>
    <row r="97" spans="1:6" x14ac:dyDescent="0.2">
      <c r="A97" s="65">
        <v>46118</v>
      </c>
      <c r="B97" s="66">
        <f t="shared" si="2"/>
        <v>15</v>
      </c>
      <c r="C97" s="67">
        <f t="shared" si="3"/>
        <v>4</v>
      </c>
      <c r="F97" s="68"/>
    </row>
    <row r="98" spans="1:6" x14ac:dyDescent="0.2">
      <c r="A98" s="65">
        <v>46119</v>
      </c>
      <c r="B98" s="66">
        <f t="shared" si="2"/>
        <v>15</v>
      </c>
      <c r="C98" s="67">
        <f t="shared" si="3"/>
        <v>4</v>
      </c>
      <c r="F98" s="68"/>
    </row>
    <row r="99" spans="1:6" x14ac:dyDescent="0.2">
      <c r="A99" s="65">
        <v>46120</v>
      </c>
      <c r="B99" s="66">
        <f t="shared" si="2"/>
        <v>15</v>
      </c>
      <c r="C99" s="67">
        <f t="shared" si="3"/>
        <v>4</v>
      </c>
      <c r="F99" s="68"/>
    </row>
    <row r="100" spans="1:6" x14ac:dyDescent="0.2">
      <c r="A100" s="65">
        <v>46121</v>
      </c>
      <c r="B100" s="66">
        <f t="shared" si="2"/>
        <v>15</v>
      </c>
      <c r="C100" s="67">
        <f t="shared" si="3"/>
        <v>4</v>
      </c>
      <c r="F100" s="68"/>
    </row>
    <row r="101" spans="1:6" x14ac:dyDescent="0.2">
      <c r="A101" s="65">
        <v>46122</v>
      </c>
      <c r="B101" s="66">
        <f t="shared" si="2"/>
        <v>15</v>
      </c>
      <c r="C101" s="67">
        <f t="shared" si="3"/>
        <v>4</v>
      </c>
      <c r="F101" s="68"/>
    </row>
    <row r="102" spans="1:6" x14ac:dyDescent="0.2">
      <c r="A102" s="65">
        <v>46123</v>
      </c>
      <c r="B102" s="66">
        <f t="shared" si="2"/>
        <v>15</v>
      </c>
      <c r="C102" s="67">
        <f t="shared" si="3"/>
        <v>4</v>
      </c>
      <c r="F102" s="68"/>
    </row>
    <row r="103" spans="1:6" x14ac:dyDescent="0.2">
      <c r="A103" s="65">
        <v>46124</v>
      </c>
      <c r="B103" s="66">
        <f t="shared" si="2"/>
        <v>15</v>
      </c>
      <c r="C103" s="67">
        <f t="shared" si="3"/>
        <v>4</v>
      </c>
      <c r="F103" s="68"/>
    </row>
    <row r="104" spans="1:6" x14ac:dyDescent="0.2">
      <c r="A104" s="65">
        <v>46125</v>
      </c>
      <c r="B104" s="66">
        <f t="shared" si="2"/>
        <v>16</v>
      </c>
      <c r="C104" s="67">
        <f t="shared" si="3"/>
        <v>4</v>
      </c>
      <c r="F104" s="68"/>
    </row>
    <row r="105" spans="1:6" x14ac:dyDescent="0.2">
      <c r="A105" s="65">
        <v>46126</v>
      </c>
      <c r="B105" s="66">
        <f t="shared" si="2"/>
        <v>16</v>
      </c>
      <c r="C105" s="67">
        <f t="shared" si="3"/>
        <v>4</v>
      </c>
      <c r="F105" s="68"/>
    </row>
    <row r="106" spans="1:6" x14ac:dyDescent="0.2">
      <c r="A106" s="65">
        <v>46127</v>
      </c>
      <c r="B106" s="66">
        <f t="shared" si="2"/>
        <v>16</v>
      </c>
      <c r="C106" s="67">
        <f t="shared" si="3"/>
        <v>4</v>
      </c>
      <c r="F106" s="68"/>
    </row>
    <row r="107" spans="1:6" x14ac:dyDescent="0.2">
      <c r="A107" s="65">
        <v>46128</v>
      </c>
      <c r="B107" s="66">
        <f t="shared" si="2"/>
        <v>16</v>
      </c>
      <c r="C107" s="67">
        <f t="shared" si="3"/>
        <v>4</v>
      </c>
      <c r="F107" s="68"/>
    </row>
    <row r="108" spans="1:6" x14ac:dyDescent="0.2">
      <c r="A108" s="65">
        <v>46129</v>
      </c>
      <c r="B108" s="66">
        <f t="shared" si="2"/>
        <v>16</v>
      </c>
      <c r="C108" s="67">
        <f t="shared" si="3"/>
        <v>4</v>
      </c>
      <c r="F108" s="68"/>
    </row>
    <row r="109" spans="1:6" x14ac:dyDescent="0.2">
      <c r="A109" s="65">
        <v>46130</v>
      </c>
      <c r="B109" s="66">
        <f t="shared" si="2"/>
        <v>16</v>
      </c>
      <c r="C109" s="67">
        <f t="shared" si="3"/>
        <v>4</v>
      </c>
      <c r="F109" s="68"/>
    </row>
    <row r="110" spans="1:6" x14ac:dyDescent="0.2">
      <c r="A110" s="65">
        <v>46131</v>
      </c>
      <c r="B110" s="66">
        <f t="shared" si="2"/>
        <v>16</v>
      </c>
      <c r="C110" s="67">
        <f t="shared" si="3"/>
        <v>4</v>
      </c>
      <c r="F110" s="68"/>
    </row>
    <row r="111" spans="1:6" x14ac:dyDescent="0.2">
      <c r="A111" s="65">
        <v>46132</v>
      </c>
      <c r="B111" s="66">
        <f t="shared" si="2"/>
        <v>17</v>
      </c>
      <c r="C111" s="67">
        <f t="shared" si="3"/>
        <v>4</v>
      </c>
      <c r="F111" s="68"/>
    </row>
    <row r="112" spans="1:6" x14ac:dyDescent="0.2">
      <c r="A112" s="65">
        <v>46133</v>
      </c>
      <c r="B112" s="66">
        <f t="shared" si="2"/>
        <v>17</v>
      </c>
      <c r="C112" s="67">
        <f t="shared" si="3"/>
        <v>4</v>
      </c>
      <c r="F112" s="68"/>
    </row>
    <row r="113" spans="1:6" x14ac:dyDescent="0.2">
      <c r="A113" s="65">
        <v>46134</v>
      </c>
      <c r="B113" s="66">
        <f t="shared" si="2"/>
        <v>17</v>
      </c>
      <c r="C113" s="67">
        <f t="shared" si="3"/>
        <v>4</v>
      </c>
      <c r="F113" s="68"/>
    </row>
    <row r="114" spans="1:6" x14ac:dyDescent="0.2">
      <c r="A114" s="65">
        <v>46135</v>
      </c>
      <c r="B114" s="66">
        <f t="shared" si="2"/>
        <v>17</v>
      </c>
      <c r="C114" s="67">
        <f t="shared" si="3"/>
        <v>4</v>
      </c>
      <c r="F114" s="68"/>
    </row>
    <row r="115" spans="1:6" x14ac:dyDescent="0.2">
      <c r="A115" s="65">
        <v>46136</v>
      </c>
      <c r="B115" s="66">
        <f t="shared" si="2"/>
        <v>17</v>
      </c>
      <c r="C115" s="67">
        <f t="shared" si="3"/>
        <v>4</v>
      </c>
      <c r="F115" s="68"/>
    </row>
    <row r="116" spans="1:6" x14ac:dyDescent="0.2">
      <c r="A116" s="65">
        <v>46137</v>
      </c>
      <c r="B116" s="66">
        <f t="shared" si="2"/>
        <v>17</v>
      </c>
      <c r="C116" s="67">
        <f t="shared" si="3"/>
        <v>4</v>
      </c>
      <c r="F116" s="68"/>
    </row>
    <row r="117" spans="1:6" x14ac:dyDescent="0.2">
      <c r="A117" s="65">
        <v>46138</v>
      </c>
      <c r="B117" s="66">
        <f t="shared" si="2"/>
        <v>17</v>
      </c>
      <c r="C117" s="67">
        <f t="shared" si="3"/>
        <v>4</v>
      </c>
      <c r="F117" s="68"/>
    </row>
    <row r="118" spans="1:6" x14ac:dyDescent="0.2">
      <c r="A118" s="65">
        <v>46139</v>
      </c>
      <c r="B118" s="66">
        <f t="shared" si="2"/>
        <v>18</v>
      </c>
      <c r="C118" s="67">
        <f t="shared" si="3"/>
        <v>4</v>
      </c>
      <c r="F118" s="68"/>
    </row>
    <row r="119" spans="1:6" x14ac:dyDescent="0.2">
      <c r="A119" s="65">
        <v>46140</v>
      </c>
      <c r="B119" s="66">
        <f t="shared" si="2"/>
        <v>18</v>
      </c>
      <c r="C119" s="67">
        <f t="shared" si="3"/>
        <v>4</v>
      </c>
      <c r="F119" s="68"/>
    </row>
    <row r="120" spans="1:6" x14ac:dyDescent="0.2">
      <c r="A120" s="65">
        <v>46141</v>
      </c>
      <c r="B120" s="66">
        <f t="shared" si="2"/>
        <v>18</v>
      </c>
      <c r="C120" s="67">
        <f t="shared" si="3"/>
        <v>4</v>
      </c>
      <c r="F120" s="68"/>
    </row>
    <row r="121" spans="1:6" x14ac:dyDescent="0.2">
      <c r="A121" s="65">
        <v>46142</v>
      </c>
      <c r="B121" s="66">
        <f t="shared" si="2"/>
        <v>18</v>
      </c>
      <c r="C121" s="67">
        <f t="shared" si="3"/>
        <v>4</v>
      </c>
      <c r="F121" s="68"/>
    </row>
    <row r="122" spans="1:6" x14ac:dyDescent="0.2">
      <c r="A122" s="65">
        <v>46143</v>
      </c>
      <c r="B122" s="66">
        <f t="shared" si="2"/>
        <v>18</v>
      </c>
      <c r="C122" s="67">
        <f t="shared" si="3"/>
        <v>5</v>
      </c>
      <c r="F122" s="68"/>
    </row>
    <row r="123" spans="1:6" x14ac:dyDescent="0.2">
      <c r="A123" s="65">
        <v>46144</v>
      </c>
      <c r="B123" s="66">
        <f t="shared" si="2"/>
        <v>18</v>
      </c>
      <c r="C123" s="67">
        <f t="shared" si="3"/>
        <v>5</v>
      </c>
      <c r="F123" s="68"/>
    </row>
    <row r="124" spans="1:6" x14ac:dyDescent="0.2">
      <c r="A124" s="65">
        <v>46145</v>
      </c>
      <c r="B124" s="66">
        <f t="shared" si="2"/>
        <v>18</v>
      </c>
      <c r="C124" s="67">
        <f t="shared" si="3"/>
        <v>5</v>
      </c>
      <c r="F124" s="68"/>
    </row>
    <row r="125" spans="1:6" x14ac:dyDescent="0.2">
      <c r="A125" s="65">
        <v>46146</v>
      </c>
      <c r="B125" s="66">
        <f t="shared" si="2"/>
        <v>19</v>
      </c>
      <c r="C125" s="67">
        <f t="shared" si="3"/>
        <v>5</v>
      </c>
      <c r="F125" s="68"/>
    </row>
    <row r="126" spans="1:6" x14ac:dyDescent="0.2">
      <c r="A126" s="65">
        <v>46147</v>
      </c>
      <c r="B126" s="66">
        <f t="shared" si="2"/>
        <v>19</v>
      </c>
      <c r="C126" s="67">
        <f t="shared" si="3"/>
        <v>5</v>
      </c>
      <c r="F126" s="68"/>
    </row>
    <row r="127" spans="1:6" x14ac:dyDescent="0.2">
      <c r="A127" s="65">
        <v>46148</v>
      </c>
      <c r="B127" s="66">
        <f t="shared" si="2"/>
        <v>19</v>
      </c>
      <c r="C127" s="67">
        <f t="shared" si="3"/>
        <v>5</v>
      </c>
      <c r="F127" s="68"/>
    </row>
    <row r="128" spans="1:6" x14ac:dyDescent="0.2">
      <c r="A128" s="65">
        <v>46149</v>
      </c>
      <c r="B128" s="66">
        <f t="shared" si="2"/>
        <v>19</v>
      </c>
      <c r="C128" s="67">
        <f t="shared" si="3"/>
        <v>5</v>
      </c>
      <c r="F128" s="68"/>
    </row>
    <row r="129" spans="1:6" x14ac:dyDescent="0.2">
      <c r="A129" s="65">
        <v>46150</v>
      </c>
      <c r="B129" s="66">
        <f t="shared" si="2"/>
        <v>19</v>
      </c>
      <c r="C129" s="67">
        <f t="shared" si="3"/>
        <v>5</v>
      </c>
      <c r="F129" s="68"/>
    </row>
    <row r="130" spans="1:6" x14ac:dyDescent="0.2">
      <c r="A130" s="65">
        <v>46151</v>
      </c>
      <c r="B130" s="66">
        <f t="shared" ref="B130:B193" si="4">WEEKNUM(A130,2)</f>
        <v>19</v>
      </c>
      <c r="C130" s="67">
        <f t="shared" ref="C130:C193" si="5">MONTH(A130)</f>
        <v>5</v>
      </c>
      <c r="F130" s="68"/>
    </row>
    <row r="131" spans="1:6" x14ac:dyDescent="0.2">
      <c r="A131" s="65">
        <v>46152</v>
      </c>
      <c r="B131" s="66">
        <f t="shared" si="4"/>
        <v>19</v>
      </c>
      <c r="C131" s="67">
        <f t="shared" si="5"/>
        <v>5</v>
      </c>
      <c r="F131" s="68"/>
    </row>
    <row r="132" spans="1:6" x14ac:dyDescent="0.2">
      <c r="A132" s="65">
        <v>46153</v>
      </c>
      <c r="B132" s="66">
        <f t="shared" si="4"/>
        <v>20</v>
      </c>
      <c r="C132" s="67">
        <f t="shared" si="5"/>
        <v>5</v>
      </c>
      <c r="F132" s="68"/>
    </row>
    <row r="133" spans="1:6" x14ac:dyDescent="0.2">
      <c r="A133" s="65">
        <v>46154</v>
      </c>
      <c r="B133" s="66">
        <f t="shared" si="4"/>
        <v>20</v>
      </c>
      <c r="C133" s="67">
        <f t="shared" si="5"/>
        <v>5</v>
      </c>
      <c r="F133" s="68"/>
    </row>
    <row r="134" spans="1:6" x14ac:dyDescent="0.2">
      <c r="A134" s="65">
        <v>46155</v>
      </c>
      <c r="B134" s="66">
        <f t="shared" si="4"/>
        <v>20</v>
      </c>
      <c r="C134" s="67">
        <f t="shared" si="5"/>
        <v>5</v>
      </c>
      <c r="F134" s="68"/>
    </row>
    <row r="135" spans="1:6" x14ac:dyDescent="0.2">
      <c r="A135" s="65">
        <v>46156</v>
      </c>
      <c r="B135" s="66">
        <f t="shared" si="4"/>
        <v>20</v>
      </c>
      <c r="C135" s="67">
        <f t="shared" si="5"/>
        <v>5</v>
      </c>
      <c r="F135" s="68"/>
    </row>
    <row r="136" spans="1:6" x14ac:dyDescent="0.2">
      <c r="A136" s="65">
        <v>46157</v>
      </c>
      <c r="B136" s="66">
        <f t="shared" si="4"/>
        <v>20</v>
      </c>
      <c r="C136" s="67">
        <f t="shared" si="5"/>
        <v>5</v>
      </c>
      <c r="F136" s="68"/>
    </row>
    <row r="137" spans="1:6" x14ac:dyDescent="0.2">
      <c r="A137" s="65">
        <v>46158</v>
      </c>
      <c r="B137" s="66">
        <f t="shared" si="4"/>
        <v>20</v>
      </c>
      <c r="C137" s="67">
        <f t="shared" si="5"/>
        <v>5</v>
      </c>
      <c r="F137" s="68"/>
    </row>
    <row r="138" spans="1:6" x14ac:dyDescent="0.2">
      <c r="A138" s="65">
        <v>46159</v>
      </c>
      <c r="B138" s="66">
        <f t="shared" si="4"/>
        <v>20</v>
      </c>
      <c r="C138" s="67">
        <f t="shared" si="5"/>
        <v>5</v>
      </c>
      <c r="F138" s="68"/>
    </row>
    <row r="139" spans="1:6" x14ac:dyDescent="0.2">
      <c r="A139" s="65">
        <v>46160</v>
      </c>
      <c r="B139" s="66">
        <f t="shared" si="4"/>
        <v>21</v>
      </c>
      <c r="C139" s="67">
        <f t="shared" si="5"/>
        <v>5</v>
      </c>
      <c r="F139" s="68"/>
    </row>
    <row r="140" spans="1:6" x14ac:dyDescent="0.2">
      <c r="A140" s="65">
        <v>46161</v>
      </c>
      <c r="B140" s="66">
        <f t="shared" si="4"/>
        <v>21</v>
      </c>
      <c r="C140" s="67">
        <f t="shared" si="5"/>
        <v>5</v>
      </c>
      <c r="F140" s="68"/>
    </row>
    <row r="141" spans="1:6" x14ac:dyDescent="0.2">
      <c r="A141" s="65">
        <v>46162</v>
      </c>
      <c r="B141" s="66">
        <f t="shared" si="4"/>
        <v>21</v>
      </c>
      <c r="C141" s="67">
        <f t="shared" si="5"/>
        <v>5</v>
      </c>
      <c r="F141" s="68"/>
    </row>
    <row r="142" spans="1:6" x14ac:dyDescent="0.2">
      <c r="A142" s="65">
        <v>46163</v>
      </c>
      <c r="B142" s="66">
        <f t="shared" si="4"/>
        <v>21</v>
      </c>
      <c r="C142" s="67">
        <f t="shared" si="5"/>
        <v>5</v>
      </c>
      <c r="F142" s="68"/>
    </row>
    <row r="143" spans="1:6" x14ac:dyDescent="0.2">
      <c r="A143" s="65">
        <v>46164</v>
      </c>
      <c r="B143" s="66">
        <f t="shared" si="4"/>
        <v>21</v>
      </c>
      <c r="C143" s="67">
        <f t="shared" si="5"/>
        <v>5</v>
      </c>
      <c r="F143" s="68"/>
    </row>
    <row r="144" spans="1:6" x14ac:dyDescent="0.2">
      <c r="A144" s="65">
        <v>46165</v>
      </c>
      <c r="B144" s="66">
        <f t="shared" si="4"/>
        <v>21</v>
      </c>
      <c r="C144" s="67">
        <f t="shared" si="5"/>
        <v>5</v>
      </c>
      <c r="F144" s="68"/>
    </row>
    <row r="145" spans="1:6" x14ac:dyDescent="0.2">
      <c r="A145" s="65">
        <v>46166</v>
      </c>
      <c r="B145" s="66">
        <f t="shared" si="4"/>
        <v>21</v>
      </c>
      <c r="C145" s="67">
        <f t="shared" si="5"/>
        <v>5</v>
      </c>
      <c r="F145" s="68"/>
    </row>
    <row r="146" spans="1:6" x14ac:dyDescent="0.2">
      <c r="A146" s="65">
        <v>46167</v>
      </c>
      <c r="B146" s="66">
        <f t="shared" si="4"/>
        <v>22</v>
      </c>
      <c r="C146" s="67">
        <f t="shared" si="5"/>
        <v>5</v>
      </c>
      <c r="F146" s="68"/>
    </row>
    <row r="147" spans="1:6" x14ac:dyDescent="0.2">
      <c r="A147" s="65">
        <v>46168</v>
      </c>
      <c r="B147" s="66">
        <f t="shared" si="4"/>
        <v>22</v>
      </c>
      <c r="C147" s="67">
        <f t="shared" si="5"/>
        <v>5</v>
      </c>
      <c r="F147" s="68"/>
    </row>
    <row r="148" spans="1:6" x14ac:dyDescent="0.2">
      <c r="A148" s="65">
        <v>46169</v>
      </c>
      <c r="B148" s="66">
        <f t="shared" si="4"/>
        <v>22</v>
      </c>
      <c r="C148" s="67">
        <f t="shared" si="5"/>
        <v>5</v>
      </c>
      <c r="F148" s="68"/>
    </row>
    <row r="149" spans="1:6" x14ac:dyDescent="0.2">
      <c r="A149" s="65">
        <v>46170</v>
      </c>
      <c r="B149" s="66">
        <f t="shared" si="4"/>
        <v>22</v>
      </c>
      <c r="C149" s="67">
        <f t="shared" si="5"/>
        <v>5</v>
      </c>
      <c r="F149" s="68"/>
    </row>
    <row r="150" spans="1:6" x14ac:dyDescent="0.2">
      <c r="A150" s="65">
        <v>46171</v>
      </c>
      <c r="B150" s="66">
        <f t="shared" si="4"/>
        <v>22</v>
      </c>
      <c r="C150" s="67">
        <f t="shared" si="5"/>
        <v>5</v>
      </c>
      <c r="F150" s="68"/>
    </row>
    <row r="151" spans="1:6" x14ac:dyDescent="0.2">
      <c r="A151" s="65">
        <v>46172</v>
      </c>
      <c r="B151" s="66">
        <f t="shared" si="4"/>
        <v>22</v>
      </c>
      <c r="C151" s="67">
        <f t="shared" si="5"/>
        <v>5</v>
      </c>
      <c r="F151" s="68"/>
    </row>
    <row r="152" spans="1:6" x14ac:dyDescent="0.2">
      <c r="A152" s="65">
        <v>46173</v>
      </c>
      <c r="B152" s="66">
        <f t="shared" si="4"/>
        <v>22</v>
      </c>
      <c r="C152" s="67">
        <f t="shared" si="5"/>
        <v>5</v>
      </c>
      <c r="F152" s="68"/>
    </row>
    <row r="153" spans="1:6" x14ac:dyDescent="0.2">
      <c r="A153" s="65">
        <v>46174</v>
      </c>
      <c r="B153" s="66">
        <f t="shared" si="4"/>
        <v>23</v>
      </c>
      <c r="C153" s="67">
        <f t="shared" si="5"/>
        <v>6</v>
      </c>
      <c r="F153" s="68"/>
    </row>
    <row r="154" spans="1:6" x14ac:dyDescent="0.2">
      <c r="A154" s="65">
        <v>46175</v>
      </c>
      <c r="B154" s="66">
        <f t="shared" si="4"/>
        <v>23</v>
      </c>
      <c r="C154" s="67">
        <f t="shared" si="5"/>
        <v>6</v>
      </c>
      <c r="F154" s="68"/>
    </row>
    <row r="155" spans="1:6" x14ac:dyDescent="0.2">
      <c r="A155" s="65">
        <v>46176</v>
      </c>
      <c r="B155" s="66">
        <f t="shared" si="4"/>
        <v>23</v>
      </c>
      <c r="C155" s="67">
        <f t="shared" si="5"/>
        <v>6</v>
      </c>
      <c r="F155" s="68"/>
    </row>
    <row r="156" spans="1:6" x14ac:dyDescent="0.2">
      <c r="A156" s="65">
        <v>46177</v>
      </c>
      <c r="B156" s="66">
        <f t="shared" si="4"/>
        <v>23</v>
      </c>
      <c r="C156" s="67">
        <f t="shared" si="5"/>
        <v>6</v>
      </c>
      <c r="F156" s="68"/>
    </row>
    <row r="157" spans="1:6" x14ac:dyDescent="0.2">
      <c r="A157" s="65">
        <v>46178</v>
      </c>
      <c r="B157" s="66">
        <f t="shared" si="4"/>
        <v>23</v>
      </c>
      <c r="C157" s="67">
        <f t="shared" si="5"/>
        <v>6</v>
      </c>
      <c r="F157" s="68"/>
    </row>
    <row r="158" spans="1:6" x14ac:dyDescent="0.2">
      <c r="A158" s="65">
        <v>46179</v>
      </c>
      <c r="B158" s="66">
        <f t="shared" si="4"/>
        <v>23</v>
      </c>
      <c r="C158" s="67">
        <f t="shared" si="5"/>
        <v>6</v>
      </c>
      <c r="F158" s="68"/>
    </row>
    <row r="159" spans="1:6" x14ac:dyDescent="0.2">
      <c r="A159" s="65">
        <v>46180</v>
      </c>
      <c r="B159" s="66">
        <f t="shared" si="4"/>
        <v>23</v>
      </c>
      <c r="C159" s="67">
        <f t="shared" si="5"/>
        <v>6</v>
      </c>
      <c r="F159" s="68"/>
    </row>
    <row r="160" spans="1:6" x14ac:dyDescent="0.2">
      <c r="A160" s="65">
        <v>46181</v>
      </c>
      <c r="B160" s="66">
        <f t="shared" si="4"/>
        <v>24</v>
      </c>
      <c r="C160" s="67">
        <f t="shared" si="5"/>
        <v>6</v>
      </c>
      <c r="F160" s="68"/>
    </row>
    <row r="161" spans="1:6" x14ac:dyDescent="0.2">
      <c r="A161" s="65">
        <v>46182</v>
      </c>
      <c r="B161" s="66">
        <f t="shared" si="4"/>
        <v>24</v>
      </c>
      <c r="C161" s="67">
        <f t="shared" si="5"/>
        <v>6</v>
      </c>
      <c r="F161" s="68"/>
    </row>
    <row r="162" spans="1:6" x14ac:dyDescent="0.2">
      <c r="A162" s="65">
        <v>46183</v>
      </c>
      <c r="B162" s="66">
        <f t="shared" si="4"/>
        <v>24</v>
      </c>
      <c r="C162" s="67">
        <f t="shared" si="5"/>
        <v>6</v>
      </c>
      <c r="F162" s="68"/>
    </row>
    <row r="163" spans="1:6" x14ac:dyDescent="0.2">
      <c r="A163" s="65">
        <v>46184</v>
      </c>
      <c r="B163" s="66">
        <f t="shared" si="4"/>
        <v>24</v>
      </c>
      <c r="C163" s="67">
        <f t="shared" si="5"/>
        <v>6</v>
      </c>
      <c r="F163" s="68"/>
    </row>
    <row r="164" spans="1:6" x14ac:dyDescent="0.2">
      <c r="A164" s="65">
        <v>46185</v>
      </c>
      <c r="B164" s="66">
        <f t="shared" si="4"/>
        <v>24</v>
      </c>
      <c r="C164" s="67">
        <f t="shared" si="5"/>
        <v>6</v>
      </c>
      <c r="F164" s="68"/>
    </row>
    <row r="165" spans="1:6" x14ac:dyDescent="0.2">
      <c r="A165" s="65">
        <v>46186</v>
      </c>
      <c r="B165" s="66">
        <f t="shared" si="4"/>
        <v>24</v>
      </c>
      <c r="C165" s="67">
        <f t="shared" si="5"/>
        <v>6</v>
      </c>
      <c r="F165" s="68"/>
    </row>
    <row r="166" spans="1:6" x14ac:dyDescent="0.2">
      <c r="A166" s="65">
        <v>46187</v>
      </c>
      <c r="B166" s="66">
        <f t="shared" si="4"/>
        <v>24</v>
      </c>
      <c r="C166" s="67">
        <f t="shared" si="5"/>
        <v>6</v>
      </c>
      <c r="F166" s="68"/>
    </row>
    <row r="167" spans="1:6" x14ac:dyDescent="0.2">
      <c r="A167" s="65">
        <v>46188</v>
      </c>
      <c r="B167" s="66">
        <f t="shared" si="4"/>
        <v>25</v>
      </c>
      <c r="C167" s="67">
        <f t="shared" si="5"/>
        <v>6</v>
      </c>
      <c r="F167" s="68"/>
    </row>
    <row r="168" spans="1:6" x14ac:dyDescent="0.2">
      <c r="A168" s="65">
        <v>46189</v>
      </c>
      <c r="B168" s="66">
        <f t="shared" si="4"/>
        <v>25</v>
      </c>
      <c r="C168" s="67">
        <f t="shared" si="5"/>
        <v>6</v>
      </c>
      <c r="F168" s="68"/>
    </row>
    <row r="169" spans="1:6" x14ac:dyDescent="0.2">
      <c r="A169" s="65">
        <v>46190</v>
      </c>
      <c r="B169" s="66">
        <f t="shared" si="4"/>
        <v>25</v>
      </c>
      <c r="C169" s="67">
        <f t="shared" si="5"/>
        <v>6</v>
      </c>
      <c r="F169" s="68"/>
    </row>
    <row r="170" spans="1:6" x14ac:dyDescent="0.2">
      <c r="A170" s="65">
        <v>46191</v>
      </c>
      <c r="B170" s="66">
        <f t="shared" si="4"/>
        <v>25</v>
      </c>
      <c r="C170" s="67">
        <f t="shared" si="5"/>
        <v>6</v>
      </c>
      <c r="F170" s="68"/>
    </row>
    <row r="171" spans="1:6" x14ac:dyDescent="0.2">
      <c r="A171" s="65">
        <v>46192</v>
      </c>
      <c r="B171" s="66">
        <f t="shared" si="4"/>
        <v>25</v>
      </c>
      <c r="C171" s="67">
        <f t="shared" si="5"/>
        <v>6</v>
      </c>
      <c r="F171" s="68"/>
    </row>
    <row r="172" spans="1:6" x14ac:dyDescent="0.2">
      <c r="A172" s="65">
        <v>46193</v>
      </c>
      <c r="B172" s="66">
        <f t="shared" si="4"/>
        <v>25</v>
      </c>
      <c r="C172" s="67">
        <f t="shared" si="5"/>
        <v>6</v>
      </c>
      <c r="F172" s="68"/>
    </row>
    <row r="173" spans="1:6" x14ac:dyDescent="0.2">
      <c r="A173" s="65">
        <v>46194</v>
      </c>
      <c r="B173" s="66">
        <f t="shared" si="4"/>
        <v>25</v>
      </c>
      <c r="C173" s="67">
        <f t="shared" si="5"/>
        <v>6</v>
      </c>
      <c r="F173" s="68"/>
    </row>
    <row r="174" spans="1:6" x14ac:dyDescent="0.2">
      <c r="A174" s="65">
        <v>46195</v>
      </c>
      <c r="B174" s="66">
        <f t="shared" si="4"/>
        <v>26</v>
      </c>
      <c r="C174" s="67">
        <f t="shared" si="5"/>
        <v>6</v>
      </c>
      <c r="F174" s="68"/>
    </row>
    <row r="175" spans="1:6" x14ac:dyDescent="0.2">
      <c r="A175" s="65">
        <v>46196</v>
      </c>
      <c r="B175" s="66">
        <f t="shared" si="4"/>
        <v>26</v>
      </c>
      <c r="C175" s="67">
        <f t="shared" si="5"/>
        <v>6</v>
      </c>
      <c r="F175" s="68"/>
    </row>
    <row r="176" spans="1:6" x14ac:dyDescent="0.2">
      <c r="A176" s="65">
        <v>46197</v>
      </c>
      <c r="B176" s="66">
        <f t="shared" si="4"/>
        <v>26</v>
      </c>
      <c r="C176" s="67">
        <f t="shared" si="5"/>
        <v>6</v>
      </c>
      <c r="F176" s="68"/>
    </row>
    <row r="177" spans="1:6" x14ac:dyDescent="0.2">
      <c r="A177" s="65">
        <v>46198</v>
      </c>
      <c r="B177" s="66">
        <f t="shared" si="4"/>
        <v>26</v>
      </c>
      <c r="C177" s="67">
        <f t="shared" si="5"/>
        <v>6</v>
      </c>
      <c r="F177" s="68"/>
    </row>
    <row r="178" spans="1:6" x14ac:dyDescent="0.2">
      <c r="A178" s="65">
        <v>46199</v>
      </c>
      <c r="B178" s="66">
        <f t="shared" si="4"/>
        <v>26</v>
      </c>
      <c r="C178" s="67">
        <f t="shared" si="5"/>
        <v>6</v>
      </c>
      <c r="F178" s="68"/>
    </row>
    <row r="179" spans="1:6" x14ac:dyDescent="0.2">
      <c r="A179" s="65">
        <v>46200</v>
      </c>
      <c r="B179" s="66">
        <f t="shared" si="4"/>
        <v>26</v>
      </c>
      <c r="C179" s="67">
        <f t="shared" si="5"/>
        <v>6</v>
      </c>
      <c r="F179" s="68"/>
    </row>
    <row r="180" spans="1:6" x14ac:dyDescent="0.2">
      <c r="A180" s="65">
        <v>46201</v>
      </c>
      <c r="B180" s="66">
        <f t="shared" si="4"/>
        <v>26</v>
      </c>
      <c r="C180" s="67">
        <f t="shared" si="5"/>
        <v>6</v>
      </c>
      <c r="F180" s="68"/>
    </row>
    <row r="181" spans="1:6" x14ac:dyDescent="0.2">
      <c r="A181" s="65">
        <v>46202</v>
      </c>
      <c r="B181" s="66">
        <f t="shared" si="4"/>
        <v>27</v>
      </c>
      <c r="C181" s="67">
        <f t="shared" si="5"/>
        <v>6</v>
      </c>
      <c r="F181" s="68"/>
    </row>
    <row r="182" spans="1:6" x14ac:dyDescent="0.2">
      <c r="A182" s="65">
        <v>46203</v>
      </c>
      <c r="B182" s="66">
        <f t="shared" si="4"/>
        <v>27</v>
      </c>
      <c r="C182" s="67">
        <f t="shared" si="5"/>
        <v>6</v>
      </c>
      <c r="F182" s="68"/>
    </row>
    <row r="183" spans="1:6" x14ac:dyDescent="0.2">
      <c r="A183" s="65">
        <v>46204</v>
      </c>
      <c r="B183" s="66">
        <f t="shared" si="4"/>
        <v>27</v>
      </c>
      <c r="C183" s="67">
        <f t="shared" si="5"/>
        <v>7</v>
      </c>
      <c r="F183" s="68"/>
    </row>
    <row r="184" spans="1:6" x14ac:dyDescent="0.2">
      <c r="A184" s="65">
        <v>46205</v>
      </c>
      <c r="B184" s="66">
        <f t="shared" si="4"/>
        <v>27</v>
      </c>
      <c r="C184" s="67">
        <f t="shared" si="5"/>
        <v>7</v>
      </c>
      <c r="F184" s="68"/>
    </row>
    <row r="185" spans="1:6" x14ac:dyDescent="0.2">
      <c r="A185" s="65">
        <v>46206</v>
      </c>
      <c r="B185" s="66">
        <f t="shared" si="4"/>
        <v>27</v>
      </c>
      <c r="C185" s="67">
        <f t="shared" si="5"/>
        <v>7</v>
      </c>
      <c r="F185" s="68"/>
    </row>
    <row r="186" spans="1:6" x14ac:dyDescent="0.2">
      <c r="A186" s="65">
        <v>46207</v>
      </c>
      <c r="B186" s="66">
        <f t="shared" si="4"/>
        <v>27</v>
      </c>
      <c r="C186" s="67">
        <f t="shared" si="5"/>
        <v>7</v>
      </c>
      <c r="F186" s="68"/>
    </row>
    <row r="187" spans="1:6" x14ac:dyDescent="0.2">
      <c r="A187" s="65">
        <v>46208</v>
      </c>
      <c r="B187" s="66">
        <f t="shared" si="4"/>
        <v>27</v>
      </c>
      <c r="C187" s="67">
        <f t="shared" si="5"/>
        <v>7</v>
      </c>
      <c r="F187" s="68"/>
    </row>
    <row r="188" spans="1:6" x14ac:dyDescent="0.2">
      <c r="A188" s="65">
        <v>46209</v>
      </c>
      <c r="B188" s="66">
        <f t="shared" si="4"/>
        <v>28</v>
      </c>
      <c r="C188" s="67">
        <f t="shared" si="5"/>
        <v>7</v>
      </c>
      <c r="F188" s="68"/>
    </row>
    <row r="189" spans="1:6" x14ac:dyDescent="0.2">
      <c r="A189" s="65">
        <v>46210</v>
      </c>
      <c r="B189" s="66">
        <f t="shared" si="4"/>
        <v>28</v>
      </c>
      <c r="C189" s="67">
        <f t="shared" si="5"/>
        <v>7</v>
      </c>
      <c r="F189" s="68"/>
    </row>
    <row r="190" spans="1:6" x14ac:dyDescent="0.2">
      <c r="A190" s="65">
        <v>46211</v>
      </c>
      <c r="B190" s="66">
        <f t="shared" si="4"/>
        <v>28</v>
      </c>
      <c r="C190" s="67">
        <f t="shared" si="5"/>
        <v>7</v>
      </c>
      <c r="F190" s="68"/>
    </row>
    <row r="191" spans="1:6" x14ac:dyDescent="0.2">
      <c r="A191" s="65">
        <v>46212</v>
      </c>
      <c r="B191" s="66">
        <f t="shared" si="4"/>
        <v>28</v>
      </c>
      <c r="C191" s="67">
        <f t="shared" si="5"/>
        <v>7</v>
      </c>
      <c r="F191" s="68"/>
    </row>
    <row r="192" spans="1:6" x14ac:dyDescent="0.2">
      <c r="A192" s="65">
        <v>46213</v>
      </c>
      <c r="B192" s="66">
        <f t="shared" si="4"/>
        <v>28</v>
      </c>
      <c r="C192" s="67">
        <f t="shared" si="5"/>
        <v>7</v>
      </c>
      <c r="F192" s="68"/>
    </row>
    <row r="193" spans="1:6" x14ac:dyDescent="0.2">
      <c r="A193" s="65">
        <v>46214</v>
      </c>
      <c r="B193" s="66">
        <f t="shared" si="4"/>
        <v>28</v>
      </c>
      <c r="C193" s="67">
        <f t="shared" si="5"/>
        <v>7</v>
      </c>
      <c r="F193" s="68"/>
    </row>
    <row r="194" spans="1:6" x14ac:dyDescent="0.2">
      <c r="A194" s="65">
        <v>46215</v>
      </c>
      <c r="B194" s="66">
        <f t="shared" ref="B194:B257" si="6">WEEKNUM(A194,2)</f>
        <v>28</v>
      </c>
      <c r="C194" s="67">
        <f t="shared" ref="C194:C257" si="7">MONTH(A194)</f>
        <v>7</v>
      </c>
      <c r="F194" s="68"/>
    </row>
    <row r="195" spans="1:6" x14ac:dyDescent="0.2">
      <c r="A195" s="65">
        <v>46216</v>
      </c>
      <c r="B195" s="66">
        <f t="shared" si="6"/>
        <v>29</v>
      </c>
      <c r="C195" s="67">
        <f t="shared" si="7"/>
        <v>7</v>
      </c>
      <c r="F195" s="68"/>
    </row>
    <row r="196" spans="1:6" x14ac:dyDescent="0.2">
      <c r="A196" s="65">
        <v>46217</v>
      </c>
      <c r="B196" s="66">
        <f t="shared" si="6"/>
        <v>29</v>
      </c>
      <c r="C196" s="67">
        <f t="shared" si="7"/>
        <v>7</v>
      </c>
      <c r="F196" s="68"/>
    </row>
    <row r="197" spans="1:6" x14ac:dyDescent="0.2">
      <c r="A197" s="65">
        <v>46218</v>
      </c>
      <c r="B197" s="66">
        <f t="shared" si="6"/>
        <v>29</v>
      </c>
      <c r="C197" s="67">
        <f t="shared" si="7"/>
        <v>7</v>
      </c>
      <c r="F197" s="68"/>
    </row>
    <row r="198" spans="1:6" x14ac:dyDescent="0.2">
      <c r="A198" s="65">
        <v>46219</v>
      </c>
      <c r="B198" s="66">
        <f t="shared" si="6"/>
        <v>29</v>
      </c>
      <c r="C198" s="67">
        <f t="shared" si="7"/>
        <v>7</v>
      </c>
      <c r="F198" s="68"/>
    </row>
    <row r="199" spans="1:6" x14ac:dyDescent="0.2">
      <c r="A199" s="65">
        <v>46220</v>
      </c>
      <c r="B199" s="66">
        <f t="shared" si="6"/>
        <v>29</v>
      </c>
      <c r="C199" s="67">
        <f t="shared" si="7"/>
        <v>7</v>
      </c>
      <c r="F199" s="68"/>
    </row>
    <row r="200" spans="1:6" x14ac:dyDescent="0.2">
      <c r="A200" s="65">
        <v>46221</v>
      </c>
      <c r="B200" s="66">
        <f t="shared" si="6"/>
        <v>29</v>
      </c>
      <c r="C200" s="67">
        <f t="shared" si="7"/>
        <v>7</v>
      </c>
      <c r="F200" s="68"/>
    </row>
    <row r="201" spans="1:6" x14ac:dyDescent="0.2">
      <c r="A201" s="65">
        <v>46222</v>
      </c>
      <c r="B201" s="66">
        <f t="shared" si="6"/>
        <v>29</v>
      </c>
      <c r="C201" s="67">
        <f t="shared" si="7"/>
        <v>7</v>
      </c>
      <c r="F201" s="68"/>
    </row>
    <row r="202" spans="1:6" x14ac:dyDescent="0.2">
      <c r="A202" s="65">
        <v>46223</v>
      </c>
      <c r="B202" s="66">
        <f t="shared" si="6"/>
        <v>30</v>
      </c>
      <c r="C202" s="67">
        <f t="shared" si="7"/>
        <v>7</v>
      </c>
      <c r="F202" s="68"/>
    </row>
    <row r="203" spans="1:6" x14ac:dyDescent="0.2">
      <c r="A203" s="65">
        <v>46224</v>
      </c>
      <c r="B203" s="66">
        <f t="shared" si="6"/>
        <v>30</v>
      </c>
      <c r="C203" s="67">
        <f t="shared" si="7"/>
        <v>7</v>
      </c>
      <c r="F203" s="68"/>
    </row>
    <row r="204" spans="1:6" x14ac:dyDescent="0.2">
      <c r="A204" s="65">
        <v>46225</v>
      </c>
      <c r="B204" s="66">
        <f t="shared" si="6"/>
        <v>30</v>
      </c>
      <c r="C204" s="67">
        <f t="shared" si="7"/>
        <v>7</v>
      </c>
      <c r="F204" s="68"/>
    </row>
    <row r="205" spans="1:6" x14ac:dyDescent="0.2">
      <c r="A205" s="65">
        <v>46226</v>
      </c>
      <c r="B205" s="66">
        <f t="shared" si="6"/>
        <v>30</v>
      </c>
      <c r="C205" s="67">
        <f t="shared" si="7"/>
        <v>7</v>
      </c>
      <c r="F205" s="68"/>
    </row>
    <row r="206" spans="1:6" x14ac:dyDescent="0.2">
      <c r="A206" s="65">
        <v>46227</v>
      </c>
      <c r="B206" s="66">
        <f t="shared" si="6"/>
        <v>30</v>
      </c>
      <c r="C206" s="67">
        <f t="shared" si="7"/>
        <v>7</v>
      </c>
      <c r="F206" s="68"/>
    </row>
    <row r="207" spans="1:6" x14ac:dyDescent="0.2">
      <c r="A207" s="65">
        <v>46228</v>
      </c>
      <c r="B207" s="66">
        <f t="shared" si="6"/>
        <v>30</v>
      </c>
      <c r="C207" s="67">
        <f t="shared" si="7"/>
        <v>7</v>
      </c>
      <c r="F207" s="68"/>
    </row>
    <row r="208" spans="1:6" x14ac:dyDescent="0.2">
      <c r="A208" s="65">
        <v>46229</v>
      </c>
      <c r="B208" s="66">
        <f t="shared" si="6"/>
        <v>30</v>
      </c>
      <c r="C208" s="67">
        <f t="shared" si="7"/>
        <v>7</v>
      </c>
      <c r="F208" s="68"/>
    </row>
    <row r="209" spans="1:6" x14ac:dyDescent="0.2">
      <c r="A209" s="65">
        <v>46230</v>
      </c>
      <c r="B209" s="66">
        <f t="shared" si="6"/>
        <v>31</v>
      </c>
      <c r="C209" s="67">
        <f t="shared" si="7"/>
        <v>7</v>
      </c>
      <c r="F209" s="68"/>
    </row>
    <row r="210" spans="1:6" x14ac:dyDescent="0.2">
      <c r="A210" s="65">
        <v>46231</v>
      </c>
      <c r="B210" s="66">
        <f t="shared" si="6"/>
        <v>31</v>
      </c>
      <c r="C210" s="67">
        <f t="shared" si="7"/>
        <v>7</v>
      </c>
      <c r="F210" s="68"/>
    </row>
    <row r="211" spans="1:6" x14ac:dyDescent="0.2">
      <c r="A211" s="65">
        <v>46232</v>
      </c>
      <c r="B211" s="66">
        <f t="shared" si="6"/>
        <v>31</v>
      </c>
      <c r="C211" s="67">
        <f t="shared" si="7"/>
        <v>7</v>
      </c>
      <c r="F211" s="68"/>
    </row>
    <row r="212" spans="1:6" x14ac:dyDescent="0.2">
      <c r="A212" s="65">
        <v>46233</v>
      </c>
      <c r="B212" s="66">
        <f t="shared" si="6"/>
        <v>31</v>
      </c>
      <c r="C212" s="67">
        <f t="shared" si="7"/>
        <v>7</v>
      </c>
      <c r="F212" s="68"/>
    </row>
    <row r="213" spans="1:6" x14ac:dyDescent="0.2">
      <c r="A213" s="65">
        <v>46234</v>
      </c>
      <c r="B213" s="66">
        <f t="shared" si="6"/>
        <v>31</v>
      </c>
      <c r="C213" s="67">
        <f t="shared" si="7"/>
        <v>7</v>
      </c>
      <c r="F213" s="68"/>
    </row>
    <row r="214" spans="1:6" x14ac:dyDescent="0.2">
      <c r="A214" s="65">
        <v>46235</v>
      </c>
      <c r="B214" s="66">
        <f t="shared" si="6"/>
        <v>31</v>
      </c>
      <c r="C214" s="67">
        <f t="shared" si="7"/>
        <v>8</v>
      </c>
      <c r="F214" s="68"/>
    </row>
    <row r="215" spans="1:6" x14ac:dyDescent="0.2">
      <c r="A215" s="65">
        <v>46236</v>
      </c>
      <c r="B215" s="66">
        <f t="shared" si="6"/>
        <v>31</v>
      </c>
      <c r="C215" s="67">
        <f t="shared" si="7"/>
        <v>8</v>
      </c>
      <c r="F215" s="68"/>
    </row>
    <row r="216" spans="1:6" x14ac:dyDescent="0.2">
      <c r="A216" s="65">
        <v>46237</v>
      </c>
      <c r="B216" s="66">
        <f t="shared" si="6"/>
        <v>32</v>
      </c>
      <c r="C216" s="67">
        <f t="shared" si="7"/>
        <v>8</v>
      </c>
      <c r="F216" s="68"/>
    </row>
    <row r="217" spans="1:6" x14ac:dyDescent="0.2">
      <c r="A217" s="65">
        <v>46238</v>
      </c>
      <c r="B217" s="66">
        <f t="shared" si="6"/>
        <v>32</v>
      </c>
      <c r="C217" s="67">
        <f t="shared" si="7"/>
        <v>8</v>
      </c>
      <c r="F217" s="68"/>
    </row>
    <row r="218" spans="1:6" x14ac:dyDescent="0.2">
      <c r="A218" s="65">
        <v>46239</v>
      </c>
      <c r="B218" s="66">
        <f t="shared" si="6"/>
        <v>32</v>
      </c>
      <c r="C218" s="67">
        <f t="shared" si="7"/>
        <v>8</v>
      </c>
      <c r="F218" s="68"/>
    </row>
    <row r="219" spans="1:6" x14ac:dyDescent="0.2">
      <c r="A219" s="65">
        <v>46240</v>
      </c>
      <c r="B219" s="66">
        <f t="shared" si="6"/>
        <v>32</v>
      </c>
      <c r="C219" s="67">
        <f t="shared" si="7"/>
        <v>8</v>
      </c>
      <c r="F219" s="68"/>
    </row>
    <row r="220" spans="1:6" x14ac:dyDescent="0.2">
      <c r="A220" s="65">
        <v>46241</v>
      </c>
      <c r="B220" s="66">
        <f t="shared" si="6"/>
        <v>32</v>
      </c>
      <c r="C220" s="67">
        <f t="shared" si="7"/>
        <v>8</v>
      </c>
      <c r="F220" s="68"/>
    </row>
    <row r="221" spans="1:6" x14ac:dyDescent="0.2">
      <c r="A221" s="65">
        <v>46242</v>
      </c>
      <c r="B221" s="66">
        <f t="shared" si="6"/>
        <v>32</v>
      </c>
      <c r="C221" s="67">
        <f t="shared" si="7"/>
        <v>8</v>
      </c>
      <c r="F221" s="68"/>
    </row>
    <row r="222" spans="1:6" x14ac:dyDescent="0.2">
      <c r="A222" s="65">
        <v>46243</v>
      </c>
      <c r="B222" s="66">
        <f t="shared" si="6"/>
        <v>32</v>
      </c>
      <c r="C222" s="67">
        <f t="shared" si="7"/>
        <v>8</v>
      </c>
      <c r="F222" s="68"/>
    </row>
    <row r="223" spans="1:6" x14ac:dyDescent="0.2">
      <c r="A223" s="65">
        <v>46244</v>
      </c>
      <c r="B223" s="66">
        <f t="shared" si="6"/>
        <v>33</v>
      </c>
      <c r="C223" s="67">
        <f t="shared" si="7"/>
        <v>8</v>
      </c>
      <c r="F223" s="68"/>
    </row>
    <row r="224" spans="1:6" x14ac:dyDescent="0.2">
      <c r="A224" s="65">
        <v>46245</v>
      </c>
      <c r="B224" s="66">
        <f t="shared" si="6"/>
        <v>33</v>
      </c>
      <c r="C224" s="67">
        <f t="shared" si="7"/>
        <v>8</v>
      </c>
      <c r="F224" s="68"/>
    </row>
    <row r="225" spans="1:6" x14ac:dyDescent="0.2">
      <c r="A225" s="65">
        <v>46246</v>
      </c>
      <c r="B225" s="66">
        <f t="shared" si="6"/>
        <v>33</v>
      </c>
      <c r="C225" s="67">
        <f t="shared" si="7"/>
        <v>8</v>
      </c>
      <c r="F225" s="68"/>
    </row>
    <row r="226" spans="1:6" x14ac:dyDescent="0.2">
      <c r="A226" s="65">
        <v>46247</v>
      </c>
      <c r="B226" s="66">
        <f t="shared" si="6"/>
        <v>33</v>
      </c>
      <c r="C226" s="67">
        <f t="shared" si="7"/>
        <v>8</v>
      </c>
      <c r="F226" s="68"/>
    </row>
    <row r="227" spans="1:6" x14ac:dyDescent="0.2">
      <c r="A227" s="65">
        <v>46248</v>
      </c>
      <c r="B227" s="66">
        <f t="shared" si="6"/>
        <v>33</v>
      </c>
      <c r="C227" s="67">
        <f t="shared" si="7"/>
        <v>8</v>
      </c>
      <c r="F227" s="68"/>
    </row>
    <row r="228" spans="1:6" x14ac:dyDescent="0.2">
      <c r="A228" s="65">
        <v>46249</v>
      </c>
      <c r="B228" s="66">
        <f t="shared" si="6"/>
        <v>33</v>
      </c>
      <c r="C228" s="67">
        <f t="shared" si="7"/>
        <v>8</v>
      </c>
      <c r="F228" s="68"/>
    </row>
    <row r="229" spans="1:6" x14ac:dyDescent="0.2">
      <c r="A229" s="65">
        <v>46250</v>
      </c>
      <c r="B229" s="66">
        <f t="shared" si="6"/>
        <v>33</v>
      </c>
      <c r="C229" s="67">
        <f t="shared" si="7"/>
        <v>8</v>
      </c>
      <c r="F229" s="68"/>
    </row>
    <row r="230" spans="1:6" x14ac:dyDescent="0.2">
      <c r="A230" s="65">
        <v>46251</v>
      </c>
      <c r="B230" s="66">
        <f t="shared" si="6"/>
        <v>34</v>
      </c>
      <c r="C230" s="67">
        <f t="shared" si="7"/>
        <v>8</v>
      </c>
      <c r="F230" s="68"/>
    </row>
    <row r="231" spans="1:6" x14ac:dyDescent="0.2">
      <c r="A231" s="65">
        <v>46252</v>
      </c>
      <c r="B231" s="66">
        <f t="shared" si="6"/>
        <v>34</v>
      </c>
      <c r="C231" s="67">
        <f t="shared" si="7"/>
        <v>8</v>
      </c>
      <c r="F231" s="68"/>
    </row>
    <row r="232" spans="1:6" x14ac:dyDescent="0.2">
      <c r="A232" s="65">
        <v>46253</v>
      </c>
      <c r="B232" s="66">
        <f t="shared" si="6"/>
        <v>34</v>
      </c>
      <c r="C232" s="67">
        <f t="shared" si="7"/>
        <v>8</v>
      </c>
      <c r="F232" s="68"/>
    </row>
    <row r="233" spans="1:6" x14ac:dyDescent="0.2">
      <c r="A233" s="65">
        <v>46254</v>
      </c>
      <c r="B233" s="66">
        <f t="shared" si="6"/>
        <v>34</v>
      </c>
      <c r="C233" s="67">
        <f t="shared" si="7"/>
        <v>8</v>
      </c>
      <c r="F233" s="68"/>
    </row>
    <row r="234" spans="1:6" x14ac:dyDescent="0.2">
      <c r="A234" s="65">
        <v>46255</v>
      </c>
      <c r="B234" s="66">
        <f t="shared" si="6"/>
        <v>34</v>
      </c>
      <c r="C234" s="67">
        <f t="shared" si="7"/>
        <v>8</v>
      </c>
      <c r="F234" s="68"/>
    </row>
    <row r="235" spans="1:6" x14ac:dyDescent="0.2">
      <c r="A235" s="65">
        <v>46256</v>
      </c>
      <c r="B235" s="66">
        <f t="shared" si="6"/>
        <v>34</v>
      </c>
      <c r="C235" s="67">
        <f t="shared" si="7"/>
        <v>8</v>
      </c>
      <c r="F235" s="68"/>
    </row>
    <row r="236" spans="1:6" x14ac:dyDescent="0.2">
      <c r="A236" s="65">
        <v>46257</v>
      </c>
      <c r="B236" s="66">
        <f t="shared" si="6"/>
        <v>34</v>
      </c>
      <c r="C236" s="67">
        <f t="shared" si="7"/>
        <v>8</v>
      </c>
      <c r="F236" s="68"/>
    </row>
    <row r="237" spans="1:6" x14ac:dyDescent="0.2">
      <c r="A237" s="65">
        <v>46258</v>
      </c>
      <c r="B237" s="66">
        <f t="shared" si="6"/>
        <v>35</v>
      </c>
      <c r="C237" s="67">
        <f t="shared" si="7"/>
        <v>8</v>
      </c>
      <c r="F237" s="68"/>
    </row>
    <row r="238" spans="1:6" x14ac:dyDescent="0.2">
      <c r="A238" s="65">
        <v>46259</v>
      </c>
      <c r="B238" s="66">
        <f t="shared" si="6"/>
        <v>35</v>
      </c>
      <c r="C238" s="67">
        <f t="shared" si="7"/>
        <v>8</v>
      </c>
      <c r="F238" s="68"/>
    </row>
    <row r="239" spans="1:6" x14ac:dyDescent="0.2">
      <c r="A239" s="65">
        <v>46260</v>
      </c>
      <c r="B239" s="66">
        <f t="shared" si="6"/>
        <v>35</v>
      </c>
      <c r="C239" s="67">
        <f t="shared" si="7"/>
        <v>8</v>
      </c>
      <c r="F239" s="68"/>
    </row>
    <row r="240" spans="1:6" x14ac:dyDescent="0.2">
      <c r="A240" s="65">
        <v>46261</v>
      </c>
      <c r="B240" s="66">
        <f t="shared" si="6"/>
        <v>35</v>
      </c>
      <c r="C240" s="67">
        <f t="shared" si="7"/>
        <v>8</v>
      </c>
      <c r="F240" s="68"/>
    </row>
    <row r="241" spans="1:6" x14ac:dyDescent="0.2">
      <c r="A241" s="65">
        <v>46262</v>
      </c>
      <c r="B241" s="66">
        <f t="shared" si="6"/>
        <v>35</v>
      </c>
      <c r="C241" s="67">
        <f t="shared" si="7"/>
        <v>8</v>
      </c>
      <c r="F241" s="68"/>
    </row>
    <row r="242" spans="1:6" x14ac:dyDescent="0.2">
      <c r="A242" s="65">
        <v>46263</v>
      </c>
      <c r="B242" s="66">
        <f t="shared" si="6"/>
        <v>35</v>
      </c>
      <c r="C242" s="67">
        <f t="shared" si="7"/>
        <v>8</v>
      </c>
      <c r="F242" s="68"/>
    </row>
    <row r="243" spans="1:6" x14ac:dyDescent="0.2">
      <c r="A243" s="65">
        <v>46264</v>
      </c>
      <c r="B243" s="66">
        <f t="shared" si="6"/>
        <v>35</v>
      </c>
      <c r="C243" s="67">
        <f t="shared" si="7"/>
        <v>8</v>
      </c>
      <c r="F243" s="68"/>
    </row>
    <row r="244" spans="1:6" x14ac:dyDescent="0.2">
      <c r="A244" s="65">
        <v>46265</v>
      </c>
      <c r="B244" s="66">
        <f t="shared" si="6"/>
        <v>36</v>
      </c>
      <c r="C244" s="67">
        <f t="shared" si="7"/>
        <v>8</v>
      </c>
      <c r="F244" s="68"/>
    </row>
    <row r="245" spans="1:6" x14ac:dyDescent="0.2">
      <c r="A245" s="65">
        <v>46266</v>
      </c>
      <c r="B245" s="66">
        <f t="shared" si="6"/>
        <v>36</v>
      </c>
      <c r="C245" s="67">
        <f t="shared" si="7"/>
        <v>9</v>
      </c>
      <c r="F245" s="68"/>
    </row>
    <row r="246" spans="1:6" x14ac:dyDescent="0.2">
      <c r="A246" s="65">
        <v>46267</v>
      </c>
      <c r="B246" s="66">
        <f t="shared" si="6"/>
        <v>36</v>
      </c>
      <c r="C246" s="67">
        <f t="shared" si="7"/>
        <v>9</v>
      </c>
      <c r="F246" s="68"/>
    </row>
    <row r="247" spans="1:6" x14ac:dyDescent="0.2">
      <c r="A247" s="65">
        <v>46268</v>
      </c>
      <c r="B247" s="66">
        <f t="shared" si="6"/>
        <v>36</v>
      </c>
      <c r="C247" s="67">
        <f t="shared" si="7"/>
        <v>9</v>
      </c>
      <c r="F247" s="68"/>
    </row>
    <row r="248" spans="1:6" x14ac:dyDescent="0.2">
      <c r="A248" s="65">
        <v>46269</v>
      </c>
      <c r="B248" s="66">
        <f t="shared" si="6"/>
        <v>36</v>
      </c>
      <c r="C248" s="67">
        <f t="shared" si="7"/>
        <v>9</v>
      </c>
      <c r="F248" s="68"/>
    </row>
    <row r="249" spans="1:6" x14ac:dyDescent="0.2">
      <c r="A249" s="65">
        <v>46270</v>
      </c>
      <c r="B249" s="66">
        <f t="shared" si="6"/>
        <v>36</v>
      </c>
      <c r="C249" s="67">
        <f t="shared" si="7"/>
        <v>9</v>
      </c>
      <c r="F249" s="68"/>
    </row>
    <row r="250" spans="1:6" x14ac:dyDescent="0.2">
      <c r="A250" s="65">
        <v>46271</v>
      </c>
      <c r="B250" s="66">
        <f t="shared" si="6"/>
        <v>36</v>
      </c>
      <c r="C250" s="67">
        <f t="shared" si="7"/>
        <v>9</v>
      </c>
      <c r="F250" s="68"/>
    </row>
    <row r="251" spans="1:6" x14ac:dyDescent="0.2">
      <c r="A251" s="65">
        <v>46272</v>
      </c>
      <c r="B251" s="66">
        <f t="shared" si="6"/>
        <v>37</v>
      </c>
      <c r="C251" s="67">
        <f t="shared" si="7"/>
        <v>9</v>
      </c>
      <c r="F251" s="68"/>
    </row>
    <row r="252" spans="1:6" x14ac:dyDescent="0.2">
      <c r="A252" s="65">
        <v>46273</v>
      </c>
      <c r="B252" s="66">
        <f t="shared" si="6"/>
        <v>37</v>
      </c>
      <c r="C252" s="67">
        <f t="shared" si="7"/>
        <v>9</v>
      </c>
      <c r="F252" s="68"/>
    </row>
    <row r="253" spans="1:6" x14ac:dyDescent="0.2">
      <c r="A253" s="65">
        <v>46274</v>
      </c>
      <c r="B253" s="66">
        <f t="shared" si="6"/>
        <v>37</v>
      </c>
      <c r="C253" s="67">
        <f t="shared" si="7"/>
        <v>9</v>
      </c>
      <c r="F253" s="68"/>
    </row>
    <row r="254" spans="1:6" x14ac:dyDescent="0.2">
      <c r="A254" s="65">
        <v>46275</v>
      </c>
      <c r="B254" s="66">
        <f t="shared" si="6"/>
        <v>37</v>
      </c>
      <c r="C254" s="67">
        <f t="shared" si="7"/>
        <v>9</v>
      </c>
      <c r="F254" s="68"/>
    </row>
    <row r="255" spans="1:6" x14ac:dyDescent="0.2">
      <c r="A255" s="65">
        <v>46276</v>
      </c>
      <c r="B255" s="66">
        <f t="shared" si="6"/>
        <v>37</v>
      </c>
      <c r="C255" s="67">
        <f t="shared" si="7"/>
        <v>9</v>
      </c>
      <c r="F255" s="68"/>
    </row>
    <row r="256" spans="1:6" x14ac:dyDescent="0.2">
      <c r="A256" s="65">
        <v>46277</v>
      </c>
      <c r="B256" s="66">
        <f t="shared" si="6"/>
        <v>37</v>
      </c>
      <c r="C256" s="67">
        <f t="shared" si="7"/>
        <v>9</v>
      </c>
      <c r="F256" s="68"/>
    </row>
    <row r="257" spans="1:6" x14ac:dyDescent="0.2">
      <c r="A257" s="65">
        <v>46278</v>
      </c>
      <c r="B257" s="66">
        <f t="shared" si="6"/>
        <v>37</v>
      </c>
      <c r="C257" s="67">
        <f t="shared" si="7"/>
        <v>9</v>
      </c>
      <c r="F257" s="68"/>
    </row>
    <row r="258" spans="1:6" x14ac:dyDescent="0.2">
      <c r="A258" s="65">
        <v>46279</v>
      </c>
      <c r="B258" s="66">
        <f t="shared" ref="B258:B321" si="8">WEEKNUM(A258,2)</f>
        <v>38</v>
      </c>
      <c r="C258" s="67">
        <f t="shared" ref="C258:C321" si="9">MONTH(A258)</f>
        <v>9</v>
      </c>
      <c r="F258" s="68"/>
    </row>
    <row r="259" spans="1:6" x14ac:dyDescent="0.2">
      <c r="A259" s="65">
        <v>46280</v>
      </c>
      <c r="B259" s="66">
        <f t="shared" si="8"/>
        <v>38</v>
      </c>
      <c r="C259" s="67">
        <f t="shared" si="9"/>
        <v>9</v>
      </c>
      <c r="F259" s="68"/>
    </row>
    <row r="260" spans="1:6" x14ac:dyDescent="0.2">
      <c r="A260" s="65">
        <v>46281</v>
      </c>
      <c r="B260" s="66">
        <f t="shared" si="8"/>
        <v>38</v>
      </c>
      <c r="C260" s="67">
        <f t="shared" si="9"/>
        <v>9</v>
      </c>
      <c r="F260" s="68"/>
    </row>
    <row r="261" spans="1:6" x14ac:dyDescent="0.2">
      <c r="A261" s="65">
        <v>46282</v>
      </c>
      <c r="B261" s="66">
        <f t="shared" si="8"/>
        <v>38</v>
      </c>
      <c r="C261" s="67">
        <f t="shared" si="9"/>
        <v>9</v>
      </c>
      <c r="F261" s="68"/>
    </row>
    <row r="262" spans="1:6" x14ac:dyDescent="0.2">
      <c r="A262" s="65">
        <v>46283</v>
      </c>
      <c r="B262" s="66">
        <f t="shared" si="8"/>
        <v>38</v>
      </c>
      <c r="C262" s="67">
        <f t="shared" si="9"/>
        <v>9</v>
      </c>
      <c r="F262" s="68"/>
    </row>
    <row r="263" spans="1:6" x14ac:dyDescent="0.2">
      <c r="A263" s="65">
        <v>46284</v>
      </c>
      <c r="B263" s="66">
        <f t="shared" si="8"/>
        <v>38</v>
      </c>
      <c r="C263" s="67">
        <f t="shared" si="9"/>
        <v>9</v>
      </c>
      <c r="F263" s="68"/>
    </row>
    <row r="264" spans="1:6" x14ac:dyDescent="0.2">
      <c r="A264" s="65">
        <v>46285</v>
      </c>
      <c r="B264" s="66">
        <f t="shared" si="8"/>
        <v>38</v>
      </c>
      <c r="C264" s="67">
        <f t="shared" si="9"/>
        <v>9</v>
      </c>
      <c r="F264" s="68"/>
    </row>
    <row r="265" spans="1:6" x14ac:dyDescent="0.2">
      <c r="A265" s="65">
        <v>46286</v>
      </c>
      <c r="B265" s="66">
        <f t="shared" si="8"/>
        <v>39</v>
      </c>
      <c r="C265" s="67">
        <f t="shared" si="9"/>
        <v>9</v>
      </c>
      <c r="F265" s="68"/>
    </row>
    <row r="266" spans="1:6" x14ac:dyDescent="0.2">
      <c r="A266" s="65">
        <v>46287</v>
      </c>
      <c r="B266" s="66">
        <f t="shared" si="8"/>
        <v>39</v>
      </c>
      <c r="C266" s="67">
        <f t="shared" si="9"/>
        <v>9</v>
      </c>
      <c r="F266" s="68"/>
    </row>
    <row r="267" spans="1:6" x14ac:dyDescent="0.2">
      <c r="A267" s="65">
        <v>46288</v>
      </c>
      <c r="B267" s="66">
        <f t="shared" si="8"/>
        <v>39</v>
      </c>
      <c r="C267" s="67">
        <f t="shared" si="9"/>
        <v>9</v>
      </c>
      <c r="F267" s="68"/>
    </row>
    <row r="268" spans="1:6" x14ac:dyDescent="0.2">
      <c r="A268" s="65">
        <v>46289</v>
      </c>
      <c r="B268" s="66">
        <f t="shared" si="8"/>
        <v>39</v>
      </c>
      <c r="C268" s="67">
        <f t="shared" si="9"/>
        <v>9</v>
      </c>
      <c r="F268" s="68"/>
    </row>
    <row r="269" spans="1:6" x14ac:dyDescent="0.2">
      <c r="A269" s="65">
        <v>46290</v>
      </c>
      <c r="B269" s="66">
        <f t="shared" si="8"/>
        <v>39</v>
      </c>
      <c r="C269" s="67">
        <f t="shared" si="9"/>
        <v>9</v>
      </c>
      <c r="F269" s="68"/>
    </row>
    <row r="270" spans="1:6" x14ac:dyDescent="0.2">
      <c r="A270" s="65">
        <v>46291</v>
      </c>
      <c r="B270" s="66">
        <f t="shared" si="8"/>
        <v>39</v>
      </c>
      <c r="C270" s="67">
        <f t="shared" si="9"/>
        <v>9</v>
      </c>
      <c r="F270" s="68"/>
    </row>
    <row r="271" spans="1:6" x14ac:dyDescent="0.2">
      <c r="A271" s="65">
        <v>46292</v>
      </c>
      <c r="B271" s="66">
        <f t="shared" si="8"/>
        <v>39</v>
      </c>
      <c r="C271" s="67">
        <f t="shared" si="9"/>
        <v>9</v>
      </c>
      <c r="F271" s="68"/>
    </row>
    <row r="272" spans="1:6" x14ac:dyDescent="0.2">
      <c r="A272" s="65">
        <v>46293</v>
      </c>
      <c r="B272" s="66">
        <f t="shared" si="8"/>
        <v>40</v>
      </c>
      <c r="C272" s="67">
        <f t="shared" si="9"/>
        <v>9</v>
      </c>
      <c r="F272" s="68"/>
    </row>
    <row r="273" spans="1:6" x14ac:dyDescent="0.2">
      <c r="A273" s="65">
        <v>46294</v>
      </c>
      <c r="B273" s="66">
        <f t="shared" si="8"/>
        <v>40</v>
      </c>
      <c r="C273" s="67">
        <f t="shared" si="9"/>
        <v>9</v>
      </c>
      <c r="F273" s="68"/>
    </row>
    <row r="274" spans="1:6" x14ac:dyDescent="0.2">
      <c r="A274" s="65">
        <v>46295</v>
      </c>
      <c r="B274" s="66">
        <f t="shared" si="8"/>
        <v>40</v>
      </c>
      <c r="C274" s="67">
        <f t="shared" si="9"/>
        <v>9</v>
      </c>
      <c r="F274" s="68"/>
    </row>
    <row r="275" spans="1:6" x14ac:dyDescent="0.2">
      <c r="A275" s="65">
        <v>46296</v>
      </c>
      <c r="B275" s="66">
        <f t="shared" si="8"/>
        <v>40</v>
      </c>
      <c r="C275" s="67">
        <f t="shared" si="9"/>
        <v>10</v>
      </c>
      <c r="F275" s="68"/>
    </row>
    <row r="276" spans="1:6" x14ac:dyDescent="0.2">
      <c r="A276" s="65">
        <v>46297</v>
      </c>
      <c r="B276" s="66">
        <f t="shared" si="8"/>
        <v>40</v>
      </c>
      <c r="C276" s="67">
        <f t="shared" si="9"/>
        <v>10</v>
      </c>
      <c r="F276" s="68"/>
    </row>
    <row r="277" spans="1:6" x14ac:dyDescent="0.2">
      <c r="A277" s="65">
        <v>46298</v>
      </c>
      <c r="B277" s="66">
        <f t="shared" si="8"/>
        <v>40</v>
      </c>
      <c r="C277" s="67">
        <f t="shared" si="9"/>
        <v>10</v>
      </c>
      <c r="F277" s="68"/>
    </row>
    <row r="278" spans="1:6" x14ac:dyDescent="0.2">
      <c r="A278" s="65">
        <v>46299</v>
      </c>
      <c r="B278" s="66">
        <f t="shared" si="8"/>
        <v>40</v>
      </c>
      <c r="C278" s="67">
        <f t="shared" si="9"/>
        <v>10</v>
      </c>
      <c r="F278" s="68"/>
    </row>
    <row r="279" spans="1:6" x14ac:dyDescent="0.2">
      <c r="A279" s="65">
        <v>46300</v>
      </c>
      <c r="B279" s="66">
        <f t="shared" si="8"/>
        <v>41</v>
      </c>
      <c r="C279" s="67">
        <f t="shared" si="9"/>
        <v>10</v>
      </c>
      <c r="F279" s="68"/>
    </row>
    <row r="280" spans="1:6" x14ac:dyDescent="0.2">
      <c r="A280" s="65">
        <v>46301</v>
      </c>
      <c r="B280" s="66">
        <f t="shared" si="8"/>
        <v>41</v>
      </c>
      <c r="C280" s="67">
        <f t="shared" si="9"/>
        <v>10</v>
      </c>
      <c r="F280" s="68"/>
    </row>
    <row r="281" spans="1:6" x14ac:dyDescent="0.2">
      <c r="A281" s="65">
        <v>46302</v>
      </c>
      <c r="B281" s="66">
        <f t="shared" si="8"/>
        <v>41</v>
      </c>
      <c r="C281" s="67">
        <f t="shared" si="9"/>
        <v>10</v>
      </c>
      <c r="F281" s="68"/>
    </row>
    <row r="282" spans="1:6" x14ac:dyDescent="0.2">
      <c r="A282" s="65">
        <v>46303</v>
      </c>
      <c r="B282" s="66">
        <f t="shared" si="8"/>
        <v>41</v>
      </c>
      <c r="C282" s="67">
        <f t="shared" si="9"/>
        <v>10</v>
      </c>
      <c r="F282" s="68"/>
    </row>
    <row r="283" spans="1:6" x14ac:dyDescent="0.2">
      <c r="A283" s="65">
        <v>46304</v>
      </c>
      <c r="B283" s="66">
        <f t="shared" si="8"/>
        <v>41</v>
      </c>
      <c r="C283" s="67">
        <f t="shared" si="9"/>
        <v>10</v>
      </c>
      <c r="F283" s="68"/>
    </row>
    <row r="284" spans="1:6" x14ac:dyDescent="0.2">
      <c r="A284" s="65">
        <v>46305</v>
      </c>
      <c r="B284" s="66">
        <f t="shared" si="8"/>
        <v>41</v>
      </c>
      <c r="C284" s="67">
        <f t="shared" si="9"/>
        <v>10</v>
      </c>
      <c r="F284" s="68"/>
    </row>
    <row r="285" spans="1:6" x14ac:dyDescent="0.2">
      <c r="A285" s="65">
        <v>46306</v>
      </c>
      <c r="B285" s="66">
        <f t="shared" si="8"/>
        <v>41</v>
      </c>
      <c r="C285" s="67">
        <f t="shared" si="9"/>
        <v>10</v>
      </c>
      <c r="F285" s="68"/>
    </row>
    <row r="286" spans="1:6" x14ac:dyDescent="0.2">
      <c r="A286" s="65">
        <v>46307</v>
      </c>
      <c r="B286" s="66">
        <f t="shared" si="8"/>
        <v>42</v>
      </c>
      <c r="C286" s="67">
        <f t="shared" si="9"/>
        <v>10</v>
      </c>
      <c r="F286" s="68"/>
    </row>
    <row r="287" spans="1:6" x14ac:dyDescent="0.2">
      <c r="A287" s="65">
        <v>46308</v>
      </c>
      <c r="B287" s="66">
        <f t="shared" si="8"/>
        <v>42</v>
      </c>
      <c r="C287" s="67">
        <f t="shared" si="9"/>
        <v>10</v>
      </c>
      <c r="F287" s="68"/>
    </row>
    <row r="288" spans="1:6" x14ac:dyDescent="0.2">
      <c r="A288" s="65">
        <v>46309</v>
      </c>
      <c r="B288" s="66">
        <f t="shared" si="8"/>
        <v>42</v>
      </c>
      <c r="C288" s="67">
        <f t="shared" si="9"/>
        <v>10</v>
      </c>
      <c r="F288" s="68"/>
    </row>
    <row r="289" spans="1:6" x14ac:dyDescent="0.2">
      <c r="A289" s="65">
        <v>46310</v>
      </c>
      <c r="B289" s="66">
        <f t="shared" si="8"/>
        <v>42</v>
      </c>
      <c r="C289" s="67">
        <f t="shared" si="9"/>
        <v>10</v>
      </c>
      <c r="F289" s="68"/>
    </row>
    <row r="290" spans="1:6" x14ac:dyDescent="0.2">
      <c r="A290" s="65">
        <v>46311</v>
      </c>
      <c r="B290" s="66">
        <f t="shared" si="8"/>
        <v>42</v>
      </c>
      <c r="C290" s="67">
        <f t="shared" si="9"/>
        <v>10</v>
      </c>
      <c r="F290" s="68"/>
    </row>
    <row r="291" spans="1:6" x14ac:dyDescent="0.2">
      <c r="A291" s="65">
        <v>46312</v>
      </c>
      <c r="B291" s="66">
        <f t="shared" si="8"/>
        <v>42</v>
      </c>
      <c r="C291" s="67">
        <f t="shared" si="9"/>
        <v>10</v>
      </c>
      <c r="F291" s="68"/>
    </row>
    <row r="292" spans="1:6" x14ac:dyDescent="0.2">
      <c r="A292" s="65">
        <v>46313</v>
      </c>
      <c r="B292" s="66">
        <f t="shared" si="8"/>
        <v>42</v>
      </c>
      <c r="C292" s="67">
        <f t="shared" si="9"/>
        <v>10</v>
      </c>
      <c r="F292" s="68"/>
    </row>
    <row r="293" spans="1:6" x14ac:dyDescent="0.2">
      <c r="A293" s="65">
        <v>46314</v>
      </c>
      <c r="B293" s="66">
        <f t="shared" si="8"/>
        <v>43</v>
      </c>
      <c r="C293" s="67">
        <f t="shared" si="9"/>
        <v>10</v>
      </c>
      <c r="F293" s="68"/>
    </row>
    <row r="294" spans="1:6" x14ac:dyDescent="0.2">
      <c r="A294" s="65">
        <v>46315</v>
      </c>
      <c r="B294" s="66">
        <f t="shared" si="8"/>
        <v>43</v>
      </c>
      <c r="C294" s="67">
        <f t="shared" si="9"/>
        <v>10</v>
      </c>
      <c r="F294" s="68"/>
    </row>
    <row r="295" spans="1:6" x14ac:dyDescent="0.2">
      <c r="A295" s="65">
        <v>46316</v>
      </c>
      <c r="B295" s="66">
        <f t="shared" si="8"/>
        <v>43</v>
      </c>
      <c r="C295" s="67">
        <f t="shared" si="9"/>
        <v>10</v>
      </c>
      <c r="F295" s="68"/>
    </row>
    <row r="296" spans="1:6" x14ac:dyDescent="0.2">
      <c r="A296" s="65">
        <v>46317</v>
      </c>
      <c r="B296" s="66">
        <f t="shared" si="8"/>
        <v>43</v>
      </c>
      <c r="C296" s="67">
        <f t="shared" si="9"/>
        <v>10</v>
      </c>
      <c r="F296" s="68"/>
    </row>
    <row r="297" spans="1:6" x14ac:dyDescent="0.2">
      <c r="A297" s="65">
        <v>46318</v>
      </c>
      <c r="B297" s="66">
        <f t="shared" si="8"/>
        <v>43</v>
      </c>
      <c r="C297" s="67">
        <f t="shared" si="9"/>
        <v>10</v>
      </c>
      <c r="F297" s="68"/>
    </row>
    <row r="298" spans="1:6" x14ac:dyDescent="0.2">
      <c r="A298" s="65">
        <v>46319</v>
      </c>
      <c r="B298" s="66">
        <f t="shared" si="8"/>
        <v>43</v>
      </c>
      <c r="C298" s="67">
        <f t="shared" si="9"/>
        <v>10</v>
      </c>
      <c r="F298" s="68"/>
    </row>
    <row r="299" spans="1:6" x14ac:dyDescent="0.2">
      <c r="A299" s="65">
        <v>46320</v>
      </c>
      <c r="B299" s="66">
        <f t="shared" si="8"/>
        <v>43</v>
      </c>
      <c r="C299" s="67">
        <f t="shared" si="9"/>
        <v>10</v>
      </c>
      <c r="F299" s="68"/>
    </row>
    <row r="300" spans="1:6" x14ac:dyDescent="0.2">
      <c r="A300" s="65">
        <v>46321</v>
      </c>
      <c r="B300" s="66">
        <f t="shared" si="8"/>
        <v>44</v>
      </c>
      <c r="C300" s="67">
        <f t="shared" si="9"/>
        <v>10</v>
      </c>
      <c r="F300" s="68"/>
    </row>
    <row r="301" spans="1:6" x14ac:dyDescent="0.2">
      <c r="A301" s="65">
        <v>46322</v>
      </c>
      <c r="B301" s="66">
        <f t="shared" si="8"/>
        <v>44</v>
      </c>
      <c r="C301" s="67">
        <f t="shared" si="9"/>
        <v>10</v>
      </c>
      <c r="F301" s="68"/>
    </row>
    <row r="302" spans="1:6" x14ac:dyDescent="0.2">
      <c r="A302" s="65">
        <v>46323</v>
      </c>
      <c r="B302" s="66">
        <f t="shared" si="8"/>
        <v>44</v>
      </c>
      <c r="C302" s="67">
        <f t="shared" si="9"/>
        <v>10</v>
      </c>
      <c r="F302" s="68"/>
    </row>
    <row r="303" spans="1:6" x14ac:dyDescent="0.2">
      <c r="A303" s="65">
        <v>46324</v>
      </c>
      <c r="B303" s="66">
        <f t="shared" si="8"/>
        <v>44</v>
      </c>
      <c r="C303" s="67">
        <f t="shared" si="9"/>
        <v>10</v>
      </c>
      <c r="F303" s="68"/>
    </row>
    <row r="304" spans="1:6" x14ac:dyDescent="0.2">
      <c r="A304" s="65">
        <v>46325</v>
      </c>
      <c r="B304" s="66">
        <f t="shared" si="8"/>
        <v>44</v>
      </c>
      <c r="C304" s="67">
        <f t="shared" si="9"/>
        <v>10</v>
      </c>
      <c r="F304" s="68"/>
    </row>
    <row r="305" spans="1:6" x14ac:dyDescent="0.2">
      <c r="A305" s="65">
        <v>46326</v>
      </c>
      <c r="B305" s="66">
        <f t="shared" si="8"/>
        <v>44</v>
      </c>
      <c r="C305" s="67">
        <f t="shared" si="9"/>
        <v>10</v>
      </c>
      <c r="F305" s="68"/>
    </row>
    <row r="306" spans="1:6" x14ac:dyDescent="0.2">
      <c r="A306" s="65">
        <v>46327</v>
      </c>
      <c r="B306" s="66">
        <f t="shared" si="8"/>
        <v>44</v>
      </c>
      <c r="C306" s="67">
        <f t="shared" si="9"/>
        <v>11</v>
      </c>
      <c r="F306" s="68"/>
    </row>
    <row r="307" spans="1:6" x14ac:dyDescent="0.2">
      <c r="A307" s="65">
        <v>46328</v>
      </c>
      <c r="B307" s="66">
        <f t="shared" si="8"/>
        <v>45</v>
      </c>
      <c r="C307" s="67">
        <f t="shared" si="9"/>
        <v>11</v>
      </c>
      <c r="F307" s="68"/>
    </row>
    <row r="308" spans="1:6" x14ac:dyDescent="0.2">
      <c r="A308" s="65">
        <v>46329</v>
      </c>
      <c r="B308" s="66">
        <f t="shared" si="8"/>
        <v>45</v>
      </c>
      <c r="C308" s="67">
        <f t="shared" si="9"/>
        <v>11</v>
      </c>
      <c r="F308" s="68"/>
    </row>
    <row r="309" spans="1:6" x14ac:dyDescent="0.2">
      <c r="A309" s="65">
        <v>46330</v>
      </c>
      <c r="B309" s="66">
        <f t="shared" si="8"/>
        <v>45</v>
      </c>
      <c r="C309" s="67">
        <f t="shared" si="9"/>
        <v>11</v>
      </c>
      <c r="F309" s="68"/>
    </row>
    <row r="310" spans="1:6" x14ac:dyDescent="0.2">
      <c r="A310" s="65">
        <v>46331</v>
      </c>
      <c r="B310" s="66">
        <f t="shared" si="8"/>
        <v>45</v>
      </c>
      <c r="C310" s="67">
        <f t="shared" si="9"/>
        <v>11</v>
      </c>
      <c r="F310" s="68"/>
    </row>
    <row r="311" spans="1:6" x14ac:dyDescent="0.2">
      <c r="A311" s="65">
        <v>46332</v>
      </c>
      <c r="B311" s="66">
        <f t="shared" si="8"/>
        <v>45</v>
      </c>
      <c r="C311" s="67">
        <f t="shared" si="9"/>
        <v>11</v>
      </c>
      <c r="F311" s="68"/>
    </row>
    <row r="312" spans="1:6" x14ac:dyDescent="0.2">
      <c r="A312" s="65">
        <v>46333</v>
      </c>
      <c r="B312" s="66">
        <f t="shared" si="8"/>
        <v>45</v>
      </c>
      <c r="C312" s="67">
        <f t="shared" si="9"/>
        <v>11</v>
      </c>
      <c r="F312" s="68"/>
    </row>
    <row r="313" spans="1:6" x14ac:dyDescent="0.2">
      <c r="A313" s="65">
        <v>46334</v>
      </c>
      <c r="B313" s="66">
        <f t="shared" si="8"/>
        <v>45</v>
      </c>
      <c r="C313" s="67">
        <f t="shared" si="9"/>
        <v>11</v>
      </c>
      <c r="F313" s="68"/>
    </row>
    <row r="314" spans="1:6" x14ac:dyDescent="0.2">
      <c r="A314" s="65">
        <v>46335</v>
      </c>
      <c r="B314" s="66">
        <f t="shared" si="8"/>
        <v>46</v>
      </c>
      <c r="C314" s="67">
        <f t="shared" si="9"/>
        <v>11</v>
      </c>
      <c r="F314" s="68"/>
    </row>
    <row r="315" spans="1:6" x14ac:dyDescent="0.2">
      <c r="A315" s="65">
        <v>46336</v>
      </c>
      <c r="B315" s="66">
        <f t="shared" si="8"/>
        <v>46</v>
      </c>
      <c r="C315" s="67">
        <f t="shared" si="9"/>
        <v>11</v>
      </c>
      <c r="F315" s="68"/>
    </row>
    <row r="316" spans="1:6" x14ac:dyDescent="0.2">
      <c r="A316" s="65">
        <v>46337</v>
      </c>
      <c r="B316" s="66">
        <f t="shared" si="8"/>
        <v>46</v>
      </c>
      <c r="C316" s="67">
        <f t="shared" si="9"/>
        <v>11</v>
      </c>
      <c r="F316" s="68"/>
    </row>
    <row r="317" spans="1:6" x14ac:dyDescent="0.2">
      <c r="A317" s="65">
        <v>46338</v>
      </c>
      <c r="B317" s="66">
        <f t="shared" si="8"/>
        <v>46</v>
      </c>
      <c r="C317" s="67">
        <f t="shared" si="9"/>
        <v>11</v>
      </c>
      <c r="F317" s="68"/>
    </row>
    <row r="318" spans="1:6" x14ac:dyDescent="0.2">
      <c r="A318" s="65">
        <v>46339</v>
      </c>
      <c r="B318" s="66">
        <f t="shared" si="8"/>
        <v>46</v>
      </c>
      <c r="C318" s="67">
        <f t="shared" si="9"/>
        <v>11</v>
      </c>
      <c r="F318" s="68"/>
    </row>
    <row r="319" spans="1:6" x14ac:dyDescent="0.2">
      <c r="A319" s="65">
        <v>46340</v>
      </c>
      <c r="B319" s="66">
        <f t="shared" si="8"/>
        <v>46</v>
      </c>
      <c r="C319" s="67">
        <f t="shared" si="9"/>
        <v>11</v>
      </c>
      <c r="F319" s="68"/>
    </row>
    <row r="320" spans="1:6" x14ac:dyDescent="0.2">
      <c r="A320" s="65">
        <v>46341</v>
      </c>
      <c r="B320" s="66">
        <f t="shared" si="8"/>
        <v>46</v>
      </c>
      <c r="C320" s="67">
        <f t="shared" si="9"/>
        <v>11</v>
      </c>
      <c r="F320" s="68"/>
    </row>
    <row r="321" spans="1:6" x14ac:dyDescent="0.2">
      <c r="A321" s="65">
        <v>46342</v>
      </c>
      <c r="B321" s="66">
        <f t="shared" si="8"/>
        <v>47</v>
      </c>
      <c r="C321" s="67">
        <f t="shared" si="9"/>
        <v>11</v>
      </c>
      <c r="F321" s="68"/>
    </row>
    <row r="322" spans="1:6" x14ac:dyDescent="0.2">
      <c r="A322" s="65">
        <v>46343</v>
      </c>
      <c r="B322" s="66">
        <f t="shared" ref="B322:B366" si="10">WEEKNUM(A322,2)</f>
        <v>47</v>
      </c>
      <c r="C322" s="67">
        <f t="shared" ref="C322:C366" si="11">MONTH(A322)</f>
        <v>11</v>
      </c>
      <c r="F322" s="68"/>
    </row>
    <row r="323" spans="1:6" x14ac:dyDescent="0.2">
      <c r="A323" s="65">
        <v>46344</v>
      </c>
      <c r="B323" s="66">
        <f t="shared" si="10"/>
        <v>47</v>
      </c>
      <c r="C323" s="67">
        <f t="shared" si="11"/>
        <v>11</v>
      </c>
      <c r="F323" s="68"/>
    </row>
    <row r="324" spans="1:6" x14ac:dyDescent="0.2">
      <c r="A324" s="65">
        <v>46345</v>
      </c>
      <c r="B324" s="66">
        <f t="shared" si="10"/>
        <v>47</v>
      </c>
      <c r="C324" s="67">
        <f t="shared" si="11"/>
        <v>11</v>
      </c>
      <c r="F324" s="68"/>
    </row>
    <row r="325" spans="1:6" x14ac:dyDescent="0.2">
      <c r="A325" s="65">
        <v>46346</v>
      </c>
      <c r="B325" s="66">
        <f t="shared" si="10"/>
        <v>47</v>
      </c>
      <c r="C325" s="67">
        <f t="shared" si="11"/>
        <v>11</v>
      </c>
      <c r="F325" s="68"/>
    </row>
    <row r="326" spans="1:6" x14ac:dyDescent="0.2">
      <c r="A326" s="65">
        <v>46347</v>
      </c>
      <c r="B326" s="66">
        <f t="shared" si="10"/>
        <v>47</v>
      </c>
      <c r="C326" s="67">
        <f t="shared" si="11"/>
        <v>11</v>
      </c>
      <c r="F326" s="68"/>
    </row>
    <row r="327" spans="1:6" x14ac:dyDescent="0.2">
      <c r="A327" s="65">
        <v>46348</v>
      </c>
      <c r="B327" s="66">
        <f t="shared" si="10"/>
        <v>47</v>
      </c>
      <c r="C327" s="67">
        <f t="shared" si="11"/>
        <v>11</v>
      </c>
      <c r="F327" s="68"/>
    </row>
    <row r="328" spans="1:6" x14ac:dyDescent="0.2">
      <c r="A328" s="65">
        <v>46349</v>
      </c>
      <c r="B328" s="66">
        <f t="shared" si="10"/>
        <v>48</v>
      </c>
      <c r="C328" s="67">
        <f t="shared" si="11"/>
        <v>11</v>
      </c>
      <c r="F328" s="68"/>
    </row>
    <row r="329" spans="1:6" x14ac:dyDescent="0.2">
      <c r="A329" s="65">
        <v>46350</v>
      </c>
      <c r="B329" s="66">
        <f t="shared" si="10"/>
        <v>48</v>
      </c>
      <c r="C329" s="67">
        <f t="shared" si="11"/>
        <v>11</v>
      </c>
      <c r="F329" s="68"/>
    </row>
    <row r="330" spans="1:6" x14ac:dyDescent="0.2">
      <c r="A330" s="65">
        <v>46351</v>
      </c>
      <c r="B330" s="66">
        <f t="shared" si="10"/>
        <v>48</v>
      </c>
      <c r="C330" s="67">
        <f t="shared" si="11"/>
        <v>11</v>
      </c>
      <c r="F330" s="68"/>
    </row>
    <row r="331" spans="1:6" x14ac:dyDescent="0.2">
      <c r="A331" s="65">
        <v>46352</v>
      </c>
      <c r="B331" s="66">
        <f t="shared" si="10"/>
        <v>48</v>
      </c>
      <c r="C331" s="67">
        <f t="shared" si="11"/>
        <v>11</v>
      </c>
      <c r="F331" s="68"/>
    </row>
    <row r="332" spans="1:6" x14ac:dyDescent="0.2">
      <c r="A332" s="65">
        <v>46353</v>
      </c>
      <c r="B332" s="66">
        <f t="shared" si="10"/>
        <v>48</v>
      </c>
      <c r="C332" s="67">
        <f t="shared" si="11"/>
        <v>11</v>
      </c>
      <c r="F332" s="68"/>
    </row>
    <row r="333" spans="1:6" x14ac:dyDescent="0.2">
      <c r="A333" s="65">
        <v>46354</v>
      </c>
      <c r="B333" s="66">
        <f t="shared" si="10"/>
        <v>48</v>
      </c>
      <c r="C333" s="67">
        <f t="shared" si="11"/>
        <v>11</v>
      </c>
      <c r="F333" s="68"/>
    </row>
    <row r="334" spans="1:6" x14ac:dyDescent="0.2">
      <c r="A334" s="65">
        <v>46355</v>
      </c>
      <c r="B334" s="66">
        <f t="shared" si="10"/>
        <v>48</v>
      </c>
      <c r="C334" s="67">
        <f t="shared" si="11"/>
        <v>11</v>
      </c>
      <c r="F334" s="68"/>
    </row>
    <row r="335" spans="1:6" x14ac:dyDescent="0.2">
      <c r="A335" s="65">
        <v>46356</v>
      </c>
      <c r="B335" s="66">
        <f t="shared" si="10"/>
        <v>49</v>
      </c>
      <c r="C335" s="67">
        <f t="shared" si="11"/>
        <v>11</v>
      </c>
      <c r="F335" s="68"/>
    </row>
    <row r="336" spans="1:6" x14ac:dyDescent="0.2">
      <c r="A336" s="65">
        <v>46357</v>
      </c>
      <c r="B336" s="66">
        <f t="shared" si="10"/>
        <v>49</v>
      </c>
      <c r="C336" s="67">
        <f t="shared" si="11"/>
        <v>12</v>
      </c>
      <c r="F336" s="68"/>
    </row>
    <row r="337" spans="1:6" x14ac:dyDescent="0.2">
      <c r="A337" s="65">
        <v>46358</v>
      </c>
      <c r="B337" s="66">
        <f t="shared" si="10"/>
        <v>49</v>
      </c>
      <c r="C337" s="67">
        <f t="shared" si="11"/>
        <v>12</v>
      </c>
      <c r="F337" s="68"/>
    </row>
    <row r="338" spans="1:6" x14ac:dyDescent="0.2">
      <c r="A338" s="65">
        <v>46359</v>
      </c>
      <c r="B338" s="66">
        <f t="shared" si="10"/>
        <v>49</v>
      </c>
      <c r="C338" s="67">
        <f t="shared" si="11"/>
        <v>12</v>
      </c>
      <c r="F338" s="68"/>
    </row>
    <row r="339" spans="1:6" x14ac:dyDescent="0.2">
      <c r="A339" s="65">
        <v>46360</v>
      </c>
      <c r="B339" s="66">
        <f t="shared" si="10"/>
        <v>49</v>
      </c>
      <c r="C339" s="67">
        <f t="shared" si="11"/>
        <v>12</v>
      </c>
      <c r="F339" s="68"/>
    </row>
    <row r="340" spans="1:6" x14ac:dyDescent="0.2">
      <c r="A340" s="65">
        <v>46361</v>
      </c>
      <c r="B340" s="66">
        <f t="shared" si="10"/>
        <v>49</v>
      </c>
      <c r="C340" s="67">
        <f t="shared" si="11"/>
        <v>12</v>
      </c>
      <c r="F340" s="68"/>
    </row>
    <row r="341" spans="1:6" x14ac:dyDescent="0.2">
      <c r="A341" s="65">
        <v>46362</v>
      </c>
      <c r="B341" s="66">
        <f t="shared" si="10"/>
        <v>49</v>
      </c>
      <c r="C341" s="67">
        <f t="shared" si="11"/>
        <v>12</v>
      </c>
      <c r="F341" s="68"/>
    </row>
    <row r="342" spans="1:6" x14ac:dyDescent="0.2">
      <c r="A342" s="65">
        <v>46363</v>
      </c>
      <c r="B342" s="66">
        <f t="shared" si="10"/>
        <v>50</v>
      </c>
      <c r="C342" s="67">
        <f t="shared" si="11"/>
        <v>12</v>
      </c>
      <c r="F342" s="68"/>
    </row>
    <row r="343" spans="1:6" x14ac:dyDescent="0.2">
      <c r="A343" s="65">
        <v>46364</v>
      </c>
      <c r="B343" s="66">
        <f t="shared" si="10"/>
        <v>50</v>
      </c>
      <c r="C343" s="67">
        <f t="shared" si="11"/>
        <v>12</v>
      </c>
      <c r="F343" s="68"/>
    </row>
    <row r="344" spans="1:6" x14ac:dyDescent="0.2">
      <c r="A344" s="65">
        <v>46365</v>
      </c>
      <c r="B344" s="66">
        <f t="shared" si="10"/>
        <v>50</v>
      </c>
      <c r="C344" s="67">
        <f t="shared" si="11"/>
        <v>12</v>
      </c>
      <c r="F344" s="68"/>
    </row>
    <row r="345" spans="1:6" x14ac:dyDescent="0.2">
      <c r="A345" s="65">
        <v>46366</v>
      </c>
      <c r="B345" s="66">
        <f t="shared" si="10"/>
        <v>50</v>
      </c>
      <c r="C345" s="67">
        <f t="shared" si="11"/>
        <v>12</v>
      </c>
      <c r="F345" s="68"/>
    </row>
    <row r="346" spans="1:6" x14ac:dyDescent="0.2">
      <c r="A346" s="65">
        <v>46367</v>
      </c>
      <c r="B346" s="66">
        <f t="shared" si="10"/>
        <v>50</v>
      </c>
      <c r="C346" s="67">
        <f t="shared" si="11"/>
        <v>12</v>
      </c>
      <c r="F346" s="68"/>
    </row>
    <row r="347" spans="1:6" x14ac:dyDescent="0.2">
      <c r="A347" s="65">
        <v>46368</v>
      </c>
      <c r="B347" s="66">
        <f t="shared" si="10"/>
        <v>50</v>
      </c>
      <c r="C347" s="67">
        <f t="shared" si="11"/>
        <v>12</v>
      </c>
      <c r="F347" s="68"/>
    </row>
    <row r="348" spans="1:6" x14ac:dyDescent="0.2">
      <c r="A348" s="65">
        <v>46369</v>
      </c>
      <c r="B348" s="66">
        <f t="shared" si="10"/>
        <v>50</v>
      </c>
      <c r="C348" s="67">
        <f t="shared" si="11"/>
        <v>12</v>
      </c>
      <c r="F348" s="68"/>
    </row>
    <row r="349" spans="1:6" x14ac:dyDescent="0.2">
      <c r="A349" s="65">
        <v>46370</v>
      </c>
      <c r="B349" s="66">
        <f t="shared" si="10"/>
        <v>51</v>
      </c>
      <c r="C349" s="67">
        <f t="shared" si="11"/>
        <v>12</v>
      </c>
      <c r="F349" s="68"/>
    </row>
    <row r="350" spans="1:6" x14ac:dyDescent="0.2">
      <c r="A350" s="65">
        <v>46371</v>
      </c>
      <c r="B350" s="66">
        <f t="shared" si="10"/>
        <v>51</v>
      </c>
      <c r="C350" s="67">
        <f t="shared" si="11"/>
        <v>12</v>
      </c>
      <c r="F350" s="68"/>
    </row>
    <row r="351" spans="1:6" x14ac:dyDescent="0.2">
      <c r="A351" s="65">
        <v>46372</v>
      </c>
      <c r="B351" s="66">
        <f t="shared" si="10"/>
        <v>51</v>
      </c>
      <c r="C351" s="67">
        <f t="shared" si="11"/>
        <v>12</v>
      </c>
      <c r="F351" s="68"/>
    </row>
    <row r="352" spans="1:6" x14ac:dyDescent="0.2">
      <c r="A352" s="65">
        <v>46373</v>
      </c>
      <c r="B352" s="66">
        <f t="shared" si="10"/>
        <v>51</v>
      </c>
      <c r="C352" s="67">
        <f t="shared" si="11"/>
        <v>12</v>
      </c>
      <c r="F352" s="68"/>
    </row>
    <row r="353" spans="1:6" x14ac:dyDescent="0.2">
      <c r="A353" s="65">
        <v>46374</v>
      </c>
      <c r="B353" s="66">
        <f t="shared" si="10"/>
        <v>51</v>
      </c>
      <c r="C353" s="67">
        <f t="shared" si="11"/>
        <v>12</v>
      </c>
      <c r="F353" s="68"/>
    </row>
    <row r="354" spans="1:6" x14ac:dyDescent="0.2">
      <c r="A354" s="65">
        <v>46375</v>
      </c>
      <c r="B354" s="66">
        <f t="shared" si="10"/>
        <v>51</v>
      </c>
      <c r="C354" s="67">
        <f t="shared" si="11"/>
        <v>12</v>
      </c>
      <c r="F354" s="68"/>
    </row>
    <row r="355" spans="1:6" x14ac:dyDescent="0.2">
      <c r="A355" s="65">
        <v>46376</v>
      </c>
      <c r="B355" s="66">
        <f t="shared" si="10"/>
        <v>51</v>
      </c>
      <c r="C355" s="67">
        <f t="shared" si="11"/>
        <v>12</v>
      </c>
      <c r="F355" s="68"/>
    </row>
    <row r="356" spans="1:6" x14ac:dyDescent="0.2">
      <c r="A356" s="65">
        <v>46377</v>
      </c>
      <c r="B356" s="66">
        <f t="shared" si="10"/>
        <v>52</v>
      </c>
      <c r="C356" s="67">
        <f t="shared" si="11"/>
        <v>12</v>
      </c>
      <c r="F356" s="68"/>
    </row>
    <row r="357" spans="1:6" x14ac:dyDescent="0.2">
      <c r="A357" s="65">
        <v>46378</v>
      </c>
      <c r="B357" s="66">
        <f t="shared" si="10"/>
        <v>52</v>
      </c>
      <c r="C357" s="67">
        <f t="shared" si="11"/>
        <v>12</v>
      </c>
      <c r="F357" s="68"/>
    </row>
    <row r="358" spans="1:6" x14ac:dyDescent="0.2">
      <c r="A358" s="65">
        <v>46379</v>
      </c>
      <c r="B358" s="66">
        <f t="shared" si="10"/>
        <v>52</v>
      </c>
      <c r="C358" s="67">
        <f t="shared" si="11"/>
        <v>12</v>
      </c>
      <c r="F358" s="68"/>
    </row>
    <row r="359" spans="1:6" x14ac:dyDescent="0.2">
      <c r="A359" s="65">
        <v>46380</v>
      </c>
      <c r="B359" s="66">
        <f t="shared" si="10"/>
        <v>52</v>
      </c>
      <c r="C359" s="67">
        <f t="shared" si="11"/>
        <v>12</v>
      </c>
      <c r="F359" s="68"/>
    </row>
    <row r="360" spans="1:6" x14ac:dyDescent="0.2">
      <c r="A360" s="65">
        <v>46381</v>
      </c>
      <c r="B360" s="66">
        <f t="shared" si="10"/>
        <v>52</v>
      </c>
      <c r="C360" s="67">
        <f t="shared" si="11"/>
        <v>12</v>
      </c>
      <c r="F360" s="68"/>
    </row>
    <row r="361" spans="1:6" x14ac:dyDescent="0.2">
      <c r="A361" s="65">
        <v>46382</v>
      </c>
      <c r="B361" s="66">
        <f t="shared" si="10"/>
        <v>52</v>
      </c>
      <c r="C361" s="67">
        <f t="shared" si="11"/>
        <v>12</v>
      </c>
      <c r="F361" s="68"/>
    </row>
    <row r="362" spans="1:6" x14ac:dyDescent="0.2">
      <c r="A362" s="65">
        <v>46383</v>
      </c>
      <c r="B362" s="66">
        <f t="shared" si="10"/>
        <v>52</v>
      </c>
      <c r="C362" s="67">
        <f t="shared" si="11"/>
        <v>12</v>
      </c>
      <c r="F362" s="68"/>
    </row>
    <row r="363" spans="1:6" x14ac:dyDescent="0.2">
      <c r="A363" s="65">
        <v>46384</v>
      </c>
      <c r="B363" s="66">
        <f t="shared" si="10"/>
        <v>53</v>
      </c>
      <c r="C363" s="67">
        <f t="shared" si="11"/>
        <v>12</v>
      </c>
      <c r="F363" s="68"/>
    </row>
    <row r="364" spans="1:6" x14ac:dyDescent="0.2">
      <c r="A364" s="65">
        <v>46385</v>
      </c>
      <c r="B364" s="66">
        <f t="shared" si="10"/>
        <v>53</v>
      </c>
      <c r="C364" s="67">
        <f t="shared" si="11"/>
        <v>12</v>
      </c>
      <c r="F364" s="68"/>
    </row>
    <row r="365" spans="1:6" x14ac:dyDescent="0.2">
      <c r="A365" s="65">
        <v>46386</v>
      </c>
      <c r="B365" s="66">
        <f t="shared" si="10"/>
        <v>53</v>
      </c>
      <c r="C365" s="67">
        <f t="shared" si="11"/>
        <v>12</v>
      </c>
      <c r="F365" s="68"/>
    </row>
    <row r="366" spans="1:6" x14ac:dyDescent="0.2">
      <c r="A366" s="77">
        <v>46387</v>
      </c>
      <c r="B366" s="78">
        <f t="shared" si="10"/>
        <v>53</v>
      </c>
      <c r="C366" s="79">
        <f t="shared" si="11"/>
        <v>12</v>
      </c>
      <c r="D366" s="80"/>
      <c r="E366" s="80"/>
      <c r="F366" s="8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228"/>
  <sheetViews>
    <sheetView zoomScale="68" workbookViewId="0">
      <selection activeCell="BC29" sqref="BC29"/>
    </sheetView>
  </sheetViews>
  <sheetFormatPr baseColWidth="10" defaultColWidth="9" defaultRowHeight="15" x14ac:dyDescent="0.2"/>
  <cols>
    <col min="1" max="1" width="50.1640625" customWidth="1"/>
    <col min="2" max="21" width="5.5" customWidth="1"/>
    <col min="22" max="22" width="50.1640625" customWidth="1"/>
    <col min="23" max="42" width="5.5" customWidth="1"/>
    <col min="43" max="43" width="50.1640625" customWidth="1"/>
    <col min="44" max="63" width="5.5" customWidth="1"/>
  </cols>
  <sheetData>
    <row r="1" spans="1:63" x14ac:dyDescent="0.2">
      <c r="A1" s="239" t="s">
        <v>139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1"/>
      <c r="V1" s="239" t="s">
        <v>140</v>
      </c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1"/>
      <c r="AQ1" s="239" t="s">
        <v>141</v>
      </c>
      <c r="AR1" s="240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240"/>
      <c r="BH1" s="240"/>
      <c r="BI1" s="240"/>
      <c r="BJ1" s="240"/>
      <c r="BK1" s="241"/>
    </row>
    <row r="2" spans="1:63" x14ac:dyDescent="0.2">
      <c r="A2" s="245" t="s">
        <v>142</v>
      </c>
      <c r="B2" s="243" t="s">
        <v>143</v>
      </c>
      <c r="C2" s="238"/>
      <c r="D2" s="238"/>
      <c r="E2" s="238"/>
      <c r="F2" s="244"/>
      <c r="G2" s="243" t="s">
        <v>144</v>
      </c>
      <c r="H2" s="238"/>
      <c r="I2" s="238"/>
      <c r="J2" s="238"/>
      <c r="K2" s="244"/>
      <c r="L2" s="243" t="s">
        <v>145</v>
      </c>
      <c r="M2" s="238"/>
      <c r="N2" s="238"/>
      <c r="O2" s="238"/>
      <c r="P2" s="244"/>
      <c r="Q2" s="243" t="s">
        <v>146</v>
      </c>
      <c r="R2" s="238"/>
      <c r="S2" s="238"/>
      <c r="T2" s="238"/>
      <c r="U2" s="244"/>
      <c r="V2" s="245" t="s">
        <v>142</v>
      </c>
      <c r="W2" s="243" t="s">
        <v>143</v>
      </c>
      <c r="X2" s="238"/>
      <c r="Y2" s="238"/>
      <c r="Z2" s="238"/>
      <c r="AA2" s="244"/>
      <c r="AB2" s="243" t="s">
        <v>144</v>
      </c>
      <c r="AC2" s="238"/>
      <c r="AD2" s="238"/>
      <c r="AE2" s="238"/>
      <c r="AF2" s="244"/>
      <c r="AG2" s="243" t="s">
        <v>145</v>
      </c>
      <c r="AH2" s="238"/>
      <c r="AI2" s="238"/>
      <c r="AJ2" s="238"/>
      <c r="AK2" s="244"/>
      <c r="AL2" s="243" t="s">
        <v>146</v>
      </c>
      <c r="AM2" s="238"/>
      <c r="AN2" s="238"/>
      <c r="AO2" s="238"/>
      <c r="AP2" s="244"/>
      <c r="AQ2" s="245" t="s">
        <v>142</v>
      </c>
      <c r="AR2" s="243" t="s">
        <v>143</v>
      </c>
      <c r="AS2" s="238"/>
      <c r="AT2" s="238"/>
      <c r="AU2" s="238"/>
      <c r="AV2" s="244"/>
      <c r="AW2" s="243" t="s">
        <v>144</v>
      </c>
      <c r="AX2" s="238"/>
      <c r="AY2" s="238"/>
      <c r="AZ2" s="238"/>
      <c r="BA2" s="244"/>
      <c r="BB2" s="243" t="s">
        <v>145</v>
      </c>
      <c r="BC2" s="238"/>
      <c r="BD2" s="238"/>
      <c r="BE2" s="238"/>
      <c r="BF2" s="244"/>
      <c r="BG2" s="243" t="s">
        <v>146</v>
      </c>
      <c r="BH2" s="238"/>
      <c r="BI2" s="238"/>
      <c r="BJ2" s="238"/>
      <c r="BK2" s="244"/>
    </row>
    <row r="3" spans="1:63" x14ac:dyDescent="0.2">
      <c r="A3" s="246"/>
      <c r="B3" s="41" t="s">
        <v>147</v>
      </c>
      <c r="C3" s="41" t="s">
        <v>148</v>
      </c>
      <c r="D3" s="41" t="s">
        <v>149</v>
      </c>
      <c r="E3" s="41" t="s">
        <v>150</v>
      </c>
      <c r="F3" s="41" t="s">
        <v>151</v>
      </c>
      <c r="G3" s="41" t="s">
        <v>147</v>
      </c>
      <c r="H3" s="41" t="s">
        <v>148</v>
      </c>
      <c r="I3" s="41" t="s">
        <v>149</v>
      </c>
      <c r="J3" s="41" t="s">
        <v>150</v>
      </c>
      <c r="K3" s="41" t="s">
        <v>151</v>
      </c>
      <c r="L3" s="41" t="s">
        <v>147</v>
      </c>
      <c r="M3" s="41" t="s">
        <v>148</v>
      </c>
      <c r="N3" s="41" t="s">
        <v>149</v>
      </c>
      <c r="O3" s="41" t="s">
        <v>150</v>
      </c>
      <c r="P3" s="41" t="s">
        <v>151</v>
      </c>
      <c r="Q3" s="41" t="s">
        <v>147</v>
      </c>
      <c r="R3" s="41" t="s">
        <v>148</v>
      </c>
      <c r="S3" s="41" t="s">
        <v>149</v>
      </c>
      <c r="T3" s="41" t="s">
        <v>150</v>
      </c>
      <c r="U3" s="53" t="s">
        <v>151</v>
      </c>
      <c r="V3" s="246"/>
      <c r="W3" s="41" t="s">
        <v>147</v>
      </c>
      <c r="X3" s="41" t="s">
        <v>148</v>
      </c>
      <c r="Y3" s="41" t="s">
        <v>149</v>
      </c>
      <c r="Z3" s="41" t="s">
        <v>150</v>
      </c>
      <c r="AA3" s="41" t="s">
        <v>151</v>
      </c>
      <c r="AB3" s="41" t="s">
        <v>147</v>
      </c>
      <c r="AC3" s="41" t="s">
        <v>148</v>
      </c>
      <c r="AD3" s="41" t="s">
        <v>149</v>
      </c>
      <c r="AE3" s="41" t="s">
        <v>150</v>
      </c>
      <c r="AF3" s="41" t="s">
        <v>151</v>
      </c>
      <c r="AG3" s="41" t="s">
        <v>147</v>
      </c>
      <c r="AH3" s="41" t="s">
        <v>148</v>
      </c>
      <c r="AI3" s="41" t="s">
        <v>149</v>
      </c>
      <c r="AJ3" s="41" t="s">
        <v>150</v>
      </c>
      <c r="AK3" s="41" t="s">
        <v>151</v>
      </c>
      <c r="AL3" s="41" t="s">
        <v>147</v>
      </c>
      <c r="AM3" s="41" t="s">
        <v>148</v>
      </c>
      <c r="AN3" s="41" t="s">
        <v>149</v>
      </c>
      <c r="AO3" s="41" t="s">
        <v>150</v>
      </c>
      <c r="AP3" s="53" t="s">
        <v>151</v>
      </c>
      <c r="AQ3" s="246"/>
      <c r="AR3" s="41" t="s">
        <v>147</v>
      </c>
      <c r="AS3" s="41" t="s">
        <v>148</v>
      </c>
      <c r="AT3" s="41" t="s">
        <v>149</v>
      </c>
      <c r="AU3" s="41" t="s">
        <v>150</v>
      </c>
      <c r="AV3" s="41" t="s">
        <v>151</v>
      </c>
      <c r="AW3" s="41" t="s">
        <v>147</v>
      </c>
      <c r="AX3" s="41" t="s">
        <v>148</v>
      </c>
      <c r="AY3" s="41" t="s">
        <v>149</v>
      </c>
      <c r="AZ3" s="41" t="s">
        <v>150</v>
      </c>
      <c r="BA3" s="41" t="s">
        <v>151</v>
      </c>
      <c r="BB3" s="41" t="s">
        <v>147</v>
      </c>
      <c r="BC3" s="41" t="s">
        <v>148</v>
      </c>
      <c r="BD3" s="41" t="s">
        <v>149</v>
      </c>
      <c r="BE3" s="41" t="s">
        <v>150</v>
      </c>
      <c r="BF3" s="41" t="s">
        <v>151</v>
      </c>
      <c r="BG3" s="41" t="s">
        <v>147</v>
      </c>
      <c r="BH3" s="41" t="s">
        <v>148</v>
      </c>
      <c r="BI3" s="41" t="s">
        <v>149</v>
      </c>
      <c r="BJ3" s="41" t="s">
        <v>150</v>
      </c>
      <c r="BK3" s="53" t="s">
        <v>151</v>
      </c>
    </row>
    <row r="4" spans="1:63" x14ac:dyDescent="0.2">
      <c r="A4" s="42" t="s">
        <v>152</v>
      </c>
      <c r="B4" s="43" t="s">
        <v>153</v>
      </c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51" t="s">
        <v>152</v>
      </c>
      <c r="W4" s="43" t="s">
        <v>153</v>
      </c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51" t="s">
        <v>152</v>
      </c>
      <c r="AR4" s="43" t="s">
        <v>153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</row>
    <row r="5" spans="1:63" x14ac:dyDescent="0.2">
      <c r="A5" s="46" t="s">
        <v>154</v>
      </c>
      <c r="B5" s="45"/>
      <c r="C5" s="43" t="s">
        <v>153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6" t="s">
        <v>154</v>
      </c>
      <c r="W5" s="47"/>
      <c r="X5" s="43" t="s">
        <v>153</v>
      </c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6" t="s">
        <v>154</v>
      </c>
      <c r="AR5" s="47"/>
      <c r="AS5" s="43" t="s">
        <v>153</v>
      </c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</row>
    <row r="6" spans="1:63" x14ac:dyDescent="0.2">
      <c r="A6" s="46" t="s">
        <v>155</v>
      </c>
      <c r="B6" s="47"/>
      <c r="C6" s="47"/>
      <c r="D6" s="43" t="s">
        <v>153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6" t="s">
        <v>155</v>
      </c>
      <c r="W6" s="47"/>
      <c r="X6" s="47"/>
      <c r="Y6" s="43" t="s">
        <v>153</v>
      </c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6" t="s">
        <v>155</v>
      </c>
      <c r="AR6" s="47"/>
      <c r="AS6" s="47"/>
      <c r="AT6" s="43" t="s">
        <v>153</v>
      </c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</row>
    <row r="7" spans="1:63" x14ac:dyDescent="0.2">
      <c r="A7" s="242" t="s">
        <v>156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  <c r="V7" s="242" t="s">
        <v>156</v>
      </c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8"/>
      <c r="AQ7" s="242" t="s">
        <v>156</v>
      </c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8"/>
    </row>
    <row r="8" spans="1:63" x14ac:dyDescent="0.2">
      <c r="A8" s="46" t="s">
        <v>157</v>
      </c>
      <c r="B8" s="47"/>
      <c r="C8" s="47"/>
      <c r="D8" s="47"/>
      <c r="E8" s="43" t="s">
        <v>153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6" t="s">
        <v>157</v>
      </c>
      <c r="W8" s="47"/>
      <c r="X8" s="47"/>
      <c r="Y8" s="47"/>
      <c r="Z8" s="43" t="s">
        <v>153</v>
      </c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6" t="s">
        <v>157</v>
      </c>
      <c r="AR8" s="47"/>
      <c r="AS8" s="47"/>
      <c r="AT8" s="47"/>
      <c r="AU8" s="43" t="s">
        <v>153</v>
      </c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</row>
    <row r="9" spans="1:63" x14ac:dyDescent="0.2">
      <c r="A9" s="242" t="s">
        <v>156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8"/>
      <c r="V9" s="242" t="s">
        <v>156</v>
      </c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8"/>
      <c r="AQ9" s="242" t="s">
        <v>156</v>
      </c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8"/>
    </row>
    <row r="10" spans="1:63" x14ac:dyDescent="0.2">
      <c r="A10" s="46" t="s">
        <v>158</v>
      </c>
      <c r="B10" s="47"/>
      <c r="C10" s="47"/>
      <c r="D10" s="47"/>
      <c r="E10" s="47"/>
      <c r="F10" s="43" t="s">
        <v>153</v>
      </c>
      <c r="G10" s="43" t="s">
        <v>153</v>
      </c>
      <c r="H10" s="48"/>
      <c r="I10" s="48"/>
      <c r="J10" s="48"/>
      <c r="K10" s="48"/>
      <c r="L10" s="48"/>
      <c r="M10" s="48"/>
      <c r="N10" s="47"/>
      <c r="O10" s="47"/>
      <c r="P10" s="47"/>
      <c r="Q10" s="47"/>
      <c r="R10" s="47"/>
      <c r="S10" s="47"/>
      <c r="T10" s="47"/>
      <c r="U10" s="47"/>
      <c r="V10" s="46" t="s">
        <v>158</v>
      </c>
      <c r="W10" s="47"/>
      <c r="X10" s="47"/>
      <c r="Y10" s="47"/>
      <c r="Z10" s="47"/>
      <c r="AA10" s="43" t="s">
        <v>153</v>
      </c>
      <c r="AB10" s="43" t="s">
        <v>153</v>
      </c>
      <c r="AC10" s="48"/>
      <c r="AD10" s="48"/>
      <c r="AE10" s="48"/>
      <c r="AF10" s="48"/>
      <c r="AG10" s="48"/>
      <c r="AH10" s="48"/>
      <c r="AI10" s="47"/>
      <c r="AJ10" s="47"/>
      <c r="AK10" s="47"/>
      <c r="AL10" s="47"/>
      <c r="AM10" s="47"/>
      <c r="AN10" s="47"/>
      <c r="AO10" s="47"/>
      <c r="AP10" s="47"/>
      <c r="AQ10" s="46" t="s">
        <v>158</v>
      </c>
      <c r="AR10" s="47"/>
      <c r="AS10" s="47"/>
      <c r="AT10" s="47"/>
      <c r="AU10" s="47"/>
      <c r="AV10" s="43" t="s">
        <v>153</v>
      </c>
      <c r="AW10" s="43" t="s">
        <v>153</v>
      </c>
      <c r="AX10" s="48"/>
      <c r="AY10" s="48"/>
      <c r="AZ10" s="48"/>
      <c r="BA10" s="48"/>
      <c r="BB10" s="48"/>
      <c r="BC10" s="48"/>
      <c r="BD10" s="47"/>
      <c r="BE10" s="47"/>
      <c r="BF10" s="47"/>
      <c r="BG10" s="47"/>
      <c r="BH10" s="47"/>
      <c r="BI10" s="47"/>
      <c r="BJ10" s="47"/>
      <c r="BK10" s="47"/>
    </row>
    <row r="11" spans="1:63" x14ac:dyDescent="0.2">
      <c r="A11" s="46" t="s">
        <v>159</v>
      </c>
      <c r="B11" s="47"/>
      <c r="C11" s="47"/>
      <c r="D11" s="47"/>
      <c r="E11" s="47"/>
      <c r="F11" s="43" t="s">
        <v>153</v>
      </c>
      <c r="G11" s="43" t="s">
        <v>153</v>
      </c>
      <c r="H11" s="48"/>
      <c r="I11" s="48"/>
      <c r="J11" s="48"/>
      <c r="K11" s="48"/>
      <c r="L11" s="48"/>
      <c r="M11" s="48"/>
      <c r="N11" s="47"/>
      <c r="O11" s="47"/>
      <c r="P11" s="47"/>
      <c r="Q11" s="47"/>
      <c r="R11" s="47"/>
      <c r="S11" s="47"/>
      <c r="T11" s="47"/>
      <c r="U11" s="47"/>
      <c r="V11" s="46" t="s">
        <v>159</v>
      </c>
      <c r="W11" s="47"/>
      <c r="X11" s="47"/>
      <c r="Y11" s="47"/>
      <c r="Z11" s="47"/>
      <c r="AA11" s="43" t="s">
        <v>153</v>
      </c>
      <c r="AB11" s="43" t="s">
        <v>153</v>
      </c>
      <c r="AC11" s="48"/>
      <c r="AD11" s="48"/>
      <c r="AE11" s="48"/>
      <c r="AF11" s="48"/>
      <c r="AG11" s="48"/>
      <c r="AH11" s="48"/>
      <c r="AI11" s="47"/>
      <c r="AJ11" s="47"/>
      <c r="AK11" s="47"/>
      <c r="AL11" s="47"/>
      <c r="AM11" s="47"/>
      <c r="AN11" s="47"/>
      <c r="AO11" s="47"/>
      <c r="AP11" s="47"/>
      <c r="AQ11" s="46" t="s">
        <v>159</v>
      </c>
      <c r="AR11" s="47"/>
      <c r="AS11" s="47"/>
      <c r="AT11" s="47"/>
      <c r="AU11" s="47"/>
      <c r="AV11" s="43" t="s">
        <v>153</v>
      </c>
      <c r="AW11" s="43" t="s">
        <v>153</v>
      </c>
      <c r="AX11" s="48"/>
      <c r="AY11" s="48"/>
      <c r="AZ11" s="48"/>
      <c r="BA11" s="48"/>
      <c r="BB11" s="48"/>
      <c r="BC11" s="48"/>
      <c r="BD11" s="47"/>
      <c r="BE11" s="47"/>
      <c r="BF11" s="47"/>
      <c r="BG11" s="47"/>
      <c r="BH11" s="47"/>
      <c r="BI11" s="47"/>
      <c r="BJ11" s="47"/>
      <c r="BK11" s="47"/>
    </row>
    <row r="12" spans="1:63" x14ac:dyDescent="0.2">
      <c r="A12" s="46" t="s">
        <v>160</v>
      </c>
      <c r="B12" s="47"/>
      <c r="C12" s="47"/>
      <c r="D12" s="47"/>
      <c r="E12" s="47"/>
      <c r="F12" s="43" t="s">
        <v>153</v>
      </c>
      <c r="G12" s="43" t="s">
        <v>153</v>
      </c>
      <c r="H12" s="48"/>
      <c r="I12" s="48"/>
      <c r="J12" s="48"/>
      <c r="K12" s="48"/>
      <c r="L12" s="48"/>
      <c r="M12" s="48"/>
      <c r="N12" s="47"/>
      <c r="O12" s="47"/>
      <c r="P12" s="47"/>
      <c r="Q12" s="47"/>
      <c r="R12" s="47"/>
      <c r="S12" s="47"/>
      <c r="T12" s="47"/>
      <c r="U12" s="47"/>
      <c r="V12" s="46" t="s">
        <v>160</v>
      </c>
      <c r="W12" s="47"/>
      <c r="X12" s="47"/>
      <c r="Y12" s="47"/>
      <c r="Z12" s="47"/>
      <c r="AA12" s="43" t="s">
        <v>153</v>
      </c>
      <c r="AB12" s="43" t="s">
        <v>153</v>
      </c>
      <c r="AC12" s="48"/>
      <c r="AD12" s="48"/>
      <c r="AE12" s="48"/>
      <c r="AF12" s="48"/>
      <c r="AG12" s="48"/>
      <c r="AH12" s="48"/>
      <c r="AI12" s="47"/>
      <c r="AJ12" s="47"/>
      <c r="AK12" s="47"/>
      <c r="AL12" s="47"/>
      <c r="AM12" s="47"/>
      <c r="AN12" s="47"/>
      <c r="AO12" s="47"/>
      <c r="AP12" s="47"/>
      <c r="AQ12" s="46" t="s">
        <v>160</v>
      </c>
      <c r="AR12" s="47"/>
      <c r="AS12" s="47"/>
      <c r="AT12" s="47"/>
      <c r="AU12" s="47"/>
      <c r="AV12" s="43" t="s">
        <v>153</v>
      </c>
      <c r="AW12" s="43" t="s">
        <v>153</v>
      </c>
      <c r="AX12" s="48"/>
      <c r="AY12" s="48"/>
      <c r="AZ12" s="48"/>
      <c r="BA12" s="48"/>
      <c r="BB12" s="48"/>
      <c r="BC12" s="48"/>
      <c r="BD12" s="47"/>
      <c r="BE12" s="47"/>
      <c r="BF12" s="47"/>
      <c r="BG12" s="47"/>
      <c r="BH12" s="47"/>
      <c r="BI12" s="47"/>
      <c r="BJ12" s="47"/>
      <c r="BK12" s="47"/>
    </row>
    <row r="13" spans="1:63" x14ac:dyDescent="0.2">
      <c r="A13" s="46" t="s">
        <v>161</v>
      </c>
      <c r="B13" s="47"/>
      <c r="C13" s="47"/>
      <c r="D13" s="47"/>
      <c r="E13" s="47"/>
      <c r="F13" s="43" t="s">
        <v>153</v>
      </c>
      <c r="G13" s="43" t="s">
        <v>153</v>
      </c>
      <c r="H13" s="48"/>
      <c r="I13" s="48"/>
      <c r="J13" s="48"/>
      <c r="K13" s="48"/>
      <c r="L13" s="48"/>
      <c r="M13" s="48"/>
      <c r="N13" s="47"/>
      <c r="O13" s="47"/>
      <c r="P13" s="47"/>
      <c r="Q13" s="47"/>
      <c r="R13" s="47"/>
      <c r="S13" s="47"/>
      <c r="T13" s="47"/>
      <c r="U13" s="47"/>
      <c r="V13" s="46" t="s">
        <v>161</v>
      </c>
      <c r="W13" s="47"/>
      <c r="X13" s="47"/>
      <c r="Y13" s="47"/>
      <c r="Z13" s="47"/>
      <c r="AA13" s="43" t="s">
        <v>153</v>
      </c>
      <c r="AB13" s="43" t="s">
        <v>153</v>
      </c>
      <c r="AC13" s="48"/>
      <c r="AD13" s="48"/>
      <c r="AE13" s="48"/>
      <c r="AF13" s="48"/>
      <c r="AG13" s="48"/>
      <c r="AH13" s="48"/>
      <c r="AI13" s="47"/>
      <c r="AJ13" s="47"/>
      <c r="AK13" s="47"/>
      <c r="AL13" s="47"/>
      <c r="AM13" s="47"/>
      <c r="AN13" s="47"/>
      <c r="AO13" s="47"/>
      <c r="AP13" s="47"/>
      <c r="AQ13" s="46" t="s">
        <v>161</v>
      </c>
      <c r="AR13" s="47"/>
      <c r="AS13" s="47"/>
      <c r="AT13" s="47"/>
      <c r="AU13" s="47"/>
      <c r="AV13" s="43" t="s">
        <v>153</v>
      </c>
      <c r="AW13" s="43" t="s">
        <v>153</v>
      </c>
      <c r="AX13" s="48"/>
      <c r="AY13" s="48"/>
      <c r="AZ13" s="48"/>
      <c r="BA13" s="48"/>
      <c r="BB13" s="48"/>
      <c r="BC13" s="48"/>
      <c r="BD13" s="47"/>
      <c r="BE13" s="47"/>
      <c r="BF13" s="47"/>
      <c r="BG13" s="47"/>
      <c r="BH13" s="47"/>
      <c r="BI13" s="47"/>
      <c r="BJ13" s="47"/>
      <c r="BK13" s="47"/>
    </row>
    <row r="14" spans="1:63" x14ac:dyDescent="0.2">
      <c r="A14" s="46" t="s">
        <v>162</v>
      </c>
      <c r="B14" s="47"/>
      <c r="C14" s="47"/>
      <c r="D14" s="47"/>
      <c r="E14" s="47"/>
      <c r="F14" s="43" t="s">
        <v>153</v>
      </c>
      <c r="G14" s="43" t="s">
        <v>153</v>
      </c>
      <c r="H14" s="48"/>
      <c r="I14" s="48"/>
      <c r="J14" s="48"/>
      <c r="K14" s="48"/>
      <c r="L14" s="48"/>
      <c r="M14" s="48"/>
      <c r="N14" s="47"/>
      <c r="O14" s="47"/>
      <c r="P14" s="47"/>
      <c r="Q14" s="47"/>
      <c r="R14" s="47"/>
      <c r="S14" s="47"/>
      <c r="T14" s="47"/>
      <c r="U14" s="47"/>
      <c r="V14" s="46" t="s">
        <v>162</v>
      </c>
      <c r="W14" s="47"/>
      <c r="X14" s="47"/>
      <c r="Y14" s="47"/>
      <c r="Z14" s="47"/>
      <c r="AA14" s="43" t="s">
        <v>153</v>
      </c>
      <c r="AB14" s="43" t="s">
        <v>153</v>
      </c>
      <c r="AC14" s="48"/>
      <c r="AD14" s="48"/>
      <c r="AE14" s="48"/>
      <c r="AF14" s="48"/>
      <c r="AG14" s="48"/>
      <c r="AH14" s="48"/>
      <c r="AI14" s="47"/>
      <c r="AJ14" s="47"/>
      <c r="AK14" s="47"/>
      <c r="AL14" s="47"/>
      <c r="AM14" s="47"/>
      <c r="AN14" s="47"/>
      <c r="AO14" s="47"/>
      <c r="AP14" s="47"/>
      <c r="AQ14" s="46" t="s">
        <v>162</v>
      </c>
      <c r="AR14" s="47"/>
      <c r="AS14" s="47"/>
      <c r="AT14" s="47"/>
      <c r="AU14" s="47"/>
      <c r="AV14" s="43" t="s">
        <v>153</v>
      </c>
      <c r="AW14" s="43" t="s">
        <v>153</v>
      </c>
      <c r="AX14" s="48"/>
      <c r="AY14" s="48"/>
      <c r="AZ14" s="48"/>
      <c r="BA14" s="48"/>
      <c r="BB14" s="48"/>
      <c r="BC14" s="48"/>
      <c r="BD14" s="47"/>
      <c r="BE14" s="47"/>
      <c r="BF14" s="47"/>
      <c r="BG14" s="47"/>
      <c r="BH14" s="47"/>
      <c r="BI14" s="47"/>
      <c r="BJ14" s="47"/>
      <c r="BK14" s="47"/>
    </row>
    <row r="15" spans="1:63" x14ac:dyDescent="0.2">
      <c r="A15" s="46" t="s">
        <v>163</v>
      </c>
      <c r="B15" s="47"/>
      <c r="C15" s="47"/>
      <c r="D15" s="47"/>
      <c r="E15" s="47"/>
      <c r="F15" s="43" t="s">
        <v>153</v>
      </c>
      <c r="G15" s="43" t="s">
        <v>153</v>
      </c>
      <c r="H15" s="48"/>
      <c r="I15" s="48"/>
      <c r="J15" s="48"/>
      <c r="K15" s="48"/>
      <c r="L15" s="48"/>
      <c r="M15" s="48"/>
      <c r="N15" s="47"/>
      <c r="O15" s="47"/>
      <c r="P15" s="47"/>
      <c r="Q15" s="47"/>
      <c r="R15" s="47"/>
      <c r="S15" s="47"/>
      <c r="T15" s="47"/>
      <c r="U15" s="47"/>
      <c r="V15" s="46" t="s">
        <v>163</v>
      </c>
      <c r="W15" s="47"/>
      <c r="X15" s="47"/>
      <c r="Y15" s="47"/>
      <c r="Z15" s="47"/>
      <c r="AA15" s="43" t="s">
        <v>153</v>
      </c>
      <c r="AB15" s="43" t="s">
        <v>153</v>
      </c>
      <c r="AC15" s="48"/>
      <c r="AD15" s="48"/>
      <c r="AE15" s="48"/>
      <c r="AF15" s="48"/>
      <c r="AG15" s="48"/>
      <c r="AH15" s="48"/>
      <c r="AI15" s="47"/>
      <c r="AJ15" s="47"/>
      <c r="AK15" s="47"/>
      <c r="AL15" s="47"/>
      <c r="AM15" s="47"/>
      <c r="AN15" s="47"/>
      <c r="AO15" s="47"/>
      <c r="AP15" s="47"/>
      <c r="AQ15" s="46" t="s">
        <v>163</v>
      </c>
      <c r="AR15" s="47"/>
      <c r="AS15" s="47"/>
      <c r="AT15" s="47"/>
      <c r="AU15" s="47"/>
      <c r="AV15" s="43" t="s">
        <v>153</v>
      </c>
      <c r="AW15" s="43" t="s">
        <v>153</v>
      </c>
      <c r="AX15" s="48"/>
      <c r="AY15" s="48"/>
      <c r="AZ15" s="48"/>
      <c r="BA15" s="48"/>
      <c r="BB15" s="48"/>
      <c r="BC15" s="48"/>
      <c r="BD15" s="47"/>
      <c r="BE15" s="47"/>
      <c r="BF15" s="47"/>
      <c r="BG15" s="47"/>
      <c r="BH15" s="47"/>
      <c r="BI15" s="47"/>
      <c r="BJ15" s="47"/>
      <c r="BK15" s="47"/>
    </row>
    <row r="16" spans="1:63" x14ac:dyDescent="0.2">
      <c r="A16" s="46" t="s">
        <v>164</v>
      </c>
      <c r="B16" s="47"/>
      <c r="C16" s="47"/>
      <c r="D16" s="47"/>
      <c r="E16" s="47"/>
      <c r="F16" s="43" t="s">
        <v>153</v>
      </c>
      <c r="G16" s="43" t="s">
        <v>153</v>
      </c>
      <c r="H16" s="48"/>
      <c r="I16" s="48"/>
      <c r="J16" s="48"/>
      <c r="K16" s="48"/>
      <c r="L16" s="48"/>
      <c r="M16" s="48"/>
      <c r="N16" s="47"/>
      <c r="O16" s="47"/>
      <c r="P16" s="47"/>
      <c r="Q16" s="47"/>
      <c r="R16" s="47"/>
      <c r="S16" s="47"/>
      <c r="T16" s="47"/>
      <c r="U16" s="47"/>
      <c r="V16" s="46" t="s">
        <v>164</v>
      </c>
      <c r="W16" s="47"/>
      <c r="X16" s="47"/>
      <c r="Y16" s="47"/>
      <c r="Z16" s="47"/>
      <c r="AA16" s="43" t="s">
        <v>153</v>
      </c>
      <c r="AB16" s="43" t="s">
        <v>153</v>
      </c>
      <c r="AC16" s="48"/>
      <c r="AD16" s="48"/>
      <c r="AE16" s="48"/>
      <c r="AF16" s="48"/>
      <c r="AG16" s="48"/>
      <c r="AH16" s="48"/>
      <c r="AI16" s="47"/>
      <c r="AJ16" s="47"/>
      <c r="AK16" s="47"/>
      <c r="AL16" s="47"/>
      <c r="AM16" s="47"/>
      <c r="AN16" s="47"/>
      <c r="AO16" s="47"/>
      <c r="AP16" s="47"/>
      <c r="AQ16" s="46" t="s">
        <v>164</v>
      </c>
      <c r="AR16" s="47"/>
      <c r="AS16" s="47"/>
      <c r="AT16" s="47"/>
      <c r="AU16" s="47"/>
      <c r="AV16" s="43" t="s">
        <v>153</v>
      </c>
      <c r="AW16" s="43" t="s">
        <v>153</v>
      </c>
      <c r="AX16" s="48"/>
      <c r="AY16" s="48"/>
      <c r="AZ16" s="48"/>
      <c r="BA16" s="48"/>
      <c r="BB16" s="48"/>
      <c r="BC16" s="48"/>
      <c r="BD16" s="47"/>
      <c r="BE16" s="47"/>
      <c r="BF16" s="47"/>
      <c r="BG16" s="47"/>
      <c r="BH16" s="47"/>
      <c r="BI16" s="47"/>
      <c r="BJ16" s="47"/>
      <c r="BK16" s="47"/>
    </row>
    <row r="17" spans="1:63" x14ac:dyDescent="0.2">
      <c r="A17" s="46" t="s">
        <v>165</v>
      </c>
      <c r="B17" s="47"/>
      <c r="C17" s="47"/>
      <c r="D17" s="47"/>
      <c r="E17" s="47"/>
      <c r="F17" s="43" t="s">
        <v>153</v>
      </c>
      <c r="G17" s="43" t="s">
        <v>153</v>
      </c>
      <c r="H17" s="48"/>
      <c r="I17" s="48"/>
      <c r="J17" s="48"/>
      <c r="K17" s="48"/>
      <c r="L17" s="48"/>
      <c r="M17" s="48"/>
      <c r="N17" s="47"/>
      <c r="O17" s="47"/>
      <c r="P17" s="47"/>
      <c r="Q17" s="47"/>
      <c r="R17" s="47"/>
      <c r="S17" s="47"/>
      <c r="T17" s="47"/>
      <c r="U17" s="47"/>
      <c r="V17" s="46" t="s">
        <v>165</v>
      </c>
      <c r="W17" s="47"/>
      <c r="X17" s="47"/>
      <c r="Y17" s="47"/>
      <c r="Z17" s="47"/>
      <c r="AA17" s="43" t="s">
        <v>153</v>
      </c>
      <c r="AB17" s="43" t="s">
        <v>153</v>
      </c>
      <c r="AC17" s="48"/>
      <c r="AD17" s="48"/>
      <c r="AE17" s="48"/>
      <c r="AF17" s="48"/>
      <c r="AG17" s="48"/>
      <c r="AH17" s="48"/>
      <c r="AI17" s="47"/>
      <c r="AJ17" s="47"/>
      <c r="AK17" s="47"/>
      <c r="AL17" s="47"/>
      <c r="AM17" s="47"/>
      <c r="AN17" s="47"/>
      <c r="AO17" s="47"/>
      <c r="AP17" s="47"/>
      <c r="AQ17" s="46" t="s">
        <v>165</v>
      </c>
      <c r="AR17" s="47"/>
      <c r="AS17" s="47"/>
      <c r="AT17" s="47"/>
      <c r="AU17" s="47"/>
      <c r="AV17" s="43" t="s">
        <v>153</v>
      </c>
      <c r="AW17" s="43" t="s">
        <v>153</v>
      </c>
      <c r="AX17" s="48"/>
      <c r="AY17" s="48"/>
      <c r="AZ17" s="48"/>
      <c r="BA17" s="48"/>
      <c r="BB17" s="48"/>
      <c r="BC17" s="48"/>
      <c r="BD17" s="47"/>
      <c r="BE17" s="47"/>
      <c r="BF17" s="47"/>
      <c r="BG17" s="47"/>
      <c r="BH17" s="47"/>
      <c r="BI17" s="47"/>
      <c r="BJ17" s="47"/>
      <c r="BK17" s="47"/>
    </row>
    <row r="18" spans="1:63" x14ac:dyDescent="0.2">
      <c r="A18" s="247" t="s">
        <v>156</v>
      </c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47" t="s">
        <v>156</v>
      </c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47" t="s">
        <v>156</v>
      </c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</row>
    <row r="19" spans="1:63" x14ac:dyDescent="0.2">
      <c r="A19" s="49" t="s">
        <v>166</v>
      </c>
      <c r="B19" s="49"/>
      <c r="C19" s="47"/>
      <c r="D19" s="47"/>
      <c r="E19" s="47"/>
      <c r="F19" s="47"/>
      <c r="G19" s="48"/>
      <c r="H19" s="43" t="s">
        <v>153</v>
      </c>
      <c r="I19" s="43" t="s">
        <v>153</v>
      </c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9" t="s">
        <v>166</v>
      </c>
      <c r="W19" s="49"/>
      <c r="X19" s="47"/>
      <c r="Y19" s="47"/>
      <c r="Z19" s="47"/>
      <c r="AA19" s="47"/>
      <c r="AB19" s="48"/>
      <c r="AC19" s="43" t="s">
        <v>153</v>
      </c>
      <c r="AD19" s="43" t="s">
        <v>153</v>
      </c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9" t="s">
        <v>166</v>
      </c>
      <c r="AR19" s="49"/>
      <c r="AS19" s="47"/>
      <c r="AT19" s="47"/>
      <c r="AU19" s="47"/>
      <c r="AV19" s="47"/>
      <c r="AW19" s="48"/>
      <c r="AX19" s="43" t="s">
        <v>153</v>
      </c>
      <c r="AY19" s="43" t="s">
        <v>153</v>
      </c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</row>
    <row r="20" spans="1:63" x14ac:dyDescent="0.2">
      <c r="A20" s="49" t="s">
        <v>167</v>
      </c>
      <c r="B20" s="49"/>
      <c r="C20" s="47"/>
      <c r="D20" s="47"/>
      <c r="E20" s="47"/>
      <c r="F20" s="47"/>
      <c r="G20" s="48"/>
      <c r="H20" s="43" t="s">
        <v>153</v>
      </c>
      <c r="I20" s="43" t="s">
        <v>153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9" t="s">
        <v>167</v>
      </c>
      <c r="W20" s="49"/>
      <c r="X20" s="47"/>
      <c r="Y20" s="47"/>
      <c r="Z20" s="47"/>
      <c r="AA20" s="47"/>
      <c r="AB20" s="48"/>
      <c r="AC20" s="43" t="s">
        <v>153</v>
      </c>
      <c r="AD20" s="43" t="s">
        <v>153</v>
      </c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9" t="s">
        <v>167</v>
      </c>
      <c r="AR20" s="49"/>
      <c r="AS20" s="47"/>
      <c r="AT20" s="47"/>
      <c r="AU20" s="47"/>
      <c r="AV20" s="47"/>
      <c r="AW20" s="48"/>
      <c r="AX20" s="43" t="s">
        <v>153</v>
      </c>
      <c r="AY20" s="43" t="s">
        <v>153</v>
      </c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</row>
    <row r="21" spans="1:63" x14ac:dyDescent="0.2">
      <c r="A21" s="49" t="s">
        <v>168</v>
      </c>
      <c r="B21" s="49"/>
      <c r="C21" s="47"/>
      <c r="D21" s="47"/>
      <c r="E21" s="47"/>
      <c r="F21" s="47"/>
      <c r="G21" s="48"/>
      <c r="H21" s="43" t="s">
        <v>153</v>
      </c>
      <c r="I21" s="43" t="s">
        <v>153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9" t="s">
        <v>168</v>
      </c>
      <c r="W21" s="49"/>
      <c r="X21" s="47"/>
      <c r="Y21" s="47"/>
      <c r="Z21" s="47"/>
      <c r="AA21" s="47"/>
      <c r="AB21" s="48"/>
      <c r="AC21" s="43" t="s">
        <v>153</v>
      </c>
      <c r="AD21" s="43" t="s">
        <v>153</v>
      </c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9" t="s">
        <v>168</v>
      </c>
      <c r="AR21" s="49"/>
      <c r="AS21" s="47"/>
      <c r="AT21" s="47"/>
      <c r="AU21" s="47"/>
      <c r="AV21" s="47"/>
      <c r="AW21" s="48"/>
      <c r="AX21" s="43" t="s">
        <v>153</v>
      </c>
      <c r="AY21" s="43" t="s">
        <v>153</v>
      </c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</row>
    <row r="22" spans="1:63" x14ac:dyDescent="0.2">
      <c r="A22" s="49" t="s">
        <v>169</v>
      </c>
      <c r="B22" s="49"/>
      <c r="C22" s="47"/>
      <c r="D22" s="47"/>
      <c r="E22" s="47"/>
      <c r="F22" s="47"/>
      <c r="G22" s="48"/>
      <c r="H22" s="43" t="s">
        <v>153</v>
      </c>
      <c r="I22" s="43" t="s">
        <v>153</v>
      </c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9" t="s">
        <v>169</v>
      </c>
      <c r="W22" s="49"/>
      <c r="X22" s="47"/>
      <c r="Y22" s="47"/>
      <c r="Z22" s="47"/>
      <c r="AA22" s="47"/>
      <c r="AB22" s="48"/>
      <c r="AC22" s="43" t="s">
        <v>153</v>
      </c>
      <c r="AD22" s="43" t="s">
        <v>153</v>
      </c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9" t="s">
        <v>169</v>
      </c>
      <c r="AR22" s="49"/>
      <c r="AS22" s="47"/>
      <c r="AT22" s="47"/>
      <c r="AU22" s="47"/>
      <c r="AV22" s="47"/>
      <c r="AW22" s="48"/>
      <c r="AX22" s="43" t="s">
        <v>153</v>
      </c>
      <c r="AY22" s="43" t="s">
        <v>153</v>
      </c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</row>
    <row r="23" spans="1:63" x14ac:dyDescent="0.2">
      <c r="A23" s="49" t="s">
        <v>170</v>
      </c>
      <c r="B23" s="49"/>
      <c r="C23" s="47"/>
      <c r="D23" s="47"/>
      <c r="E23" s="47"/>
      <c r="F23" s="47"/>
      <c r="G23" s="47"/>
      <c r="H23" s="47"/>
      <c r="I23" s="47"/>
      <c r="J23" s="43" t="s">
        <v>153</v>
      </c>
      <c r="K23" s="43" t="s">
        <v>153</v>
      </c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9" t="s">
        <v>170</v>
      </c>
      <c r="W23" s="49"/>
      <c r="X23" s="47"/>
      <c r="Y23" s="47"/>
      <c r="Z23" s="47"/>
      <c r="AA23" s="47"/>
      <c r="AB23" s="47"/>
      <c r="AC23" s="47"/>
      <c r="AD23" s="47"/>
      <c r="AE23" s="43" t="s">
        <v>153</v>
      </c>
      <c r="AF23" s="43" t="s">
        <v>153</v>
      </c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9" t="s">
        <v>170</v>
      </c>
      <c r="AR23" s="49"/>
      <c r="AS23" s="47"/>
      <c r="AT23" s="47"/>
      <c r="AU23" s="47"/>
      <c r="AV23" s="47"/>
      <c r="AW23" s="47"/>
      <c r="AX23" s="47"/>
      <c r="AY23" s="47"/>
      <c r="AZ23" s="43" t="s">
        <v>153</v>
      </c>
      <c r="BA23" s="43" t="s">
        <v>153</v>
      </c>
      <c r="BB23" s="47"/>
      <c r="BC23" s="47"/>
      <c r="BD23" s="47"/>
      <c r="BE23" s="47"/>
      <c r="BF23" s="47"/>
      <c r="BG23" s="47"/>
      <c r="BH23" s="47"/>
      <c r="BI23" s="47"/>
      <c r="BJ23" s="47"/>
      <c r="BK23" s="47"/>
    </row>
    <row r="24" spans="1:63" x14ac:dyDescent="0.2">
      <c r="A24" s="49" t="s">
        <v>171</v>
      </c>
      <c r="B24" s="49"/>
      <c r="C24" s="47"/>
      <c r="D24" s="47"/>
      <c r="E24" s="47"/>
      <c r="F24" s="47"/>
      <c r="G24" s="47"/>
      <c r="H24" s="47"/>
      <c r="I24" s="47"/>
      <c r="J24" s="43" t="s">
        <v>153</v>
      </c>
      <c r="K24" s="43" t="s">
        <v>153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9" t="s">
        <v>171</v>
      </c>
      <c r="W24" s="49"/>
      <c r="X24" s="47"/>
      <c r="Y24" s="47"/>
      <c r="Z24" s="47"/>
      <c r="AA24" s="47"/>
      <c r="AB24" s="47"/>
      <c r="AC24" s="47"/>
      <c r="AD24" s="47"/>
      <c r="AE24" s="43" t="s">
        <v>153</v>
      </c>
      <c r="AF24" s="43" t="s">
        <v>153</v>
      </c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9" t="s">
        <v>171</v>
      </c>
      <c r="AR24" s="49"/>
      <c r="AS24" s="47"/>
      <c r="AT24" s="47"/>
      <c r="AU24" s="47"/>
      <c r="AV24" s="47"/>
      <c r="AW24" s="47"/>
      <c r="AX24" s="47"/>
      <c r="AY24" s="47"/>
      <c r="AZ24" s="43" t="s">
        <v>153</v>
      </c>
      <c r="BA24" s="43" t="s">
        <v>153</v>
      </c>
      <c r="BB24" s="47"/>
      <c r="BC24" s="47"/>
      <c r="BD24" s="47"/>
      <c r="BE24" s="47"/>
      <c r="BF24" s="47"/>
      <c r="BG24" s="47"/>
      <c r="BH24" s="47"/>
      <c r="BI24" s="47"/>
      <c r="BJ24" s="47"/>
      <c r="BK24" s="47"/>
    </row>
    <row r="25" spans="1:63" x14ac:dyDescent="0.2">
      <c r="A25" s="49" t="s">
        <v>172</v>
      </c>
      <c r="B25" s="49"/>
      <c r="C25" s="47"/>
      <c r="D25" s="47"/>
      <c r="E25" s="47"/>
      <c r="F25" s="47"/>
      <c r="G25" s="47"/>
      <c r="H25" s="47"/>
      <c r="I25" s="47"/>
      <c r="J25" s="43" t="s">
        <v>153</v>
      </c>
      <c r="K25" s="43" t="s">
        <v>153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9" t="s">
        <v>172</v>
      </c>
      <c r="W25" s="49"/>
      <c r="X25" s="47"/>
      <c r="Y25" s="47"/>
      <c r="Z25" s="47"/>
      <c r="AA25" s="47"/>
      <c r="AB25" s="47"/>
      <c r="AC25" s="47"/>
      <c r="AD25" s="47"/>
      <c r="AE25" s="43" t="s">
        <v>153</v>
      </c>
      <c r="AF25" s="43" t="s">
        <v>153</v>
      </c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9" t="s">
        <v>172</v>
      </c>
      <c r="AR25" s="49"/>
      <c r="AS25" s="47"/>
      <c r="AT25" s="47"/>
      <c r="AU25" s="47"/>
      <c r="AV25" s="47"/>
      <c r="AW25" s="47"/>
      <c r="AX25" s="47"/>
      <c r="AY25" s="47"/>
      <c r="AZ25" s="43" t="s">
        <v>153</v>
      </c>
      <c r="BA25" s="43" t="s">
        <v>153</v>
      </c>
      <c r="BB25" s="47"/>
      <c r="BC25" s="47"/>
      <c r="BD25" s="47"/>
      <c r="BE25" s="47"/>
      <c r="BF25" s="47"/>
      <c r="BG25" s="47"/>
      <c r="BH25" s="47"/>
      <c r="BI25" s="47"/>
      <c r="BJ25" s="47"/>
      <c r="BK25" s="47"/>
    </row>
    <row r="26" spans="1:63" x14ac:dyDescent="0.2">
      <c r="A26" s="46" t="s">
        <v>173</v>
      </c>
      <c r="B26" s="47"/>
      <c r="C26" s="47"/>
      <c r="D26" s="47"/>
      <c r="E26" s="47"/>
      <c r="F26" s="47"/>
      <c r="G26" s="47"/>
      <c r="H26" s="47"/>
      <c r="I26" s="47"/>
      <c r="J26" s="43" t="s">
        <v>153</v>
      </c>
      <c r="K26" s="43" t="s">
        <v>153</v>
      </c>
      <c r="L26" s="47"/>
      <c r="M26" s="47"/>
      <c r="N26" s="48"/>
      <c r="O26" s="48"/>
      <c r="P26" s="47"/>
      <c r="Q26" s="47"/>
      <c r="R26" s="47"/>
      <c r="S26" s="47"/>
      <c r="T26" s="47"/>
      <c r="U26" s="47"/>
      <c r="V26" s="46" t="s">
        <v>173</v>
      </c>
      <c r="W26" s="47"/>
      <c r="X26" s="47"/>
      <c r="Y26" s="47"/>
      <c r="Z26" s="47"/>
      <c r="AA26" s="47"/>
      <c r="AB26" s="47"/>
      <c r="AC26" s="47"/>
      <c r="AD26" s="47"/>
      <c r="AE26" s="43" t="s">
        <v>153</v>
      </c>
      <c r="AF26" s="43" t="s">
        <v>153</v>
      </c>
      <c r="AG26" s="47"/>
      <c r="AH26" s="47"/>
      <c r="AI26" s="48"/>
      <c r="AJ26" s="48"/>
      <c r="AK26" s="47"/>
      <c r="AL26" s="47"/>
      <c r="AM26" s="47"/>
      <c r="AN26" s="47"/>
      <c r="AO26" s="47"/>
      <c r="AP26" s="47"/>
      <c r="AQ26" s="46" t="s">
        <v>173</v>
      </c>
      <c r="AR26" s="47"/>
      <c r="AS26" s="47"/>
      <c r="AT26" s="47"/>
      <c r="AU26" s="47"/>
      <c r="AV26" s="47"/>
      <c r="AW26" s="47"/>
      <c r="AX26" s="47"/>
      <c r="AY26" s="47"/>
      <c r="AZ26" s="43" t="s">
        <v>153</v>
      </c>
      <c r="BA26" s="43" t="s">
        <v>153</v>
      </c>
      <c r="BB26" s="47"/>
      <c r="BC26" s="47"/>
      <c r="BD26" s="48"/>
      <c r="BE26" s="48"/>
      <c r="BF26" s="47"/>
      <c r="BG26" s="47"/>
      <c r="BH26" s="47"/>
      <c r="BI26" s="47"/>
      <c r="BJ26" s="47"/>
      <c r="BK26" s="47"/>
    </row>
    <row r="27" spans="1:63" x14ac:dyDescent="0.2">
      <c r="A27" s="46" t="s">
        <v>174</v>
      </c>
      <c r="B27" s="47"/>
      <c r="C27" s="47"/>
      <c r="D27" s="47"/>
      <c r="E27" s="47"/>
      <c r="F27" s="47"/>
      <c r="G27" s="47"/>
      <c r="H27" s="47"/>
      <c r="I27" s="47"/>
      <c r="J27" s="43" t="s">
        <v>153</v>
      </c>
      <c r="K27" s="43" t="s">
        <v>153</v>
      </c>
      <c r="L27" s="47"/>
      <c r="M27" s="47"/>
      <c r="N27" s="48"/>
      <c r="O27" s="48"/>
      <c r="P27" s="47"/>
      <c r="Q27" s="47"/>
      <c r="R27" s="47"/>
      <c r="S27" s="47"/>
      <c r="T27" s="47"/>
      <c r="U27" s="47"/>
      <c r="V27" s="46" t="s">
        <v>174</v>
      </c>
      <c r="W27" s="47"/>
      <c r="X27" s="47"/>
      <c r="Y27" s="47"/>
      <c r="Z27" s="47"/>
      <c r="AA27" s="47"/>
      <c r="AB27" s="47"/>
      <c r="AC27" s="47"/>
      <c r="AD27" s="47"/>
      <c r="AE27" s="43" t="s">
        <v>153</v>
      </c>
      <c r="AF27" s="43" t="s">
        <v>153</v>
      </c>
      <c r="AG27" s="47"/>
      <c r="AH27" s="47"/>
      <c r="AI27" s="48"/>
      <c r="AJ27" s="48"/>
      <c r="AK27" s="47"/>
      <c r="AL27" s="47"/>
      <c r="AM27" s="47"/>
      <c r="AN27" s="47"/>
      <c r="AO27" s="47"/>
      <c r="AP27" s="47"/>
      <c r="AQ27" s="46" t="s">
        <v>174</v>
      </c>
      <c r="AR27" s="47"/>
      <c r="AS27" s="47"/>
      <c r="AT27" s="47"/>
      <c r="AU27" s="47"/>
      <c r="AV27" s="47"/>
      <c r="AW27" s="47"/>
      <c r="AX27" s="47"/>
      <c r="AY27" s="47"/>
      <c r="AZ27" s="43" t="s">
        <v>153</v>
      </c>
      <c r="BA27" s="43" t="s">
        <v>153</v>
      </c>
      <c r="BB27" s="47"/>
      <c r="BC27" s="47"/>
      <c r="BD27" s="48"/>
      <c r="BE27" s="48"/>
      <c r="BF27" s="47"/>
      <c r="BG27" s="47"/>
      <c r="BH27" s="47"/>
      <c r="BI27" s="47"/>
      <c r="BJ27" s="47"/>
      <c r="BK27" s="47"/>
    </row>
    <row r="28" spans="1:63" x14ac:dyDescent="0.2">
      <c r="A28" s="242" t="s">
        <v>156</v>
      </c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8"/>
      <c r="V28" s="242" t="s">
        <v>156</v>
      </c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8"/>
      <c r="AQ28" s="242" t="s">
        <v>156</v>
      </c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8"/>
    </row>
    <row r="29" spans="1:63" x14ac:dyDescent="0.2">
      <c r="A29" s="49" t="s">
        <v>175</v>
      </c>
      <c r="B29" s="49"/>
      <c r="C29" s="47"/>
      <c r="D29" s="47"/>
      <c r="E29" s="47"/>
      <c r="F29" s="47"/>
      <c r="G29" s="47"/>
      <c r="H29" s="47"/>
      <c r="I29" s="47"/>
      <c r="J29" s="47"/>
      <c r="K29" s="47"/>
      <c r="L29" s="43" t="s">
        <v>153</v>
      </c>
      <c r="M29" s="43" t="s">
        <v>153</v>
      </c>
      <c r="N29" s="47"/>
      <c r="O29" s="47"/>
      <c r="P29" s="47"/>
      <c r="Q29" s="47"/>
      <c r="R29" s="47"/>
      <c r="S29" s="47"/>
      <c r="T29" s="47"/>
      <c r="U29" s="47"/>
      <c r="V29" s="49" t="s">
        <v>175</v>
      </c>
      <c r="W29" s="49"/>
      <c r="X29" s="47"/>
      <c r="Y29" s="47"/>
      <c r="Z29" s="47"/>
      <c r="AA29" s="47"/>
      <c r="AB29" s="47"/>
      <c r="AC29" s="47"/>
      <c r="AD29" s="47"/>
      <c r="AE29" s="47"/>
      <c r="AF29" s="47"/>
      <c r="AG29" s="43" t="s">
        <v>153</v>
      </c>
      <c r="AH29" s="43" t="s">
        <v>153</v>
      </c>
      <c r="AI29" s="47"/>
      <c r="AJ29" s="47"/>
      <c r="AK29" s="47"/>
      <c r="AL29" s="47"/>
      <c r="AM29" s="47"/>
      <c r="AN29" s="47"/>
      <c r="AO29" s="47"/>
      <c r="AP29" s="47"/>
      <c r="AQ29" s="49" t="s">
        <v>175</v>
      </c>
      <c r="AR29" s="49"/>
      <c r="AS29" s="47"/>
      <c r="AT29" s="47"/>
      <c r="AU29" s="47"/>
      <c r="AV29" s="47"/>
      <c r="AW29" s="47"/>
      <c r="AX29" s="47"/>
      <c r="AY29" s="47"/>
      <c r="AZ29" s="47"/>
      <c r="BA29" s="47"/>
      <c r="BB29" s="43" t="s">
        <v>153</v>
      </c>
      <c r="BC29" s="43" t="s">
        <v>153</v>
      </c>
      <c r="BD29" s="47"/>
      <c r="BE29" s="47"/>
      <c r="BF29" s="47"/>
      <c r="BG29" s="47"/>
      <c r="BH29" s="47"/>
      <c r="BI29" s="47"/>
      <c r="BJ29" s="47"/>
      <c r="BK29" s="47"/>
    </row>
    <row r="30" spans="1:63" x14ac:dyDescent="0.2">
      <c r="A30" s="49" t="s">
        <v>176</v>
      </c>
      <c r="B30" s="49"/>
      <c r="C30" s="47"/>
      <c r="D30" s="47"/>
      <c r="E30" s="47"/>
      <c r="F30" s="47"/>
      <c r="G30" s="47"/>
      <c r="H30" s="47"/>
      <c r="I30" s="47"/>
      <c r="J30" s="47"/>
      <c r="K30" s="47"/>
      <c r="L30" s="43" t="s">
        <v>153</v>
      </c>
      <c r="M30" s="43" t="s">
        <v>153</v>
      </c>
      <c r="N30" s="47"/>
      <c r="O30" s="47"/>
      <c r="P30" s="47"/>
      <c r="Q30" s="47"/>
      <c r="R30" s="47"/>
      <c r="S30" s="47"/>
      <c r="T30" s="47"/>
      <c r="U30" s="47"/>
      <c r="V30" s="49" t="s">
        <v>176</v>
      </c>
      <c r="W30" s="49"/>
      <c r="X30" s="47"/>
      <c r="Y30" s="47"/>
      <c r="Z30" s="47"/>
      <c r="AA30" s="47"/>
      <c r="AB30" s="47"/>
      <c r="AC30" s="47"/>
      <c r="AD30" s="47"/>
      <c r="AE30" s="47"/>
      <c r="AF30" s="47"/>
      <c r="AG30" s="43" t="s">
        <v>153</v>
      </c>
      <c r="AH30" s="43" t="s">
        <v>153</v>
      </c>
      <c r="AI30" s="47"/>
      <c r="AJ30" s="47"/>
      <c r="AK30" s="47"/>
      <c r="AL30" s="47"/>
      <c r="AM30" s="47"/>
      <c r="AN30" s="47"/>
      <c r="AO30" s="47"/>
      <c r="AP30" s="47"/>
      <c r="AQ30" s="49" t="s">
        <v>176</v>
      </c>
      <c r="AR30" s="49"/>
      <c r="AS30" s="47"/>
      <c r="AT30" s="47"/>
      <c r="AU30" s="47"/>
      <c r="AV30" s="47"/>
      <c r="AW30" s="47"/>
      <c r="AX30" s="47"/>
      <c r="AY30" s="47"/>
      <c r="AZ30" s="47"/>
      <c r="BA30" s="47"/>
      <c r="BB30" s="43" t="s">
        <v>153</v>
      </c>
      <c r="BC30" s="43" t="s">
        <v>153</v>
      </c>
      <c r="BD30" s="47"/>
      <c r="BE30" s="47"/>
      <c r="BF30" s="47"/>
      <c r="BG30" s="47"/>
      <c r="BH30" s="47"/>
      <c r="BI30" s="47"/>
      <c r="BJ30" s="47"/>
      <c r="BK30" s="47"/>
    </row>
    <row r="31" spans="1:63" x14ac:dyDescent="0.2">
      <c r="A31" s="49" t="s">
        <v>177</v>
      </c>
      <c r="B31" s="49"/>
      <c r="C31" s="47"/>
      <c r="D31" s="47"/>
      <c r="E31" s="47"/>
      <c r="F31" s="47"/>
      <c r="G31" s="47"/>
      <c r="H31" s="47"/>
      <c r="I31" s="47"/>
      <c r="J31" s="47"/>
      <c r="K31" s="47"/>
      <c r="L31" s="43" t="s">
        <v>153</v>
      </c>
      <c r="M31" s="43" t="s">
        <v>153</v>
      </c>
      <c r="N31" s="47"/>
      <c r="O31" s="47"/>
      <c r="P31" s="47"/>
      <c r="Q31" s="47"/>
      <c r="R31" s="47"/>
      <c r="S31" s="47"/>
      <c r="T31" s="47"/>
      <c r="U31" s="47"/>
      <c r="V31" s="49" t="s">
        <v>177</v>
      </c>
      <c r="W31" s="49"/>
      <c r="X31" s="47"/>
      <c r="Y31" s="47"/>
      <c r="Z31" s="47"/>
      <c r="AA31" s="47"/>
      <c r="AB31" s="47"/>
      <c r="AC31" s="47"/>
      <c r="AD31" s="47"/>
      <c r="AE31" s="47"/>
      <c r="AF31" s="47"/>
      <c r="AG31" s="43" t="s">
        <v>153</v>
      </c>
      <c r="AH31" s="43" t="s">
        <v>153</v>
      </c>
      <c r="AI31" s="47"/>
      <c r="AJ31" s="47"/>
      <c r="AK31" s="47"/>
      <c r="AL31" s="47"/>
      <c r="AM31" s="47"/>
      <c r="AN31" s="47"/>
      <c r="AO31" s="47"/>
      <c r="AP31" s="47"/>
      <c r="AQ31" s="49" t="s">
        <v>177</v>
      </c>
      <c r="AR31" s="49"/>
      <c r="AS31" s="47"/>
      <c r="AT31" s="47"/>
      <c r="AU31" s="47"/>
      <c r="AV31" s="47"/>
      <c r="AW31" s="47"/>
      <c r="AX31" s="47"/>
      <c r="AY31" s="47"/>
      <c r="AZ31" s="47"/>
      <c r="BA31" s="47"/>
      <c r="BB31" s="43" t="s">
        <v>153</v>
      </c>
      <c r="BC31" s="43" t="s">
        <v>153</v>
      </c>
      <c r="BD31" s="47"/>
      <c r="BE31" s="47"/>
      <c r="BF31" s="47"/>
      <c r="BG31" s="47"/>
      <c r="BH31" s="47"/>
      <c r="BI31" s="47"/>
      <c r="BJ31" s="47"/>
      <c r="BK31" s="47"/>
    </row>
    <row r="32" spans="1:63" x14ac:dyDescent="0.2">
      <c r="A32" s="49" t="s">
        <v>178</v>
      </c>
      <c r="B32" s="49"/>
      <c r="C32" s="47"/>
      <c r="D32" s="47"/>
      <c r="E32" s="47"/>
      <c r="F32" s="47"/>
      <c r="G32" s="47"/>
      <c r="H32" s="47"/>
      <c r="I32" s="47"/>
      <c r="J32" s="47"/>
      <c r="K32" s="47"/>
      <c r="L32" s="43" t="s">
        <v>153</v>
      </c>
      <c r="M32" s="43" t="s">
        <v>153</v>
      </c>
      <c r="N32" s="47"/>
      <c r="O32" s="47"/>
      <c r="P32" s="47"/>
      <c r="Q32" s="47"/>
      <c r="R32" s="47"/>
      <c r="S32" s="47"/>
      <c r="T32" s="47"/>
      <c r="U32" s="47"/>
      <c r="V32" s="49" t="s">
        <v>178</v>
      </c>
      <c r="W32" s="49"/>
      <c r="X32" s="47"/>
      <c r="Y32" s="47"/>
      <c r="Z32" s="47"/>
      <c r="AA32" s="47"/>
      <c r="AB32" s="47"/>
      <c r="AC32" s="47"/>
      <c r="AD32" s="47"/>
      <c r="AE32" s="47"/>
      <c r="AF32" s="47"/>
      <c r="AG32" s="43" t="s">
        <v>153</v>
      </c>
      <c r="AH32" s="43" t="s">
        <v>153</v>
      </c>
      <c r="AI32" s="47"/>
      <c r="AJ32" s="47"/>
      <c r="AK32" s="47"/>
      <c r="AL32" s="47"/>
      <c r="AM32" s="47"/>
      <c r="AN32" s="47"/>
      <c r="AO32" s="47"/>
      <c r="AP32" s="47"/>
      <c r="AQ32" s="49" t="s">
        <v>178</v>
      </c>
      <c r="AR32" s="49"/>
      <c r="AS32" s="47"/>
      <c r="AT32" s="47"/>
      <c r="AU32" s="47"/>
      <c r="AV32" s="47"/>
      <c r="AW32" s="47"/>
      <c r="AX32" s="47"/>
      <c r="AY32" s="47"/>
      <c r="AZ32" s="47"/>
      <c r="BA32" s="47"/>
      <c r="BB32" s="43" t="s">
        <v>153</v>
      </c>
      <c r="BC32" s="43" t="s">
        <v>153</v>
      </c>
      <c r="BD32" s="47"/>
      <c r="BE32" s="47"/>
      <c r="BF32" s="47"/>
      <c r="BG32" s="47"/>
      <c r="BH32" s="47"/>
      <c r="BI32" s="47"/>
      <c r="BJ32" s="47"/>
      <c r="BK32" s="47"/>
    </row>
    <row r="33" spans="1:63" x14ac:dyDescent="0.2">
      <c r="A33" s="49" t="s">
        <v>179</v>
      </c>
      <c r="B33" s="49"/>
      <c r="C33" s="47"/>
      <c r="D33" s="47"/>
      <c r="E33" s="47"/>
      <c r="F33" s="47"/>
      <c r="G33" s="47"/>
      <c r="H33" s="47"/>
      <c r="I33" s="47"/>
      <c r="J33" s="47"/>
      <c r="K33" s="47"/>
      <c r="L33" s="43" t="s">
        <v>153</v>
      </c>
      <c r="M33" s="43" t="s">
        <v>153</v>
      </c>
      <c r="N33" s="47"/>
      <c r="O33" s="47"/>
      <c r="P33" s="47"/>
      <c r="Q33" s="47"/>
      <c r="R33" s="47"/>
      <c r="S33" s="47"/>
      <c r="T33" s="47"/>
      <c r="U33" s="47"/>
      <c r="V33" s="49" t="s">
        <v>179</v>
      </c>
      <c r="W33" s="49"/>
      <c r="X33" s="47"/>
      <c r="Y33" s="47"/>
      <c r="Z33" s="47"/>
      <c r="AA33" s="47"/>
      <c r="AB33" s="47"/>
      <c r="AC33" s="47"/>
      <c r="AD33" s="47"/>
      <c r="AE33" s="47"/>
      <c r="AF33" s="47"/>
      <c r="AG33" s="43" t="s">
        <v>153</v>
      </c>
      <c r="AH33" s="43" t="s">
        <v>153</v>
      </c>
      <c r="AI33" s="47"/>
      <c r="AJ33" s="47"/>
      <c r="AK33" s="47"/>
      <c r="AL33" s="47"/>
      <c r="AM33" s="47"/>
      <c r="AN33" s="47"/>
      <c r="AO33" s="47"/>
      <c r="AP33" s="47"/>
      <c r="AQ33" s="49" t="s">
        <v>179</v>
      </c>
      <c r="AR33" s="49"/>
      <c r="AS33" s="47"/>
      <c r="AT33" s="47"/>
      <c r="AU33" s="47"/>
      <c r="AV33" s="47"/>
      <c r="AW33" s="47"/>
      <c r="AX33" s="47"/>
      <c r="AY33" s="47"/>
      <c r="AZ33" s="47"/>
      <c r="BA33" s="47"/>
      <c r="BB33" s="43" t="s">
        <v>153</v>
      </c>
      <c r="BC33" s="43" t="s">
        <v>153</v>
      </c>
      <c r="BD33" s="47"/>
      <c r="BE33" s="47"/>
      <c r="BF33" s="47"/>
      <c r="BG33" s="47"/>
      <c r="BH33" s="47"/>
      <c r="BI33" s="47"/>
      <c r="BJ33" s="47"/>
      <c r="BK33" s="47"/>
    </row>
    <row r="34" spans="1:63" x14ac:dyDescent="0.2">
      <c r="A34" s="49" t="s">
        <v>180</v>
      </c>
      <c r="B34" s="49"/>
      <c r="C34" s="47"/>
      <c r="D34" s="47"/>
      <c r="E34" s="47"/>
      <c r="F34" s="47"/>
      <c r="G34" s="47"/>
      <c r="H34" s="47"/>
      <c r="I34" s="47"/>
      <c r="J34" s="47"/>
      <c r="K34" s="47"/>
      <c r="L34" s="43" t="s">
        <v>153</v>
      </c>
      <c r="M34" s="43" t="s">
        <v>153</v>
      </c>
      <c r="N34" s="47"/>
      <c r="O34" s="47"/>
      <c r="P34" s="47"/>
      <c r="Q34" s="47"/>
      <c r="R34" s="47"/>
      <c r="S34" s="47"/>
      <c r="T34" s="47"/>
      <c r="U34" s="47"/>
      <c r="V34" s="49" t="s">
        <v>180</v>
      </c>
      <c r="W34" s="49"/>
      <c r="X34" s="47"/>
      <c r="Y34" s="47"/>
      <c r="Z34" s="47"/>
      <c r="AA34" s="47"/>
      <c r="AB34" s="47"/>
      <c r="AC34" s="47"/>
      <c r="AD34" s="47"/>
      <c r="AE34" s="47"/>
      <c r="AF34" s="47"/>
      <c r="AG34" s="43" t="s">
        <v>153</v>
      </c>
      <c r="AH34" s="43" t="s">
        <v>153</v>
      </c>
      <c r="AI34" s="47"/>
      <c r="AJ34" s="47"/>
      <c r="AK34" s="47"/>
      <c r="AL34" s="47"/>
      <c r="AM34" s="47"/>
      <c r="AN34" s="47"/>
      <c r="AO34" s="47"/>
      <c r="AP34" s="47"/>
      <c r="AQ34" s="49" t="s">
        <v>180</v>
      </c>
      <c r="AR34" s="49"/>
      <c r="AS34" s="47"/>
      <c r="AT34" s="47"/>
      <c r="AU34" s="47"/>
      <c r="AV34" s="47"/>
      <c r="AW34" s="47"/>
      <c r="AX34" s="47"/>
      <c r="AY34" s="47"/>
      <c r="AZ34" s="47"/>
      <c r="BA34" s="47"/>
      <c r="BB34" s="43" t="s">
        <v>153</v>
      </c>
      <c r="BC34" s="43" t="s">
        <v>153</v>
      </c>
      <c r="BD34" s="47"/>
      <c r="BE34" s="47"/>
      <c r="BF34" s="47"/>
      <c r="BG34" s="47"/>
      <c r="BH34" s="47"/>
      <c r="BI34" s="47"/>
      <c r="BJ34" s="47"/>
      <c r="BK34" s="47"/>
    </row>
    <row r="35" spans="1:63" ht="15" customHeight="1" x14ac:dyDescent="0.2">
      <c r="A35" s="49" t="s">
        <v>181</v>
      </c>
      <c r="B35" s="49"/>
      <c r="C35" s="46"/>
      <c r="D35" s="46"/>
      <c r="E35" s="47"/>
      <c r="F35" s="47"/>
      <c r="G35" s="47"/>
      <c r="H35" s="47"/>
      <c r="I35" s="47"/>
      <c r="J35" s="47"/>
      <c r="K35" s="47"/>
      <c r="L35" s="43" t="s">
        <v>153</v>
      </c>
      <c r="M35" s="43" t="s">
        <v>153</v>
      </c>
      <c r="N35" s="47"/>
      <c r="O35" s="47"/>
      <c r="P35" s="47"/>
      <c r="Q35" s="47"/>
      <c r="R35" s="47"/>
      <c r="S35" s="47"/>
      <c r="T35" s="47"/>
      <c r="U35" s="47"/>
      <c r="V35" s="49" t="s">
        <v>181</v>
      </c>
      <c r="W35" s="49"/>
      <c r="X35" s="46"/>
      <c r="Y35" s="46"/>
      <c r="Z35" s="47"/>
      <c r="AA35" s="47"/>
      <c r="AB35" s="47"/>
      <c r="AC35" s="47"/>
      <c r="AD35" s="47"/>
      <c r="AE35" s="47"/>
      <c r="AF35" s="47"/>
      <c r="AG35" s="43" t="s">
        <v>153</v>
      </c>
      <c r="AH35" s="43" t="s">
        <v>153</v>
      </c>
      <c r="AI35" s="47"/>
      <c r="AJ35" s="47"/>
      <c r="AK35" s="47"/>
      <c r="AL35" s="47"/>
      <c r="AM35" s="47"/>
      <c r="AN35" s="47"/>
      <c r="AO35" s="47"/>
      <c r="AP35" s="47"/>
      <c r="AQ35" s="49" t="s">
        <v>181</v>
      </c>
      <c r="AR35" s="49"/>
      <c r="AS35" s="46"/>
      <c r="AT35" s="46"/>
      <c r="AU35" s="47"/>
      <c r="AV35" s="47"/>
      <c r="AW35" s="47"/>
      <c r="AX35" s="47"/>
      <c r="AY35" s="47"/>
      <c r="AZ35" s="47"/>
      <c r="BA35" s="47"/>
      <c r="BB35" s="43" t="s">
        <v>153</v>
      </c>
      <c r="BC35" s="43" t="s">
        <v>153</v>
      </c>
      <c r="BD35" s="47"/>
      <c r="BE35" s="47"/>
      <c r="BF35" s="47"/>
      <c r="BG35" s="47"/>
      <c r="BH35" s="47"/>
      <c r="BI35" s="47"/>
      <c r="BJ35" s="47"/>
      <c r="BK35" s="47"/>
    </row>
    <row r="36" spans="1:63" x14ac:dyDescent="0.2">
      <c r="A36" s="242" t="s">
        <v>156</v>
      </c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8"/>
      <c r="V36" s="242" t="s">
        <v>156</v>
      </c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8"/>
      <c r="AQ36" s="242" t="s">
        <v>156</v>
      </c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  <c r="BB36" s="227"/>
      <c r="BC36" s="227"/>
      <c r="BD36" s="227"/>
      <c r="BE36" s="227"/>
      <c r="BF36" s="227"/>
      <c r="BG36" s="227"/>
      <c r="BH36" s="227"/>
      <c r="BI36" s="227"/>
      <c r="BJ36" s="227"/>
      <c r="BK36" s="228"/>
    </row>
    <row r="37" spans="1:63" x14ac:dyDescent="0.2">
      <c r="A37" s="49" t="s">
        <v>182</v>
      </c>
      <c r="B37" s="49"/>
      <c r="C37" s="46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3" t="s">
        <v>153</v>
      </c>
      <c r="O37" s="43" t="s">
        <v>153</v>
      </c>
      <c r="P37" s="47"/>
      <c r="Q37" s="47"/>
      <c r="R37" s="47"/>
      <c r="S37" s="47"/>
      <c r="T37" s="47"/>
      <c r="U37" s="47"/>
      <c r="V37" s="49" t="s">
        <v>182</v>
      </c>
      <c r="W37" s="49"/>
      <c r="X37" s="46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3" t="s">
        <v>153</v>
      </c>
      <c r="AJ37" s="43" t="s">
        <v>153</v>
      </c>
      <c r="AK37" s="47"/>
      <c r="AL37" s="47"/>
      <c r="AM37" s="47"/>
      <c r="AN37" s="47"/>
      <c r="AO37" s="47"/>
      <c r="AP37" s="47"/>
      <c r="AQ37" s="49" t="s">
        <v>182</v>
      </c>
      <c r="AR37" s="49"/>
      <c r="AS37" s="46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52" t="s">
        <v>183</v>
      </c>
      <c r="BE37" s="52" t="s">
        <v>183</v>
      </c>
      <c r="BF37" s="47"/>
      <c r="BG37" s="47"/>
      <c r="BH37" s="47"/>
      <c r="BI37" s="47"/>
      <c r="BJ37" s="47"/>
      <c r="BK37" s="47"/>
    </row>
    <row r="38" spans="1:63" x14ac:dyDescent="0.2">
      <c r="A38" s="49" t="s">
        <v>184</v>
      </c>
      <c r="B38" s="49"/>
      <c r="C38" s="46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3" t="s">
        <v>153</v>
      </c>
      <c r="O38" s="43" t="s">
        <v>153</v>
      </c>
      <c r="P38" s="47"/>
      <c r="Q38" s="47"/>
      <c r="R38" s="47"/>
      <c r="S38" s="47"/>
      <c r="T38" s="47"/>
      <c r="U38" s="47"/>
      <c r="V38" s="49" t="s">
        <v>184</v>
      </c>
      <c r="W38" s="49"/>
      <c r="X38" s="46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3" t="s">
        <v>153</v>
      </c>
      <c r="AJ38" s="43" t="s">
        <v>153</v>
      </c>
      <c r="AK38" s="47"/>
      <c r="AL38" s="47"/>
      <c r="AM38" s="47"/>
      <c r="AN38" s="47"/>
      <c r="AO38" s="47"/>
      <c r="AP38" s="47"/>
      <c r="AQ38" s="49" t="s">
        <v>184</v>
      </c>
      <c r="AR38" s="49"/>
      <c r="AS38" s="46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52" t="s">
        <v>183</v>
      </c>
      <c r="BE38" s="52" t="s">
        <v>183</v>
      </c>
      <c r="BF38" s="47"/>
      <c r="BG38" s="47"/>
      <c r="BH38" s="47"/>
      <c r="BI38" s="47"/>
      <c r="BJ38" s="47"/>
      <c r="BK38" s="47"/>
    </row>
    <row r="39" spans="1:63" x14ac:dyDescent="0.2">
      <c r="A39" s="49" t="s">
        <v>185</v>
      </c>
      <c r="B39" s="49"/>
      <c r="C39" s="46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3" t="s">
        <v>153</v>
      </c>
      <c r="O39" s="43" t="s">
        <v>153</v>
      </c>
      <c r="P39" s="47"/>
      <c r="Q39" s="47"/>
      <c r="R39" s="47"/>
      <c r="S39" s="47"/>
      <c r="T39" s="47"/>
      <c r="U39" s="47"/>
      <c r="V39" s="49" t="s">
        <v>185</v>
      </c>
      <c r="W39" s="49"/>
      <c r="X39" s="46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3" t="s">
        <v>153</v>
      </c>
      <c r="AJ39" s="43" t="s">
        <v>153</v>
      </c>
      <c r="AK39" s="47"/>
      <c r="AL39" s="47"/>
      <c r="AM39" s="47"/>
      <c r="AN39" s="47"/>
      <c r="AO39" s="47"/>
      <c r="AP39" s="47"/>
      <c r="AQ39" s="49" t="s">
        <v>185</v>
      </c>
      <c r="AR39" s="49"/>
      <c r="AS39" s="46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52" t="s">
        <v>183</v>
      </c>
      <c r="BE39" s="52" t="s">
        <v>183</v>
      </c>
      <c r="BF39" s="47"/>
      <c r="BG39" s="47"/>
      <c r="BH39" s="47"/>
      <c r="BI39" s="47"/>
      <c r="BJ39" s="47"/>
      <c r="BK39" s="47"/>
    </row>
    <row r="40" spans="1:63" x14ac:dyDescent="0.2">
      <c r="A40" s="49" t="s">
        <v>186</v>
      </c>
      <c r="B40" s="49"/>
      <c r="C40" s="46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3" t="s">
        <v>153</v>
      </c>
      <c r="O40" s="43" t="s">
        <v>153</v>
      </c>
      <c r="P40" s="47"/>
      <c r="Q40" s="47"/>
      <c r="R40" s="47"/>
      <c r="S40" s="47"/>
      <c r="T40" s="47"/>
      <c r="U40" s="47"/>
      <c r="V40" s="49" t="s">
        <v>186</v>
      </c>
      <c r="W40" s="49"/>
      <c r="X40" s="46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3" t="s">
        <v>153</v>
      </c>
      <c r="AJ40" s="43" t="s">
        <v>153</v>
      </c>
      <c r="AK40" s="47"/>
      <c r="AL40" s="47"/>
      <c r="AM40" s="47"/>
      <c r="AN40" s="47"/>
      <c r="AO40" s="47"/>
      <c r="AP40" s="47"/>
      <c r="AQ40" s="49" t="s">
        <v>186</v>
      </c>
      <c r="AR40" s="49"/>
      <c r="AS40" s="46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52" t="s">
        <v>183</v>
      </c>
      <c r="BE40" s="52" t="s">
        <v>183</v>
      </c>
      <c r="BF40" s="47"/>
      <c r="BG40" s="47"/>
      <c r="BH40" s="47"/>
      <c r="BI40" s="47"/>
      <c r="BJ40" s="47"/>
      <c r="BK40" s="47"/>
    </row>
    <row r="41" spans="1:63" x14ac:dyDescent="0.2">
      <c r="A41" s="49" t="s">
        <v>187</v>
      </c>
      <c r="B41" s="49"/>
      <c r="C41" s="46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3" t="s">
        <v>153</v>
      </c>
      <c r="O41" s="43" t="s">
        <v>153</v>
      </c>
      <c r="P41" s="47"/>
      <c r="Q41" s="47"/>
      <c r="R41" s="47"/>
      <c r="S41" s="47"/>
      <c r="T41" s="47"/>
      <c r="U41" s="47"/>
      <c r="V41" s="49" t="s">
        <v>187</v>
      </c>
      <c r="W41" s="49"/>
      <c r="X41" s="46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3" t="s">
        <v>153</v>
      </c>
      <c r="AJ41" s="43" t="s">
        <v>153</v>
      </c>
      <c r="AK41" s="47"/>
      <c r="AL41" s="47"/>
      <c r="AM41" s="47"/>
      <c r="AN41" s="47"/>
      <c r="AO41" s="47"/>
      <c r="AP41" s="47"/>
      <c r="AQ41" s="49" t="s">
        <v>187</v>
      </c>
      <c r="AR41" s="49"/>
      <c r="AS41" s="46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52" t="s">
        <v>183</v>
      </c>
      <c r="BE41" s="52" t="s">
        <v>183</v>
      </c>
      <c r="BF41" s="47"/>
      <c r="BG41" s="47"/>
      <c r="BH41" s="47"/>
      <c r="BI41" s="47"/>
      <c r="BJ41" s="47"/>
      <c r="BK41" s="47"/>
    </row>
    <row r="42" spans="1:63" x14ac:dyDescent="0.2">
      <c r="A42" s="49" t="s">
        <v>188</v>
      </c>
      <c r="B42" s="49"/>
      <c r="C42" s="46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3" t="s">
        <v>153</v>
      </c>
      <c r="O42" s="43" t="s">
        <v>153</v>
      </c>
      <c r="P42" s="47"/>
      <c r="Q42" s="47"/>
      <c r="R42" s="47"/>
      <c r="S42" s="47"/>
      <c r="T42" s="47"/>
      <c r="U42" s="47"/>
      <c r="V42" s="49" t="s">
        <v>188</v>
      </c>
      <c r="W42" s="49"/>
      <c r="X42" s="46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3" t="s">
        <v>153</v>
      </c>
      <c r="AJ42" s="43" t="s">
        <v>153</v>
      </c>
      <c r="AK42" s="47"/>
      <c r="AL42" s="47"/>
      <c r="AM42" s="47"/>
      <c r="AN42" s="47"/>
      <c r="AO42" s="47"/>
      <c r="AP42" s="47"/>
      <c r="AQ42" s="49" t="s">
        <v>188</v>
      </c>
      <c r="AR42" s="49"/>
      <c r="AS42" s="46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52" t="s">
        <v>183</v>
      </c>
      <c r="BE42" s="52" t="s">
        <v>183</v>
      </c>
      <c r="BF42" s="47"/>
      <c r="BG42" s="47"/>
      <c r="BH42" s="47"/>
      <c r="BI42" s="47"/>
      <c r="BJ42" s="47"/>
      <c r="BK42" s="47"/>
    </row>
    <row r="43" spans="1:63" x14ac:dyDescent="0.2">
      <c r="A43" s="49" t="s">
        <v>189</v>
      </c>
      <c r="B43" s="49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3" t="s">
        <v>153</v>
      </c>
      <c r="O43" s="43" t="s">
        <v>153</v>
      </c>
      <c r="P43" s="47"/>
      <c r="Q43" s="47"/>
      <c r="R43" s="47"/>
      <c r="S43" s="47"/>
      <c r="T43" s="47"/>
      <c r="U43" s="47"/>
      <c r="V43" s="49" t="s">
        <v>189</v>
      </c>
      <c r="W43" s="49"/>
      <c r="X43" s="46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3" t="s">
        <v>153</v>
      </c>
      <c r="AJ43" s="43" t="s">
        <v>153</v>
      </c>
      <c r="AK43" s="47"/>
      <c r="AL43" s="47"/>
      <c r="AM43" s="47"/>
      <c r="AN43" s="47"/>
      <c r="AO43" s="47"/>
      <c r="AP43" s="47"/>
      <c r="AQ43" s="49" t="s">
        <v>189</v>
      </c>
      <c r="AR43" s="49"/>
      <c r="AS43" s="46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52" t="s">
        <v>183</v>
      </c>
      <c r="BE43" s="52" t="s">
        <v>183</v>
      </c>
      <c r="BF43" s="47"/>
      <c r="BG43" s="47"/>
      <c r="BH43" s="47"/>
      <c r="BI43" s="47"/>
      <c r="BJ43" s="47"/>
      <c r="BK43" s="47"/>
    </row>
    <row r="44" spans="1:63" x14ac:dyDescent="0.2">
      <c r="A44" s="242" t="s">
        <v>190</v>
      </c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8"/>
      <c r="V44" s="242" t="s">
        <v>190</v>
      </c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8"/>
      <c r="AQ44" s="242" t="s">
        <v>190</v>
      </c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  <c r="BC44" s="227"/>
      <c r="BD44" s="227"/>
      <c r="BE44" s="227"/>
      <c r="BF44" s="227"/>
      <c r="BG44" s="227"/>
      <c r="BH44" s="227"/>
      <c r="BI44" s="227"/>
      <c r="BJ44" s="227"/>
      <c r="BK44" s="228"/>
    </row>
    <row r="45" spans="1:63" x14ac:dyDescent="0.2">
      <c r="A45" s="46" t="s">
        <v>191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3" t="s">
        <v>153</v>
      </c>
      <c r="Q45" s="43" t="s">
        <v>153</v>
      </c>
      <c r="R45" s="43" t="s">
        <v>153</v>
      </c>
      <c r="S45" s="47"/>
      <c r="T45" s="47"/>
      <c r="U45" s="47"/>
      <c r="V45" s="46" t="s">
        <v>191</v>
      </c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3" t="s">
        <v>153</v>
      </c>
      <c r="AL45" s="43" t="s">
        <v>153</v>
      </c>
      <c r="AM45" s="43" t="s">
        <v>153</v>
      </c>
      <c r="AN45" s="47"/>
      <c r="AO45" s="47"/>
      <c r="AP45" s="47"/>
      <c r="AQ45" s="46" t="s">
        <v>191</v>
      </c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52" t="s">
        <v>183</v>
      </c>
      <c r="BG45" s="52" t="s">
        <v>183</v>
      </c>
      <c r="BH45" s="52" t="s">
        <v>183</v>
      </c>
      <c r="BI45" s="47"/>
      <c r="BJ45" s="47"/>
      <c r="BK45" s="47"/>
    </row>
    <row r="46" spans="1:63" x14ac:dyDescent="0.2">
      <c r="A46" s="242" t="s">
        <v>156</v>
      </c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8"/>
      <c r="V46" s="242" t="s">
        <v>156</v>
      </c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  <c r="AM46" s="227"/>
      <c r="AN46" s="227"/>
      <c r="AO46" s="227"/>
      <c r="AP46" s="228"/>
      <c r="AQ46" s="242" t="s">
        <v>156</v>
      </c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27"/>
      <c r="BC46" s="227"/>
      <c r="BD46" s="227"/>
      <c r="BE46" s="227"/>
      <c r="BF46" s="227"/>
      <c r="BG46" s="227"/>
      <c r="BH46" s="227"/>
      <c r="BI46" s="227"/>
      <c r="BJ46" s="227"/>
      <c r="BK46" s="228"/>
    </row>
    <row r="47" spans="1:63" x14ac:dyDescent="0.2">
      <c r="A47" s="46" t="s">
        <v>192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3" t="s">
        <v>153</v>
      </c>
      <c r="T47" s="43" t="s">
        <v>153</v>
      </c>
      <c r="U47" s="47"/>
      <c r="V47" s="46" t="s">
        <v>192</v>
      </c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3" t="s">
        <v>153</v>
      </c>
      <c r="AO47" s="43" t="s">
        <v>153</v>
      </c>
      <c r="AP47" s="47"/>
      <c r="AQ47" s="46" t="s">
        <v>192</v>
      </c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52" t="s">
        <v>183</v>
      </c>
      <c r="BJ47" s="52" t="s">
        <v>183</v>
      </c>
      <c r="BK47" s="47"/>
    </row>
    <row r="48" spans="1:63" x14ac:dyDescent="0.2">
      <c r="A48" s="46" t="s">
        <v>193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3" t="s">
        <v>153</v>
      </c>
      <c r="T48" s="43" t="s">
        <v>153</v>
      </c>
      <c r="U48" s="47"/>
      <c r="V48" s="46" t="s">
        <v>193</v>
      </c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3" t="s">
        <v>153</v>
      </c>
      <c r="AO48" s="43" t="s">
        <v>153</v>
      </c>
      <c r="AP48" s="47"/>
      <c r="AQ48" s="46" t="s">
        <v>193</v>
      </c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52" t="s">
        <v>183</v>
      </c>
      <c r="BJ48" s="52" t="s">
        <v>183</v>
      </c>
      <c r="BK48" s="47"/>
    </row>
    <row r="49" spans="1:63" x14ac:dyDescent="0.2">
      <c r="A49" s="46" t="s">
        <v>194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3" t="s">
        <v>153</v>
      </c>
      <c r="T49" s="43" t="s">
        <v>153</v>
      </c>
      <c r="U49" s="47"/>
      <c r="V49" s="46" t="s">
        <v>194</v>
      </c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3" t="s">
        <v>153</v>
      </c>
      <c r="AO49" s="43" t="s">
        <v>153</v>
      </c>
      <c r="AP49" s="47"/>
      <c r="AQ49" s="46" t="s">
        <v>194</v>
      </c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52" t="s">
        <v>183</v>
      </c>
      <c r="BJ49" s="52" t="s">
        <v>183</v>
      </c>
      <c r="BK49" s="47"/>
    </row>
    <row r="50" spans="1:63" x14ac:dyDescent="0.2">
      <c r="A50" s="46" t="s">
        <v>195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3" t="s">
        <v>153</v>
      </c>
      <c r="T50" s="43" t="s">
        <v>153</v>
      </c>
      <c r="U50" s="47"/>
      <c r="V50" s="46" t="s">
        <v>195</v>
      </c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3" t="s">
        <v>153</v>
      </c>
      <c r="AO50" s="43" t="s">
        <v>153</v>
      </c>
      <c r="AP50" s="47"/>
      <c r="AQ50" s="46" t="s">
        <v>195</v>
      </c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52" t="s">
        <v>183</v>
      </c>
      <c r="BJ50" s="52" t="s">
        <v>183</v>
      </c>
      <c r="BK50" s="47"/>
    </row>
    <row r="51" spans="1:63" x14ac:dyDescent="0.2">
      <c r="A51" s="46" t="s">
        <v>196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3" t="s">
        <v>153</v>
      </c>
      <c r="T51" s="43" t="s">
        <v>153</v>
      </c>
      <c r="U51" s="47"/>
      <c r="V51" s="46" t="s">
        <v>196</v>
      </c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3" t="s">
        <v>153</v>
      </c>
      <c r="AO51" s="43" t="s">
        <v>153</v>
      </c>
      <c r="AP51" s="47"/>
      <c r="AQ51" s="46" t="s">
        <v>196</v>
      </c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52" t="s">
        <v>183</v>
      </c>
      <c r="BJ51" s="52" t="s">
        <v>183</v>
      </c>
      <c r="BK51" s="47"/>
    </row>
    <row r="52" spans="1:63" x14ac:dyDescent="0.2">
      <c r="A52" s="50" t="s">
        <v>197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3" t="s">
        <v>153</v>
      </c>
      <c r="T52" s="43" t="s">
        <v>153</v>
      </c>
      <c r="U52" s="47"/>
      <c r="V52" s="50" t="s">
        <v>197</v>
      </c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3" t="s">
        <v>153</v>
      </c>
      <c r="AO52" s="43" t="s">
        <v>153</v>
      </c>
      <c r="AP52" s="47"/>
      <c r="AQ52" s="50" t="s">
        <v>197</v>
      </c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52" t="s">
        <v>183</v>
      </c>
      <c r="BJ52" s="52" t="s">
        <v>183</v>
      </c>
      <c r="BK52" s="47"/>
    </row>
    <row r="53" spans="1:63" x14ac:dyDescent="0.2">
      <c r="A53" s="50" t="s">
        <v>198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3" t="s">
        <v>153</v>
      </c>
      <c r="T53" s="43" t="s">
        <v>153</v>
      </c>
      <c r="U53" s="47"/>
      <c r="V53" s="50" t="s">
        <v>198</v>
      </c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3" t="s">
        <v>153</v>
      </c>
      <c r="AO53" s="43" t="s">
        <v>153</v>
      </c>
      <c r="AP53" s="47"/>
      <c r="AQ53" s="50" t="s">
        <v>198</v>
      </c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52" t="s">
        <v>183</v>
      </c>
      <c r="BJ53" s="52" t="s">
        <v>183</v>
      </c>
      <c r="BK53" s="47"/>
    </row>
    <row r="54" spans="1:63" x14ac:dyDescent="0.2">
      <c r="A54" s="50" t="s">
        <v>199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3" t="s">
        <v>153</v>
      </c>
      <c r="T54" s="43" t="s">
        <v>153</v>
      </c>
      <c r="U54" s="47"/>
      <c r="V54" s="50" t="s">
        <v>199</v>
      </c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3" t="s">
        <v>153</v>
      </c>
      <c r="AO54" s="43" t="s">
        <v>153</v>
      </c>
      <c r="AP54" s="47"/>
      <c r="AQ54" s="50" t="s">
        <v>199</v>
      </c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52" t="s">
        <v>183</v>
      </c>
      <c r="BJ54" s="52" t="s">
        <v>183</v>
      </c>
      <c r="BK54" s="47"/>
    </row>
    <row r="55" spans="1:63" x14ac:dyDescent="0.2">
      <c r="A55" s="242" t="s">
        <v>200</v>
      </c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8"/>
      <c r="V55" s="242" t="s">
        <v>200</v>
      </c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  <c r="AM55" s="227"/>
      <c r="AN55" s="227"/>
      <c r="AO55" s="227"/>
      <c r="AP55" s="228"/>
      <c r="AQ55" s="242" t="s">
        <v>200</v>
      </c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  <c r="BH55" s="227"/>
      <c r="BI55" s="227"/>
      <c r="BJ55" s="227"/>
      <c r="BK55" s="228"/>
    </row>
    <row r="56" spans="1:63" x14ac:dyDescent="0.2">
      <c r="A56" s="46" t="s">
        <v>24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3" t="s">
        <v>153</v>
      </c>
      <c r="T56" s="43" t="s">
        <v>153</v>
      </c>
      <c r="U56" s="43" t="s">
        <v>153</v>
      </c>
      <c r="V56" s="46" t="s">
        <v>24</v>
      </c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3" t="s">
        <v>153</v>
      </c>
      <c r="AO56" s="43" t="s">
        <v>153</v>
      </c>
      <c r="AP56" s="43" t="s">
        <v>153</v>
      </c>
      <c r="AQ56" s="46" t="s">
        <v>24</v>
      </c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52" t="s">
        <v>183</v>
      </c>
      <c r="BJ56" s="52" t="s">
        <v>183</v>
      </c>
      <c r="BK56" s="52" t="s">
        <v>183</v>
      </c>
    </row>
    <row r="57" spans="1:63" x14ac:dyDescent="0.2">
      <c r="A57" s="242" t="s">
        <v>156</v>
      </c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8"/>
      <c r="V57" s="242" t="s">
        <v>156</v>
      </c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8"/>
      <c r="AQ57" s="242" t="s">
        <v>156</v>
      </c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  <c r="BH57" s="227"/>
      <c r="BI57" s="227"/>
      <c r="BJ57" s="227"/>
      <c r="BK57" s="228"/>
    </row>
    <row r="58" spans="1:63" x14ac:dyDescent="0.2">
      <c r="A58" s="239" t="s">
        <v>201</v>
      </c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1"/>
      <c r="V58" s="239" t="s">
        <v>202</v>
      </c>
      <c r="W58" s="240"/>
      <c r="X58" s="240"/>
      <c r="Y58" s="240"/>
      <c r="Z58" s="240"/>
      <c r="AA58" s="240"/>
      <c r="AB58" s="240"/>
      <c r="AC58" s="240"/>
      <c r="AD58" s="240"/>
      <c r="AE58" s="240"/>
      <c r="AF58" s="240"/>
      <c r="AG58" s="240"/>
      <c r="AH58" s="240"/>
      <c r="AI58" s="240"/>
      <c r="AJ58" s="240"/>
      <c r="AK58" s="240"/>
      <c r="AL58" s="240"/>
      <c r="AM58" s="240"/>
      <c r="AN58" s="240"/>
      <c r="AO58" s="240"/>
      <c r="AP58" s="241"/>
      <c r="AQ58" s="239" t="s">
        <v>203</v>
      </c>
      <c r="AR58" s="240"/>
      <c r="AS58" s="240"/>
      <c r="AT58" s="240"/>
      <c r="AU58" s="240"/>
      <c r="AV58" s="240"/>
      <c r="AW58" s="240"/>
      <c r="AX58" s="240"/>
      <c r="AY58" s="240"/>
      <c r="AZ58" s="240"/>
      <c r="BA58" s="240"/>
      <c r="BB58" s="240"/>
      <c r="BC58" s="240"/>
      <c r="BD58" s="240"/>
      <c r="BE58" s="240"/>
      <c r="BF58" s="240"/>
      <c r="BG58" s="240"/>
      <c r="BH58" s="240"/>
      <c r="BI58" s="240"/>
      <c r="BJ58" s="240"/>
      <c r="BK58" s="241"/>
    </row>
    <row r="59" spans="1:63" x14ac:dyDescent="0.2">
      <c r="A59" s="245" t="s">
        <v>142</v>
      </c>
      <c r="B59" s="243" t="s">
        <v>143</v>
      </c>
      <c r="C59" s="238"/>
      <c r="D59" s="238"/>
      <c r="E59" s="238"/>
      <c r="F59" s="244"/>
      <c r="G59" s="243" t="s">
        <v>144</v>
      </c>
      <c r="H59" s="238"/>
      <c r="I59" s="238"/>
      <c r="J59" s="238"/>
      <c r="K59" s="244"/>
      <c r="L59" s="243" t="s">
        <v>145</v>
      </c>
      <c r="M59" s="238"/>
      <c r="N59" s="238"/>
      <c r="O59" s="238"/>
      <c r="P59" s="244"/>
      <c r="Q59" s="243" t="s">
        <v>146</v>
      </c>
      <c r="R59" s="238"/>
      <c r="S59" s="238"/>
      <c r="T59" s="238"/>
      <c r="U59" s="244"/>
      <c r="V59" s="245" t="s">
        <v>142</v>
      </c>
      <c r="W59" s="243" t="s">
        <v>143</v>
      </c>
      <c r="X59" s="238"/>
      <c r="Y59" s="238"/>
      <c r="Z59" s="238"/>
      <c r="AA59" s="244"/>
      <c r="AB59" s="243" t="s">
        <v>144</v>
      </c>
      <c r="AC59" s="238"/>
      <c r="AD59" s="238"/>
      <c r="AE59" s="238"/>
      <c r="AF59" s="244"/>
      <c r="AG59" s="243" t="s">
        <v>145</v>
      </c>
      <c r="AH59" s="238"/>
      <c r="AI59" s="238"/>
      <c r="AJ59" s="238"/>
      <c r="AK59" s="244"/>
      <c r="AL59" s="243" t="s">
        <v>146</v>
      </c>
      <c r="AM59" s="238"/>
      <c r="AN59" s="238"/>
      <c r="AO59" s="238"/>
      <c r="AP59" s="244"/>
      <c r="AQ59" s="245" t="s">
        <v>142</v>
      </c>
      <c r="AR59" s="243" t="s">
        <v>143</v>
      </c>
      <c r="AS59" s="238"/>
      <c r="AT59" s="238"/>
      <c r="AU59" s="238"/>
      <c r="AV59" s="244"/>
      <c r="AW59" s="243" t="s">
        <v>144</v>
      </c>
      <c r="AX59" s="238"/>
      <c r="AY59" s="238"/>
      <c r="AZ59" s="238"/>
      <c r="BA59" s="244"/>
      <c r="BB59" s="243" t="s">
        <v>145</v>
      </c>
      <c r="BC59" s="238"/>
      <c r="BD59" s="238"/>
      <c r="BE59" s="238"/>
      <c r="BF59" s="244"/>
      <c r="BG59" s="243" t="s">
        <v>146</v>
      </c>
      <c r="BH59" s="238"/>
      <c r="BI59" s="238"/>
      <c r="BJ59" s="238"/>
      <c r="BK59" s="244"/>
    </row>
    <row r="60" spans="1:63" x14ac:dyDescent="0.2">
      <c r="A60" s="246"/>
      <c r="B60" s="41" t="s">
        <v>147</v>
      </c>
      <c r="C60" s="41" t="s">
        <v>148</v>
      </c>
      <c r="D60" s="41" t="s">
        <v>149</v>
      </c>
      <c r="E60" s="41" t="s">
        <v>150</v>
      </c>
      <c r="F60" s="41" t="s">
        <v>151</v>
      </c>
      <c r="G60" s="41" t="s">
        <v>147</v>
      </c>
      <c r="H60" s="41" t="s">
        <v>148</v>
      </c>
      <c r="I60" s="41" t="s">
        <v>149</v>
      </c>
      <c r="J60" s="41" t="s">
        <v>150</v>
      </c>
      <c r="K60" s="41" t="s">
        <v>151</v>
      </c>
      <c r="L60" s="41" t="s">
        <v>147</v>
      </c>
      <c r="M60" s="41" t="s">
        <v>148</v>
      </c>
      <c r="N60" s="41" t="s">
        <v>149</v>
      </c>
      <c r="O60" s="41" t="s">
        <v>150</v>
      </c>
      <c r="P60" s="41" t="s">
        <v>151</v>
      </c>
      <c r="Q60" s="41" t="s">
        <v>147</v>
      </c>
      <c r="R60" s="41" t="s">
        <v>148</v>
      </c>
      <c r="S60" s="41" t="s">
        <v>149</v>
      </c>
      <c r="T60" s="41" t="s">
        <v>150</v>
      </c>
      <c r="U60" s="53" t="s">
        <v>151</v>
      </c>
      <c r="V60" s="246"/>
      <c r="W60" s="41" t="s">
        <v>147</v>
      </c>
      <c r="X60" s="41" t="s">
        <v>148</v>
      </c>
      <c r="Y60" s="41" t="s">
        <v>149</v>
      </c>
      <c r="Z60" s="41" t="s">
        <v>150</v>
      </c>
      <c r="AA60" s="41" t="s">
        <v>151</v>
      </c>
      <c r="AB60" s="41" t="s">
        <v>147</v>
      </c>
      <c r="AC60" s="41" t="s">
        <v>148</v>
      </c>
      <c r="AD60" s="41" t="s">
        <v>149</v>
      </c>
      <c r="AE60" s="41" t="s">
        <v>150</v>
      </c>
      <c r="AF60" s="41" t="s">
        <v>151</v>
      </c>
      <c r="AG60" s="41" t="s">
        <v>147</v>
      </c>
      <c r="AH60" s="41" t="s">
        <v>148</v>
      </c>
      <c r="AI60" s="41" t="s">
        <v>149</v>
      </c>
      <c r="AJ60" s="41" t="s">
        <v>150</v>
      </c>
      <c r="AK60" s="41" t="s">
        <v>151</v>
      </c>
      <c r="AL60" s="41" t="s">
        <v>147</v>
      </c>
      <c r="AM60" s="41" t="s">
        <v>148</v>
      </c>
      <c r="AN60" s="41" t="s">
        <v>149</v>
      </c>
      <c r="AO60" s="41" t="s">
        <v>150</v>
      </c>
      <c r="AP60" s="53" t="s">
        <v>151</v>
      </c>
      <c r="AQ60" s="246"/>
      <c r="AR60" s="41" t="s">
        <v>147</v>
      </c>
      <c r="AS60" s="41" t="s">
        <v>148</v>
      </c>
      <c r="AT60" s="41" t="s">
        <v>149</v>
      </c>
      <c r="AU60" s="41" t="s">
        <v>150</v>
      </c>
      <c r="AV60" s="41" t="s">
        <v>151</v>
      </c>
      <c r="AW60" s="41" t="s">
        <v>147</v>
      </c>
      <c r="AX60" s="41" t="s">
        <v>148</v>
      </c>
      <c r="AY60" s="41" t="s">
        <v>149</v>
      </c>
      <c r="AZ60" s="41" t="s">
        <v>150</v>
      </c>
      <c r="BA60" s="41" t="s">
        <v>151</v>
      </c>
      <c r="BB60" s="41" t="s">
        <v>147</v>
      </c>
      <c r="BC60" s="41" t="s">
        <v>148</v>
      </c>
      <c r="BD60" s="41" t="s">
        <v>149</v>
      </c>
      <c r="BE60" s="41" t="s">
        <v>150</v>
      </c>
      <c r="BF60" s="41" t="s">
        <v>151</v>
      </c>
      <c r="BG60" s="41" t="s">
        <v>147</v>
      </c>
      <c r="BH60" s="41" t="s">
        <v>148</v>
      </c>
      <c r="BI60" s="41" t="s">
        <v>149</v>
      </c>
      <c r="BJ60" s="41" t="s">
        <v>150</v>
      </c>
      <c r="BK60" s="53" t="s">
        <v>151</v>
      </c>
    </row>
    <row r="61" spans="1:63" x14ac:dyDescent="0.2">
      <c r="A61" s="51" t="s">
        <v>152</v>
      </c>
      <c r="B61" s="52" t="s">
        <v>183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51" t="s">
        <v>152</v>
      </c>
      <c r="W61" s="52" t="s">
        <v>183</v>
      </c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51" t="s">
        <v>152</v>
      </c>
      <c r="AR61" s="52" t="s">
        <v>183</v>
      </c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</row>
    <row r="62" spans="1:63" x14ac:dyDescent="0.2">
      <c r="A62" s="46" t="s">
        <v>154</v>
      </c>
      <c r="B62" s="47"/>
      <c r="C62" s="52" t="s">
        <v>183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6" t="s">
        <v>154</v>
      </c>
      <c r="W62" s="47"/>
      <c r="X62" s="52" t="s">
        <v>183</v>
      </c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6" t="s">
        <v>154</v>
      </c>
      <c r="AR62" s="47"/>
      <c r="AS62" s="52" t="s">
        <v>183</v>
      </c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</row>
    <row r="63" spans="1:63" x14ac:dyDescent="0.2">
      <c r="A63" s="46" t="s">
        <v>155</v>
      </c>
      <c r="B63" s="47"/>
      <c r="C63" s="47"/>
      <c r="D63" s="52" t="s">
        <v>183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6" t="s">
        <v>155</v>
      </c>
      <c r="W63" s="47"/>
      <c r="X63" s="47"/>
      <c r="Y63" s="52" t="s">
        <v>183</v>
      </c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6" t="s">
        <v>155</v>
      </c>
      <c r="AR63" s="47"/>
      <c r="AS63" s="47"/>
      <c r="AT63" s="52" t="s">
        <v>183</v>
      </c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</row>
    <row r="64" spans="1:63" x14ac:dyDescent="0.2">
      <c r="A64" s="242" t="s">
        <v>156</v>
      </c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8"/>
      <c r="V64" s="242" t="s">
        <v>156</v>
      </c>
      <c r="W64" s="227"/>
      <c r="X64" s="22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8"/>
      <c r="AQ64" s="242" t="s">
        <v>156</v>
      </c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7"/>
      <c r="BC64" s="227"/>
      <c r="BD64" s="227"/>
      <c r="BE64" s="227"/>
      <c r="BF64" s="227"/>
      <c r="BG64" s="227"/>
      <c r="BH64" s="227"/>
      <c r="BI64" s="227"/>
      <c r="BJ64" s="227"/>
      <c r="BK64" s="228"/>
    </row>
    <row r="65" spans="1:63" x14ac:dyDescent="0.2">
      <c r="A65" s="46" t="s">
        <v>157</v>
      </c>
      <c r="B65" s="47"/>
      <c r="C65" s="47"/>
      <c r="D65" s="47"/>
      <c r="E65" s="52" t="s">
        <v>183</v>
      </c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6" t="s">
        <v>157</v>
      </c>
      <c r="W65" s="47"/>
      <c r="X65" s="47"/>
      <c r="Y65" s="47"/>
      <c r="Z65" s="52" t="s">
        <v>183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6" t="s">
        <v>157</v>
      </c>
      <c r="AR65" s="47"/>
      <c r="AS65" s="47"/>
      <c r="AT65" s="47"/>
      <c r="AU65" s="52" t="s">
        <v>183</v>
      </c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</row>
    <row r="66" spans="1:63" x14ac:dyDescent="0.2">
      <c r="A66" s="242" t="s">
        <v>156</v>
      </c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8"/>
      <c r="V66" s="242" t="s">
        <v>156</v>
      </c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8"/>
      <c r="AQ66" s="242" t="s">
        <v>156</v>
      </c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7"/>
      <c r="BE66" s="227"/>
      <c r="BF66" s="227"/>
      <c r="BG66" s="227"/>
      <c r="BH66" s="227"/>
      <c r="BI66" s="227"/>
      <c r="BJ66" s="227"/>
      <c r="BK66" s="228"/>
    </row>
    <row r="67" spans="1:63" x14ac:dyDescent="0.2">
      <c r="A67" s="46" t="s">
        <v>158</v>
      </c>
      <c r="B67" s="47"/>
      <c r="C67" s="47"/>
      <c r="D67" s="47"/>
      <c r="E67" s="47"/>
      <c r="F67" s="52" t="s">
        <v>183</v>
      </c>
      <c r="G67" s="52" t="s">
        <v>183</v>
      </c>
      <c r="H67" s="48"/>
      <c r="I67" s="48"/>
      <c r="J67" s="48"/>
      <c r="K67" s="48"/>
      <c r="L67" s="48"/>
      <c r="M67" s="48"/>
      <c r="N67" s="47"/>
      <c r="O67" s="47"/>
      <c r="P67" s="47"/>
      <c r="Q67" s="47"/>
      <c r="R67" s="47"/>
      <c r="S67" s="47"/>
      <c r="T67" s="47"/>
      <c r="U67" s="47"/>
      <c r="V67" s="46" t="s">
        <v>158</v>
      </c>
      <c r="W67" s="47"/>
      <c r="X67" s="47"/>
      <c r="Y67" s="47"/>
      <c r="Z67" s="47"/>
      <c r="AA67" s="52" t="s">
        <v>183</v>
      </c>
      <c r="AB67" s="52" t="s">
        <v>183</v>
      </c>
      <c r="AC67" s="48"/>
      <c r="AD67" s="48"/>
      <c r="AE67" s="48"/>
      <c r="AF67" s="48"/>
      <c r="AG67" s="48"/>
      <c r="AH67" s="48"/>
      <c r="AI67" s="47"/>
      <c r="AJ67" s="47"/>
      <c r="AK67" s="47"/>
      <c r="AL67" s="47"/>
      <c r="AM67" s="47"/>
      <c r="AN67" s="47"/>
      <c r="AO67" s="47"/>
      <c r="AP67" s="47"/>
      <c r="AQ67" s="46" t="s">
        <v>158</v>
      </c>
      <c r="AR67" s="47"/>
      <c r="AS67" s="47"/>
      <c r="AT67" s="47"/>
      <c r="AU67" s="47"/>
      <c r="AV67" s="52" t="s">
        <v>183</v>
      </c>
      <c r="AW67" s="52" t="s">
        <v>183</v>
      </c>
      <c r="AX67" s="48"/>
      <c r="AY67" s="48"/>
      <c r="AZ67" s="48"/>
      <c r="BA67" s="48"/>
      <c r="BB67" s="48"/>
      <c r="BC67" s="48"/>
      <c r="BD67" s="47"/>
      <c r="BE67" s="47"/>
      <c r="BF67" s="47"/>
      <c r="BG67" s="47"/>
      <c r="BH67" s="47"/>
      <c r="BI67" s="47"/>
      <c r="BJ67" s="47"/>
      <c r="BK67" s="47"/>
    </row>
    <row r="68" spans="1:63" x14ac:dyDescent="0.2">
      <c r="A68" s="46" t="s">
        <v>159</v>
      </c>
      <c r="B68" s="47"/>
      <c r="C68" s="47"/>
      <c r="D68" s="47"/>
      <c r="E68" s="47"/>
      <c r="F68" s="52" t="s">
        <v>183</v>
      </c>
      <c r="G68" s="52" t="s">
        <v>183</v>
      </c>
      <c r="H68" s="48"/>
      <c r="I68" s="48"/>
      <c r="J68" s="48"/>
      <c r="K68" s="48"/>
      <c r="L68" s="48"/>
      <c r="M68" s="48"/>
      <c r="N68" s="47"/>
      <c r="O68" s="47"/>
      <c r="P68" s="47"/>
      <c r="Q68" s="47"/>
      <c r="R68" s="47"/>
      <c r="S68" s="47"/>
      <c r="T68" s="47"/>
      <c r="U68" s="47"/>
      <c r="V68" s="46" t="s">
        <v>159</v>
      </c>
      <c r="W68" s="47"/>
      <c r="X68" s="47"/>
      <c r="Y68" s="47"/>
      <c r="Z68" s="47"/>
      <c r="AA68" s="52" t="s">
        <v>183</v>
      </c>
      <c r="AB68" s="52" t="s">
        <v>183</v>
      </c>
      <c r="AC68" s="48"/>
      <c r="AD68" s="48"/>
      <c r="AE68" s="48"/>
      <c r="AF68" s="48"/>
      <c r="AG68" s="48"/>
      <c r="AH68" s="48"/>
      <c r="AI68" s="47"/>
      <c r="AJ68" s="47"/>
      <c r="AK68" s="47"/>
      <c r="AL68" s="47"/>
      <c r="AM68" s="47"/>
      <c r="AN68" s="47"/>
      <c r="AO68" s="47"/>
      <c r="AP68" s="47"/>
      <c r="AQ68" s="46" t="s">
        <v>159</v>
      </c>
      <c r="AR68" s="47"/>
      <c r="AS68" s="47"/>
      <c r="AT68" s="47"/>
      <c r="AU68" s="47"/>
      <c r="AV68" s="52" t="s">
        <v>183</v>
      </c>
      <c r="AW68" s="52" t="s">
        <v>183</v>
      </c>
      <c r="AX68" s="48"/>
      <c r="AY68" s="48"/>
      <c r="AZ68" s="48"/>
      <c r="BA68" s="48"/>
      <c r="BB68" s="48"/>
      <c r="BC68" s="48"/>
      <c r="BD68" s="47"/>
      <c r="BE68" s="47"/>
      <c r="BF68" s="47"/>
      <c r="BG68" s="47"/>
      <c r="BH68" s="47"/>
      <c r="BI68" s="47"/>
      <c r="BJ68" s="47"/>
      <c r="BK68" s="47"/>
    </row>
    <row r="69" spans="1:63" x14ac:dyDescent="0.2">
      <c r="A69" s="46" t="s">
        <v>160</v>
      </c>
      <c r="B69" s="47"/>
      <c r="C69" s="47"/>
      <c r="D69" s="47"/>
      <c r="E69" s="47"/>
      <c r="F69" s="52" t="s">
        <v>183</v>
      </c>
      <c r="G69" s="52" t="s">
        <v>183</v>
      </c>
      <c r="H69" s="48"/>
      <c r="I69" s="48"/>
      <c r="J69" s="48"/>
      <c r="K69" s="48"/>
      <c r="L69" s="48"/>
      <c r="M69" s="48"/>
      <c r="N69" s="47"/>
      <c r="O69" s="47"/>
      <c r="P69" s="47"/>
      <c r="Q69" s="47"/>
      <c r="R69" s="47"/>
      <c r="S69" s="47"/>
      <c r="T69" s="47"/>
      <c r="U69" s="47"/>
      <c r="V69" s="46" t="s">
        <v>160</v>
      </c>
      <c r="W69" s="47"/>
      <c r="X69" s="47"/>
      <c r="Y69" s="47"/>
      <c r="Z69" s="47"/>
      <c r="AA69" s="52" t="s">
        <v>183</v>
      </c>
      <c r="AB69" s="52" t="s">
        <v>183</v>
      </c>
      <c r="AC69" s="48"/>
      <c r="AD69" s="48"/>
      <c r="AE69" s="48"/>
      <c r="AF69" s="48"/>
      <c r="AG69" s="48"/>
      <c r="AH69" s="48"/>
      <c r="AI69" s="47"/>
      <c r="AJ69" s="47"/>
      <c r="AK69" s="47"/>
      <c r="AL69" s="47"/>
      <c r="AM69" s="47"/>
      <c r="AN69" s="47"/>
      <c r="AO69" s="47"/>
      <c r="AP69" s="47"/>
      <c r="AQ69" s="46" t="s">
        <v>160</v>
      </c>
      <c r="AR69" s="47"/>
      <c r="AS69" s="47"/>
      <c r="AT69" s="47"/>
      <c r="AU69" s="47"/>
      <c r="AV69" s="52" t="s">
        <v>183</v>
      </c>
      <c r="AW69" s="52" t="s">
        <v>183</v>
      </c>
      <c r="AX69" s="48"/>
      <c r="AY69" s="48"/>
      <c r="AZ69" s="48"/>
      <c r="BA69" s="48"/>
      <c r="BB69" s="48"/>
      <c r="BC69" s="48"/>
      <c r="BD69" s="47"/>
      <c r="BE69" s="47"/>
      <c r="BF69" s="47"/>
      <c r="BG69" s="47"/>
      <c r="BH69" s="47"/>
      <c r="BI69" s="47"/>
      <c r="BJ69" s="47"/>
      <c r="BK69" s="47"/>
    </row>
    <row r="70" spans="1:63" x14ac:dyDescent="0.2">
      <c r="A70" s="46" t="s">
        <v>161</v>
      </c>
      <c r="B70" s="47"/>
      <c r="C70" s="47"/>
      <c r="D70" s="47"/>
      <c r="E70" s="47"/>
      <c r="F70" s="52" t="s">
        <v>183</v>
      </c>
      <c r="G70" s="52" t="s">
        <v>183</v>
      </c>
      <c r="H70" s="48"/>
      <c r="I70" s="48"/>
      <c r="J70" s="48"/>
      <c r="K70" s="48"/>
      <c r="L70" s="48"/>
      <c r="M70" s="48"/>
      <c r="N70" s="47"/>
      <c r="O70" s="47"/>
      <c r="P70" s="47"/>
      <c r="Q70" s="47"/>
      <c r="R70" s="47"/>
      <c r="S70" s="47"/>
      <c r="T70" s="47"/>
      <c r="U70" s="47"/>
      <c r="V70" s="46" t="s">
        <v>161</v>
      </c>
      <c r="W70" s="47"/>
      <c r="X70" s="47"/>
      <c r="Y70" s="47"/>
      <c r="Z70" s="47"/>
      <c r="AA70" s="52" t="s">
        <v>183</v>
      </c>
      <c r="AB70" s="52" t="s">
        <v>183</v>
      </c>
      <c r="AC70" s="48"/>
      <c r="AD70" s="48"/>
      <c r="AE70" s="48"/>
      <c r="AF70" s="48"/>
      <c r="AG70" s="48"/>
      <c r="AH70" s="48"/>
      <c r="AI70" s="47"/>
      <c r="AJ70" s="47"/>
      <c r="AK70" s="47"/>
      <c r="AL70" s="47"/>
      <c r="AM70" s="47"/>
      <c r="AN70" s="47"/>
      <c r="AO70" s="47"/>
      <c r="AP70" s="47"/>
      <c r="AQ70" s="46" t="s">
        <v>161</v>
      </c>
      <c r="AR70" s="47"/>
      <c r="AS70" s="47"/>
      <c r="AT70" s="47"/>
      <c r="AU70" s="47"/>
      <c r="AV70" s="52" t="s">
        <v>183</v>
      </c>
      <c r="AW70" s="52" t="s">
        <v>183</v>
      </c>
      <c r="AX70" s="48"/>
      <c r="AY70" s="48"/>
      <c r="AZ70" s="48"/>
      <c r="BA70" s="48"/>
      <c r="BB70" s="48"/>
      <c r="BC70" s="48"/>
      <c r="BD70" s="47"/>
      <c r="BE70" s="47"/>
      <c r="BF70" s="47"/>
      <c r="BG70" s="47"/>
      <c r="BH70" s="47"/>
      <c r="BI70" s="47"/>
      <c r="BJ70" s="47"/>
      <c r="BK70" s="47"/>
    </row>
    <row r="71" spans="1:63" x14ac:dyDescent="0.2">
      <c r="A71" s="46" t="s">
        <v>162</v>
      </c>
      <c r="B71" s="47"/>
      <c r="C71" s="47"/>
      <c r="D71" s="47"/>
      <c r="E71" s="47"/>
      <c r="F71" s="52" t="s">
        <v>183</v>
      </c>
      <c r="G71" s="52" t="s">
        <v>183</v>
      </c>
      <c r="H71" s="48"/>
      <c r="I71" s="48"/>
      <c r="J71" s="48"/>
      <c r="K71" s="48"/>
      <c r="L71" s="48"/>
      <c r="M71" s="48"/>
      <c r="N71" s="47"/>
      <c r="O71" s="47"/>
      <c r="P71" s="47"/>
      <c r="Q71" s="47"/>
      <c r="R71" s="47"/>
      <c r="S71" s="47"/>
      <c r="T71" s="47"/>
      <c r="U71" s="47"/>
      <c r="V71" s="46" t="s">
        <v>162</v>
      </c>
      <c r="W71" s="47"/>
      <c r="X71" s="47"/>
      <c r="Y71" s="47"/>
      <c r="Z71" s="47"/>
      <c r="AA71" s="52" t="s">
        <v>183</v>
      </c>
      <c r="AB71" s="52" t="s">
        <v>183</v>
      </c>
      <c r="AC71" s="48"/>
      <c r="AD71" s="48"/>
      <c r="AE71" s="48"/>
      <c r="AF71" s="48"/>
      <c r="AG71" s="48"/>
      <c r="AH71" s="48"/>
      <c r="AI71" s="47"/>
      <c r="AJ71" s="47"/>
      <c r="AK71" s="47"/>
      <c r="AL71" s="47"/>
      <c r="AM71" s="47"/>
      <c r="AN71" s="47"/>
      <c r="AO71" s="47"/>
      <c r="AP71" s="47"/>
      <c r="AQ71" s="46" t="s">
        <v>162</v>
      </c>
      <c r="AR71" s="47"/>
      <c r="AS71" s="47"/>
      <c r="AT71" s="47"/>
      <c r="AU71" s="47"/>
      <c r="AV71" s="52" t="s">
        <v>183</v>
      </c>
      <c r="AW71" s="52" t="s">
        <v>183</v>
      </c>
      <c r="AX71" s="48"/>
      <c r="AY71" s="48"/>
      <c r="AZ71" s="48"/>
      <c r="BA71" s="48"/>
      <c r="BB71" s="48"/>
      <c r="BC71" s="48"/>
      <c r="BD71" s="47"/>
      <c r="BE71" s="47"/>
      <c r="BF71" s="47"/>
      <c r="BG71" s="47"/>
      <c r="BH71" s="47"/>
      <c r="BI71" s="47"/>
      <c r="BJ71" s="47"/>
      <c r="BK71" s="47"/>
    </row>
    <row r="72" spans="1:63" x14ac:dyDescent="0.2">
      <c r="A72" s="46" t="s">
        <v>163</v>
      </c>
      <c r="B72" s="47"/>
      <c r="C72" s="47"/>
      <c r="D72" s="47"/>
      <c r="E72" s="47"/>
      <c r="F72" s="52" t="s">
        <v>183</v>
      </c>
      <c r="G72" s="52" t="s">
        <v>183</v>
      </c>
      <c r="H72" s="48"/>
      <c r="I72" s="48"/>
      <c r="J72" s="48"/>
      <c r="K72" s="48"/>
      <c r="L72" s="48"/>
      <c r="M72" s="48"/>
      <c r="N72" s="47"/>
      <c r="O72" s="47"/>
      <c r="P72" s="47"/>
      <c r="Q72" s="47"/>
      <c r="R72" s="47"/>
      <c r="S72" s="47"/>
      <c r="T72" s="47"/>
      <c r="U72" s="47"/>
      <c r="V72" s="46" t="s">
        <v>163</v>
      </c>
      <c r="W72" s="47"/>
      <c r="X72" s="47"/>
      <c r="Y72" s="47"/>
      <c r="Z72" s="47"/>
      <c r="AA72" s="52" t="s">
        <v>183</v>
      </c>
      <c r="AB72" s="52" t="s">
        <v>183</v>
      </c>
      <c r="AC72" s="48"/>
      <c r="AD72" s="48"/>
      <c r="AE72" s="48"/>
      <c r="AF72" s="48"/>
      <c r="AG72" s="48"/>
      <c r="AH72" s="48"/>
      <c r="AI72" s="47"/>
      <c r="AJ72" s="47"/>
      <c r="AK72" s="47"/>
      <c r="AL72" s="47"/>
      <c r="AM72" s="47"/>
      <c r="AN72" s="47"/>
      <c r="AO72" s="47"/>
      <c r="AP72" s="47"/>
      <c r="AQ72" s="46" t="s">
        <v>163</v>
      </c>
      <c r="AR72" s="47"/>
      <c r="AS72" s="47"/>
      <c r="AT72" s="47"/>
      <c r="AU72" s="47"/>
      <c r="AV72" s="52" t="s">
        <v>183</v>
      </c>
      <c r="AW72" s="52" t="s">
        <v>183</v>
      </c>
      <c r="AX72" s="48"/>
      <c r="AY72" s="48"/>
      <c r="AZ72" s="48"/>
      <c r="BA72" s="48"/>
      <c r="BB72" s="48"/>
      <c r="BC72" s="48"/>
      <c r="BD72" s="47"/>
      <c r="BE72" s="47"/>
      <c r="BF72" s="47"/>
      <c r="BG72" s="47"/>
      <c r="BH72" s="47"/>
      <c r="BI72" s="47"/>
      <c r="BJ72" s="47"/>
      <c r="BK72" s="47"/>
    </row>
    <row r="73" spans="1:63" x14ac:dyDescent="0.2">
      <c r="A73" s="46" t="s">
        <v>164</v>
      </c>
      <c r="B73" s="47"/>
      <c r="C73" s="47"/>
      <c r="D73" s="47"/>
      <c r="E73" s="47"/>
      <c r="F73" s="52" t="s">
        <v>183</v>
      </c>
      <c r="G73" s="52" t="s">
        <v>183</v>
      </c>
      <c r="H73" s="48"/>
      <c r="I73" s="48"/>
      <c r="J73" s="48"/>
      <c r="K73" s="48"/>
      <c r="L73" s="48"/>
      <c r="M73" s="48"/>
      <c r="N73" s="47"/>
      <c r="O73" s="47"/>
      <c r="P73" s="47"/>
      <c r="Q73" s="47"/>
      <c r="R73" s="47"/>
      <c r="S73" s="47"/>
      <c r="T73" s="47"/>
      <c r="U73" s="47"/>
      <c r="V73" s="46" t="s">
        <v>164</v>
      </c>
      <c r="W73" s="47"/>
      <c r="X73" s="47"/>
      <c r="Y73" s="47"/>
      <c r="Z73" s="47"/>
      <c r="AA73" s="52" t="s">
        <v>183</v>
      </c>
      <c r="AB73" s="52" t="s">
        <v>183</v>
      </c>
      <c r="AC73" s="48"/>
      <c r="AD73" s="48"/>
      <c r="AE73" s="48"/>
      <c r="AF73" s="48"/>
      <c r="AG73" s="48"/>
      <c r="AH73" s="48"/>
      <c r="AI73" s="47"/>
      <c r="AJ73" s="47"/>
      <c r="AK73" s="47"/>
      <c r="AL73" s="47"/>
      <c r="AM73" s="47"/>
      <c r="AN73" s="47"/>
      <c r="AO73" s="47"/>
      <c r="AP73" s="47"/>
      <c r="AQ73" s="46" t="s">
        <v>164</v>
      </c>
      <c r="AR73" s="47"/>
      <c r="AS73" s="47"/>
      <c r="AT73" s="47"/>
      <c r="AU73" s="47"/>
      <c r="AV73" s="52" t="s">
        <v>183</v>
      </c>
      <c r="AW73" s="52" t="s">
        <v>183</v>
      </c>
      <c r="AX73" s="48"/>
      <c r="AY73" s="48"/>
      <c r="AZ73" s="48"/>
      <c r="BA73" s="48"/>
      <c r="BB73" s="48"/>
      <c r="BC73" s="48"/>
      <c r="BD73" s="47"/>
      <c r="BE73" s="47"/>
      <c r="BF73" s="47"/>
      <c r="BG73" s="47"/>
      <c r="BH73" s="47"/>
      <c r="BI73" s="47"/>
      <c r="BJ73" s="47"/>
      <c r="BK73" s="47"/>
    </row>
    <row r="74" spans="1:63" x14ac:dyDescent="0.2">
      <c r="A74" s="46" t="s">
        <v>165</v>
      </c>
      <c r="B74" s="47"/>
      <c r="C74" s="47"/>
      <c r="D74" s="47"/>
      <c r="E74" s="47"/>
      <c r="F74" s="52" t="s">
        <v>183</v>
      </c>
      <c r="G74" s="52" t="s">
        <v>183</v>
      </c>
      <c r="H74" s="48"/>
      <c r="I74" s="48"/>
      <c r="J74" s="48"/>
      <c r="K74" s="48"/>
      <c r="L74" s="48"/>
      <c r="M74" s="48"/>
      <c r="N74" s="47"/>
      <c r="O74" s="47"/>
      <c r="P74" s="47"/>
      <c r="Q74" s="47"/>
      <c r="R74" s="47"/>
      <c r="S74" s="47"/>
      <c r="T74" s="47"/>
      <c r="U74" s="47"/>
      <c r="V74" s="46" t="s">
        <v>165</v>
      </c>
      <c r="W74" s="47"/>
      <c r="X74" s="47"/>
      <c r="Y74" s="47"/>
      <c r="Z74" s="47"/>
      <c r="AA74" s="52" t="s">
        <v>183</v>
      </c>
      <c r="AB74" s="52" t="s">
        <v>183</v>
      </c>
      <c r="AC74" s="48"/>
      <c r="AD74" s="48"/>
      <c r="AE74" s="48"/>
      <c r="AF74" s="48"/>
      <c r="AG74" s="48"/>
      <c r="AH74" s="48"/>
      <c r="AI74" s="47"/>
      <c r="AJ74" s="47"/>
      <c r="AK74" s="47"/>
      <c r="AL74" s="47"/>
      <c r="AM74" s="47"/>
      <c r="AN74" s="47"/>
      <c r="AO74" s="47"/>
      <c r="AP74" s="47"/>
      <c r="AQ74" s="46" t="s">
        <v>165</v>
      </c>
      <c r="AR74" s="47"/>
      <c r="AS74" s="47"/>
      <c r="AT74" s="47"/>
      <c r="AU74" s="47"/>
      <c r="AV74" s="52" t="s">
        <v>183</v>
      </c>
      <c r="AW74" s="52" t="s">
        <v>183</v>
      </c>
      <c r="AX74" s="48"/>
      <c r="AY74" s="48"/>
      <c r="AZ74" s="48"/>
      <c r="BA74" s="48"/>
      <c r="BB74" s="48"/>
      <c r="BC74" s="48"/>
      <c r="BD74" s="47"/>
      <c r="BE74" s="47"/>
      <c r="BF74" s="47"/>
      <c r="BG74" s="47"/>
      <c r="BH74" s="47"/>
      <c r="BI74" s="47"/>
      <c r="BJ74" s="47"/>
      <c r="BK74" s="47"/>
    </row>
    <row r="75" spans="1:63" x14ac:dyDescent="0.2">
      <c r="A75" s="242" t="s">
        <v>156</v>
      </c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8"/>
      <c r="V75" s="247" t="s">
        <v>156</v>
      </c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47" t="s">
        <v>156</v>
      </c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  <c r="BH75" s="227"/>
      <c r="BI75" s="227"/>
      <c r="BJ75" s="227"/>
      <c r="BK75" s="227"/>
    </row>
    <row r="76" spans="1:63" ht="15" customHeight="1" x14ac:dyDescent="0.2">
      <c r="A76" s="49" t="s">
        <v>166</v>
      </c>
      <c r="B76" s="49"/>
      <c r="C76" s="47"/>
      <c r="D76" s="47"/>
      <c r="E76" s="47"/>
      <c r="F76" s="47"/>
      <c r="G76" s="48"/>
      <c r="H76" s="52" t="s">
        <v>183</v>
      </c>
      <c r="I76" s="52" t="s">
        <v>183</v>
      </c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9" t="s">
        <v>166</v>
      </c>
      <c r="W76" s="49"/>
      <c r="X76" s="47"/>
      <c r="Y76" s="47"/>
      <c r="Z76" s="47"/>
      <c r="AA76" s="47"/>
      <c r="AB76" s="48"/>
      <c r="AC76" s="52" t="s">
        <v>183</v>
      </c>
      <c r="AD76" s="52" t="s">
        <v>183</v>
      </c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9" t="s">
        <v>166</v>
      </c>
      <c r="AR76" s="49"/>
      <c r="AS76" s="47"/>
      <c r="AT76" s="47"/>
      <c r="AU76" s="47"/>
      <c r="AV76" s="47"/>
      <c r="AW76" s="48"/>
      <c r="AX76" s="52" t="s">
        <v>183</v>
      </c>
      <c r="AY76" s="52" t="s">
        <v>183</v>
      </c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</row>
    <row r="77" spans="1:63" x14ac:dyDescent="0.2">
      <c r="A77" s="49" t="s">
        <v>167</v>
      </c>
      <c r="B77" s="49"/>
      <c r="C77" s="47"/>
      <c r="D77" s="47"/>
      <c r="E77" s="47"/>
      <c r="F77" s="47"/>
      <c r="G77" s="48"/>
      <c r="H77" s="52" t="s">
        <v>183</v>
      </c>
      <c r="I77" s="52" t="s">
        <v>183</v>
      </c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9" t="s">
        <v>167</v>
      </c>
      <c r="W77" s="49"/>
      <c r="X77" s="47"/>
      <c r="Y77" s="47"/>
      <c r="Z77" s="47"/>
      <c r="AA77" s="47"/>
      <c r="AB77" s="48"/>
      <c r="AC77" s="52" t="s">
        <v>183</v>
      </c>
      <c r="AD77" s="52" t="s">
        <v>183</v>
      </c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9" t="s">
        <v>167</v>
      </c>
      <c r="AR77" s="49"/>
      <c r="AS77" s="47"/>
      <c r="AT77" s="47"/>
      <c r="AU77" s="47"/>
      <c r="AV77" s="47"/>
      <c r="AW77" s="48"/>
      <c r="AX77" s="52" t="s">
        <v>183</v>
      </c>
      <c r="AY77" s="52" t="s">
        <v>183</v>
      </c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</row>
    <row r="78" spans="1:63" x14ac:dyDescent="0.2">
      <c r="A78" s="49" t="s">
        <v>168</v>
      </c>
      <c r="B78" s="49"/>
      <c r="C78" s="47"/>
      <c r="D78" s="47"/>
      <c r="E78" s="47"/>
      <c r="F78" s="47"/>
      <c r="G78" s="48"/>
      <c r="H78" s="52" t="s">
        <v>183</v>
      </c>
      <c r="I78" s="52" t="s">
        <v>183</v>
      </c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9" t="s">
        <v>168</v>
      </c>
      <c r="W78" s="49"/>
      <c r="X78" s="47"/>
      <c r="Y78" s="47"/>
      <c r="Z78" s="47"/>
      <c r="AA78" s="47"/>
      <c r="AB78" s="48"/>
      <c r="AC78" s="52" t="s">
        <v>183</v>
      </c>
      <c r="AD78" s="52" t="s">
        <v>183</v>
      </c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9" t="s">
        <v>168</v>
      </c>
      <c r="AR78" s="49"/>
      <c r="AS78" s="47"/>
      <c r="AT78" s="47"/>
      <c r="AU78" s="47"/>
      <c r="AV78" s="47"/>
      <c r="AW78" s="48"/>
      <c r="AX78" s="52" t="s">
        <v>183</v>
      </c>
      <c r="AY78" s="52" t="s">
        <v>183</v>
      </c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</row>
    <row r="79" spans="1:63" x14ac:dyDescent="0.2">
      <c r="A79" s="49" t="s">
        <v>169</v>
      </c>
      <c r="B79" s="49"/>
      <c r="C79" s="47"/>
      <c r="D79" s="47"/>
      <c r="E79" s="47"/>
      <c r="F79" s="47"/>
      <c r="G79" s="48"/>
      <c r="H79" s="52" t="s">
        <v>183</v>
      </c>
      <c r="I79" s="52" t="s">
        <v>183</v>
      </c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9" t="s">
        <v>169</v>
      </c>
      <c r="W79" s="49"/>
      <c r="X79" s="47"/>
      <c r="Y79" s="47"/>
      <c r="Z79" s="47"/>
      <c r="AA79" s="47"/>
      <c r="AB79" s="48"/>
      <c r="AC79" s="52" t="s">
        <v>183</v>
      </c>
      <c r="AD79" s="52" t="s">
        <v>183</v>
      </c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9" t="s">
        <v>169</v>
      </c>
      <c r="AR79" s="49"/>
      <c r="AS79" s="47"/>
      <c r="AT79" s="47"/>
      <c r="AU79" s="47"/>
      <c r="AV79" s="47"/>
      <c r="AW79" s="48"/>
      <c r="AX79" s="52" t="s">
        <v>183</v>
      </c>
      <c r="AY79" s="52" t="s">
        <v>183</v>
      </c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</row>
    <row r="80" spans="1:63" x14ac:dyDescent="0.2">
      <c r="A80" s="49" t="s">
        <v>170</v>
      </c>
      <c r="B80" s="49"/>
      <c r="C80" s="47"/>
      <c r="D80" s="47"/>
      <c r="E80" s="47"/>
      <c r="F80" s="47"/>
      <c r="G80" s="47"/>
      <c r="H80" s="47"/>
      <c r="I80" s="47"/>
      <c r="J80" s="52" t="s">
        <v>183</v>
      </c>
      <c r="K80" s="52" t="s">
        <v>183</v>
      </c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9" t="s">
        <v>170</v>
      </c>
      <c r="W80" s="49"/>
      <c r="X80" s="47"/>
      <c r="Y80" s="47"/>
      <c r="Z80" s="47"/>
      <c r="AA80" s="47"/>
      <c r="AB80" s="47"/>
      <c r="AC80" s="47"/>
      <c r="AD80" s="47"/>
      <c r="AE80" s="52" t="s">
        <v>183</v>
      </c>
      <c r="AF80" s="52" t="s">
        <v>183</v>
      </c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9" t="s">
        <v>170</v>
      </c>
      <c r="AR80" s="49"/>
      <c r="AS80" s="47"/>
      <c r="AT80" s="47"/>
      <c r="AU80" s="47"/>
      <c r="AV80" s="47"/>
      <c r="AW80" s="47"/>
      <c r="AX80" s="47"/>
      <c r="AY80" s="47"/>
      <c r="AZ80" s="52" t="s">
        <v>183</v>
      </c>
      <c r="BA80" s="52" t="s">
        <v>183</v>
      </c>
      <c r="BB80" s="47"/>
      <c r="BC80" s="47"/>
      <c r="BD80" s="47"/>
      <c r="BE80" s="47"/>
      <c r="BF80" s="47"/>
      <c r="BG80" s="47"/>
      <c r="BH80" s="47"/>
      <c r="BI80" s="47"/>
      <c r="BJ80" s="47"/>
      <c r="BK80" s="47"/>
    </row>
    <row r="81" spans="1:63" x14ac:dyDescent="0.2">
      <c r="A81" s="49" t="s">
        <v>171</v>
      </c>
      <c r="B81" s="49"/>
      <c r="C81" s="47"/>
      <c r="D81" s="47"/>
      <c r="E81" s="47"/>
      <c r="F81" s="47"/>
      <c r="G81" s="47"/>
      <c r="H81" s="47"/>
      <c r="I81" s="47"/>
      <c r="J81" s="52" t="s">
        <v>183</v>
      </c>
      <c r="K81" s="52" t="s">
        <v>183</v>
      </c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9" t="s">
        <v>171</v>
      </c>
      <c r="W81" s="49"/>
      <c r="X81" s="47"/>
      <c r="Y81" s="47"/>
      <c r="Z81" s="47"/>
      <c r="AA81" s="47"/>
      <c r="AB81" s="47"/>
      <c r="AC81" s="47"/>
      <c r="AD81" s="47"/>
      <c r="AE81" s="52" t="s">
        <v>183</v>
      </c>
      <c r="AF81" s="52" t="s">
        <v>183</v>
      </c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9" t="s">
        <v>171</v>
      </c>
      <c r="AR81" s="49"/>
      <c r="AS81" s="47"/>
      <c r="AT81" s="47"/>
      <c r="AU81" s="47"/>
      <c r="AV81" s="47"/>
      <c r="AW81" s="47"/>
      <c r="AX81" s="47"/>
      <c r="AY81" s="47"/>
      <c r="AZ81" s="52" t="s">
        <v>183</v>
      </c>
      <c r="BA81" s="52" t="s">
        <v>183</v>
      </c>
      <c r="BB81" s="47"/>
      <c r="BC81" s="47"/>
      <c r="BD81" s="47"/>
      <c r="BE81" s="47"/>
      <c r="BF81" s="47"/>
      <c r="BG81" s="47"/>
      <c r="BH81" s="47"/>
      <c r="BI81" s="47"/>
      <c r="BJ81" s="47"/>
      <c r="BK81" s="47"/>
    </row>
    <row r="82" spans="1:63" x14ac:dyDescent="0.2">
      <c r="A82" s="49" t="s">
        <v>172</v>
      </c>
      <c r="B82" s="49"/>
      <c r="C82" s="47"/>
      <c r="D82" s="47"/>
      <c r="E82" s="47"/>
      <c r="F82" s="47"/>
      <c r="G82" s="47"/>
      <c r="H82" s="47"/>
      <c r="I82" s="47"/>
      <c r="J82" s="52" t="s">
        <v>183</v>
      </c>
      <c r="K82" s="52" t="s">
        <v>183</v>
      </c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9" t="s">
        <v>172</v>
      </c>
      <c r="W82" s="49"/>
      <c r="X82" s="47"/>
      <c r="Y82" s="47"/>
      <c r="Z82" s="47"/>
      <c r="AA82" s="47"/>
      <c r="AB82" s="47"/>
      <c r="AC82" s="47"/>
      <c r="AD82" s="47"/>
      <c r="AE82" s="52" t="s">
        <v>183</v>
      </c>
      <c r="AF82" s="52" t="s">
        <v>183</v>
      </c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9" t="s">
        <v>172</v>
      </c>
      <c r="AR82" s="49"/>
      <c r="AS82" s="47"/>
      <c r="AT82" s="47"/>
      <c r="AU82" s="47"/>
      <c r="AV82" s="47"/>
      <c r="AW82" s="47"/>
      <c r="AX82" s="47"/>
      <c r="AY82" s="47"/>
      <c r="AZ82" s="52" t="s">
        <v>183</v>
      </c>
      <c r="BA82" s="52" t="s">
        <v>183</v>
      </c>
      <c r="BB82" s="47"/>
      <c r="BC82" s="47"/>
      <c r="BD82" s="47"/>
      <c r="BE82" s="47"/>
      <c r="BF82" s="47"/>
      <c r="BG82" s="47"/>
      <c r="BH82" s="47"/>
      <c r="BI82" s="47"/>
      <c r="BJ82" s="47"/>
      <c r="BK82" s="47"/>
    </row>
    <row r="83" spans="1:63" x14ac:dyDescent="0.2">
      <c r="A83" s="46" t="s">
        <v>173</v>
      </c>
      <c r="B83" s="47"/>
      <c r="C83" s="47"/>
      <c r="D83" s="47"/>
      <c r="E83" s="47"/>
      <c r="F83" s="47"/>
      <c r="G83" s="47"/>
      <c r="H83" s="47"/>
      <c r="I83" s="47"/>
      <c r="J83" s="52" t="s">
        <v>183</v>
      </c>
      <c r="K83" s="52" t="s">
        <v>183</v>
      </c>
      <c r="L83" s="47"/>
      <c r="M83" s="47"/>
      <c r="N83" s="48"/>
      <c r="O83" s="48"/>
      <c r="P83" s="47"/>
      <c r="Q83" s="47"/>
      <c r="R83" s="47"/>
      <c r="S83" s="47"/>
      <c r="T83" s="47"/>
      <c r="U83" s="47"/>
      <c r="V83" s="46" t="s">
        <v>173</v>
      </c>
      <c r="W83" s="47"/>
      <c r="X83" s="47"/>
      <c r="Y83" s="47"/>
      <c r="Z83" s="47"/>
      <c r="AA83" s="47"/>
      <c r="AB83" s="47"/>
      <c r="AC83" s="47"/>
      <c r="AD83" s="47"/>
      <c r="AE83" s="52" t="s">
        <v>183</v>
      </c>
      <c r="AF83" s="52" t="s">
        <v>183</v>
      </c>
      <c r="AG83" s="47"/>
      <c r="AH83" s="47"/>
      <c r="AI83" s="48"/>
      <c r="AJ83" s="48"/>
      <c r="AK83" s="47"/>
      <c r="AL83" s="47"/>
      <c r="AM83" s="47"/>
      <c r="AN83" s="47"/>
      <c r="AO83" s="47"/>
      <c r="AP83" s="47"/>
      <c r="AQ83" s="46" t="s">
        <v>173</v>
      </c>
      <c r="AR83" s="47"/>
      <c r="AS83" s="47"/>
      <c r="AT83" s="47"/>
      <c r="AU83" s="47"/>
      <c r="AV83" s="47"/>
      <c r="AW83" s="47"/>
      <c r="AX83" s="47"/>
      <c r="AY83" s="47"/>
      <c r="AZ83" s="52" t="s">
        <v>183</v>
      </c>
      <c r="BA83" s="52" t="s">
        <v>183</v>
      </c>
      <c r="BB83" s="47"/>
      <c r="BC83" s="47"/>
      <c r="BD83" s="48"/>
      <c r="BE83" s="48"/>
      <c r="BF83" s="47"/>
      <c r="BG83" s="47"/>
      <c r="BH83" s="47"/>
      <c r="BI83" s="47"/>
      <c r="BJ83" s="47"/>
      <c r="BK83" s="47"/>
    </row>
    <row r="84" spans="1:63" x14ac:dyDescent="0.2">
      <c r="A84" s="46" t="s">
        <v>174</v>
      </c>
      <c r="B84" s="47"/>
      <c r="C84" s="47"/>
      <c r="D84" s="47"/>
      <c r="E84" s="47"/>
      <c r="F84" s="47"/>
      <c r="G84" s="47"/>
      <c r="H84" s="47"/>
      <c r="I84" s="47"/>
      <c r="J84" s="52" t="s">
        <v>183</v>
      </c>
      <c r="K84" s="52" t="s">
        <v>183</v>
      </c>
      <c r="L84" s="47"/>
      <c r="M84" s="47"/>
      <c r="N84" s="48"/>
      <c r="O84" s="48"/>
      <c r="P84" s="47"/>
      <c r="Q84" s="47"/>
      <c r="R84" s="47"/>
      <c r="S84" s="47"/>
      <c r="T84" s="47"/>
      <c r="U84" s="47"/>
      <c r="V84" s="46" t="s">
        <v>174</v>
      </c>
      <c r="W84" s="47"/>
      <c r="X84" s="47"/>
      <c r="Y84" s="47"/>
      <c r="Z84" s="47"/>
      <c r="AA84" s="47"/>
      <c r="AB84" s="47"/>
      <c r="AC84" s="47"/>
      <c r="AD84" s="47"/>
      <c r="AE84" s="52" t="s">
        <v>183</v>
      </c>
      <c r="AF84" s="52" t="s">
        <v>183</v>
      </c>
      <c r="AG84" s="47"/>
      <c r="AH84" s="47"/>
      <c r="AI84" s="48"/>
      <c r="AJ84" s="48"/>
      <c r="AK84" s="47"/>
      <c r="AL84" s="47"/>
      <c r="AM84" s="47"/>
      <c r="AN84" s="47"/>
      <c r="AO84" s="47"/>
      <c r="AP84" s="47"/>
      <c r="AQ84" s="46" t="s">
        <v>174</v>
      </c>
      <c r="AR84" s="47"/>
      <c r="AS84" s="47"/>
      <c r="AT84" s="47"/>
      <c r="AU84" s="47"/>
      <c r="AV84" s="47"/>
      <c r="AW84" s="47"/>
      <c r="AX84" s="47"/>
      <c r="AY84" s="47"/>
      <c r="AZ84" s="52" t="s">
        <v>183</v>
      </c>
      <c r="BA84" s="52" t="s">
        <v>183</v>
      </c>
      <c r="BB84" s="47"/>
      <c r="BC84" s="47"/>
      <c r="BD84" s="48"/>
      <c r="BE84" s="48"/>
      <c r="BF84" s="47"/>
      <c r="BG84" s="47"/>
      <c r="BH84" s="47"/>
      <c r="BI84" s="47"/>
      <c r="BJ84" s="47"/>
      <c r="BK84" s="47"/>
    </row>
    <row r="85" spans="1:63" x14ac:dyDescent="0.2">
      <c r="A85" s="242" t="s">
        <v>156</v>
      </c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8"/>
      <c r="V85" s="242" t="s">
        <v>156</v>
      </c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8"/>
      <c r="AQ85" s="242" t="s">
        <v>156</v>
      </c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7"/>
      <c r="BC85" s="227"/>
      <c r="BD85" s="227"/>
      <c r="BE85" s="227"/>
      <c r="BF85" s="227"/>
      <c r="BG85" s="227"/>
      <c r="BH85" s="227"/>
      <c r="BI85" s="227"/>
      <c r="BJ85" s="227"/>
      <c r="BK85" s="228"/>
    </row>
    <row r="86" spans="1:63" x14ac:dyDescent="0.2">
      <c r="A86" s="49" t="s">
        <v>175</v>
      </c>
      <c r="B86" s="49"/>
      <c r="C86" s="47"/>
      <c r="D86" s="47"/>
      <c r="E86" s="47"/>
      <c r="F86" s="47"/>
      <c r="G86" s="47"/>
      <c r="H86" s="47"/>
      <c r="I86" s="47"/>
      <c r="J86" s="47"/>
      <c r="K86" s="47"/>
      <c r="L86" s="52" t="s">
        <v>183</v>
      </c>
      <c r="M86" s="52" t="s">
        <v>183</v>
      </c>
      <c r="N86" s="47"/>
      <c r="O86" s="47"/>
      <c r="P86" s="47"/>
      <c r="Q86" s="47"/>
      <c r="R86" s="47"/>
      <c r="S86" s="47"/>
      <c r="T86" s="47"/>
      <c r="U86" s="47"/>
      <c r="V86" s="49" t="s">
        <v>175</v>
      </c>
      <c r="W86" s="49"/>
      <c r="X86" s="47"/>
      <c r="Y86" s="47"/>
      <c r="Z86" s="47"/>
      <c r="AA86" s="47"/>
      <c r="AB86" s="47"/>
      <c r="AC86" s="47"/>
      <c r="AD86" s="47"/>
      <c r="AE86" s="47"/>
      <c r="AF86" s="47"/>
      <c r="AG86" s="52" t="s">
        <v>183</v>
      </c>
      <c r="AH86" s="52" t="s">
        <v>183</v>
      </c>
      <c r="AI86" s="47"/>
      <c r="AJ86" s="47"/>
      <c r="AK86" s="47"/>
      <c r="AL86" s="47"/>
      <c r="AM86" s="47"/>
      <c r="AN86" s="47"/>
      <c r="AO86" s="47"/>
      <c r="AP86" s="47"/>
      <c r="AQ86" s="49" t="s">
        <v>175</v>
      </c>
      <c r="AR86" s="49"/>
      <c r="AS86" s="47"/>
      <c r="AT86" s="47"/>
      <c r="AU86" s="47"/>
      <c r="AV86" s="47"/>
      <c r="AW86" s="47"/>
      <c r="AX86" s="47"/>
      <c r="AY86" s="47"/>
      <c r="AZ86" s="47"/>
      <c r="BA86" s="47"/>
      <c r="BB86" s="52" t="s">
        <v>183</v>
      </c>
      <c r="BC86" s="52" t="s">
        <v>183</v>
      </c>
      <c r="BD86" s="47"/>
      <c r="BE86" s="47"/>
      <c r="BF86" s="47"/>
      <c r="BG86" s="47"/>
      <c r="BH86" s="47"/>
      <c r="BI86" s="47"/>
      <c r="BJ86" s="47"/>
      <c r="BK86" s="47"/>
    </row>
    <row r="87" spans="1:63" x14ac:dyDescent="0.2">
      <c r="A87" s="49" t="s">
        <v>176</v>
      </c>
      <c r="B87" s="49"/>
      <c r="C87" s="47"/>
      <c r="D87" s="47"/>
      <c r="E87" s="47"/>
      <c r="F87" s="47"/>
      <c r="G87" s="47"/>
      <c r="H87" s="47"/>
      <c r="I87" s="47"/>
      <c r="J87" s="47"/>
      <c r="K87" s="47"/>
      <c r="L87" s="52" t="s">
        <v>183</v>
      </c>
      <c r="M87" s="52" t="s">
        <v>183</v>
      </c>
      <c r="N87" s="47"/>
      <c r="O87" s="47"/>
      <c r="P87" s="47"/>
      <c r="Q87" s="47"/>
      <c r="R87" s="47"/>
      <c r="S87" s="47"/>
      <c r="T87" s="47"/>
      <c r="U87" s="47"/>
      <c r="V87" s="49" t="s">
        <v>176</v>
      </c>
      <c r="W87" s="49"/>
      <c r="X87" s="47"/>
      <c r="Y87" s="47"/>
      <c r="Z87" s="47"/>
      <c r="AA87" s="47"/>
      <c r="AB87" s="47"/>
      <c r="AC87" s="47"/>
      <c r="AD87" s="47"/>
      <c r="AE87" s="47"/>
      <c r="AF87" s="47"/>
      <c r="AG87" s="52" t="s">
        <v>183</v>
      </c>
      <c r="AH87" s="52" t="s">
        <v>183</v>
      </c>
      <c r="AI87" s="47"/>
      <c r="AJ87" s="47"/>
      <c r="AK87" s="47"/>
      <c r="AL87" s="47"/>
      <c r="AM87" s="47"/>
      <c r="AN87" s="47"/>
      <c r="AO87" s="47"/>
      <c r="AP87" s="47"/>
      <c r="AQ87" s="49" t="s">
        <v>176</v>
      </c>
      <c r="AR87" s="49"/>
      <c r="AS87" s="47"/>
      <c r="AT87" s="47"/>
      <c r="AU87" s="47"/>
      <c r="AV87" s="47"/>
      <c r="AW87" s="47"/>
      <c r="AX87" s="47"/>
      <c r="AY87" s="47"/>
      <c r="AZ87" s="47"/>
      <c r="BA87" s="47"/>
      <c r="BB87" s="52" t="s">
        <v>183</v>
      </c>
      <c r="BC87" s="52" t="s">
        <v>183</v>
      </c>
      <c r="BD87" s="47"/>
      <c r="BE87" s="47"/>
      <c r="BF87" s="47"/>
      <c r="BG87" s="47"/>
      <c r="BH87" s="47"/>
      <c r="BI87" s="47"/>
      <c r="BJ87" s="47"/>
      <c r="BK87" s="47"/>
    </row>
    <row r="88" spans="1:63" x14ac:dyDescent="0.2">
      <c r="A88" s="49" t="s">
        <v>177</v>
      </c>
      <c r="B88" s="49"/>
      <c r="C88" s="47"/>
      <c r="D88" s="47"/>
      <c r="E88" s="47"/>
      <c r="F88" s="47"/>
      <c r="G88" s="47"/>
      <c r="H88" s="47"/>
      <c r="I88" s="47"/>
      <c r="J88" s="47"/>
      <c r="K88" s="47"/>
      <c r="L88" s="52" t="s">
        <v>183</v>
      </c>
      <c r="M88" s="52" t="s">
        <v>183</v>
      </c>
      <c r="N88" s="47"/>
      <c r="O88" s="47"/>
      <c r="P88" s="47"/>
      <c r="Q88" s="47"/>
      <c r="R88" s="47"/>
      <c r="S88" s="47"/>
      <c r="T88" s="47"/>
      <c r="U88" s="47"/>
      <c r="V88" s="49" t="s">
        <v>177</v>
      </c>
      <c r="W88" s="49"/>
      <c r="X88" s="47"/>
      <c r="Y88" s="47"/>
      <c r="Z88" s="47"/>
      <c r="AA88" s="47"/>
      <c r="AB88" s="47"/>
      <c r="AC88" s="47"/>
      <c r="AD88" s="47"/>
      <c r="AE88" s="47"/>
      <c r="AF88" s="47"/>
      <c r="AG88" s="52" t="s">
        <v>183</v>
      </c>
      <c r="AH88" s="52" t="s">
        <v>183</v>
      </c>
      <c r="AI88" s="47"/>
      <c r="AJ88" s="47"/>
      <c r="AK88" s="47"/>
      <c r="AL88" s="47"/>
      <c r="AM88" s="47"/>
      <c r="AN88" s="47"/>
      <c r="AO88" s="47"/>
      <c r="AP88" s="47"/>
      <c r="AQ88" s="49" t="s">
        <v>177</v>
      </c>
      <c r="AR88" s="49"/>
      <c r="AS88" s="47"/>
      <c r="AT88" s="47"/>
      <c r="AU88" s="47"/>
      <c r="AV88" s="47"/>
      <c r="AW88" s="47"/>
      <c r="AX88" s="47"/>
      <c r="AY88" s="47"/>
      <c r="AZ88" s="47"/>
      <c r="BA88" s="47"/>
      <c r="BB88" s="52" t="s">
        <v>183</v>
      </c>
      <c r="BC88" s="52" t="s">
        <v>183</v>
      </c>
      <c r="BD88" s="47"/>
      <c r="BE88" s="47"/>
      <c r="BF88" s="47"/>
      <c r="BG88" s="47"/>
      <c r="BH88" s="47"/>
      <c r="BI88" s="47"/>
      <c r="BJ88" s="47"/>
      <c r="BK88" s="47"/>
    </row>
    <row r="89" spans="1:63" x14ac:dyDescent="0.2">
      <c r="A89" s="49" t="s">
        <v>178</v>
      </c>
      <c r="B89" s="49"/>
      <c r="C89" s="47"/>
      <c r="D89" s="47"/>
      <c r="E89" s="47"/>
      <c r="F89" s="47"/>
      <c r="G89" s="47"/>
      <c r="H89" s="47"/>
      <c r="I89" s="47"/>
      <c r="J89" s="47"/>
      <c r="K89" s="47"/>
      <c r="L89" s="52" t="s">
        <v>183</v>
      </c>
      <c r="M89" s="52" t="s">
        <v>183</v>
      </c>
      <c r="N89" s="47"/>
      <c r="O89" s="47"/>
      <c r="P89" s="47"/>
      <c r="Q89" s="47"/>
      <c r="R89" s="47"/>
      <c r="S89" s="47"/>
      <c r="T89" s="47"/>
      <c r="U89" s="47"/>
      <c r="V89" s="49" t="s">
        <v>178</v>
      </c>
      <c r="W89" s="49"/>
      <c r="X89" s="47"/>
      <c r="Y89" s="47"/>
      <c r="Z89" s="47"/>
      <c r="AA89" s="47"/>
      <c r="AB89" s="47"/>
      <c r="AC89" s="47"/>
      <c r="AD89" s="47"/>
      <c r="AE89" s="47"/>
      <c r="AF89" s="47"/>
      <c r="AG89" s="52" t="s">
        <v>183</v>
      </c>
      <c r="AH89" s="52" t="s">
        <v>183</v>
      </c>
      <c r="AI89" s="47"/>
      <c r="AJ89" s="47"/>
      <c r="AK89" s="47"/>
      <c r="AL89" s="47"/>
      <c r="AM89" s="47"/>
      <c r="AN89" s="47"/>
      <c r="AO89" s="47"/>
      <c r="AP89" s="47"/>
      <c r="AQ89" s="49" t="s">
        <v>178</v>
      </c>
      <c r="AR89" s="49"/>
      <c r="AS89" s="47"/>
      <c r="AT89" s="47"/>
      <c r="AU89" s="47"/>
      <c r="AV89" s="47"/>
      <c r="AW89" s="47"/>
      <c r="AX89" s="47"/>
      <c r="AY89" s="47"/>
      <c r="AZ89" s="47"/>
      <c r="BA89" s="47"/>
      <c r="BB89" s="52" t="s">
        <v>183</v>
      </c>
      <c r="BC89" s="52" t="s">
        <v>183</v>
      </c>
      <c r="BD89" s="47"/>
      <c r="BE89" s="47"/>
      <c r="BF89" s="47"/>
      <c r="BG89" s="47"/>
      <c r="BH89" s="47"/>
      <c r="BI89" s="47"/>
      <c r="BJ89" s="47"/>
      <c r="BK89" s="47"/>
    </row>
    <row r="90" spans="1:63" x14ac:dyDescent="0.2">
      <c r="A90" s="49" t="s">
        <v>179</v>
      </c>
      <c r="B90" s="49"/>
      <c r="C90" s="47"/>
      <c r="D90" s="47"/>
      <c r="E90" s="47"/>
      <c r="F90" s="47"/>
      <c r="G90" s="47"/>
      <c r="H90" s="47"/>
      <c r="I90" s="47"/>
      <c r="J90" s="47"/>
      <c r="K90" s="47"/>
      <c r="L90" s="52" t="s">
        <v>183</v>
      </c>
      <c r="M90" s="52" t="s">
        <v>183</v>
      </c>
      <c r="N90" s="47"/>
      <c r="O90" s="47"/>
      <c r="P90" s="47"/>
      <c r="Q90" s="47"/>
      <c r="R90" s="47"/>
      <c r="S90" s="47"/>
      <c r="T90" s="47"/>
      <c r="U90" s="47"/>
      <c r="V90" s="49" t="s">
        <v>179</v>
      </c>
      <c r="W90" s="49"/>
      <c r="X90" s="47"/>
      <c r="Y90" s="47"/>
      <c r="Z90" s="47"/>
      <c r="AA90" s="47"/>
      <c r="AB90" s="47"/>
      <c r="AC90" s="47"/>
      <c r="AD90" s="47"/>
      <c r="AE90" s="47"/>
      <c r="AF90" s="47"/>
      <c r="AG90" s="52" t="s">
        <v>183</v>
      </c>
      <c r="AH90" s="52" t="s">
        <v>183</v>
      </c>
      <c r="AI90" s="47"/>
      <c r="AJ90" s="47"/>
      <c r="AK90" s="47"/>
      <c r="AL90" s="47"/>
      <c r="AM90" s="47"/>
      <c r="AN90" s="47"/>
      <c r="AO90" s="47"/>
      <c r="AP90" s="47"/>
      <c r="AQ90" s="49" t="s">
        <v>179</v>
      </c>
      <c r="AR90" s="49"/>
      <c r="AS90" s="47"/>
      <c r="AT90" s="47"/>
      <c r="AU90" s="47"/>
      <c r="AV90" s="47"/>
      <c r="AW90" s="47"/>
      <c r="AX90" s="47"/>
      <c r="AY90" s="47"/>
      <c r="AZ90" s="47"/>
      <c r="BA90" s="47"/>
      <c r="BB90" s="52" t="s">
        <v>183</v>
      </c>
      <c r="BC90" s="52" t="s">
        <v>183</v>
      </c>
      <c r="BD90" s="47"/>
      <c r="BE90" s="47"/>
      <c r="BF90" s="47"/>
      <c r="BG90" s="47"/>
      <c r="BH90" s="47"/>
      <c r="BI90" s="47"/>
      <c r="BJ90" s="47"/>
      <c r="BK90" s="47"/>
    </row>
    <row r="91" spans="1:63" x14ac:dyDescent="0.2">
      <c r="A91" s="49" t="s">
        <v>180</v>
      </c>
      <c r="B91" s="49"/>
      <c r="C91" s="47"/>
      <c r="D91" s="47"/>
      <c r="E91" s="47"/>
      <c r="F91" s="47"/>
      <c r="G91" s="47"/>
      <c r="H91" s="47"/>
      <c r="I91" s="47"/>
      <c r="J91" s="47"/>
      <c r="K91" s="47"/>
      <c r="L91" s="52" t="s">
        <v>183</v>
      </c>
      <c r="M91" s="52" t="s">
        <v>183</v>
      </c>
      <c r="N91" s="47"/>
      <c r="O91" s="47"/>
      <c r="P91" s="47"/>
      <c r="Q91" s="47"/>
      <c r="R91" s="47"/>
      <c r="S91" s="47"/>
      <c r="T91" s="47"/>
      <c r="U91" s="47"/>
      <c r="V91" s="49" t="s">
        <v>180</v>
      </c>
      <c r="W91" s="49"/>
      <c r="X91" s="47"/>
      <c r="Y91" s="47"/>
      <c r="Z91" s="47"/>
      <c r="AA91" s="47"/>
      <c r="AB91" s="47"/>
      <c r="AC91" s="47"/>
      <c r="AD91" s="47"/>
      <c r="AE91" s="47"/>
      <c r="AF91" s="47"/>
      <c r="AG91" s="52" t="s">
        <v>183</v>
      </c>
      <c r="AH91" s="52" t="s">
        <v>183</v>
      </c>
      <c r="AI91" s="47"/>
      <c r="AJ91" s="47"/>
      <c r="AK91" s="47"/>
      <c r="AL91" s="47"/>
      <c r="AM91" s="47"/>
      <c r="AN91" s="47"/>
      <c r="AO91" s="47"/>
      <c r="AP91" s="47"/>
      <c r="AQ91" s="49" t="s">
        <v>180</v>
      </c>
      <c r="AR91" s="49"/>
      <c r="AS91" s="47"/>
      <c r="AT91" s="47"/>
      <c r="AU91" s="47"/>
      <c r="AV91" s="47"/>
      <c r="AW91" s="47"/>
      <c r="AX91" s="47"/>
      <c r="AY91" s="47"/>
      <c r="AZ91" s="47"/>
      <c r="BA91" s="47"/>
      <c r="BB91" s="52" t="s">
        <v>183</v>
      </c>
      <c r="BC91" s="52" t="s">
        <v>183</v>
      </c>
      <c r="BD91" s="47"/>
      <c r="BE91" s="47"/>
      <c r="BF91" s="47"/>
      <c r="BG91" s="47"/>
      <c r="BH91" s="47"/>
      <c r="BI91" s="47"/>
      <c r="BJ91" s="47"/>
      <c r="BK91" s="47"/>
    </row>
    <row r="92" spans="1:63" x14ac:dyDescent="0.2">
      <c r="A92" s="49" t="s">
        <v>181</v>
      </c>
      <c r="B92" s="49"/>
      <c r="C92" s="46"/>
      <c r="D92" s="46"/>
      <c r="E92" s="47"/>
      <c r="F92" s="47"/>
      <c r="G92" s="47"/>
      <c r="H92" s="47"/>
      <c r="I92" s="47"/>
      <c r="J92" s="47"/>
      <c r="K92" s="47"/>
      <c r="L92" s="52" t="s">
        <v>183</v>
      </c>
      <c r="M92" s="52" t="s">
        <v>183</v>
      </c>
      <c r="N92" s="47"/>
      <c r="O92" s="47"/>
      <c r="P92" s="47"/>
      <c r="Q92" s="47"/>
      <c r="R92" s="47"/>
      <c r="S92" s="47"/>
      <c r="T92" s="47"/>
      <c r="U92" s="47"/>
      <c r="V92" s="49" t="s">
        <v>181</v>
      </c>
      <c r="W92" s="49"/>
      <c r="X92" s="46"/>
      <c r="Y92" s="46"/>
      <c r="Z92" s="47"/>
      <c r="AA92" s="47"/>
      <c r="AB92" s="47"/>
      <c r="AC92" s="47"/>
      <c r="AD92" s="47"/>
      <c r="AE92" s="47"/>
      <c r="AF92" s="47"/>
      <c r="AG92" s="52" t="s">
        <v>183</v>
      </c>
      <c r="AH92" s="52" t="s">
        <v>183</v>
      </c>
      <c r="AI92" s="47"/>
      <c r="AJ92" s="47"/>
      <c r="AK92" s="47"/>
      <c r="AL92" s="47"/>
      <c r="AM92" s="47"/>
      <c r="AN92" s="47"/>
      <c r="AO92" s="47"/>
      <c r="AP92" s="47"/>
      <c r="AQ92" s="49" t="s">
        <v>181</v>
      </c>
      <c r="AR92" s="49"/>
      <c r="AS92" s="46"/>
      <c r="AT92" s="46"/>
      <c r="AU92" s="47"/>
      <c r="AV92" s="47"/>
      <c r="AW92" s="47"/>
      <c r="AX92" s="47"/>
      <c r="AY92" s="47"/>
      <c r="AZ92" s="47"/>
      <c r="BA92" s="47"/>
      <c r="BB92" s="52" t="s">
        <v>183</v>
      </c>
      <c r="BC92" s="52" t="s">
        <v>183</v>
      </c>
      <c r="BD92" s="47"/>
      <c r="BE92" s="47"/>
      <c r="BF92" s="47"/>
      <c r="BG92" s="47"/>
      <c r="BH92" s="47"/>
      <c r="BI92" s="47"/>
      <c r="BJ92" s="47"/>
      <c r="BK92" s="47"/>
    </row>
    <row r="93" spans="1:63" x14ac:dyDescent="0.2">
      <c r="A93" s="242" t="s">
        <v>156</v>
      </c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8"/>
      <c r="V93" s="242" t="s">
        <v>156</v>
      </c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8"/>
      <c r="AQ93" s="242" t="s">
        <v>156</v>
      </c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7"/>
      <c r="BC93" s="227"/>
      <c r="BD93" s="227"/>
      <c r="BE93" s="227"/>
      <c r="BF93" s="227"/>
      <c r="BG93" s="227"/>
      <c r="BH93" s="227"/>
      <c r="BI93" s="227"/>
      <c r="BJ93" s="227"/>
      <c r="BK93" s="228"/>
    </row>
    <row r="94" spans="1:63" x14ac:dyDescent="0.2">
      <c r="A94" s="49" t="s">
        <v>182</v>
      </c>
      <c r="B94" s="49"/>
      <c r="C94" s="46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52" t="s">
        <v>183</v>
      </c>
      <c r="O94" s="52" t="s">
        <v>183</v>
      </c>
      <c r="P94" s="47"/>
      <c r="Q94" s="47"/>
      <c r="R94" s="47"/>
      <c r="S94" s="47"/>
      <c r="T94" s="47"/>
      <c r="U94" s="47"/>
      <c r="V94" s="49" t="s">
        <v>182</v>
      </c>
      <c r="W94" s="49"/>
      <c r="X94" s="46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52" t="s">
        <v>183</v>
      </c>
      <c r="AJ94" s="52" t="s">
        <v>183</v>
      </c>
      <c r="AK94" s="47"/>
      <c r="AL94" s="47"/>
      <c r="AM94" s="47"/>
      <c r="AN94" s="47"/>
      <c r="AO94" s="47"/>
      <c r="AP94" s="47"/>
      <c r="AQ94" s="49" t="s">
        <v>182</v>
      </c>
      <c r="AR94" s="49"/>
      <c r="AS94" s="46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52" t="s">
        <v>183</v>
      </c>
      <c r="BE94" s="52" t="s">
        <v>183</v>
      </c>
      <c r="BF94" s="47"/>
      <c r="BG94" s="47"/>
      <c r="BH94" s="47"/>
      <c r="BI94" s="47"/>
      <c r="BJ94" s="47"/>
      <c r="BK94" s="47"/>
    </row>
    <row r="95" spans="1:63" x14ac:dyDescent="0.2">
      <c r="A95" s="49" t="s">
        <v>184</v>
      </c>
      <c r="B95" s="49"/>
      <c r="C95" s="46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52" t="s">
        <v>183</v>
      </c>
      <c r="O95" s="52" t="s">
        <v>183</v>
      </c>
      <c r="P95" s="47"/>
      <c r="Q95" s="47"/>
      <c r="R95" s="47"/>
      <c r="S95" s="47"/>
      <c r="T95" s="47"/>
      <c r="U95" s="47"/>
      <c r="V95" s="49" t="s">
        <v>184</v>
      </c>
      <c r="W95" s="49"/>
      <c r="X95" s="46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52" t="s">
        <v>183</v>
      </c>
      <c r="AJ95" s="52" t="s">
        <v>183</v>
      </c>
      <c r="AK95" s="47"/>
      <c r="AL95" s="47"/>
      <c r="AM95" s="47"/>
      <c r="AN95" s="47"/>
      <c r="AO95" s="47"/>
      <c r="AP95" s="47"/>
      <c r="AQ95" s="49" t="s">
        <v>184</v>
      </c>
      <c r="AR95" s="49"/>
      <c r="AS95" s="46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52" t="s">
        <v>183</v>
      </c>
      <c r="BE95" s="52" t="s">
        <v>183</v>
      </c>
      <c r="BF95" s="47"/>
      <c r="BG95" s="47"/>
      <c r="BH95" s="47"/>
      <c r="BI95" s="47"/>
      <c r="BJ95" s="47"/>
      <c r="BK95" s="47"/>
    </row>
    <row r="96" spans="1:63" x14ac:dyDescent="0.2">
      <c r="A96" s="49" t="s">
        <v>185</v>
      </c>
      <c r="B96" s="49"/>
      <c r="C96" s="46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52" t="s">
        <v>183</v>
      </c>
      <c r="O96" s="52" t="s">
        <v>183</v>
      </c>
      <c r="P96" s="47"/>
      <c r="Q96" s="47"/>
      <c r="R96" s="47"/>
      <c r="S96" s="47"/>
      <c r="T96" s="47"/>
      <c r="U96" s="47"/>
      <c r="V96" s="49" t="s">
        <v>185</v>
      </c>
      <c r="W96" s="49"/>
      <c r="X96" s="46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52" t="s">
        <v>183</v>
      </c>
      <c r="AJ96" s="52" t="s">
        <v>183</v>
      </c>
      <c r="AK96" s="47"/>
      <c r="AL96" s="47"/>
      <c r="AM96" s="47"/>
      <c r="AN96" s="47"/>
      <c r="AO96" s="47"/>
      <c r="AP96" s="47"/>
      <c r="AQ96" s="49" t="s">
        <v>185</v>
      </c>
      <c r="AR96" s="49"/>
      <c r="AS96" s="46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52" t="s">
        <v>183</v>
      </c>
      <c r="BE96" s="52" t="s">
        <v>183</v>
      </c>
      <c r="BF96" s="47"/>
      <c r="BG96" s="47"/>
      <c r="BH96" s="47"/>
      <c r="BI96" s="47"/>
      <c r="BJ96" s="47"/>
      <c r="BK96" s="47"/>
    </row>
    <row r="97" spans="1:63" x14ac:dyDescent="0.2">
      <c r="A97" s="49" t="s">
        <v>186</v>
      </c>
      <c r="B97" s="49"/>
      <c r="C97" s="46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52" t="s">
        <v>183</v>
      </c>
      <c r="O97" s="52" t="s">
        <v>183</v>
      </c>
      <c r="P97" s="47"/>
      <c r="Q97" s="47"/>
      <c r="R97" s="47"/>
      <c r="S97" s="47"/>
      <c r="T97" s="47"/>
      <c r="U97" s="47"/>
      <c r="V97" s="49" t="s">
        <v>186</v>
      </c>
      <c r="W97" s="49"/>
      <c r="X97" s="46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52" t="s">
        <v>183</v>
      </c>
      <c r="AJ97" s="52" t="s">
        <v>183</v>
      </c>
      <c r="AK97" s="47"/>
      <c r="AL97" s="47"/>
      <c r="AM97" s="47"/>
      <c r="AN97" s="47"/>
      <c r="AO97" s="47"/>
      <c r="AP97" s="47"/>
      <c r="AQ97" s="49" t="s">
        <v>186</v>
      </c>
      <c r="AR97" s="49"/>
      <c r="AS97" s="46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52" t="s">
        <v>183</v>
      </c>
      <c r="BE97" s="52" t="s">
        <v>183</v>
      </c>
      <c r="BF97" s="47"/>
      <c r="BG97" s="47"/>
      <c r="BH97" s="47"/>
      <c r="BI97" s="47"/>
      <c r="BJ97" s="47"/>
      <c r="BK97" s="47"/>
    </row>
    <row r="98" spans="1:63" x14ac:dyDescent="0.2">
      <c r="A98" s="49" t="s">
        <v>187</v>
      </c>
      <c r="B98" s="49"/>
      <c r="C98" s="46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52" t="s">
        <v>183</v>
      </c>
      <c r="O98" s="52" t="s">
        <v>183</v>
      </c>
      <c r="P98" s="47"/>
      <c r="Q98" s="47"/>
      <c r="R98" s="47"/>
      <c r="S98" s="47"/>
      <c r="T98" s="47"/>
      <c r="U98" s="47"/>
      <c r="V98" s="49" t="s">
        <v>187</v>
      </c>
      <c r="W98" s="49"/>
      <c r="X98" s="46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52" t="s">
        <v>183</v>
      </c>
      <c r="AJ98" s="52" t="s">
        <v>183</v>
      </c>
      <c r="AK98" s="47"/>
      <c r="AL98" s="47"/>
      <c r="AM98" s="47"/>
      <c r="AN98" s="47"/>
      <c r="AO98" s="47"/>
      <c r="AP98" s="47"/>
      <c r="AQ98" s="49" t="s">
        <v>187</v>
      </c>
      <c r="AR98" s="49"/>
      <c r="AS98" s="46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52" t="s">
        <v>183</v>
      </c>
      <c r="BE98" s="52" t="s">
        <v>183</v>
      </c>
      <c r="BF98" s="47"/>
      <c r="BG98" s="47"/>
      <c r="BH98" s="47"/>
      <c r="BI98" s="47"/>
      <c r="BJ98" s="47"/>
      <c r="BK98" s="47"/>
    </row>
    <row r="99" spans="1:63" x14ac:dyDescent="0.2">
      <c r="A99" s="49" t="s">
        <v>188</v>
      </c>
      <c r="B99" s="49"/>
      <c r="C99" s="46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52" t="s">
        <v>183</v>
      </c>
      <c r="O99" s="52" t="s">
        <v>183</v>
      </c>
      <c r="P99" s="47"/>
      <c r="Q99" s="47"/>
      <c r="R99" s="47"/>
      <c r="S99" s="47"/>
      <c r="T99" s="47"/>
      <c r="U99" s="47"/>
      <c r="V99" s="49" t="s">
        <v>188</v>
      </c>
      <c r="W99" s="49"/>
      <c r="X99" s="46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52" t="s">
        <v>183</v>
      </c>
      <c r="AJ99" s="52" t="s">
        <v>183</v>
      </c>
      <c r="AK99" s="47"/>
      <c r="AL99" s="47"/>
      <c r="AM99" s="47"/>
      <c r="AN99" s="47"/>
      <c r="AO99" s="47"/>
      <c r="AP99" s="47"/>
      <c r="AQ99" s="49" t="s">
        <v>188</v>
      </c>
      <c r="AR99" s="49"/>
      <c r="AS99" s="46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52" t="s">
        <v>183</v>
      </c>
      <c r="BE99" s="52" t="s">
        <v>183</v>
      </c>
      <c r="BF99" s="47"/>
      <c r="BG99" s="47"/>
      <c r="BH99" s="47"/>
      <c r="BI99" s="47"/>
      <c r="BJ99" s="47"/>
      <c r="BK99" s="47"/>
    </row>
    <row r="100" spans="1:63" x14ac:dyDescent="0.2">
      <c r="A100" s="49" t="s">
        <v>189</v>
      </c>
      <c r="B100" s="49"/>
      <c r="C100" s="46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52" t="s">
        <v>183</v>
      </c>
      <c r="O100" s="52" t="s">
        <v>183</v>
      </c>
      <c r="P100" s="47"/>
      <c r="Q100" s="47"/>
      <c r="R100" s="47"/>
      <c r="S100" s="47"/>
      <c r="T100" s="47"/>
      <c r="U100" s="47"/>
      <c r="V100" s="49" t="s">
        <v>189</v>
      </c>
      <c r="W100" s="49"/>
      <c r="X100" s="46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52" t="s">
        <v>183</v>
      </c>
      <c r="AJ100" s="52" t="s">
        <v>183</v>
      </c>
      <c r="AK100" s="47"/>
      <c r="AL100" s="47"/>
      <c r="AM100" s="47"/>
      <c r="AN100" s="47"/>
      <c r="AO100" s="47"/>
      <c r="AP100" s="47"/>
      <c r="AQ100" s="49" t="s">
        <v>189</v>
      </c>
      <c r="AR100" s="49"/>
      <c r="AS100" s="46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52" t="s">
        <v>183</v>
      </c>
      <c r="BE100" s="52" t="s">
        <v>183</v>
      </c>
      <c r="BF100" s="47"/>
      <c r="BG100" s="47"/>
      <c r="BH100" s="47"/>
      <c r="BI100" s="47"/>
      <c r="BJ100" s="47"/>
      <c r="BK100" s="47"/>
    </row>
    <row r="101" spans="1:63" x14ac:dyDescent="0.2">
      <c r="A101" s="242" t="s">
        <v>190</v>
      </c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8"/>
      <c r="V101" s="242" t="s">
        <v>190</v>
      </c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8"/>
      <c r="AQ101" s="242" t="s">
        <v>190</v>
      </c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  <c r="BH101" s="227"/>
      <c r="BI101" s="227"/>
      <c r="BJ101" s="227"/>
      <c r="BK101" s="228"/>
    </row>
    <row r="102" spans="1:63" x14ac:dyDescent="0.2">
      <c r="A102" s="46" t="s">
        <v>191</v>
      </c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52" t="s">
        <v>183</v>
      </c>
      <c r="Q102" s="52" t="s">
        <v>183</v>
      </c>
      <c r="R102" s="52" t="s">
        <v>183</v>
      </c>
      <c r="S102" s="47"/>
      <c r="T102" s="47"/>
      <c r="U102" s="47"/>
      <c r="V102" s="46" t="s">
        <v>191</v>
      </c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52" t="s">
        <v>183</v>
      </c>
      <c r="AL102" s="52" t="s">
        <v>183</v>
      </c>
      <c r="AM102" s="52" t="s">
        <v>183</v>
      </c>
      <c r="AN102" s="47"/>
      <c r="AO102" s="47"/>
      <c r="AP102" s="47"/>
      <c r="AQ102" s="46" t="s">
        <v>191</v>
      </c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52" t="s">
        <v>183</v>
      </c>
      <c r="BG102" s="52" t="s">
        <v>183</v>
      </c>
      <c r="BH102" s="52" t="s">
        <v>183</v>
      </c>
      <c r="BI102" s="47"/>
      <c r="BJ102" s="47"/>
      <c r="BK102" s="47"/>
    </row>
    <row r="103" spans="1:63" x14ac:dyDescent="0.2">
      <c r="A103" s="242" t="s">
        <v>156</v>
      </c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8"/>
      <c r="V103" s="242" t="s">
        <v>156</v>
      </c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8"/>
      <c r="AQ103" s="242" t="s">
        <v>156</v>
      </c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  <c r="BH103" s="227"/>
      <c r="BI103" s="227"/>
      <c r="BJ103" s="227"/>
      <c r="BK103" s="228"/>
    </row>
    <row r="104" spans="1:63" x14ac:dyDescent="0.2">
      <c r="A104" s="46" t="s">
        <v>192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52" t="s">
        <v>183</v>
      </c>
      <c r="T104" s="52" t="s">
        <v>183</v>
      </c>
      <c r="U104" s="47"/>
      <c r="V104" s="46" t="s">
        <v>192</v>
      </c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52" t="s">
        <v>183</v>
      </c>
      <c r="AO104" s="52" t="s">
        <v>183</v>
      </c>
      <c r="AP104" s="47"/>
      <c r="AQ104" s="46" t="s">
        <v>192</v>
      </c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52" t="s">
        <v>183</v>
      </c>
      <c r="BJ104" s="52" t="s">
        <v>183</v>
      </c>
      <c r="BK104" s="47"/>
    </row>
    <row r="105" spans="1:63" x14ac:dyDescent="0.2">
      <c r="A105" s="46" t="s">
        <v>193</v>
      </c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52" t="s">
        <v>183</v>
      </c>
      <c r="T105" s="52" t="s">
        <v>183</v>
      </c>
      <c r="U105" s="47"/>
      <c r="V105" s="46" t="s">
        <v>193</v>
      </c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52" t="s">
        <v>183</v>
      </c>
      <c r="AO105" s="52" t="s">
        <v>183</v>
      </c>
      <c r="AP105" s="47"/>
      <c r="AQ105" s="46" t="s">
        <v>193</v>
      </c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52" t="s">
        <v>183</v>
      </c>
      <c r="BJ105" s="52" t="s">
        <v>183</v>
      </c>
      <c r="BK105" s="47"/>
    </row>
    <row r="106" spans="1:63" x14ac:dyDescent="0.2">
      <c r="A106" s="46" t="s">
        <v>194</v>
      </c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52" t="s">
        <v>183</v>
      </c>
      <c r="T106" s="52" t="s">
        <v>183</v>
      </c>
      <c r="U106" s="47"/>
      <c r="V106" s="46" t="s">
        <v>194</v>
      </c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52" t="s">
        <v>183</v>
      </c>
      <c r="AO106" s="52" t="s">
        <v>183</v>
      </c>
      <c r="AP106" s="47"/>
      <c r="AQ106" s="46" t="s">
        <v>194</v>
      </c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52" t="s">
        <v>183</v>
      </c>
      <c r="BJ106" s="52" t="s">
        <v>183</v>
      </c>
      <c r="BK106" s="47"/>
    </row>
    <row r="107" spans="1:63" x14ac:dyDescent="0.2">
      <c r="A107" s="46" t="s">
        <v>195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52" t="s">
        <v>183</v>
      </c>
      <c r="T107" s="52" t="s">
        <v>183</v>
      </c>
      <c r="U107" s="47"/>
      <c r="V107" s="46" t="s">
        <v>195</v>
      </c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52" t="s">
        <v>183</v>
      </c>
      <c r="AO107" s="52" t="s">
        <v>183</v>
      </c>
      <c r="AP107" s="47"/>
      <c r="AQ107" s="46" t="s">
        <v>195</v>
      </c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52" t="s">
        <v>183</v>
      </c>
      <c r="BJ107" s="52" t="s">
        <v>183</v>
      </c>
      <c r="BK107" s="47"/>
    </row>
    <row r="108" spans="1:63" x14ac:dyDescent="0.2">
      <c r="A108" s="46" t="s">
        <v>196</v>
      </c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52" t="s">
        <v>183</v>
      </c>
      <c r="T108" s="52" t="s">
        <v>183</v>
      </c>
      <c r="U108" s="47"/>
      <c r="V108" s="46" t="s">
        <v>196</v>
      </c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52" t="s">
        <v>183</v>
      </c>
      <c r="AO108" s="52" t="s">
        <v>183</v>
      </c>
      <c r="AP108" s="47"/>
      <c r="AQ108" s="46" t="s">
        <v>196</v>
      </c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52" t="s">
        <v>183</v>
      </c>
      <c r="BJ108" s="52" t="s">
        <v>183</v>
      </c>
      <c r="BK108" s="47"/>
    </row>
    <row r="109" spans="1:63" x14ac:dyDescent="0.2">
      <c r="A109" s="50" t="s">
        <v>197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52" t="s">
        <v>183</v>
      </c>
      <c r="T109" s="52" t="s">
        <v>183</v>
      </c>
      <c r="U109" s="47"/>
      <c r="V109" s="50" t="s">
        <v>197</v>
      </c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52" t="s">
        <v>183</v>
      </c>
      <c r="AO109" s="52" t="s">
        <v>183</v>
      </c>
      <c r="AP109" s="47"/>
      <c r="AQ109" s="50" t="s">
        <v>197</v>
      </c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52" t="s">
        <v>183</v>
      </c>
      <c r="BJ109" s="52" t="s">
        <v>183</v>
      </c>
      <c r="BK109" s="47"/>
    </row>
    <row r="110" spans="1:63" x14ac:dyDescent="0.2">
      <c r="A110" s="50" t="s">
        <v>198</v>
      </c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52" t="s">
        <v>183</v>
      </c>
      <c r="T110" s="52" t="s">
        <v>183</v>
      </c>
      <c r="U110" s="47"/>
      <c r="V110" s="50" t="s">
        <v>198</v>
      </c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52" t="s">
        <v>183</v>
      </c>
      <c r="AO110" s="52" t="s">
        <v>183</v>
      </c>
      <c r="AP110" s="47"/>
      <c r="AQ110" s="50" t="s">
        <v>198</v>
      </c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52" t="s">
        <v>183</v>
      </c>
      <c r="BJ110" s="52" t="s">
        <v>183</v>
      </c>
      <c r="BK110" s="47"/>
    </row>
    <row r="111" spans="1:63" x14ac:dyDescent="0.2">
      <c r="A111" s="50" t="s">
        <v>199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52" t="s">
        <v>183</v>
      </c>
      <c r="T111" s="52" t="s">
        <v>183</v>
      </c>
      <c r="U111" s="47"/>
      <c r="V111" s="50" t="s">
        <v>199</v>
      </c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52" t="s">
        <v>183</v>
      </c>
      <c r="AO111" s="52" t="s">
        <v>183</v>
      </c>
      <c r="AP111" s="47"/>
      <c r="AQ111" s="50" t="s">
        <v>199</v>
      </c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52" t="s">
        <v>183</v>
      </c>
      <c r="BJ111" s="52" t="s">
        <v>183</v>
      </c>
      <c r="BK111" s="47"/>
    </row>
    <row r="112" spans="1:63" x14ac:dyDescent="0.2">
      <c r="A112" s="242" t="s">
        <v>200</v>
      </c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8"/>
      <c r="V112" s="242" t="s">
        <v>200</v>
      </c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8"/>
      <c r="AQ112" s="242" t="s">
        <v>200</v>
      </c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  <c r="BH112" s="227"/>
      <c r="BI112" s="227"/>
      <c r="BJ112" s="227"/>
      <c r="BK112" s="228"/>
    </row>
    <row r="113" spans="1:63" x14ac:dyDescent="0.2">
      <c r="A113" s="46" t="s">
        <v>24</v>
      </c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52" t="s">
        <v>183</v>
      </c>
      <c r="T113" s="52" t="s">
        <v>183</v>
      </c>
      <c r="U113" s="52" t="s">
        <v>183</v>
      </c>
      <c r="V113" s="46" t="s">
        <v>24</v>
      </c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52" t="s">
        <v>183</v>
      </c>
      <c r="AO113" s="52" t="s">
        <v>183</v>
      </c>
      <c r="AP113" s="52" t="s">
        <v>183</v>
      </c>
      <c r="AQ113" s="46" t="s">
        <v>24</v>
      </c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52" t="s">
        <v>183</v>
      </c>
      <c r="BJ113" s="52" t="s">
        <v>183</v>
      </c>
      <c r="BK113" s="52" t="s">
        <v>183</v>
      </c>
    </row>
    <row r="114" spans="1:63" x14ac:dyDescent="0.2">
      <c r="A114" s="242" t="s">
        <v>156</v>
      </c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8"/>
      <c r="V114" s="242" t="s">
        <v>156</v>
      </c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8"/>
      <c r="AQ114" s="242" t="s">
        <v>156</v>
      </c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  <c r="BH114" s="227"/>
      <c r="BI114" s="227"/>
      <c r="BJ114" s="227"/>
      <c r="BK114" s="228"/>
    </row>
    <row r="115" spans="1:63" x14ac:dyDescent="0.2">
      <c r="A115" s="239" t="s">
        <v>204</v>
      </c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1"/>
      <c r="V115" s="239" t="s">
        <v>205</v>
      </c>
      <c r="W115" s="240"/>
      <c r="X115" s="240"/>
      <c r="Y115" s="240"/>
      <c r="Z115" s="240"/>
      <c r="AA115" s="240"/>
      <c r="AB115" s="240"/>
      <c r="AC115" s="240"/>
      <c r="AD115" s="240"/>
      <c r="AE115" s="240"/>
      <c r="AF115" s="240"/>
      <c r="AG115" s="240"/>
      <c r="AH115" s="240"/>
      <c r="AI115" s="240"/>
      <c r="AJ115" s="240"/>
      <c r="AK115" s="240"/>
      <c r="AL115" s="240"/>
      <c r="AM115" s="240"/>
      <c r="AN115" s="240"/>
      <c r="AO115" s="240"/>
      <c r="AP115" s="241"/>
      <c r="AQ115" s="239" t="s">
        <v>206</v>
      </c>
      <c r="AR115" s="240"/>
      <c r="AS115" s="240"/>
      <c r="AT115" s="240"/>
      <c r="AU115" s="240"/>
      <c r="AV115" s="240"/>
      <c r="AW115" s="240"/>
      <c r="AX115" s="240"/>
      <c r="AY115" s="240"/>
      <c r="AZ115" s="240"/>
      <c r="BA115" s="240"/>
      <c r="BB115" s="240"/>
      <c r="BC115" s="240"/>
      <c r="BD115" s="240"/>
      <c r="BE115" s="240"/>
      <c r="BF115" s="240"/>
      <c r="BG115" s="240"/>
      <c r="BH115" s="240"/>
      <c r="BI115" s="240"/>
      <c r="BJ115" s="240"/>
      <c r="BK115" s="241"/>
    </row>
    <row r="116" spans="1:63" x14ac:dyDescent="0.2">
      <c r="A116" s="245" t="s">
        <v>142</v>
      </c>
      <c r="B116" s="243" t="s">
        <v>143</v>
      </c>
      <c r="C116" s="238"/>
      <c r="D116" s="238"/>
      <c r="E116" s="238"/>
      <c r="F116" s="244"/>
      <c r="G116" s="243" t="s">
        <v>144</v>
      </c>
      <c r="H116" s="238"/>
      <c r="I116" s="238"/>
      <c r="J116" s="238"/>
      <c r="K116" s="244"/>
      <c r="L116" s="243" t="s">
        <v>145</v>
      </c>
      <c r="M116" s="238"/>
      <c r="N116" s="238"/>
      <c r="O116" s="238"/>
      <c r="P116" s="244"/>
      <c r="Q116" s="243" t="s">
        <v>146</v>
      </c>
      <c r="R116" s="238"/>
      <c r="S116" s="238"/>
      <c r="T116" s="238"/>
      <c r="U116" s="244"/>
      <c r="V116" s="245" t="s">
        <v>142</v>
      </c>
      <c r="W116" s="243" t="s">
        <v>143</v>
      </c>
      <c r="X116" s="238"/>
      <c r="Y116" s="238"/>
      <c r="Z116" s="238"/>
      <c r="AA116" s="244"/>
      <c r="AB116" s="243" t="s">
        <v>144</v>
      </c>
      <c r="AC116" s="238"/>
      <c r="AD116" s="238"/>
      <c r="AE116" s="238"/>
      <c r="AF116" s="244"/>
      <c r="AG116" s="243" t="s">
        <v>145</v>
      </c>
      <c r="AH116" s="238"/>
      <c r="AI116" s="238"/>
      <c r="AJ116" s="238"/>
      <c r="AK116" s="244"/>
      <c r="AL116" s="243" t="s">
        <v>146</v>
      </c>
      <c r="AM116" s="238"/>
      <c r="AN116" s="238"/>
      <c r="AO116" s="238"/>
      <c r="AP116" s="244"/>
      <c r="AQ116" s="245" t="s">
        <v>142</v>
      </c>
      <c r="AR116" s="243" t="s">
        <v>143</v>
      </c>
      <c r="AS116" s="238"/>
      <c r="AT116" s="238"/>
      <c r="AU116" s="238"/>
      <c r="AV116" s="244"/>
      <c r="AW116" s="243" t="s">
        <v>144</v>
      </c>
      <c r="AX116" s="238"/>
      <c r="AY116" s="238"/>
      <c r="AZ116" s="238"/>
      <c r="BA116" s="244"/>
      <c r="BB116" s="243" t="s">
        <v>145</v>
      </c>
      <c r="BC116" s="238"/>
      <c r="BD116" s="238"/>
      <c r="BE116" s="238"/>
      <c r="BF116" s="244"/>
      <c r="BG116" s="243" t="s">
        <v>146</v>
      </c>
      <c r="BH116" s="238"/>
      <c r="BI116" s="238"/>
      <c r="BJ116" s="238"/>
      <c r="BK116" s="244"/>
    </row>
    <row r="117" spans="1:63" x14ac:dyDescent="0.2">
      <c r="A117" s="246"/>
      <c r="B117" s="41" t="s">
        <v>147</v>
      </c>
      <c r="C117" s="41" t="s">
        <v>148</v>
      </c>
      <c r="D117" s="41" t="s">
        <v>149</v>
      </c>
      <c r="E117" s="41" t="s">
        <v>150</v>
      </c>
      <c r="F117" s="41" t="s">
        <v>151</v>
      </c>
      <c r="G117" s="41" t="s">
        <v>147</v>
      </c>
      <c r="H117" s="41" t="s">
        <v>148</v>
      </c>
      <c r="I117" s="41" t="s">
        <v>149</v>
      </c>
      <c r="J117" s="41" t="s">
        <v>150</v>
      </c>
      <c r="K117" s="41" t="s">
        <v>151</v>
      </c>
      <c r="L117" s="41" t="s">
        <v>147</v>
      </c>
      <c r="M117" s="41" t="s">
        <v>148</v>
      </c>
      <c r="N117" s="41" t="s">
        <v>149</v>
      </c>
      <c r="O117" s="41" t="s">
        <v>150</v>
      </c>
      <c r="P117" s="41" t="s">
        <v>151</v>
      </c>
      <c r="Q117" s="41" t="s">
        <v>147</v>
      </c>
      <c r="R117" s="41" t="s">
        <v>148</v>
      </c>
      <c r="S117" s="41" t="s">
        <v>149</v>
      </c>
      <c r="T117" s="41" t="s">
        <v>150</v>
      </c>
      <c r="U117" s="53" t="s">
        <v>151</v>
      </c>
      <c r="V117" s="246"/>
      <c r="W117" s="41" t="s">
        <v>147</v>
      </c>
      <c r="X117" s="41" t="s">
        <v>148</v>
      </c>
      <c r="Y117" s="41" t="s">
        <v>149</v>
      </c>
      <c r="Z117" s="41" t="s">
        <v>150</v>
      </c>
      <c r="AA117" s="41" t="s">
        <v>151</v>
      </c>
      <c r="AB117" s="41" t="s">
        <v>147</v>
      </c>
      <c r="AC117" s="41" t="s">
        <v>148</v>
      </c>
      <c r="AD117" s="41" t="s">
        <v>149</v>
      </c>
      <c r="AE117" s="41" t="s">
        <v>150</v>
      </c>
      <c r="AF117" s="41" t="s">
        <v>151</v>
      </c>
      <c r="AG117" s="41" t="s">
        <v>147</v>
      </c>
      <c r="AH117" s="41" t="s">
        <v>148</v>
      </c>
      <c r="AI117" s="41" t="s">
        <v>149</v>
      </c>
      <c r="AJ117" s="41" t="s">
        <v>150</v>
      </c>
      <c r="AK117" s="41" t="s">
        <v>151</v>
      </c>
      <c r="AL117" s="41" t="s">
        <v>147</v>
      </c>
      <c r="AM117" s="41" t="s">
        <v>148</v>
      </c>
      <c r="AN117" s="41" t="s">
        <v>149</v>
      </c>
      <c r="AO117" s="41" t="s">
        <v>150</v>
      </c>
      <c r="AP117" s="53" t="s">
        <v>151</v>
      </c>
      <c r="AQ117" s="246"/>
      <c r="AR117" s="41" t="s">
        <v>147</v>
      </c>
      <c r="AS117" s="41" t="s">
        <v>148</v>
      </c>
      <c r="AT117" s="41" t="s">
        <v>149</v>
      </c>
      <c r="AU117" s="41" t="s">
        <v>150</v>
      </c>
      <c r="AV117" s="41" t="s">
        <v>151</v>
      </c>
      <c r="AW117" s="41" t="s">
        <v>147</v>
      </c>
      <c r="AX117" s="41" t="s">
        <v>148</v>
      </c>
      <c r="AY117" s="41" t="s">
        <v>149</v>
      </c>
      <c r="AZ117" s="41" t="s">
        <v>150</v>
      </c>
      <c r="BA117" s="41" t="s">
        <v>151</v>
      </c>
      <c r="BB117" s="41" t="s">
        <v>147</v>
      </c>
      <c r="BC117" s="41" t="s">
        <v>148</v>
      </c>
      <c r="BD117" s="41" t="s">
        <v>149</v>
      </c>
      <c r="BE117" s="41" t="s">
        <v>150</v>
      </c>
      <c r="BF117" s="41" t="s">
        <v>151</v>
      </c>
      <c r="BG117" s="41" t="s">
        <v>147</v>
      </c>
      <c r="BH117" s="41" t="s">
        <v>148</v>
      </c>
      <c r="BI117" s="41" t="s">
        <v>149</v>
      </c>
      <c r="BJ117" s="41" t="s">
        <v>150</v>
      </c>
      <c r="BK117" s="53" t="s">
        <v>151</v>
      </c>
    </row>
    <row r="118" spans="1:63" x14ac:dyDescent="0.2">
      <c r="A118" s="51" t="s">
        <v>152</v>
      </c>
      <c r="B118" s="52" t="s">
        <v>183</v>
      </c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51" t="s">
        <v>152</v>
      </c>
      <c r="W118" s="52" t="s">
        <v>183</v>
      </c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51" t="s">
        <v>152</v>
      </c>
      <c r="AR118" s="52" t="s">
        <v>183</v>
      </c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</row>
    <row r="119" spans="1:63" x14ac:dyDescent="0.2">
      <c r="A119" s="46" t="s">
        <v>154</v>
      </c>
      <c r="B119" s="47"/>
      <c r="C119" s="52" t="s">
        <v>183</v>
      </c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6" t="s">
        <v>154</v>
      </c>
      <c r="W119" s="47"/>
      <c r="X119" s="52" t="s">
        <v>183</v>
      </c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6" t="s">
        <v>154</v>
      </c>
      <c r="AR119" s="47"/>
      <c r="AS119" s="52" t="s">
        <v>183</v>
      </c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</row>
    <row r="120" spans="1:63" x14ac:dyDescent="0.2">
      <c r="A120" s="46" t="s">
        <v>155</v>
      </c>
      <c r="B120" s="47"/>
      <c r="C120" s="47"/>
      <c r="D120" s="52" t="s">
        <v>183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6" t="s">
        <v>155</v>
      </c>
      <c r="W120" s="47"/>
      <c r="X120" s="47"/>
      <c r="Y120" s="52" t="s">
        <v>183</v>
      </c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6" t="s">
        <v>155</v>
      </c>
      <c r="AR120" s="47"/>
      <c r="AS120" s="47"/>
      <c r="AT120" s="52" t="s">
        <v>183</v>
      </c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</row>
    <row r="121" spans="1:63" x14ac:dyDescent="0.2">
      <c r="A121" s="242" t="s">
        <v>156</v>
      </c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8"/>
      <c r="V121" s="242" t="s">
        <v>156</v>
      </c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8"/>
      <c r="AQ121" s="242" t="s">
        <v>156</v>
      </c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8"/>
    </row>
    <row r="122" spans="1:63" x14ac:dyDescent="0.2">
      <c r="A122" s="46" t="s">
        <v>157</v>
      </c>
      <c r="B122" s="47"/>
      <c r="C122" s="47"/>
      <c r="D122" s="47"/>
      <c r="E122" s="52" t="s">
        <v>183</v>
      </c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6" t="s">
        <v>157</v>
      </c>
      <c r="W122" s="47"/>
      <c r="X122" s="47"/>
      <c r="Y122" s="47"/>
      <c r="Z122" s="52" t="s">
        <v>183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6" t="s">
        <v>157</v>
      </c>
      <c r="AR122" s="47"/>
      <c r="AS122" s="47"/>
      <c r="AT122" s="47"/>
      <c r="AU122" s="52" t="s">
        <v>183</v>
      </c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</row>
    <row r="123" spans="1:63" x14ac:dyDescent="0.2">
      <c r="A123" s="242" t="s">
        <v>156</v>
      </c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8"/>
      <c r="V123" s="242" t="s">
        <v>156</v>
      </c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8"/>
      <c r="AQ123" s="242" t="s">
        <v>156</v>
      </c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8"/>
    </row>
    <row r="124" spans="1:63" x14ac:dyDescent="0.2">
      <c r="A124" s="46" t="s">
        <v>158</v>
      </c>
      <c r="B124" s="47"/>
      <c r="C124" s="47"/>
      <c r="D124" s="47"/>
      <c r="E124" s="47"/>
      <c r="F124" s="52" t="s">
        <v>183</v>
      </c>
      <c r="G124" s="52" t="s">
        <v>183</v>
      </c>
      <c r="H124" s="48"/>
      <c r="I124" s="48"/>
      <c r="J124" s="48"/>
      <c r="K124" s="48"/>
      <c r="L124" s="48"/>
      <c r="M124" s="48"/>
      <c r="N124" s="47"/>
      <c r="O124" s="47"/>
      <c r="P124" s="47"/>
      <c r="Q124" s="47"/>
      <c r="R124" s="47"/>
      <c r="S124" s="47"/>
      <c r="T124" s="47"/>
      <c r="U124" s="47"/>
      <c r="V124" s="46" t="s">
        <v>158</v>
      </c>
      <c r="W124" s="47"/>
      <c r="X124" s="47"/>
      <c r="Y124" s="47"/>
      <c r="Z124" s="47"/>
      <c r="AA124" s="52" t="s">
        <v>183</v>
      </c>
      <c r="AB124" s="52" t="s">
        <v>183</v>
      </c>
      <c r="AC124" s="48"/>
      <c r="AD124" s="48"/>
      <c r="AE124" s="48"/>
      <c r="AF124" s="48"/>
      <c r="AG124" s="48"/>
      <c r="AH124" s="48"/>
      <c r="AI124" s="47"/>
      <c r="AJ124" s="47"/>
      <c r="AK124" s="47"/>
      <c r="AL124" s="47"/>
      <c r="AM124" s="47"/>
      <c r="AN124" s="47"/>
      <c r="AO124" s="47"/>
      <c r="AP124" s="47"/>
      <c r="AQ124" s="46" t="s">
        <v>158</v>
      </c>
      <c r="AR124" s="47"/>
      <c r="AS124" s="47"/>
      <c r="AT124" s="47"/>
      <c r="AU124" s="47"/>
      <c r="AV124" s="52" t="s">
        <v>183</v>
      </c>
      <c r="AW124" s="52" t="s">
        <v>183</v>
      </c>
      <c r="AX124" s="48"/>
      <c r="AY124" s="48"/>
      <c r="AZ124" s="48"/>
      <c r="BA124" s="48"/>
      <c r="BB124" s="48"/>
      <c r="BC124" s="48"/>
      <c r="BD124" s="47"/>
      <c r="BE124" s="47"/>
      <c r="BF124" s="47"/>
      <c r="BG124" s="47"/>
      <c r="BH124" s="47"/>
      <c r="BI124" s="47"/>
      <c r="BJ124" s="47"/>
      <c r="BK124" s="47"/>
    </row>
    <row r="125" spans="1:63" x14ac:dyDescent="0.2">
      <c r="A125" s="46" t="s">
        <v>159</v>
      </c>
      <c r="B125" s="47"/>
      <c r="C125" s="47"/>
      <c r="D125" s="47"/>
      <c r="E125" s="47"/>
      <c r="F125" s="52" t="s">
        <v>183</v>
      </c>
      <c r="G125" s="52" t="s">
        <v>183</v>
      </c>
      <c r="H125" s="48"/>
      <c r="I125" s="48"/>
      <c r="J125" s="48"/>
      <c r="K125" s="48"/>
      <c r="L125" s="48"/>
      <c r="M125" s="48"/>
      <c r="N125" s="47"/>
      <c r="O125" s="47"/>
      <c r="P125" s="47"/>
      <c r="Q125" s="47"/>
      <c r="R125" s="47"/>
      <c r="S125" s="47"/>
      <c r="T125" s="47"/>
      <c r="U125" s="47"/>
      <c r="V125" s="46" t="s">
        <v>159</v>
      </c>
      <c r="W125" s="47"/>
      <c r="X125" s="47"/>
      <c r="Y125" s="47"/>
      <c r="Z125" s="47"/>
      <c r="AA125" s="52" t="s">
        <v>183</v>
      </c>
      <c r="AB125" s="52" t="s">
        <v>183</v>
      </c>
      <c r="AC125" s="48"/>
      <c r="AD125" s="48"/>
      <c r="AE125" s="48"/>
      <c r="AF125" s="48"/>
      <c r="AG125" s="48"/>
      <c r="AH125" s="48"/>
      <c r="AI125" s="47"/>
      <c r="AJ125" s="47"/>
      <c r="AK125" s="47"/>
      <c r="AL125" s="47"/>
      <c r="AM125" s="47"/>
      <c r="AN125" s="47"/>
      <c r="AO125" s="47"/>
      <c r="AP125" s="47"/>
      <c r="AQ125" s="46" t="s">
        <v>159</v>
      </c>
      <c r="AR125" s="47"/>
      <c r="AS125" s="47"/>
      <c r="AT125" s="47"/>
      <c r="AU125" s="47"/>
      <c r="AV125" s="52" t="s">
        <v>183</v>
      </c>
      <c r="AW125" s="52" t="s">
        <v>183</v>
      </c>
      <c r="AX125" s="48"/>
      <c r="AY125" s="48"/>
      <c r="AZ125" s="48"/>
      <c r="BA125" s="48"/>
      <c r="BB125" s="48"/>
      <c r="BC125" s="48"/>
      <c r="BD125" s="47"/>
      <c r="BE125" s="47"/>
      <c r="BF125" s="47"/>
      <c r="BG125" s="47"/>
      <c r="BH125" s="47"/>
      <c r="BI125" s="47"/>
      <c r="BJ125" s="47"/>
      <c r="BK125" s="47"/>
    </row>
    <row r="126" spans="1:63" x14ac:dyDescent="0.2">
      <c r="A126" s="46" t="s">
        <v>160</v>
      </c>
      <c r="B126" s="47"/>
      <c r="C126" s="47"/>
      <c r="D126" s="47"/>
      <c r="E126" s="47"/>
      <c r="F126" s="52" t="s">
        <v>183</v>
      </c>
      <c r="G126" s="52" t="s">
        <v>183</v>
      </c>
      <c r="H126" s="48"/>
      <c r="I126" s="48"/>
      <c r="J126" s="48"/>
      <c r="K126" s="48"/>
      <c r="L126" s="48"/>
      <c r="M126" s="48"/>
      <c r="N126" s="47"/>
      <c r="O126" s="47"/>
      <c r="P126" s="47"/>
      <c r="Q126" s="47"/>
      <c r="R126" s="47"/>
      <c r="S126" s="47"/>
      <c r="T126" s="47"/>
      <c r="U126" s="47"/>
      <c r="V126" s="46" t="s">
        <v>160</v>
      </c>
      <c r="W126" s="47"/>
      <c r="X126" s="47"/>
      <c r="Y126" s="47"/>
      <c r="Z126" s="47"/>
      <c r="AA126" s="52" t="s">
        <v>183</v>
      </c>
      <c r="AB126" s="52" t="s">
        <v>183</v>
      </c>
      <c r="AC126" s="48"/>
      <c r="AD126" s="48"/>
      <c r="AE126" s="48"/>
      <c r="AF126" s="48"/>
      <c r="AG126" s="48"/>
      <c r="AH126" s="48"/>
      <c r="AI126" s="47"/>
      <c r="AJ126" s="47"/>
      <c r="AK126" s="47"/>
      <c r="AL126" s="47"/>
      <c r="AM126" s="47"/>
      <c r="AN126" s="47"/>
      <c r="AO126" s="47"/>
      <c r="AP126" s="47"/>
      <c r="AQ126" s="46" t="s">
        <v>160</v>
      </c>
      <c r="AR126" s="47"/>
      <c r="AS126" s="47"/>
      <c r="AT126" s="47"/>
      <c r="AU126" s="47"/>
      <c r="AV126" s="52" t="s">
        <v>183</v>
      </c>
      <c r="AW126" s="52" t="s">
        <v>183</v>
      </c>
      <c r="AX126" s="48"/>
      <c r="AY126" s="48"/>
      <c r="AZ126" s="48"/>
      <c r="BA126" s="48"/>
      <c r="BB126" s="48"/>
      <c r="BC126" s="48"/>
      <c r="BD126" s="47"/>
      <c r="BE126" s="47"/>
      <c r="BF126" s="47"/>
      <c r="BG126" s="47"/>
      <c r="BH126" s="47"/>
      <c r="BI126" s="47"/>
      <c r="BJ126" s="47"/>
      <c r="BK126" s="47"/>
    </row>
    <row r="127" spans="1:63" x14ac:dyDescent="0.2">
      <c r="A127" s="46" t="s">
        <v>161</v>
      </c>
      <c r="B127" s="47"/>
      <c r="C127" s="47"/>
      <c r="D127" s="47"/>
      <c r="E127" s="47"/>
      <c r="F127" s="52" t="s">
        <v>183</v>
      </c>
      <c r="G127" s="52" t="s">
        <v>183</v>
      </c>
      <c r="H127" s="48"/>
      <c r="I127" s="48"/>
      <c r="J127" s="48"/>
      <c r="K127" s="48"/>
      <c r="L127" s="48"/>
      <c r="M127" s="48"/>
      <c r="N127" s="47"/>
      <c r="O127" s="47"/>
      <c r="P127" s="47"/>
      <c r="Q127" s="47"/>
      <c r="R127" s="47"/>
      <c r="S127" s="47"/>
      <c r="T127" s="47"/>
      <c r="U127" s="47"/>
      <c r="V127" s="46" t="s">
        <v>161</v>
      </c>
      <c r="W127" s="47"/>
      <c r="X127" s="47"/>
      <c r="Y127" s="47"/>
      <c r="Z127" s="47"/>
      <c r="AA127" s="52" t="s">
        <v>183</v>
      </c>
      <c r="AB127" s="52" t="s">
        <v>183</v>
      </c>
      <c r="AC127" s="48"/>
      <c r="AD127" s="48"/>
      <c r="AE127" s="48"/>
      <c r="AF127" s="48"/>
      <c r="AG127" s="48"/>
      <c r="AH127" s="48"/>
      <c r="AI127" s="47"/>
      <c r="AJ127" s="47"/>
      <c r="AK127" s="47"/>
      <c r="AL127" s="47"/>
      <c r="AM127" s="47"/>
      <c r="AN127" s="47"/>
      <c r="AO127" s="47"/>
      <c r="AP127" s="47"/>
      <c r="AQ127" s="46" t="s">
        <v>161</v>
      </c>
      <c r="AR127" s="47"/>
      <c r="AS127" s="47"/>
      <c r="AT127" s="47"/>
      <c r="AU127" s="47"/>
      <c r="AV127" s="52" t="s">
        <v>183</v>
      </c>
      <c r="AW127" s="52" t="s">
        <v>183</v>
      </c>
      <c r="AX127" s="48"/>
      <c r="AY127" s="48"/>
      <c r="AZ127" s="48"/>
      <c r="BA127" s="48"/>
      <c r="BB127" s="48"/>
      <c r="BC127" s="48"/>
      <c r="BD127" s="47"/>
      <c r="BE127" s="47"/>
      <c r="BF127" s="47"/>
      <c r="BG127" s="47"/>
      <c r="BH127" s="47"/>
      <c r="BI127" s="47"/>
      <c r="BJ127" s="47"/>
      <c r="BK127" s="47"/>
    </row>
    <row r="128" spans="1:63" x14ac:dyDescent="0.2">
      <c r="A128" s="46" t="s">
        <v>162</v>
      </c>
      <c r="B128" s="47"/>
      <c r="C128" s="47"/>
      <c r="D128" s="47"/>
      <c r="E128" s="47"/>
      <c r="F128" s="52" t="s">
        <v>183</v>
      </c>
      <c r="G128" s="52" t="s">
        <v>183</v>
      </c>
      <c r="H128" s="48"/>
      <c r="I128" s="48"/>
      <c r="J128" s="48"/>
      <c r="K128" s="48"/>
      <c r="L128" s="48"/>
      <c r="M128" s="48"/>
      <c r="N128" s="47"/>
      <c r="O128" s="47"/>
      <c r="P128" s="47"/>
      <c r="Q128" s="47"/>
      <c r="R128" s="47"/>
      <c r="S128" s="47"/>
      <c r="T128" s="47"/>
      <c r="U128" s="47"/>
      <c r="V128" s="46" t="s">
        <v>162</v>
      </c>
      <c r="W128" s="47"/>
      <c r="X128" s="47"/>
      <c r="Y128" s="47"/>
      <c r="Z128" s="47"/>
      <c r="AA128" s="52" t="s">
        <v>183</v>
      </c>
      <c r="AB128" s="52" t="s">
        <v>183</v>
      </c>
      <c r="AC128" s="48"/>
      <c r="AD128" s="48"/>
      <c r="AE128" s="48"/>
      <c r="AF128" s="48"/>
      <c r="AG128" s="48"/>
      <c r="AH128" s="48"/>
      <c r="AI128" s="47"/>
      <c r="AJ128" s="47"/>
      <c r="AK128" s="47"/>
      <c r="AL128" s="47"/>
      <c r="AM128" s="47"/>
      <c r="AN128" s="47"/>
      <c r="AO128" s="47"/>
      <c r="AP128" s="47"/>
      <c r="AQ128" s="46" t="s">
        <v>162</v>
      </c>
      <c r="AR128" s="47"/>
      <c r="AS128" s="47"/>
      <c r="AT128" s="47"/>
      <c r="AU128" s="47"/>
      <c r="AV128" s="52" t="s">
        <v>183</v>
      </c>
      <c r="AW128" s="52" t="s">
        <v>183</v>
      </c>
      <c r="AX128" s="48"/>
      <c r="AY128" s="48"/>
      <c r="AZ128" s="48"/>
      <c r="BA128" s="48"/>
      <c r="BB128" s="48"/>
      <c r="BC128" s="48"/>
      <c r="BD128" s="47"/>
      <c r="BE128" s="47"/>
      <c r="BF128" s="47"/>
      <c r="BG128" s="47"/>
      <c r="BH128" s="47"/>
      <c r="BI128" s="47"/>
      <c r="BJ128" s="47"/>
      <c r="BK128" s="47"/>
    </row>
    <row r="129" spans="1:63" x14ac:dyDescent="0.2">
      <c r="A129" s="46" t="s">
        <v>163</v>
      </c>
      <c r="B129" s="47"/>
      <c r="C129" s="47"/>
      <c r="D129" s="47"/>
      <c r="E129" s="47"/>
      <c r="F129" s="52" t="s">
        <v>183</v>
      </c>
      <c r="G129" s="52" t="s">
        <v>183</v>
      </c>
      <c r="H129" s="48"/>
      <c r="I129" s="48"/>
      <c r="J129" s="48"/>
      <c r="K129" s="48"/>
      <c r="L129" s="48"/>
      <c r="M129" s="48"/>
      <c r="N129" s="47"/>
      <c r="O129" s="47"/>
      <c r="P129" s="47"/>
      <c r="Q129" s="47"/>
      <c r="R129" s="47"/>
      <c r="S129" s="47"/>
      <c r="T129" s="47"/>
      <c r="U129" s="47"/>
      <c r="V129" s="46" t="s">
        <v>163</v>
      </c>
      <c r="W129" s="47"/>
      <c r="X129" s="47"/>
      <c r="Y129" s="47"/>
      <c r="Z129" s="47"/>
      <c r="AA129" s="52" t="s">
        <v>183</v>
      </c>
      <c r="AB129" s="52" t="s">
        <v>183</v>
      </c>
      <c r="AC129" s="48"/>
      <c r="AD129" s="48"/>
      <c r="AE129" s="48"/>
      <c r="AF129" s="48"/>
      <c r="AG129" s="48"/>
      <c r="AH129" s="48"/>
      <c r="AI129" s="47"/>
      <c r="AJ129" s="47"/>
      <c r="AK129" s="47"/>
      <c r="AL129" s="47"/>
      <c r="AM129" s="47"/>
      <c r="AN129" s="47"/>
      <c r="AO129" s="47"/>
      <c r="AP129" s="47"/>
      <c r="AQ129" s="46" t="s">
        <v>163</v>
      </c>
      <c r="AR129" s="47"/>
      <c r="AS129" s="47"/>
      <c r="AT129" s="47"/>
      <c r="AU129" s="47"/>
      <c r="AV129" s="52" t="s">
        <v>183</v>
      </c>
      <c r="AW129" s="52" t="s">
        <v>183</v>
      </c>
      <c r="AX129" s="48"/>
      <c r="AY129" s="48"/>
      <c r="AZ129" s="48"/>
      <c r="BA129" s="48"/>
      <c r="BB129" s="48"/>
      <c r="BC129" s="48"/>
      <c r="BD129" s="47"/>
      <c r="BE129" s="47"/>
      <c r="BF129" s="47"/>
      <c r="BG129" s="47"/>
      <c r="BH129" s="47"/>
      <c r="BI129" s="47"/>
      <c r="BJ129" s="47"/>
      <c r="BK129" s="47"/>
    </row>
    <row r="130" spans="1:63" x14ac:dyDescent="0.2">
      <c r="A130" s="46" t="s">
        <v>164</v>
      </c>
      <c r="B130" s="47"/>
      <c r="C130" s="47"/>
      <c r="D130" s="47"/>
      <c r="E130" s="47"/>
      <c r="F130" s="52" t="s">
        <v>183</v>
      </c>
      <c r="G130" s="52" t="s">
        <v>183</v>
      </c>
      <c r="H130" s="48"/>
      <c r="I130" s="48"/>
      <c r="J130" s="48"/>
      <c r="K130" s="48"/>
      <c r="L130" s="48"/>
      <c r="M130" s="48"/>
      <c r="N130" s="47"/>
      <c r="O130" s="47"/>
      <c r="P130" s="47"/>
      <c r="Q130" s="47"/>
      <c r="R130" s="47"/>
      <c r="S130" s="47"/>
      <c r="T130" s="47"/>
      <c r="U130" s="47"/>
      <c r="V130" s="46" t="s">
        <v>164</v>
      </c>
      <c r="W130" s="47"/>
      <c r="X130" s="47"/>
      <c r="Y130" s="47"/>
      <c r="Z130" s="47"/>
      <c r="AA130" s="52" t="s">
        <v>183</v>
      </c>
      <c r="AB130" s="52" t="s">
        <v>183</v>
      </c>
      <c r="AC130" s="48"/>
      <c r="AD130" s="48"/>
      <c r="AE130" s="48"/>
      <c r="AF130" s="48"/>
      <c r="AG130" s="48"/>
      <c r="AH130" s="48"/>
      <c r="AI130" s="47"/>
      <c r="AJ130" s="47"/>
      <c r="AK130" s="47"/>
      <c r="AL130" s="47"/>
      <c r="AM130" s="47"/>
      <c r="AN130" s="47"/>
      <c r="AO130" s="47"/>
      <c r="AP130" s="47"/>
      <c r="AQ130" s="46" t="s">
        <v>164</v>
      </c>
      <c r="AR130" s="47"/>
      <c r="AS130" s="47"/>
      <c r="AT130" s="47"/>
      <c r="AU130" s="47"/>
      <c r="AV130" s="52" t="s">
        <v>183</v>
      </c>
      <c r="AW130" s="52" t="s">
        <v>183</v>
      </c>
      <c r="AX130" s="48"/>
      <c r="AY130" s="48"/>
      <c r="AZ130" s="48"/>
      <c r="BA130" s="48"/>
      <c r="BB130" s="48"/>
      <c r="BC130" s="48"/>
      <c r="BD130" s="47"/>
      <c r="BE130" s="47"/>
      <c r="BF130" s="47"/>
      <c r="BG130" s="47"/>
      <c r="BH130" s="47"/>
      <c r="BI130" s="47"/>
      <c r="BJ130" s="47"/>
      <c r="BK130" s="47"/>
    </row>
    <row r="131" spans="1:63" x14ac:dyDescent="0.2">
      <c r="A131" s="46" t="s">
        <v>165</v>
      </c>
      <c r="B131" s="47"/>
      <c r="C131" s="47"/>
      <c r="D131" s="47"/>
      <c r="E131" s="47"/>
      <c r="F131" s="52" t="s">
        <v>183</v>
      </c>
      <c r="G131" s="52" t="s">
        <v>183</v>
      </c>
      <c r="H131" s="48"/>
      <c r="I131" s="48"/>
      <c r="J131" s="48"/>
      <c r="K131" s="48"/>
      <c r="L131" s="48"/>
      <c r="M131" s="48"/>
      <c r="N131" s="47"/>
      <c r="O131" s="47"/>
      <c r="P131" s="47"/>
      <c r="Q131" s="47"/>
      <c r="R131" s="47"/>
      <c r="S131" s="47"/>
      <c r="T131" s="47"/>
      <c r="U131" s="47"/>
      <c r="V131" s="46" t="s">
        <v>165</v>
      </c>
      <c r="W131" s="47"/>
      <c r="X131" s="47"/>
      <c r="Y131" s="47"/>
      <c r="Z131" s="47"/>
      <c r="AA131" s="52" t="s">
        <v>183</v>
      </c>
      <c r="AB131" s="52" t="s">
        <v>183</v>
      </c>
      <c r="AC131" s="48"/>
      <c r="AD131" s="48"/>
      <c r="AE131" s="48"/>
      <c r="AF131" s="48"/>
      <c r="AG131" s="48"/>
      <c r="AH131" s="48"/>
      <c r="AI131" s="47"/>
      <c r="AJ131" s="47"/>
      <c r="AK131" s="47"/>
      <c r="AL131" s="47"/>
      <c r="AM131" s="47"/>
      <c r="AN131" s="47"/>
      <c r="AO131" s="47"/>
      <c r="AP131" s="47"/>
      <c r="AQ131" s="46" t="s">
        <v>165</v>
      </c>
      <c r="AR131" s="47"/>
      <c r="AS131" s="47"/>
      <c r="AT131" s="47"/>
      <c r="AU131" s="47"/>
      <c r="AV131" s="52" t="s">
        <v>183</v>
      </c>
      <c r="AW131" s="52" t="s">
        <v>183</v>
      </c>
      <c r="AX131" s="48"/>
      <c r="AY131" s="48"/>
      <c r="AZ131" s="48"/>
      <c r="BA131" s="48"/>
      <c r="BB131" s="48"/>
      <c r="BC131" s="48"/>
      <c r="BD131" s="47"/>
      <c r="BE131" s="47"/>
      <c r="BF131" s="47"/>
      <c r="BG131" s="47"/>
      <c r="BH131" s="47"/>
      <c r="BI131" s="47"/>
      <c r="BJ131" s="47"/>
      <c r="BK131" s="47"/>
    </row>
    <row r="132" spans="1:63" x14ac:dyDescent="0.2">
      <c r="A132" s="247" t="s">
        <v>156</v>
      </c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47" t="s">
        <v>156</v>
      </c>
      <c r="W132" s="227"/>
      <c r="X132" s="227"/>
      <c r="Y132" s="227"/>
      <c r="Z132" s="227"/>
      <c r="AA132" s="227"/>
      <c r="AB132" s="227"/>
      <c r="AC132" s="227"/>
      <c r="AD132" s="227"/>
      <c r="AE132" s="227"/>
      <c r="AF132" s="227"/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47" t="s">
        <v>156</v>
      </c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27"/>
      <c r="BC132" s="227"/>
      <c r="BD132" s="227"/>
      <c r="BE132" s="227"/>
      <c r="BF132" s="227"/>
      <c r="BG132" s="227"/>
      <c r="BH132" s="227"/>
      <c r="BI132" s="227"/>
      <c r="BJ132" s="227"/>
      <c r="BK132" s="227"/>
    </row>
    <row r="133" spans="1:63" x14ac:dyDescent="0.2">
      <c r="A133" s="49" t="s">
        <v>166</v>
      </c>
      <c r="B133" s="49"/>
      <c r="C133" s="47"/>
      <c r="D133" s="47"/>
      <c r="E133" s="47"/>
      <c r="F133" s="47"/>
      <c r="G133" s="48"/>
      <c r="H133" s="52" t="s">
        <v>183</v>
      </c>
      <c r="I133" s="52" t="s">
        <v>183</v>
      </c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9" t="s">
        <v>166</v>
      </c>
      <c r="W133" s="49"/>
      <c r="X133" s="47"/>
      <c r="Y133" s="47"/>
      <c r="Z133" s="47"/>
      <c r="AA133" s="47"/>
      <c r="AB133" s="48"/>
      <c r="AC133" s="52" t="s">
        <v>183</v>
      </c>
      <c r="AD133" s="52" t="s">
        <v>183</v>
      </c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9" t="s">
        <v>166</v>
      </c>
      <c r="AR133" s="49"/>
      <c r="AS133" s="47"/>
      <c r="AT133" s="47"/>
      <c r="AU133" s="47"/>
      <c r="AV133" s="47"/>
      <c r="AW133" s="48"/>
      <c r="AX133" s="52" t="s">
        <v>183</v>
      </c>
      <c r="AY133" s="52" t="s">
        <v>183</v>
      </c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</row>
    <row r="134" spans="1:63" x14ac:dyDescent="0.2">
      <c r="A134" s="49" t="s">
        <v>167</v>
      </c>
      <c r="B134" s="49"/>
      <c r="C134" s="47"/>
      <c r="D134" s="47"/>
      <c r="E134" s="47"/>
      <c r="F134" s="47"/>
      <c r="G134" s="48"/>
      <c r="H134" s="52" t="s">
        <v>183</v>
      </c>
      <c r="I134" s="52" t="s">
        <v>183</v>
      </c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9" t="s">
        <v>167</v>
      </c>
      <c r="W134" s="49"/>
      <c r="X134" s="47"/>
      <c r="Y134" s="47"/>
      <c r="Z134" s="47"/>
      <c r="AA134" s="47"/>
      <c r="AB134" s="48"/>
      <c r="AC134" s="52" t="s">
        <v>183</v>
      </c>
      <c r="AD134" s="52" t="s">
        <v>183</v>
      </c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9" t="s">
        <v>167</v>
      </c>
      <c r="AR134" s="49"/>
      <c r="AS134" s="47"/>
      <c r="AT134" s="47"/>
      <c r="AU134" s="47"/>
      <c r="AV134" s="47"/>
      <c r="AW134" s="48"/>
      <c r="AX134" s="52" t="s">
        <v>183</v>
      </c>
      <c r="AY134" s="52" t="s">
        <v>183</v>
      </c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</row>
    <row r="135" spans="1:63" x14ac:dyDescent="0.2">
      <c r="A135" s="49" t="s">
        <v>168</v>
      </c>
      <c r="B135" s="49"/>
      <c r="C135" s="47"/>
      <c r="D135" s="47"/>
      <c r="E135" s="47"/>
      <c r="F135" s="47"/>
      <c r="G135" s="48"/>
      <c r="H135" s="52" t="s">
        <v>183</v>
      </c>
      <c r="I135" s="52" t="s">
        <v>183</v>
      </c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9" t="s">
        <v>168</v>
      </c>
      <c r="W135" s="49"/>
      <c r="X135" s="47"/>
      <c r="Y135" s="47"/>
      <c r="Z135" s="47"/>
      <c r="AA135" s="47"/>
      <c r="AB135" s="48"/>
      <c r="AC135" s="52" t="s">
        <v>183</v>
      </c>
      <c r="AD135" s="52" t="s">
        <v>183</v>
      </c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9" t="s">
        <v>168</v>
      </c>
      <c r="AR135" s="49"/>
      <c r="AS135" s="47"/>
      <c r="AT135" s="47"/>
      <c r="AU135" s="47"/>
      <c r="AV135" s="47"/>
      <c r="AW135" s="48"/>
      <c r="AX135" s="52" t="s">
        <v>183</v>
      </c>
      <c r="AY135" s="52" t="s">
        <v>183</v>
      </c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</row>
    <row r="136" spans="1:63" x14ac:dyDescent="0.2">
      <c r="A136" s="49" t="s">
        <v>169</v>
      </c>
      <c r="B136" s="49"/>
      <c r="C136" s="47"/>
      <c r="D136" s="47"/>
      <c r="E136" s="47"/>
      <c r="F136" s="47"/>
      <c r="G136" s="48"/>
      <c r="H136" s="52" t="s">
        <v>183</v>
      </c>
      <c r="I136" s="52" t="s">
        <v>183</v>
      </c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9" t="s">
        <v>169</v>
      </c>
      <c r="W136" s="49"/>
      <c r="X136" s="47"/>
      <c r="Y136" s="47"/>
      <c r="Z136" s="47"/>
      <c r="AA136" s="47"/>
      <c r="AB136" s="48"/>
      <c r="AC136" s="52" t="s">
        <v>183</v>
      </c>
      <c r="AD136" s="52" t="s">
        <v>183</v>
      </c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9" t="s">
        <v>169</v>
      </c>
      <c r="AR136" s="49"/>
      <c r="AS136" s="47"/>
      <c r="AT136" s="47"/>
      <c r="AU136" s="47"/>
      <c r="AV136" s="47"/>
      <c r="AW136" s="48"/>
      <c r="AX136" s="52" t="s">
        <v>183</v>
      </c>
      <c r="AY136" s="52" t="s">
        <v>183</v>
      </c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</row>
    <row r="137" spans="1:63" x14ac:dyDescent="0.2">
      <c r="A137" s="49" t="s">
        <v>170</v>
      </c>
      <c r="B137" s="49"/>
      <c r="C137" s="47"/>
      <c r="D137" s="47"/>
      <c r="E137" s="47"/>
      <c r="F137" s="47"/>
      <c r="G137" s="47"/>
      <c r="H137" s="47"/>
      <c r="I137" s="47"/>
      <c r="J137" s="52" t="s">
        <v>183</v>
      </c>
      <c r="K137" s="52" t="s">
        <v>183</v>
      </c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9" t="s">
        <v>170</v>
      </c>
      <c r="W137" s="49"/>
      <c r="X137" s="47"/>
      <c r="Y137" s="47"/>
      <c r="Z137" s="47"/>
      <c r="AA137" s="47"/>
      <c r="AB137" s="47"/>
      <c r="AC137" s="47"/>
      <c r="AD137" s="47"/>
      <c r="AE137" s="52" t="s">
        <v>183</v>
      </c>
      <c r="AF137" s="52" t="s">
        <v>183</v>
      </c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9" t="s">
        <v>170</v>
      </c>
      <c r="AR137" s="49"/>
      <c r="AS137" s="47"/>
      <c r="AT137" s="47"/>
      <c r="AU137" s="47"/>
      <c r="AV137" s="47"/>
      <c r="AW137" s="47"/>
      <c r="AX137" s="47"/>
      <c r="AY137" s="47"/>
      <c r="AZ137" s="52" t="s">
        <v>183</v>
      </c>
      <c r="BA137" s="52" t="s">
        <v>183</v>
      </c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</row>
    <row r="138" spans="1:63" x14ac:dyDescent="0.2">
      <c r="A138" s="49" t="s">
        <v>171</v>
      </c>
      <c r="B138" s="49"/>
      <c r="C138" s="47"/>
      <c r="D138" s="47"/>
      <c r="E138" s="47"/>
      <c r="F138" s="47"/>
      <c r="G138" s="47"/>
      <c r="H138" s="47"/>
      <c r="I138" s="47"/>
      <c r="J138" s="52" t="s">
        <v>183</v>
      </c>
      <c r="K138" s="52" t="s">
        <v>183</v>
      </c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9" t="s">
        <v>171</v>
      </c>
      <c r="W138" s="49"/>
      <c r="X138" s="47"/>
      <c r="Y138" s="47"/>
      <c r="Z138" s="47"/>
      <c r="AA138" s="47"/>
      <c r="AB138" s="47"/>
      <c r="AC138" s="47"/>
      <c r="AD138" s="47"/>
      <c r="AE138" s="52" t="s">
        <v>183</v>
      </c>
      <c r="AF138" s="52" t="s">
        <v>183</v>
      </c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9" t="s">
        <v>171</v>
      </c>
      <c r="AR138" s="49"/>
      <c r="AS138" s="47"/>
      <c r="AT138" s="47"/>
      <c r="AU138" s="47"/>
      <c r="AV138" s="47"/>
      <c r="AW138" s="47"/>
      <c r="AX138" s="47"/>
      <c r="AY138" s="47"/>
      <c r="AZ138" s="52" t="s">
        <v>183</v>
      </c>
      <c r="BA138" s="52" t="s">
        <v>183</v>
      </c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</row>
    <row r="139" spans="1:63" x14ac:dyDescent="0.2">
      <c r="A139" s="49" t="s">
        <v>172</v>
      </c>
      <c r="B139" s="49"/>
      <c r="C139" s="47"/>
      <c r="D139" s="47"/>
      <c r="E139" s="47"/>
      <c r="F139" s="47"/>
      <c r="G139" s="47"/>
      <c r="H139" s="47"/>
      <c r="I139" s="47"/>
      <c r="J139" s="52" t="s">
        <v>183</v>
      </c>
      <c r="K139" s="52" t="s">
        <v>183</v>
      </c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9" t="s">
        <v>172</v>
      </c>
      <c r="W139" s="49"/>
      <c r="X139" s="47"/>
      <c r="Y139" s="47"/>
      <c r="Z139" s="47"/>
      <c r="AA139" s="47"/>
      <c r="AB139" s="47"/>
      <c r="AC139" s="47"/>
      <c r="AD139" s="47"/>
      <c r="AE139" s="52" t="s">
        <v>183</v>
      </c>
      <c r="AF139" s="52" t="s">
        <v>183</v>
      </c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9" t="s">
        <v>172</v>
      </c>
      <c r="AR139" s="49"/>
      <c r="AS139" s="47"/>
      <c r="AT139" s="47"/>
      <c r="AU139" s="47"/>
      <c r="AV139" s="47"/>
      <c r="AW139" s="47"/>
      <c r="AX139" s="47"/>
      <c r="AY139" s="47"/>
      <c r="AZ139" s="52" t="s">
        <v>183</v>
      </c>
      <c r="BA139" s="52" t="s">
        <v>183</v>
      </c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</row>
    <row r="140" spans="1:63" x14ac:dyDescent="0.2">
      <c r="A140" s="46" t="s">
        <v>173</v>
      </c>
      <c r="B140" s="47"/>
      <c r="C140" s="47"/>
      <c r="D140" s="47"/>
      <c r="E140" s="47"/>
      <c r="F140" s="47"/>
      <c r="G140" s="47"/>
      <c r="H140" s="47"/>
      <c r="I140" s="47"/>
      <c r="J140" s="52" t="s">
        <v>183</v>
      </c>
      <c r="K140" s="52" t="s">
        <v>183</v>
      </c>
      <c r="L140" s="47"/>
      <c r="M140" s="47"/>
      <c r="N140" s="48"/>
      <c r="O140" s="48"/>
      <c r="P140" s="47"/>
      <c r="Q140" s="47"/>
      <c r="R140" s="47"/>
      <c r="S140" s="47"/>
      <c r="T140" s="47"/>
      <c r="U140" s="47"/>
      <c r="V140" s="46" t="s">
        <v>173</v>
      </c>
      <c r="W140" s="47"/>
      <c r="X140" s="47"/>
      <c r="Y140" s="47"/>
      <c r="Z140" s="47"/>
      <c r="AA140" s="47"/>
      <c r="AB140" s="47"/>
      <c r="AC140" s="47"/>
      <c r="AD140" s="47"/>
      <c r="AE140" s="52" t="s">
        <v>183</v>
      </c>
      <c r="AF140" s="52" t="s">
        <v>183</v>
      </c>
      <c r="AG140" s="47"/>
      <c r="AH140" s="47"/>
      <c r="AI140" s="48"/>
      <c r="AJ140" s="48"/>
      <c r="AK140" s="47"/>
      <c r="AL140" s="47"/>
      <c r="AM140" s="47"/>
      <c r="AN140" s="47"/>
      <c r="AO140" s="47"/>
      <c r="AP140" s="47"/>
      <c r="AQ140" s="46" t="s">
        <v>173</v>
      </c>
      <c r="AR140" s="47"/>
      <c r="AS140" s="47"/>
      <c r="AT140" s="47"/>
      <c r="AU140" s="47"/>
      <c r="AV140" s="47"/>
      <c r="AW140" s="47"/>
      <c r="AX140" s="47"/>
      <c r="AY140" s="47"/>
      <c r="AZ140" s="52" t="s">
        <v>183</v>
      </c>
      <c r="BA140" s="52" t="s">
        <v>183</v>
      </c>
      <c r="BB140" s="47"/>
      <c r="BC140" s="47"/>
      <c r="BD140" s="48"/>
      <c r="BE140" s="48"/>
      <c r="BF140" s="47"/>
      <c r="BG140" s="47"/>
      <c r="BH140" s="47"/>
      <c r="BI140" s="47"/>
      <c r="BJ140" s="47"/>
      <c r="BK140" s="47"/>
    </row>
    <row r="141" spans="1:63" x14ac:dyDescent="0.2">
      <c r="A141" s="46" t="s">
        <v>174</v>
      </c>
      <c r="B141" s="47"/>
      <c r="C141" s="47"/>
      <c r="D141" s="47"/>
      <c r="E141" s="47"/>
      <c r="F141" s="47"/>
      <c r="G141" s="47"/>
      <c r="H141" s="47"/>
      <c r="I141" s="47"/>
      <c r="J141" s="52" t="s">
        <v>183</v>
      </c>
      <c r="K141" s="52" t="s">
        <v>183</v>
      </c>
      <c r="L141" s="47"/>
      <c r="M141" s="47"/>
      <c r="N141" s="48"/>
      <c r="O141" s="48"/>
      <c r="P141" s="47"/>
      <c r="Q141" s="47"/>
      <c r="R141" s="47"/>
      <c r="S141" s="47"/>
      <c r="T141" s="47"/>
      <c r="U141" s="47"/>
      <c r="V141" s="46" t="s">
        <v>174</v>
      </c>
      <c r="W141" s="47"/>
      <c r="X141" s="47"/>
      <c r="Y141" s="47"/>
      <c r="Z141" s="47"/>
      <c r="AA141" s="47"/>
      <c r="AB141" s="47"/>
      <c r="AC141" s="47"/>
      <c r="AD141" s="47"/>
      <c r="AE141" s="52" t="s">
        <v>183</v>
      </c>
      <c r="AF141" s="52" t="s">
        <v>183</v>
      </c>
      <c r="AG141" s="47"/>
      <c r="AH141" s="47"/>
      <c r="AI141" s="48"/>
      <c r="AJ141" s="48"/>
      <c r="AK141" s="47"/>
      <c r="AL141" s="47"/>
      <c r="AM141" s="47"/>
      <c r="AN141" s="47"/>
      <c r="AO141" s="47"/>
      <c r="AP141" s="47"/>
      <c r="AQ141" s="46" t="s">
        <v>174</v>
      </c>
      <c r="AR141" s="47"/>
      <c r="AS141" s="47"/>
      <c r="AT141" s="47"/>
      <c r="AU141" s="47"/>
      <c r="AV141" s="47"/>
      <c r="AW141" s="47"/>
      <c r="AX141" s="47"/>
      <c r="AY141" s="47"/>
      <c r="AZ141" s="52" t="s">
        <v>183</v>
      </c>
      <c r="BA141" s="52" t="s">
        <v>183</v>
      </c>
      <c r="BB141" s="47"/>
      <c r="BC141" s="47"/>
      <c r="BD141" s="48"/>
      <c r="BE141" s="48"/>
      <c r="BF141" s="47"/>
      <c r="BG141" s="47"/>
      <c r="BH141" s="47"/>
      <c r="BI141" s="47"/>
      <c r="BJ141" s="47"/>
      <c r="BK141" s="47"/>
    </row>
    <row r="142" spans="1:63" x14ac:dyDescent="0.2">
      <c r="A142" s="242" t="s">
        <v>156</v>
      </c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8"/>
      <c r="V142" s="242" t="s">
        <v>156</v>
      </c>
      <c r="W142" s="227"/>
      <c r="X142" s="227"/>
      <c r="Y142" s="227"/>
      <c r="Z142" s="227"/>
      <c r="AA142" s="227"/>
      <c r="AB142" s="227"/>
      <c r="AC142" s="227"/>
      <c r="AD142" s="227"/>
      <c r="AE142" s="227"/>
      <c r="AF142" s="227"/>
      <c r="AG142" s="227"/>
      <c r="AH142" s="227"/>
      <c r="AI142" s="227"/>
      <c r="AJ142" s="227"/>
      <c r="AK142" s="227"/>
      <c r="AL142" s="227"/>
      <c r="AM142" s="227"/>
      <c r="AN142" s="227"/>
      <c r="AO142" s="227"/>
      <c r="AP142" s="228"/>
      <c r="AQ142" s="242" t="s">
        <v>156</v>
      </c>
      <c r="AR142" s="227"/>
      <c r="AS142" s="227"/>
      <c r="AT142" s="227"/>
      <c r="AU142" s="227"/>
      <c r="AV142" s="227"/>
      <c r="AW142" s="227"/>
      <c r="AX142" s="227"/>
      <c r="AY142" s="227"/>
      <c r="AZ142" s="227"/>
      <c r="BA142" s="227"/>
      <c r="BB142" s="227"/>
      <c r="BC142" s="227"/>
      <c r="BD142" s="227"/>
      <c r="BE142" s="227"/>
      <c r="BF142" s="227"/>
      <c r="BG142" s="227"/>
      <c r="BH142" s="227"/>
      <c r="BI142" s="227"/>
      <c r="BJ142" s="227"/>
      <c r="BK142" s="228"/>
    </row>
    <row r="143" spans="1:63" x14ac:dyDescent="0.2">
      <c r="A143" s="49" t="s">
        <v>175</v>
      </c>
      <c r="B143" s="49"/>
      <c r="C143" s="47"/>
      <c r="D143" s="47"/>
      <c r="E143" s="47"/>
      <c r="F143" s="47"/>
      <c r="G143" s="47"/>
      <c r="H143" s="47"/>
      <c r="I143" s="47"/>
      <c r="J143" s="47"/>
      <c r="K143" s="47"/>
      <c r="L143" s="52" t="s">
        <v>183</v>
      </c>
      <c r="M143" s="52" t="s">
        <v>183</v>
      </c>
      <c r="N143" s="47"/>
      <c r="O143" s="47"/>
      <c r="P143" s="47"/>
      <c r="Q143" s="47"/>
      <c r="R143" s="47"/>
      <c r="S143" s="47"/>
      <c r="T143" s="47"/>
      <c r="U143" s="47"/>
      <c r="V143" s="49" t="s">
        <v>175</v>
      </c>
      <c r="W143" s="49"/>
      <c r="X143" s="47"/>
      <c r="Y143" s="47"/>
      <c r="Z143" s="47"/>
      <c r="AA143" s="47"/>
      <c r="AB143" s="47"/>
      <c r="AC143" s="47"/>
      <c r="AD143" s="47"/>
      <c r="AE143" s="47"/>
      <c r="AF143" s="47"/>
      <c r="AG143" s="52" t="s">
        <v>183</v>
      </c>
      <c r="AH143" s="52" t="s">
        <v>183</v>
      </c>
      <c r="AI143" s="47"/>
      <c r="AJ143" s="47"/>
      <c r="AK143" s="47"/>
      <c r="AL143" s="47"/>
      <c r="AM143" s="47"/>
      <c r="AN143" s="47"/>
      <c r="AO143" s="47"/>
      <c r="AP143" s="47"/>
      <c r="AQ143" s="49" t="s">
        <v>175</v>
      </c>
      <c r="AR143" s="49"/>
      <c r="AS143" s="47"/>
      <c r="AT143" s="47"/>
      <c r="AU143" s="47"/>
      <c r="AV143" s="47"/>
      <c r="AW143" s="47"/>
      <c r="AX143" s="47"/>
      <c r="AY143" s="47"/>
      <c r="AZ143" s="47"/>
      <c r="BA143" s="47"/>
      <c r="BB143" s="52" t="s">
        <v>183</v>
      </c>
      <c r="BC143" s="52" t="s">
        <v>183</v>
      </c>
      <c r="BD143" s="47"/>
      <c r="BE143" s="47"/>
      <c r="BF143" s="47"/>
      <c r="BG143" s="47"/>
      <c r="BH143" s="47"/>
      <c r="BI143" s="47"/>
      <c r="BJ143" s="47"/>
      <c r="BK143" s="47"/>
    </row>
    <row r="144" spans="1:63" x14ac:dyDescent="0.2">
      <c r="A144" s="49" t="s">
        <v>176</v>
      </c>
      <c r="B144" s="49"/>
      <c r="C144" s="47"/>
      <c r="D144" s="47"/>
      <c r="E144" s="47"/>
      <c r="F144" s="47"/>
      <c r="G144" s="47"/>
      <c r="H144" s="47"/>
      <c r="I144" s="47"/>
      <c r="J144" s="47"/>
      <c r="K144" s="47"/>
      <c r="L144" s="52" t="s">
        <v>183</v>
      </c>
      <c r="M144" s="52" t="s">
        <v>183</v>
      </c>
      <c r="N144" s="47"/>
      <c r="O144" s="47"/>
      <c r="P144" s="47"/>
      <c r="Q144" s="47"/>
      <c r="R144" s="47"/>
      <c r="S144" s="47"/>
      <c r="T144" s="47"/>
      <c r="U144" s="47"/>
      <c r="V144" s="49" t="s">
        <v>176</v>
      </c>
      <c r="W144" s="49"/>
      <c r="X144" s="47"/>
      <c r="Y144" s="47"/>
      <c r="Z144" s="47"/>
      <c r="AA144" s="47"/>
      <c r="AB144" s="47"/>
      <c r="AC144" s="47"/>
      <c r="AD144" s="47"/>
      <c r="AE144" s="47"/>
      <c r="AF144" s="47"/>
      <c r="AG144" s="52" t="s">
        <v>183</v>
      </c>
      <c r="AH144" s="52" t="s">
        <v>183</v>
      </c>
      <c r="AI144" s="47"/>
      <c r="AJ144" s="47"/>
      <c r="AK144" s="47"/>
      <c r="AL144" s="47"/>
      <c r="AM144" s="47"/>
      <c r="AN144" s="47"/>
      <c r="AO144" s="47"/>
      <c r="AP144" s="47"/>
      <c r="AQ144" s="49" t="s">
        <v>176</v>
      </c>
      <c r="AR144" s="49"/>
      <c r="AS144" s="47"/>
      <c r="AT144" s="47"/>
      <c r="AU144" s="47"/>
      <c r="AV144" s="47"/>
      <c r="AW144" s="47"/>
      <c r="AX144" s="47"/>
      <c r="AY144" s="47"/>
      <c r="AZ144" s="47"/>
      <c r="BA144" s="47"/>
      <c r="BB144" s="52" t="s">
        <v>183</v>
      </c>
      <c r="BC144" s="52" t="s">
        <v>183</v>
      </c>
      <c r="BD144" s="47"/>
      <c r="BE144" s="47"/>
      <c r="BF144" s="47"/>
      <c r="BG144" s="47"/>
      <c r="BH144" s="47"/>
      <c r="BI144" s="47"/>
      <c r="BJ144" s="47"/>
      <c r="BK144" s="47"/>
    </row>
    <row r="145" spans="1:63" x14ac:dyDescent="0.2">
      <c r="A145" s="49" t="s">
        <v>177</v>
      </c>
      <c r="B145" s="49"/>
      <c r="C145" s="47"/>
      <c r="D145" s="47"/>
      <c r="E145" s="47"/>
      <c r="F145" s="47"/>
      <c r="G145" s="47"/>
      <c r="H145" s="47"/>
      <c r="I145" s="47"/>
      <c r="J145" s="47"/>
      <c r="K145" s="47"/>
      <c r="L145" s="52" t="s">
        <v>183</v>
      </c>
      <c r="M145" s="52" t="s">
        <v>183</v>
      </c>
      <c r="N145" s="47"/>
      <c r="O145" s="47"/>
      <c r="P145" s="47"/>
      <c r="Q145" s="47"/>
      <c r="R145" s="47"/>
      <c r="S145" s="47"/>
      <c r="T145" s="47"/>
      <c r="U145" s="47"/>
      <c r="V145" s="49" t="s">
        <v>177</v>
      </c>
      <c r="W145" s="49"/>
      <c r="X145" s="47"/>
      <c r="Y145" s="47"/>
      <c r="Z145" s="47"/>
      <c r="AA145" s="47"/>
      <c r="AB145" s="47"/>
      <c r="AC145" s="47"/>
      <c r="AD145" s="47"/>
      <c r="AE145" s="47"/>
      <c r="AF145" s="47"/>
      <c r="AG145" s="52" t="s">
        <v>183</v>
      </c>
      <c r="AH145" s="52" t="s">
        <v>183</v>
      </c>
      <c r="AI145" s="47"/>
      <c r="AJ145" s="47"/>
      <c r="AK145" s="47"/>
      <c r="AL145" s="47"/>
      <c r="AM145" s="47"/>
      <c r="AN145" s="47"/>
      <c r="AO145" s="47"/>
      <c r="AP145" s="47"/>
      <c r="AQ145" s="49" t="s">
        <v>177</v>
      </c>
      <c r="AR145" s="49"/>
      <c r="AS145" s="47"/>
      <c r="AT145" s="47"/>
      <c r="AU145" s="47"/>
      <c r="AV145" s="47"/>
      <c r="AW145" s="47"/>
      <c r="AX145" s="47"/>
      <c r="AY145" s="47"/>
      <c r="AZ145" s="47"/>
      <c r="BA145" s="47"/>
      <c r="BB145" s="52" t="s">
        <v>183</v>
      </c>
      <c r="BC145" s="52" t="s">
        <v>183</v>
      </c>
      <c r="BD145" s="47"/>
      <c r="BE145" s="47"/>
      <c r="BF145" s="47"/>
      <c r="BG145" s="47"/>
      <c r="BH145" s="47"/>
      <c r="BI145" s="47"/>
      <c r="BJ145" s="47"/>
      <c r="BK145" s="47"/>
    </row>
    <row r="146" spans="1:63" x14ac:dyDescent="0.2">
      <c r="A146" s="49" t="s">
        <v>178</v>
      </c>
      <c r="B146" s="49"/>
      <c r="C146" s="47"/>
      <c r="D146" s="47"/>
      <c r="E146" s="47"/>
      <c r="F146" s="47"/>
      <c r="G146" s="47"/>
      <c r="H146" s="47"/>
      <c r="I146" s="47"/>
      <c r="J146" s="47"/>
      <c r="K146" s="47"/>
      <c r="L146" s="52" t="s">
        <v>183</v>
      </c>
      <c r="M146" s="52" t="s">
        <v>183</v>
      </c>
      <c r="N146" s="47"/>
      <c r="O146" s="47"/>
      <c r="P146" s="47"/>
      <c r="Q146" s="47"/>
      <c r="R146" s="47"/>
      <c r="S146" s="47"/>
      <c r="T146" s="47"/>
      <c r="U146" s="47"/>
      <c r="V146" s="49" t="s">
        <v>178</v>
      </c>
      <c r="W146" s="49"/>
      <c r="X146" s="47"/>
      <c r="Y146" s="47"/>
      <c r="Z146" s="47"/>
      <c r="AA146" s="47"/>
      <c r="AB146" s="47"/>
      <c r="AC146" s="47"/>
      <c r="AD146" s="47"/>
      <c r="AE146" s="47"/>
      <c r="AF146" s="47"/>
      <c r="AG146" s="52" t="s">
        <v>183</v>
      </c>
      <c r="AH146" s="52" t="s">
        <v>183</v>
      </c>
      <c r="AI146" s="47"/>
      <c r="AJ146" s="47"/>
      <c r="AK146" s="47"/>
      <c r="AL146" s="47"/>
      <c r="AM146" s="47"/>
      <c r="AN146" s="47"/>
      <c r="AO146" s="47"/>
      <c r="AP146" s="47"/>
      <c r="AQ146" s="49" t="s">
        <v>178</v>
      </c>
      <c r="AR146" s="49"/>
      <c r="AS146" s="47"/>
      <c r="AT146" s="47"/>
      <c r="AU146" s="47"/>
      <c r="AV146" s="47"/>
      <c r="AW146" s="47"/>
      <c r="AX146" s="47"/>
      <c r="AY146" s="47"/>
      <c r="AZ146" s="47"/>
      <c r="BA146" s="47"/>
      <c r="BB146" s="52" t="s">
        <v>183</v>
      </c>
      <c r="BC146" s="52" t="s">
        <v>183</v>
      </c>
      <c r="BD146" s="47"/>
      <c r="BE146" s="47"/>
      <c r="BF146" s="47"/>
      <c r="BG146" s="47"/>
      <c r="BH146" s="47"/>
      <c r="BI146" s="47"/>
      <c r="BJ146" s="47"/>
      <c r="BK146" s="47"/>
    </row>
    <row r="147" spans="1:63" x14ac:dyDescent="0.2">
      <c r="A147" s="49" t="s">
        <v>179</v>
      </c>
      <c r="B147" s="49"/>
      <c r="C147" s="47"/>
      <c r="D147" s="47"/>
      <c r="E147" s="47"/>
      <c r="F147" s="47"/>
      <c r="G147" s="47"/>
      <c r="H147" s="47"/>
      <c r="I147" s="47"/>
      <c r="J147" s="47"/>
      <c r="K147" s="47"/>
      <c r="L147" s="52" t="s">
        <v>183</v>
      </c>
      <c r="M147" s="52" t="s">
        <v>183</v>
      </c>
      <c r="N147" s="47"/>
      <c r="O147" s="47"/>
      <c r="P147" s="47"/>
      <c r="Q147" s="47"/>
      <c r="R147" s="47"/>
      <c r="S147" s="47"/>
      <c r="T147" s="47"/>
      <c r="U147" s="47"/>
      <c r="V147" s="49" t="s">
        <v>179</v>
      </c>
      <c r="W147" s="49"/>
      <c r="X147" s="47"/>
      <c r="Y147" s="47"/>
      <c r="Z147" s="47"/>
      <c r="AA147" s="47"/>
      <c r="AB147" s="47"/>
      <c r="AC147" s="47"/>
      <c r="AD147" s="47"/>
      <c r="AE147" s="47"/>
      <c r="AF147" s="47"/>
      <c r="AG147" s="52" t="s">
        <v>183</v>
      </c>
      <c r="AH147" s="52" t="s">
        <v>183</v>
      </c>
      <c r="AI147" s="47"/>
      <c r="AJ147" s="47"/>
      <c r="AK147" s="47"/>
      <c r="AL147" s="47"/>
      <c r="AM147" s="47"/>
      <c r="AN147" s="47"/>
      <c r="AO147" s="47"/>
      <c r="AP147" s="47"/>
      <c r="AQ147" s="49" t="s">
        <v>179</v>
      </c>
      <c r="AR147" s="49"/>
      <c r="AS147" s="47"/>
      <c r="AT147" s="47"/>
      <c r="AU147" s="47"/>
      <c r="AV147" s="47"/>
      <c r="AW147" s="47"/>
      <c r="AX147" s="47"/>
      <c r="AY147" s="47"/>
      <c r="AZ147" s="47"/>
      <c r="BA147" s="47"/>
      <c r="BB147" s="52" t="s">
        <v>183</v>
      </c>
      <c r="BC147" s="52" t="s">
        <v>183</v>
      </c>
      <c r="BD147" s="47"/>
      <c r="BE147" s="47"/>
      <c r="BF147" s="47"/>
      <c r="BG147" s="47"/>
      <c r="BH147" s="47"/>
      <c r="BI147" s="47"/>
      <c r="BJ147" s="47"/>
      <c r="BK147" s="47"/>
    </row>
    <row r="148" spans="1:63" x14ac:dyDescent="0.2">
      <c r="A148" s="49" t="s">
        <v>180</v>
      </c>
      <c r="B148" s="49"/>
      <c r="C148" s="47"/>
      <c r="D148" s="47"/>
      <c r="E148" s="47"/>
      <c r="F148" s="47"/>
      <c r="G148" s="47"/>
      <c r="H148" s="47"/>
      <c r="I148" s="47"/>
      <c r="J148" s="47"/>
      <c r="K148" s="47"/>
      <c r="L148" s="52" t="s">
        <v>183</v>
      </c>
      <c r="M148" s="52" t="s">
        <v>183</v>
      </c>
      <c r="N148" s="47"/>
      <c r="O148" s="47"/>
      <c r="P148" s="47"/>
      <c r="Q148" s="47"/>
      <c r="R148" s="47"/>
      <c r="S148" s="47"/>
      <c r="T148" s="47"/>
      <c r="U148" s="47"/>
      <c r="V148" s="49" t="s">
        <v>180</v>
      </c>
      <c r="W148" s="49"/>
      <c r="X148" s="47"/>
      <c r="Y148" s="47"/>
      <c r="Z148" s="47"/>
      <c r="AA148" s="47"/>
      <c r="AB148" s="47"/>
      <c r="AC148" s="47"/>
      <c r="AD148" s="47"/>
      <c r="AE148" s="47"/>
      <c r="AF148" s="47"/>
      <c r="AG148" s="52" t="s">
        <v>183</v>
      </c>
      <c r="AH148" s="52" t="s">
        <v>183</v>
      </c>
      <c r="AI148" s="47"/>
      <c r="AJ148" s="47"/>
      <c r="AK148" s="47"/>
      <c r="AL148" s="47"/>
      <c r="AM148" s="47"/>
      <c r="AN148" s="47"/>
      <c r="AO148" s="47"/>
      <c r="AP148" s="47"/>
      <c r="AQ148" s="49" t="s">
        <v>180</v>
      </c>
      <c r="AR148" s="49"/>
      <c r="AS148" s="47"/>
      <c r="AT148" s="47"/>
      <c r="AU148" s="47"/>
      <c r="AV148" s="47"/>
      <c r="AW148" s="47"/>
      <c r="AX148" s="47"/>
      <c r="AY148" s="47"/>
      <c r="AZ148" s="47"/>
      <c r="BA148" s="47"/>
      <c r="BB148" s="52" t="s">
        <v>183</v>
      </c>
      <c r="BC148" s="52" t="s">
        <v>183</v>
      </c>
      <c r="BD148" s="47"/>
      <c r="BE148" s="47"/>
      <c r="BF148" s="47"/>
      <c r="BG148" s="47"/>
      <c r="BH148" s="47"/>
      <c r="BI148" s="47"/>
      <c r="BJ148" s="47"/>
      <c r="BK148" s="47"/>
    </row>
    <row r="149" spans="1:63" x14ac:dyDescent="0.2">
      <c r="A149" s="49" t="s">
        <v>181</v>
      </c>
      <c r="B149" s="49"/>
      <c r="C149" s="46"/>
      <c r="D149" s="46"/>
      <c r="E149" s="47"/>
      <c r="F149" s="47"/>
      <c r="G149" s="47"/>
      <c r="H149" s="47"/>
      <c r="I149" s="47"/>
      <c r="J149" s="47"/>
      <c r="K149" s="47"/>
      <c r="L149" s="52" t="s">
        <v>183</v>
      </c>
      <c r="M149" s="52" t="s">
        <v>183</v>
      </c>
      <c r="N149" s="47"/>
      <c r="O149" s="47"/>
      <c r="P149" s="47"/>
      <c r="Q149" s="47"/>
      <c r="R149" s="47"/>
      <c r="S149" s="47"/>
      <c r="T149" s="47"/>
      <c r="U149" s="47"/>
      <c r="V149" s="49" t="s">
        <v>181</v>
      </c>
      <c r="W149" s="49"/>
      <c r="X149" s="46"/>
      <c r="Y149" s="46"/>
      <c r="Z149" s="47"/>
      <c r="AA149" s="47"/>
      <c r="AB149" s="47"/>
      <c r="AC149" s="47"/>
      <c r="AD149" s="47"/>
      <c r="AE149" s="47"/>
      <c r="AF149" s="47"/>
      <c r="AG149" s="52" t="s">
        <v>183</v>
      </c>
      <c r="AH149" s="52" t="s">
        <v>183</v>
      </c>
      <c r="AI149" s="47"/>
      <c r="AJ149" s="47"/>
      <c r="AK149" s="47"/>
      <c r="AL149" s="47"/>
      <c r="AM149" s="47"/>
      <c r="AN149" s="47"/>
      <c r="AO149" s="47"/>
      <c r="AP149" s="47"/>
      <c r="AQ149" s="49" t="s">
        <v>181</v>
      </c>
      <c r="AR149" s="49"/>
      <c r="AS149" s="46"/>
      <c r="AT149" s="46"/>
      <c r="AU149" s="47"/>
      <c r="AV149" s="47"/>
      <c r="AW149" s="47"/>
      <c r="AX149" s="47"/>
      <c r="AY149" s="47"/>
      <c r="AZ149" s="47"/>
      <c r="BA149" s="47"/>
      <c r="BB149" s="52" t="s">
        <v>183</v>
      </c>
      <c r="BC149" s="52" t="s">
        <v>183</v>
      </c>
      <c r="BD149" s="47"/>
      <c r="BE149" s="47"/>
      <c r="BF149" s="47"/>
      <c r="BG149" s="47"/>
      <c r="BH149" s="47"/>
      <c r="BI149" s="47"/>
      <c r="BJ149" s="47"/>
      <c r="BK149" s="47"/>
    </row>
    <row r="150" spans="1:63" x14ac:dyDescent="0.2">
      <c r="A150" s="242" t="s">
        <v>156</v>
      </c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8"/>
      <c r="V150" s="242" t="s">
        <v>156</v>
      </c>
      <c r="W150" s="227"/>
      <c r="X150" s="227"/>
      <c r="Y150" s="227"/>
      <c r="Z150" s="227"/>
      <c r="AA150" s="227"/>
      <c r="AB150" s="227"/>
      <c r="AC150" s="227"/>
      <c r="AD150" s="227"/>
      <c r="AE150" s="227"/>
      <c r="AF150" s="227"/>
      <c r="AG150" s="227"/>
      <c r="AH150" s="227"/>
      <c r="AI150" s="227"/>
      <c r="AJ150" s="227"/>
      <c r="AK150" s="227"/>
      <c r="AL150" s="227"/>
      <c r="AM150" s="227"/>
      <c r="AN150" s="227"/>
      <c r="AO150" s="227"/>
      <c r="AP150" s="228"/>
      <c r="AQ150" s="242" t="s">
        <v>156</v>
      </c>
      <c r="AR150" s="227"/>
      <c r="AS150" s="227"/>
      <c r="AT150" s="227"/>
      <c r="AU150" s="227"/>
      <c r="AV150" s="227"/>
      <c r="AW150" s="227"/>
      <c r="AX150" s="227"/>
      <c r="AY150" s="227"/>
      <c r="AZ150" s="227"/>
      <c r="BA150" s="227"/>
      <c r="BB150" s="227"/>
      <c r="BC150" s="227"/>
      <c r="BD150" s="227"/>
      <c r="BE150" s="227"/>
      <c r="BF150" s="227"/>
      <c r="BG150" s="227"/>
      <c r="BH150" s="227"/>
      <c r="BI150" s="227"/>
      <c r="BJ150" s="227"/>
      <c r="BK150" s="228"/>
    </row>
    <row r="151" spans="1:63" x14ac:dyDescent="0.2">
      <c r="A151" s="49" t="s">
        <v>182</v>
      </c>
      <c r="B151" s="49"/>
      <c r="C151" s="46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52" t="s">
        <v>183</v>
      </c>
      <c r="O151" s="52" t="s">
        <v>183</v>
      </c>
      <c r="P151" s="47"/>
      <c r="Q151" s="47"/>
      <c r="R151" s="47"/>
      <c r="S151" s="47"/>
      <c r="T151" s="47"/>
      <c r="U151" s="47"/>
      <c r="V151" s="49" t="s">
        <v>182</v>
      </c>
      <c r="W151" s="49"/>
      <c r="X151" s="46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52" t="s">
        <v>183</v>
      </c>
      <c r="AJ151" s="52" t="s">
        <v>183</v>
      </c>
      <c r="AK151" s="47"/>
      <c r="AL151" s="47"/>
      <c r="AM151" s="47"/>
      <c r="AN151" s="47"/>
      <c r="AO151" s="47"/>
      <c r="AP151" s="47"/>
      <c r="AQ151" s="49" t="s">
        <v>182</v>
      </c>
      <c r="AR151" s="49"/>
      <c r="AS151" s="46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52" t="s">
        <v>183</v>
      </c>
      <c r="BE151" s="52" t="s">
        <v>183</v>
      </c>
      <c r="BF151" s="47"/>
      <c r="BG151" s="47"/>
      <c r="BH151" s="47"/>
      <c r="BI151" s="47"/>
      <c r="BJ151" s="47"/>
      <c r="BK151" s="47"/>
    </row>
    <row r="152" spans="1:63" x14ac:dyDescent="0.2">
      <c r="A152" s="49" t="s">
        <v>184</v>
      </c>
      <c r="B152" s="49"/>
      <c r="C152" s="46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52" t="s">
        <v>183</v>
      </c>
      <c r="O152" s="52" t="s">
        <v>183</v>
      </c>
      <c r="P152" s="47"/>
      <c r="Q152" s="47"/>
      <c r="R152" s="47"/>
      <c r="S152" s="47"/>
      <c r="T152" s="47"/>
      <c r="U152" s="47"/>
      <c r="V152" s="49" t="s">
        <v>184</v>
      </c>
      <c r="W152" s="49"/>
      <c r="X152" s="46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52" t="s">
        <v>183</v>
      </c>
      <c r="AJ152" s="52" t="s">
        <v>183</v>
      </c>
      <c r="AK152" s="47"/>
      <c r="AL152" s="47"/>
      <c r="AM152" s="47"/>
      <c r="AN152" s="47"/>
      <c r="AO152" s="47"/>
      <c r="AP152" s="47"/>
      <c r="AQ152" s="49" t="s">
        <v>184</v>
      </c>
      <c r="AR152" s="49"/>
      <c r="AS152" s="46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52" t="s">
        <v>183</v>
      </c>
      <c r="BE152" s="52" t="s">
        <v>183</v>
      </c>
      <c r="BF152" s="47"/>
      <c r="BG152" s="47"/>
      <c r="BH152" s="47"/>
      <c r="BI152" s="47"/>
      <c r="BJ152" s="47"/>
      <c r="BK152" s="47"/>
    </row>
    <row r="153" spans="1:63" x14ac:dyDescent="0.2">
      <c r="A153" s="49" t="s">
        <v>185</v>
      </c>
      <c r="B153" s="49"/>
      <c r="C153" s="46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52" t="s">
        <v>183</v>
      </c>
      <c r="O153" s="52" t="s">
        <v>183</v>
      </c>
      <c r="P153" s="47"/>
      <c r="Q153" s="47"/>
      <c r="R153" s="47"/>
      <c r="S153" s="47"/>
      <c r="T153" s="47"/>
      <c r="U153" s="47"/>
      <c r="V153" s="49" t="s">
        <v>185</v>
      </c>
      <c r="W153" s="49"/>
      <c r="X153" s="46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52" t="s">
        <v>183</v>
      </c>
      <c r="AJ153" s="52" t="s">
        <v>183</v>
      </c>
      <c r="AK153" s="47"/>
      <c r="AL153" s="47"/>
      <c r="AM153" s="47"/>
      <c r="AN153" s="47"/>
      <c r="AO153" s="47"/>
      <c r="AP153" s="47"/>
      <c r="AQ153" s="49" t="s">
        <v>185</v>
      </c>
      <c r="AR153" s="49"/>
      <c r="AS153" s="46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52" t="s">
        <v>183</v>
      </c>
      <c r="BE153" s="52" t="s">
        <v>183</v>
      </c>
      <c r="BF153" s="47"/>
      <c r="BG153" s="47"/>
      <c r="BH153" s="47"/>
      <c r="BI153" s="47"/>
      <c r="BJ153" s="47"/>
      <c r="BK153" s="47"/>
    </row>
    <row r="154" spans="1:63" x14ac:dyDescent="0.2">
      <c r="A154" s="49" t="s">
        <v>186</v>
      </c>
      <c r="B154" s="49"/>
      <c r="C154" s="46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52" t="s">
        <v>183</v>
      </c>
      <c r="O154" s="52" t="s">
        <v>183</v>
      </c>
      <c r="P154" s="47"/>
      <c r="Q154" s="47"/>
      <c r="R154" s="47"/>
      <c r="S154" s="47"/>
      <c r="T154" s="47"/>
      <c r="U154" s="47"/>
      <c r="V154" s="49" t="s">
        <v>186</v>
      </c>
      <c r="W154" s="49"/>
      <c r="X154" s="46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52" t="s">
        <v>183</v>
      </c>
      <c r="AJ154" s="52" t="s">
        <v>183</v>
      </c>
      <c r="AK154" s="47"/>
      <c r="AL154" s="47"/>
      <c r="AM154" s="47"/>
      <c r="AN154" s="47"/>
      <c r="AO154" s="47"/>
      <c r="AP154" s="47"/>
      <c r="AQ154" s="49" t="s">
        <v>186</v>
      </c>
      <c r="AR154" s="49"/>
      <c r="AS154" s="46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52" t="s">
        <v>183</v>
      </c>
      <c r="BE154" s="52" t="s">
        <v>183</v>
      </c>
      <c r="BF154" s="47"/>
      <c r="BG154" s="47"/>
      <c r="BH154" s="47"/>
      <c r="BI154" s="47"/>
      <c r="BJ154" s="47"/>
      <c r="BK154" s="47"/>
    </row>
    <row r="155" spans="1:63" x14ac:dyDescent="0.2">
      <c r="A155" s="49" t="s">
        <v>187</v>
      </c>
      <c r="B155" s="49"/>
      <c r="C155" s="46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52" t="s">
        <v>183</v>
      </c>
      <c r="O155" s="52" t="s">
        <v>183</v>
      </c>
      <c r="P155" s="47"/>
      <c r="Q155" s="47"/>
      <c r="R155" s="47"/>
      <c r="S155" s="47"/>
      <c r="T155" s="47"/>
      <c r="U155" s="47"/>
      <c r="V155" s="49" t="s">
        <v>187</v>
      </c>
      <c r="W155" s="49"/>
      <c r="X155" s="46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52" t="s">
        <v>183</v>
      </c>
      <c r="AJ155" s="52" t="s">
        <v>183</v>
      </c>
      <c r="AK155" s="47"/>
      <c r="AL155" s="47"/>
      <c r="AM155" s="47"/>
      <c r="AN155" s="47"/>
      <c r="AO155" s="47"/>
      <c r="AP155" s="47"/>
      <c r="AQ155" s="49" t="s">
        <v>187</v>
      </c>
      <c r="AR155" s="49"/>
      <c r="AS155" s="46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52" t="s">
        <v>183</v>
      </c>
      <c r="BE155" s="52" t="s">
        <v>183</v>
      </c>
      <c r="BF155" s="47"/>
      <c r="BG155" s="47"/>
      <c r="BH155" s="47"/>
      <c r="BI155" s="47"/>
      <c r="BJ155" s="47"/>
      <c r="BK155" s="47"/>
    </row>
    <row r="156" spans="1:63" x14ac:dyDescent="0.2">
      <c r="A156" s="49" t="s">
        <v>188</v>
      </c>
      <c r="B156" s="49"/>
      <c r="C156" s="4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52" t="s">
        <v>183</v>
      </c>
      <c r="O156" s="52" t="s">
        <v>183</v>
      </c>
      <c r="P156" s="47"/>
      <c r="Q156" s="47"/>
      <c r="R156" s="47"/>
      <c r="S156" s="47"/>
      <c r="T156" s="47"/>
      <c r="U156" s="47"/>
      <c r="V156" s="49" t="s">
        <v>188</v>
      </c>
      <c r="W156" s="49"/>
      <c r="X156" s="46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52" t="s">
        <v>183</v>
      </c>
      <c r="AJ156" s="52" t="s">
        <v>183</v>
      </c>
      <c r="AK156" s="47"/>
      <c r="AL156" s="47"/>
      <c r="AM156" s="47"/>
      <c r="AN156" s="47"/>
      <c r="AO156" s="47"/>
      <c r="AP156" s="47"/>
      <c r="AQ156" s="49" t="s">
        <v>188</v>
      </c>
      <c r="AR156" s="49"/>
      <c r="AS156" s="46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52" t="s">
        <v>183</v>
      </c>
      <c r="BE156" s="52" t="s">
        <v>183</v>
      </c>
      <c r="BF156" s="47"/>
      <c r="BG156" s="47"/>
      <c r="BH156" s="47"/>
      <c r="BI156" s="47"/>
      <c r="BJ156" s="47"/>
      <c r="BK156" s="47"/>
    </row>
    <row r="157" spans="1:63" x14ac:dyDescent="0.2">
      <c r="A157" s="49" t="s">
        <v>189</v>
      </c>
      <c r="B157" s="49"/>
      <c r="C157" s="46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52" t="s">
        <v>183</v>
      </c>
      <c r="O157" s="52" t="s">
        <v>183</v>
      </c>
      <c r="P157" s="47"/>
      <c r="Q157" s="47"/>
      <c r="R157" s="47"/>
      <c r="S157" s="47"/>
      <c r="T157" s="47"/>
      <c r="U157" s="47"/>
      <c r="V157" s="49" t="s">
        <v>189</v>
      </c>
      <c r="W157" s="49"/>
      <c r="X157" s="46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52" t="s">
        <v>183</v>
      </c>
      <c r="AJ157" s="52" t="s">
        <v>183</v>
      </c>
      <c r="AK157" s="47"/>
      <c r="AL157" s="47"/>
      <c r="AM157" s="47"/>
      <c r="AN157" s="47"/>
      <c r="AO157" s="47"/>
      <c r="AP157" s="47"/>
      <c r="AQ157" s="49" t="s">
        <v>189</v>
      </c>
      <c r="AR157" s="49"/>
      <c r="AS157" s="46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52" t="s">
        <v>183</v>
      </c>
      <c r="BE157" s="52" t="s">
        <v>183</v>
      </c>
      <c r="BF157" s="47"/>
      <c r="BG157" s="47"/>
      <c r="BH157" s="47"/>
      <c r="BI157" s="47"/>
      <c r="BJ157" s="47"/>
      <c r="BK157" s="47"/>
    </row>
    <row r="158" spans="1:63" x14ac:dyDescent="0.2">
      <c r="A158" s="242" t="s">
        <v>190</v>
      </c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8"/>
      <c r="V158" s="242" t="s">
        <v>190</v>
      </c>
      <c r="W158" s="227"/>
      <c r="X158" s="227"/>
      <c r="Y158" s="227"/>
      <c r="Z158" s="227"/>
      <c r="AA158" s="227"/>
      <c r="AB158" s="227"/>
      <c r="AC158" s="227"/>
      <c r="AD158" s="227"/>
      <c r="AE158" s="227"/>
      <c r="AF158" s="227"/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8"/>
      <c r="AQ158" s="242" t="s">
        <v>190</v>
      </c>
      <c r="AR158" s="227"/>
      <c r="AS158" s="227"/>
      <c r="AT158" s="227"/>
      <c r="AU158" s="227"/>
      <c r="AV158" s="227"/>
      <c r="AW158" s="227"/>
      <c r="AX158" s="227"/>
      <c r="AY158" s="227"/>
      <c r="AZ158" s="227"/>
      <c r="BA158" s="227"/>
      <c r="BB158" s="227"/>
      <c r="BC158" s="227"/>
      <c r="BD158" s="227"/>
      <c r="BE158" s="227"/>
      <c r="BF158" s="227"/>
      <c r="BG158" s="227"/>
      <c r="BH158" s="227"/>
      <c r="BI158" s="227"/>
      <c r="BJ158" s="227"/>
      <c r="BK158" s="228"/>
    </row>
    <row r="159" spans="1:63" x14ac:dyDescent="0.2">
      <c r="A159" s="46" t="s">
        <v>191</v>
      </c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52" t="s">
        <v>183</v>
      </c>
      <c r="Q159" s="52" t="s">
        <v>183</v>
      </c>
      <c r="R159" s="52" t="s">
        <v>183</v>
      </c>
      <c r="S159" s="47"/>
      <c r="T159" s="47"/>
      <c r="U159" s="47"/>
      <c r="V159" s="46" t="s">
        <v>191</v>
      </c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52" t="s">
        <v>183</v>
      </c>
      <c r="AL159" s="52" t="s">
        <v>183</v>
      </c>
      <c r="AM159" s="52" t="s">
        <v>183</v>
      </c>
      <c r="AN159" s="47"/>
      <c r="AO159" s="47"/>
      <c r="AP159" s="47"/>
      <c r="AQ159" s="46" t="s">
        <v>191</v>
      </c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52" t="s">
        <v>183</v>
      </c>
      <c r="BG159" s="52" t="s">
        <v>183</v>
      </c>
      <c r="BH159" s="52" t="s">
        <v>183</v>
      </c>
      <c r="BI159" s="47"/>
      <c r="BJ159" s="47"/>
      <c r="BK159" s="47"/>
    </row>
    <row r="160" spans="1:63" x14ac:dyDescent="0.2">
      <c r="A160" s="242" t="s">
        <v>156</v>
      </c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8"/>
      <c r="V160" s="242" t="s">
        <v>156</v>
      </c>
      <c r="W160" s="227"/>
      <c r="X160" s="227"/>
      <c r="Y160" s="227"/>
      <c r="Z160" s="227"/>
      <c r="AA160" s="227"/>
      <c r="AB160" s="227"/>
      <c r="AC160" s="227"/>
      <c r="AD160" s="227"/>
      <c r="AE160" s="227"/>
      <c r="AF160" s="227"/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8"/>
      <c r="AQ160" s="242" t="s">
        <v>156</v>
      </c>
      <c r="AR160" s="227"/>
      <c r="AS160" s="227"/>
      <c r="AT160" s="227"/>
      <c r="AU160" s="227"/>
      <c r="AV160" s="227"/>
      <c r="AW160" s="227"/>
      <c r="AX160" s="227"/>
      <c r="AY160" s="227"/>
      <c r="AZ160" s="227"/>
      <c r="BA160" s="227"/>
      <c r="BB160" s="227"/>
      <c r="BC160" s="227"/>
      <c r="BD160" s="227"/>
      <c r="BE160" s="227"/>
      <c r="BF160" s="227"/>
      <c r="BG160" s="227"/>
      <c r="BH160" s="227"/>
      <c r="BI160" s="227"/>
      <c r="BJ160" s="227"/>
      <c r="BK160" s="228"/>
    </row>
    <row r="161" spans="1:63" x14ac:dyDescent="0.2">
      <c r="A161" s="46" t="s">
        <v>192</v>
      </c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52" t="s">
        <v>183</v>
      </c>
      <c r="T161" s="52" t="s">
        <v>183</v>
      </c>
      <c r="U161" s="47"/>
      <c r="V161" s="46" t="s">
        <v>192</v>
      </c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52" t="s">
        <v>183</v>
      </c>
      <c r="AO161" s="52" t="s">
        <v>183</v>
      </c>
      <c r="AP161" s="47"/>
      <c r="AQ161" s="46" t="s">
        <v>192</v>
      </c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52" t="s">
        <v>183</v>
      </c>
      <c r="BJ161" s="52" t="s">
        <v>183</v>
      </c>
      <c r="BK161" s="47"/>
    </row>
    <row r="162" spans="1:63" x14ac:dyDescent="0.2">
      <c r="A162" s="46" t="s">
        <v>193</v>
      </c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52" t="s">
        <v>183</v>
      </c>
      <c r="T162" s="52" t="s">
        <v>183</v>
      </c>
      <c r="U162" s="47"/>
      <c r="V162" s="46" t="s">
        <v>193</v>
      </c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52" t="s">
        <v>183</v>
      </c>
      <c r="AO162" s="52" t="s">
        <v>183</v>
      </c>
      <c r="AP162" s="47"/>
      <c r="AQ162" s="46" t="s">
        <v>193</v>
      </c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52" t="s">
        <v>183</v>
      </c>
      <c r="BJ162" s="52" t="s">
        <v>183</v>
      </c>
      <c r="BK162" s="47"/>
    </row>
    <row r="163" spans="1:63" x14ac:dyDescent="0.2">
      <c r="A163" s="46" t="s">
        <v>194</v>
      </c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52" t="s">
        <v>183</v>
      </c>
      <c r="T163" s="52" t="s">
        <v>183</v>
      </c>
      <c r="U163" s="47"/>
      <c r="V163" s="46" t="s">
        <v>194</v>
      </c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52" t="s">
        <v>183</v>
      </c>
      <c r="AO163" s="52" t="s">
        <v>183</v>
      </c>
      <c r="AP163" s="47"/>
      <c r="AQ163" s="46" t="s">
        <v>194</v>
      </c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52" t="s">
        <v>183</v>
      </c>
      <c r="BJ163" s="52" t="s">
        <v>183</v>
      </c>
      <c r="BK163" s="47"/>
    </row>
    <row r="164" spans="1:63" x14ac:dyDescent="0.2">
      <c r="A164" s="46" t="s">
        <v>195</v>
      </c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52" t="s">
        <v>183</v>
      </c>
      <c r="T164" s="52" t="s">
        <v>183</v>
      </c>
      <c r="U164" s="47"/>
      <c r="V164" s="46" t="s">
        <v>195</v>
      </c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52" t="s">
        <v>183</v>
      </c>
      <c r="AO164" s="52" t="s">
        <v>183</v>
      </c>
      <c r="AP164" s="47"/>
      <c r="AQ164" s="46" t="s">
        <v>195</v>
      </c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52" t="s">
        <v>183</v>
      </c>
      <c r="BJ164" s="52" t="s">
        <v>183</v>
      </c>
      <c r="BK164" s="47"/>
    </row>
    <row r="165" spans="1:63" x14ac:dyDescent="0.2">
      <c r="A165" s="46" t="s">
        <v>196</v>
      </c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52" t="s">
        <v>183</v>
      </c>
      <c r="T165" s="52" t="s">
        <v>183</v>
      </c>
      <c r="U165" s="47"/>
      <c r="V165" s="46" t="s">
        <v>196</v>
      </c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52" t="s">
        <v>183</v>
      </c>
      <c r="AO165" s="52" t="s">
        <v>183</v>
      </c>
      <c r="AP165" s="47"/>
      <c r="AQ165" s="46" t="s">
        <v>196</v>
      </c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52" t="s">
        <v>183</v>
      </c>
      <c r="BJ165" s="52" t="s">
        <v>183</v>
      </c>
      <c r="BK165" s="47"/>
    </row>
    <row r="166" spans="1:63" x14ac:dyDescent="0.2">
      <c r="A166" s="50" t="s">
        <v>197</v>
      </c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52" t="s">
        <v>183</v>
      </c>
      <c r="T166" s="52" t="s">
        <v>183</v>
      </c>
      <c r="U166" s="47"/>
      <c r="V166" s="50" t="s">
        <v>197</v>
      </c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52" t="s">
        <v>183</v>
      </c>
      <c r="AO166" s="52" t="s">
        <v>183</v>
      </c>
      <c r="AP166" s="47"/>
      <c r="AQ166" s="50" t="s">
        <v>197</v>
      </c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52" t="s">
        <v>183</v>
      </c>
      <c r="BJ166" s="52" t="s">
        <v>183</v>
      </c>
      <c r="BK166" s="47"/>
    </row>
    <row r="167" spans="1:63" x14ac:dyDescent="0.2">
      <c r="A167" s="50" t="s">
        <v>198</v>
      </c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52" t="s">
        <v>183</v>
      </c>
      <c r="T167" s="52" t="s">
        <v>183</v>
      </c>
      <c r="U167" s="47"/>
      <c r="V167" s="50" t="s">
        <v>198</v>
      </c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52" t="s">
        <v>183</v>
      </c>
      <c r="AO167" s="52" t="s">
        <v>183</v>
      </c>
      <c r="AP167" s="47"/>
      <c r="AQ167" s="50" t="s">
        <v>198</v>
      </c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52" t="s">
        <v>183</v>
      </c>
      <c r="BJ167" s="52" t="s">
        <v>183</v>
      </c>
      <c r="BK167" s="47"/>
    </row>
    <row r="168" spans="1:63" x14ac:dyDescent="0.2">
      <c r="A168" s="50" t="s">
        <v>199</v>
      </c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52" t="s">
        <v>183</v>
      </c>
      <c r="T168" s="52" t="s">
        <v>183</v>
      </c>
      <c r="U168" s="47"/>
      <c r="V168" s="50" t="s">
        <v>199</v>
      </c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52" t="s">
        <v>183</v>
      </c>
      <c r="AO168" s="52" t="s">
        <v>183</v>
      </c>
      <c r="AP168" s="47"/>
      <c r="AQ168" s="50" t="s">
        <v>199</v>
      </c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52" t="s">
        <v>183</v>
      </c>
      <c r="BJ168" s="52" t="s">
        <v>183</v>
      </c>
      <c r="BK168" s="47"/>
    </row>
    <row r="169" spans="1:63" x14ac:dyDescent="0.2">
      <c r="A169" s="242" t="s">
        <v>200</v>
      </c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8"/>
      <c r="V169" s="242" t="s">
        <v>200</v>
      </c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27"/>
      <c r="AL169" s="227"/>
      <c r="AM169" s="227"/>
      <c r="AN169" s="227"/>
      <c r="AO169" s="227"/>
      <c r="AP169" s="228"/>
      <c r="AQ169" s="242" t="s">
        <v>200</v>
      </c>
      <c r="AR169" s="227"/>
      <c r="AS169" s="227"/>
      <c r="AT169" s="227"/>
      <c r="AU169" s="227"/>
      <c r="AV169" s="227"/>
      <c r="AW169" s="227"/>
      <c r="AX169" s="227"/>
      <c r="AY169" s="227"/>
      <c r="AZ169" s="227"/>
      <c r="BA169" s="227"/>
      <c r="BB169" s="227"/>
      <c r="BC169" s="227"/>
      <c r="BD169" s="227"/>
      <c r="BE169" s="227"/>
      <c r="BF169" s="227"/>
      <c r="BG169" s="227"/>
      <c r="BH169" s="227"/>
      <c r="BI169" s="227"/>
      <c r="BJ169" s="227"/>
      <c r="BK169" s="228"/>
    </row>
    <row r="170" spans="1:63" x14ac:dyDescent="0.2">
      <c r="A170" s="46" t="s">
        <v>24</v>
      </c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52" t="s">
        <v>183</v>
      </c>
      <c r="T170" s="52" t="s">
        <v>183</v>
      </c>
      <c r="U170" s="52" t="s">
        <v>183</v>
      </c>
      <c r="V170" s="46" t="s">
        <v>24</v>
      </c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52" t="s">
        <v>183</v>
      </c>
      <c r="AO170" s="52" t="s">
        <v>183</v>
      </c>
      <c r="AP170" s="52" t="s">
        <v>183</v>
      </c>
      <c r="AQ170" s="46" t="s">
        <v>24</v>
      </c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52" t="s">
        <v>183</v>
      </c>
      <c r="BJ170" s="52" t="s">
        <v>183</v>
      </c>
      <c r="BK170" s="52" t="s">
        <v>183</v>
      </c>
    </row>
    <row r="171" spans="1:63" x14ac:dyDescent="0.2">
      <c r="A171" s="242" t="s">
        <v>156</v>
      </c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8"/>
      <c r="V171" s="242" t="s">
        <v>156</v>
      </c>
      <c r="W171" s="227"/>
      <c r="X171" s="227"/>
      <c r="Y171" s="227"/>
      <c r="Z171" s="227"/>
      <c r="AA171" s="227"/>
      <c r="AB171" s="227"/>
      <c r="AC171" s="227"/>
      <c r="AD171" s="227"/>
      <c r="AE171" s="227"/>
      <c r="AF171" s="227"/>
      <c r="AG171" s="227"/>
      <c r="AH171" s="227"/>
      <c r="AI171" s="227"/>
      <c r="AJ171" s="227"/>
      <c r="AK171" s="227"/>
      <c r="AL171" s="227"/>
      <c r="AM171" s="227"/>
      <c r="AN171" s="227"/>
      <c r="AO171" s="227"/>
      <c r="AP171" s="228"/>
      <c r="AQ171" s="242" t="s">
        <v>156</v>
      </c>
      <c r="AR171" s="227"/>
      <c r="AS171" s="227"/>
      <c r="AT171" s="227"/>
      <c r="AU171" s="227"/>
      <c r="AV171" s="227"/>
      <c r="AW171" s="227"/>
      <c r="AX171" s="227"/>
      <c r="AY171" s="227"/>
      <c r="AZ171" s="227"/>
      <c r="BA171" s="227"/>
      <c r="BB171" s="227"/>
      <c r="BC171" s="227"/>
      <c r="BD171" s="227"/>
      <c r="BE171" s="227"/>
      <c r="BF171" s="227"/>
      <c r="BG171" s="227"/>
      <c r="BH171" s="227"/>
      <c r="BI171" s="227"/>
      <c r="BJ171" s="227"/>
      <c r="BK171" s="228"/>
    </row>
    <row r="172" spans="1:63" x14ac:dyDescent="0.2">
      <c r="A172" s="239" t="s">
        <v>207</v>
      </c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1"/>
      <c r="V172" s="239" t="s">
        <v>208</v>
      </c>
      <c r="W172" s="240"/>
      <c r="X172" s="240"/>
      <c r="Y172" s="240"/>
      <c r="Z172" s="240"/>
      <c r="AA172" s="240"/>
      <c r="AB172" s="240"/>
      <c r="AC172" s="240"/>
      <c r="AD172" s="240"/>
      <c r="AE172" s="240"/>
      <c r="AF172" s="240"/>
      <c r="AG172" s="240"/>
      <c r="AH172" s="240"/>
      <c r="AI172" s="240"/>
      <c r="AJ172" s="240"/>
      <c r="AK172" s="240"/>
      <c r="AL172" s="240"/>
      <c r="AM172" s="240"/>
      <c r="AN172" s="240"/>
      <c r="AO172" s="240"/>
      <c r="AP172" s="241"/>
      <c r="AQ172" s="239" t="s">
        <v>209</v>
      </c>
      <c r="AR172" s="240"/>
      <c r="AS172" s="240"/>
      <c r="AT172" s="240"/>
      <c r="AU172" s="240"/>
      <c r="AV172" s="240"/>
      <c r="AW172" s="240"/>
      <c r="AX172" s="240"/>
      <c r="AY172" s="240"/>
      <c r="AZ172" s="240"/>
      <c r="BA172" s="240"/>
      <c r="BB172" s="240"/>
      <c r="BC172" s="240"/>
      <c r="BD172" s="240"/>
      <c r="BE172" s="240"/>
      <c r="BF172" s="240"/>
      <c r="BG172" s="240"/>
      <c r="BH172" s="240"/>
      <c r="BI172" s="240"/>
      <c r="BJ172" s="240"/>
      <c r="BK172" s="241"/>
    </row>
    <row r="173" spans="1:63" x14ac:dyDescent="0.2">
      <c r="A173" s="245" t="s">
        <v>142</v>
      </c>
      <c r="B173" s="243" t="s">
        <v>143</v>
      </c>
      <c r="C173" s="238"/>
      <c r="D173" s="238"/>
      <c r="E173" s="238"/>
      <c r="F173" s="244"/>
      <c r="G173" s="243" t="s">
        <v>144</v>
      </c>
      <c r="H173" s="238"/>
      <c r="I173" s="238"/>
      <c r="J173" s="238"/>
      <c r="K173" s="244"/>
      <c r="L173" s="243" t="s">
        <v>145</v>
      </c>
      <c r="M173" s="238"/>
      <c r="N173" s="238"/>
      <c r="O173" s="238"/>
      <c r="P173" s="244"/>
      <c r="Q173" s="243" t="s">
        <v>146</v>
      </c>
      <c r="R173" s="238"/>
      <c r="S173" s="238"/>
      <c r="T173" s="238"/>
      <c r="U173" s="244"/>
      <c r="V173" s="245" t="s">
        <v>142</v>
      </c>
      <c r="W173" s="243" t="s">
        <v>143</v>
      </c>
      <c r="X173" s="238"/>
      <c r="Y173" s="238"/>
      <c r="Z173" s="238"/>
      <c r="AA173" s="244"/>
      <c r="AB173" s="243" t="s">
        <v>144</v>
      </c>
      <c r="AC173" s="238"/>
      <c r="AD173" s="238"/>
      <c r="AE173" s="238"/>
      <c r="AF173" s="244"/>
      <c r="AG173" s="243" t="s">
        <v>145</v>
      </c>
      <c r="AH173" s="238"/>
      <c r="AI173" s="238"/>
      <c r="AJ173" s="238"/>
      <c r="AK173" s="244"/>
      <c r="AL173" s="243" t="s">
        <v>146</v>
      </c>
      <c r="AM173" s="238"/>
      <c r="AN173" s="238"/>
      <c r="AO173" s="238"/>
      <c r="AP173" s="244"/>
      <c r="AQ173" s="245" t="s">
        <v>142</v>
      </c>
      <c r="AR173" s="243" t="s">
        <v>143</v>
      </c>
      <c r="AS173" s="238"/>
      <c r="AT173" s="238"/>
      <c r="AU173" s="238"/>
      <c r="AV173" s="244"/>
      <c r="AW173" s="243" t="s">
        <v>144</v>
      </c>
      <c r="AX173" s="238"/>
      <c r="AY173" s="238"/>
      <c r="AZ173" s="238"/>
      <c r="BA173" s="244"/>
      <c r="BB173" s="243" t="s">
        <v>145</v>
      </c>
      <c r="BC173" s="238"/>
      <c r="BD173" s="238"/>
      <c r="BE173" s="238"/>
      <c r="BF173" s="244"/>
      <c r="BG173" s="243" t="s">
        <v>146</v>
      </c>
      <c r="BH173" s="238"/>
      <c r="BI173" s="238"/>
      <c r="BJ173" s="238"/>
      <c r="BK173" s="244"/>
    </row>
    <row r="174" spans="1:63" x14ac:dyDescent="0.2">
      <c r="A174" s="246"/>
      <c r="B174" s="41" t="s">
        <v>147</v>
      </c>
      <c r="C174" s="41" t="s">
        <v>148</v>
      </c>
      <c r="D174" s="41" t="s">
        <v>149</v>
      </c>
      <c r="E174" s="41" t="s">
        <v>150</v>
      </c>
      <c r="F174" s="41" t="s">
        <v>151</v>
      </c>
      <c r="G174" s="41" t="s">
        <v>147</v>
      </c>
      <c r="H174" s="41" t="s">
        <v>148</v>
      </c>
      <c r="I174" s="41" t="s">
        <v>149</v>
      </c>
      <c r="J174" s="41" t="s">
        <v>150</v>
      </c>
      <c r="K174" s="41" t="s">
        <v>151</v>
      </c>
      <c r="L174" s="41" t="s">
        <v>147</v>
      </c>
      <c r="M174" s="41" t="s">
        <v>148</v>
      </c>
      <c r="N174" s="41" t="s">
        <v>149</v>
      </c>
      <c r="O174" s="41" t="s">
        <v>150</v>
      </c>
      <c r="P174" s="41" t="s">
        <v>151</v>
      </c>
      <c r="Q174" s="41" t="s">
        <v>147</v>
      </c>
      <c r="R174" s="41" t="s">
        <v>148</v>
      </c>
      <c r="S174" s="41" t="s">
        <v>149</v>
      </c>
      <c r="T174" s="41" t="s">
        <v>150</v>
      </c>
      <c r="U174" s="53" t="s">
        <v>151</v>
      </c>
      <c r="V174" s="246"/>
      <c r="W174" s="41" t="s">
        <v>147</v>
      </c>
      <c r="X174" s="41" t="s">
        <v>148</v>
      </c>
      <c r="Y174" s="41" t="s">
        <v>149</v>
      </c>
      <c r="Z174" s="41" t="s">
        <v>150</v>
      </c>
      <c r="AA174" s="41" t="s">
        <v>151</v>
      </c>
      <c r="AB174" s="41" t="s">
        <v>147</v>
      </c>
      <c r="AC174" s="41" t="s">
        <v>148</v>
      </c>
      <c r="AD174" s="41" t="s">
        <v>149</v>
      </c>
      <c r="AE174" s="41" t="s">
        <v>150</v>
      </c>
      <c r="AF174" s="41" t="s">
        <v>151</v>
      </c>
      <c r="AG174" s="41" t="s">
        <v>147</v>
      </c>
      <c r="AH174" s="41" t="s">
        <v>148</v>
      </c>
      <c r="AI174" s="41" t="s">
        <v>149</v>
      </c>
      <c r="AJ174" s="41" t="s">
        <v>150</v>
      </c>
      <c r="AK174" s="41" t="s">
        <v>151</v>
      </c>
      <c r="AL174" s="41" t="s">
        <v>147</v>
      </c>
      <c r="AM174" s="41" t="s">
        <v>148</v>
      </c>
      <c r="AN174" s="41" t="s">
        <v>149</v>
      </c>
      <c r="AO174" s="41" t="s">
        <v>150</v>
      </c>
      <c r="AP174" s="53" t="s">
        <v>151</v>
      </c>
      <c r="AQ174" s="246"/>
      <c r="AR174" s="41" t="s">
        <v>147</v>
      </c>
      <c r="AS174" s="41" t="s">
        <v>148</v>
      </c>
      <c r="AT174" s="41" t="s">
        <v>149</v>
      </c>
      <c r="AU174" s="41" t="s">
        <v>150</v>
      </c>
      <c r="AV174" s="41" t="s">
        <v>151</v>
      </c>
      <c r="AW174" s="41" t="s">
        <v>147</v>
      </c>
      <c r="AX174" s="41" t="s">
        <v>148</v>
      </c>
      <c r="AY174" s="41" t="s">
        <v>149</v>
      </c>
      <c r="AZ174" s="41" t="s">
        <v>150</v>
      </c>
      <c r="BA174" s="41" t="s">
        <v>151</v>
      </c>
      <c r="BB174" s="41" t="s">
        <v>147</v>
      </c>
      <c r="BC174" s="41" t="s">
        <v>148</v>
      </c>
      <c r="BD174" s="41" t="s">
        <v>149</v>
      </c>
      <c r="BE174" s="41" t="s">
        <v>150</v>
      </c>
      <c r="BF174" s="41" t="s">
        <v>151</v>
      </c>
      <c r="BG174" s="41" t="s">
        <v>147</v>
      </c>
      <c r="BH174" s="41" t="s">
        <v>148</v>
      </c>
      <c r="BI174" s="41" t="s">
        <v>149</v>
      </c>
      <c r="BJ174" s="41" t="s">
        <v>150</v>
      </c>
      <c r="BK174" s="53" t="s">
        <v>151</v>
      </c>
    </row>
    <row r="175" spans="1:63" x14ac:dyDescent="0.2">
      <c r="A175" s="51" t="s">
        <v>152</v>
      </c>
      <c r="B175" s="52" t="s">
        <v>183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51" t="s">
        <v>152</v>
      </c>
      <c r="W175" s="52" t="s">
        <v>183</v>
      </c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51" t="s">
        <v>152</v>
      </c>
      <c r="AR175" s="52" t="s">
        <v>183</v>
      </c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</row>
    <row r="176" spans="1:63" x14ac:dyDescent="0.2">
      <c r="A176" s="46" t="s">
        <v>154</v>
      </c>
      <c r="B176" s="47"/>
      <c r="C176" s="52" t="s">
        <v>183</v>
      </c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6" t="s">
        <v>154</v>
      </c>
      <c r="W176" s="47"/>
      <c r="X176" s="52" t="s">
        <v>183</v>
      </c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6" t="s">
        <v>154</v>
      </c>
      <c r="AR176" s="47"/>
      <c r="AS176" s="52" t="s">
        <v>183</v>
      </c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</row>
    <row r="177" spans="1:63" x14ac:dyDescent="0.2">
      <c r="A177" s="46" t="s">
        <v>155</v>
      </c>
      <c r="B177" s="47"/>
      <c r="C177" s="47"/>
      <c r="D177" s="52" t="s">
        <v>183</v>
      </c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6" t="s">
        <v>155</v>
      </c>
      <c r="W177" s="47"/>
      <c r="X177" s="47"/>
      <c r="Y177" s="52" t="s">
        <v>183</v>
      </c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6" t="s">
        <v>155</v>
      </c>
      <c r="AR177" s="47"/>
      <c r="AS177" s="47"/>
      <c r="AT177" s="52" t="s">
        <v>183</v>
      </c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</row>
    <row r="178" spans="1:63" x14ac:dyDescent="0.2">
      <c r="A178" s="242" t="s">
        <v>156</v>
      </c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8"/>
      <c r="V178" s="242" t="s">
        <v>156</v>
      </c>
      <c r="W178" s="227"/>
      <c r="X178" s="227"/>
      <c r="Y178" s="227"/>
      <c r="Z178" s="227"/>
      <c r="AA178" s="227"/>
      <c r="AB178" s="227"/>
      <c r="AC178" s="227"/>
      <c r="AD178" s="227"/>
      <c r="AE178" s="227"/>
      <c r="AF178" s="227"/>
      <c r="AG178" s="227"/>
      <c r="AH178" s="227"/>
      <c r="AI178" s="227"/>
      <c r="AJ178" s="227"/>
      <c r="AK178" s="227"/>
      <c r="AL178" s="227"/>
      <c r="AM178" s="227"/>
      <c r="AN178" s="227"/>
      <c r="AO178" s="227"/>
      <c r="AP178" s="228"/>
      <c r="AQ178" s="242" t="s">
        <v>156</v>
      </c>
      <c r="AR178" s="227"/>
      <c r="AS178" s="227"/>
      <c r="AT178" s="227"/>
      <c r="AU178" s="227"/>
      <c r="AV178" s="227"/>
      <c r="AW178" s="227"/>
      <c r="AX178" s="227"/>
      <c r="AY178" s="227"/>
      <c r="AZ178" s="227"/>
      <c r="BA178" s="227"/>
      <c r="BB178" s="227"/>
      <c r="BC178" s="227"/>
      <c r="BD178" s="227"/>
      <c r="BE178" s="227"/>
      <c r="BF178" s="227"/>
      <c r="BG178" s="227"/>
      <c r="BH178" s="227"/>
      <c r="BI178" s="227"/>
      <c r="BJ178" s="227"/>
      <c r="BK178" s="228"/>
    </row>
    <row r="179" spans="1:63" x14ac:dyDescent="0.2">
      <c r="A179" s="46" t="s">
        <v>157</v>
      </c>
      <c r="B179" s="47"/>
      <c r="C179" s="47"/>
      <c r="D179" s="47"/>
      <c r="E179" s="52" t="s">
        <v>183</v>
      </c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6" t="s">
        <v>157</v>
      </c>
      <c r="W179" s="47"/>
      <c r="X179" s="47"/>
      <c r="Y179" s="47"/>
      <c r="Z179" s="52" t="s">
        <v>183</v>
      </c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6" t="s">
        <v>157</v>
      </c>
      <c r="AR179" s="47"/>
      <c r="AS179" s="47"/>
      <c r="AT179" s="47"/>
      <c r="AU179" s="52" t="s">
        <v>183</v>
      </c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</row>
    <row r="180" spans="1:63" x14ac:dyDescent="0.2">
      <c r="A180" s="242" t="s">
        <v>156</v>
      </c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8"/>
      <c r="V180" s="242" t="s">
        <v>156</v>
      </c>
      <c r="W180" s="227"/>
      <c r="X180" s="227"/>
      <c r="Y180" s="227"/>
      <c r="Z180" s="227"/>
      <c r="AA180" s="227"/>
      <c r="AB180" s="227"/>
      <c r="AC180" s="227"/>
      <c r="AD180" s="227"/>
      <c r="AE180" s="227"/>
      <c r="AF180" s="227"/>
      <c r="AG180" s="227"/>
      <c r="AH180" s="227"/>
      <c r="AI180" s="227"/>
      <c r="AJ180" s="227"/>
      <c r="AK180" s="227"/>
      <c r="AL180" s="227"/>
      <c r="AM180" s="227"/>
      <c r="AN180" s="227"/>
      <c r="AO180" s="227"/>
      <c r="AP180" s="228"/>
      <c r="AQ180" s="242" t="s">
        <v>156</v>
      </c>
      <c r="AR180" s="227"/>
      <c r="AS180" s="227"/>
      <c r="AT180" s="227"/>
      <c r="AU180" s="227"/>
      <c r="AV180" s="227"/>
      <c r="AW180" s="227"/>
      <c r="AX180" s="227"/>
      <c r="AY180" s="227"/>
      <c r="AZ180" s="227"/>
      <c r="BA180" s="227"/>
      <c r="BB180" s="227"/>
      <c r="BC180" s="227"/>
      <c r="BD180" s="227"/>
      <c r="BE180" s="227"/>
      <c r="BF180" s="227"/>
      <c r="BG180" s="227"/>
      <c r="BH180" s="227"/>
      <c r="BI180" s="227"/>
      <c r="BJ180" s="227"/>
      <c r="BK180" s="228"/>
    </row>
    <row r="181" spans="1:63" x14ac:dyDescent="0.2">
      <c r="A181" s="46" t="s">
        <v>158</v>
      </c>
      <c r="B181" s="47"/>
      <c r="C181" s="47"/>
      <c r="D181" s="47"/>
      <c r="E181" s="47"/>
      <c r="F181" s="52" t="s">
        <v>183</v>
      </c>
      <c r="G181" s="52" t="s">
        <v>183</v>
      </c>
      <c r="H181" s="48"/>
      <c r="I181" s="48"/>
      <c r="J181" s="48"/>
      <c r="K181" s="48"/>
      <c r="L181" s="48"/>
      <c r="M181" s="48"/>
      <c r="N181" s="47"/>
      <c r="O181" s="47"/>
      <c r="P181" s="47"/>
      <c r="Q181" s="47"/>
      <c r="R181" s="47"/>
      <c r="S181" s="47"/>
      <c r="T181" s="47"/>
      <c r="U181" s="47"/>
      <c r="V181" s="46" t="s">
        <v>158</v>
      </c>
      <c r="W181" s="47"/>
      <c r="X181" s="47"/>
      <c r="Y181" s="47"/>
      <c r="Z181" s="47"/>
      <c r="AA181" s="52" t="s">
        <v>183</v>
      </c>
      <c r="AB181" s="52" t="s">
        <v>183</v>
      </c>
      <c r="AC181" s="48"/>
      <c r="AD181" s="48"/>
      <c r="AE181" s="48"/>
      <c r="AF181" s="48"/>
      <c r="AG181" s="48"/>
      <c r="AH181" s="48"/>
      <c r="AI181" s="47"/>
      <c r="AJ181" s="47"/>
      <c r="AK181" s="47"/>
      <c r="AL181" s="47"/>
      <c r="AM181" s="47"/>
      <c r="AN181" s="47"/>
      <c r="AO181" s="47"/>
      <c r="AP181" s="47"/>
      <c r="AQ181" s="46" t="s">
        <v>158</v>
      </c>
      <c r="AR181" s="47"/>
      <c r="AS181" s="47"/>
      <c r="AT181" s="47"/>
      <c r="AU181" s="47"/>
      <c r="AV181" s="52" t="s">
        <v>183</v>
      </c>
      <c r="AW181" s="52" t="s">
        <v>183</v>
      </c>
      <c r="AX181" s="48"/>
      <c r="AY181" s="48"/>
      <c r="AZ181" s="48"/>
      <c r="BA181" s="48"/>
      <c r="BB181" s="48"/>
      <c r="BC181" s="48"/>
      <c r="BD181" s="47"/>
      <c r="BE181" s="47"/>
      <c r="BF181" s="47"/>
      <c r="BG181" s="47"/>
      <c r="BH181" s="47"/>
      <c r="BI181" s="47"/>
      <c r="BJ181" s="47"/>
      <c r="BK181" s="47"/>
    </row>
    <row r="182" spans="1:63" x14ac:dyDescent="0.2">
      <c r="A182" s="46" t="s">
        <v>159</v>
      </c>
      <c r="B182" s="47"/>
      <c r="C182" s="47"/>
      <c r="D182" s="47"/>
      <c r="E182" s="47"/>
      <c r="F182" s="52" t="s">
        <v>183</v>
      </c>
      <c r="G182" s="52" t="s">
        <v>183</v>
      </c>
      <c r="H182" s="48"/>
      <c r="I182" s="48"/>
      <c r="J182" s="48"/>
      <c r="K182" s="48"/>
      <c r="L182" s="48"/>
      <c r="M182" s="48"/>
      <c r="N182" s="47"/>
      <c r="O182" s="47"/>
      <c r="P182" s="47"/>
      <c r="Q182" s="47"/>
      <c r="R182" s="47"/>
      <c r="S182" s="47"/>
      <c r="T182" s="47"/>
      <c r="U182" s="47"/>
      <c r="V182" s="46" t="s">
        <v>159</v>
      </c>
      <c r="W182" s="47"/>
      <c r="X182" s="47"/>
      <c r="Y182" s="47"/>
      <c r="Z182" s="47"/>
      <c r="AA182" s="52" t="s">
        <v>183</v>
      </c>
      <c r="AB182" s="52" t="s">
        <v>183</v>
      </c>
      <c r="AC182" s="48"/>
      <c r="AD182" s="48"/>
      <c r="AE182" s="48"/>
      <c r="AF182" s="48"/>
      <c r="AG182" s="48"/>
      <c r="AH182" s="48"/>
      <c r="AI182" s="47"/>
      <c r="AJ182" s="47"/>
      <c r="AK182" s="47"/>
      <c r="AL182" s="47"/>
      <c r="AM182" s="47"/>
      <c r="AN182" s="47"/>
      <c r="AO182" s="47"/>
      <c r="AP182" s="47"/>
      <c r="AQ182" s="46" t="s">
        <v>159</v>
      </c>
      <c r="AR182" s="47"/>
      <c r="AS182" s="47"/>
      <c r="AT182" s="47"/>
      <c r="AU182" s="47"/>
      <c r="AV182" s="52" t="s">
        <v>183</v>
      </c>
      <c r="AW182" s="52" t="s">
        <v>183</v>
      </c>
      <c r="AX182" s="48"/>
      <c r="AY182" s="48"/>
      <c r="AZ182" s="48"/>
      <c r="BA182" s="48"/>
      <c r="BB182" s="48"/>
      <c r="BC182" s="48"/>
      <c r="BD182" s="47"/>
      <c r="BE182" s="47"/>
      <c r="BF182" s="47"/>
      <c r="BG182" s="47"/>
      <c r="BH182" s="47"/>
      <c r="BI182" s="47"/>
      <c r="BJ182" s="47"/>
      <c r="BK182" s="47"/>
    </row>
    <row r="183" spans="1:63" x14ac:dyDescent="0.2">
      <c r="A183" s="46" t="s">
        <v>160</v>
      </c>
      <c r="B183" s="47"/>
      <c r="C183" s="47"/>
      <c r="D183" s="47"/>
      <c r="E183" s="47"/>
      <c r="F183" s="52" t="s">
        <v>183</v>
      </c>
      <c r="G183" s="52" t="s">
        <v>183</v>
      </c>
      <c r="H183" s="48"/>
      <c r="I183" s="48"/>
      <c r="J183" s="48"/>
      <c r="K183" s="48"/>
      <c r="L183" s="48"/>
      <c r="M183" s="48"/>
      <c r="N183" s="47"/>
      <c r="O183" s="47"/>
      <c r="P183" s="47"/>
      <c r="Q183" s="47"/>
      <c r="R183" s="47"/>
      <c r="S183" s="47"/>
      <c r="T183" s="47"/>
      <c r="U183" s="47"/>
      <c r="V183" s="46" t="s">
        <v>160</v>
      </c>
      <c r="W183" s="47"/>
      <c r="X183" s="47"/>
      <c r="Y183" s="47"/>
      <c r="Z183" s="47"/>
      <c r="AA183" s="52" t="s">
        <v>183</v>
      </c>
      <c r="AB183" s="52" t="s">
        <v>183</v>
      </c>
      <c r="AC183" s="48"/>
      <c r="AD183" s="48"/>
      <c r="AE183" s="48"/>
      <c r="AF183" s="48"/>
      <c r="AG183" s="48"/>
      <c r="AH183" s="48"/>
      <c r="AI183" s="47"/>
      <c r="AJ183" s="47"/>
      <c r="AK183" s="47"/>
      <c r="AL183" s="47"/>
      <c r="AM183" s="47"/>
      <c r="AN183" s="47"/>
      <c r="AO183" s="47"/>
      <c r="AP183" s="47"/>
      <c r="AQ183" s="46" t="s">
        <v>160</v>
      </c>
      <c r="AR183" s="47"/>
      <c r="AS183" s="47"/>
      <c r="AT183" s="47"/>
      <c r="AU183" s="47"/>
      <c r="AV183" s="52" t="s">
        <v>183</v>
      </c>
      <c r="AW183" s="52" t="s">
        <v>183</v>
      </c>
      <c r="AX183" s="48"/>
      <c r="AY183" s="48"/>
      <c r="AZ183" s="48"/>
      <c r="BA183" s="48"/>
      <c r="BB183" s="48"/>
      <c r="BC183" s="48"/>
      <c r="BD183" s="47"/>
      <c r="BE183" s="47"/>
      <c r="BF183" s="47"/>
      <c r="BG183" s="47"/>
      <c r="BH183" s="47"/>
      <c r="BI183" s="47"/>
      <c r="BJ183" s="47"/>
      <c r="BK183" s="47"/>
    </row>
    <row r="184" spans="1:63" x14ac:dyDescent="0.2">
      <c r="A184" s="46" t="s">
        <v>161</v>
      </c>
      <c r="B184" s="47"/>
      <c r="C184" s="47"/>
      <c r="D184" s="47"/>
      <c r="E184" s="47"/>
      <c r="F184" s="52" t="s">
        <v>183</v>
      </c>
      <c r="G184" s="52" t="s">
        <v>183</v>
      </c>
      <c r="H184" s="48"/>
      <c r="I184" s="48"/>
      <c r="J184" s="48"/>
      <c r="K184" s="48"/>
      <c r="L184" s="48"/>
      <c r="M184" s="48"/>
      <c r="N184" s="47"/>
      <c r="O184" s="47"/>
      <c r="P184" s="47"/>
      <c r="Q184" s="47"/>
      <c r="R184" s="47"/>
      <c r="S184" s="47"/>
      <c r="T184" s="47"/>
      <c r="U184" s="47"/>
      <c r="V184" s="46" t="s">
        <v>161</v>
      </c>
      <c r="W184" s="47"/>
      <c r="X184" s="47"/>
      <c r="Y184" s="47"/>
      <c r="Z184" s="47"/>
      <c r="AA184" s="52" t="s">
        <v>183</v>
      </c>
      <c r="AB184" s="52" t="s">
        <v>183</v>
      </c>
      <c r="AC184" s="48"/>
      <c r="AD184" s="48"/>
      <c r="AE184" s="48"/>
      <c r="AF184" s="48"/>
      <c r="AG184" s="48"/>
      <c r="AH184" s="48"/>
      <c r="AI184" s="47"/>
      <c r="AJ184" s="47"/>
      <c r="AK184" s="47"/>
      <c r="AL184" s="47"/>
      <c r="AM184" s="47"/>
      <c r="AN184" s="47"/>
      <c r="AO184" s="47"/>
      <c r="AP184" s="47"/>
      <c r="AQ184" s="46" t="s">
        <v>161</v>
      </c>
      <c r="AR184" s="47"/>
      <c r="AS184" s="47"/>
      <c r="AT184" s="47"/>
      <c r="AU184" s="47"/>
      <c r="AV184" s="52" t="s">
        <v>183</v>
      </c>
      <c r="AW184" s="52" t="s">
        <v>183</v>
      </c>
      <c r="AX184" s="48"/>
      <c r="AY184" s="48"/>
      <c r="AZ184" s="48"/>
      <c r="BA184" s="48"/>
      <c r="BB184" s="48"/>
      <c r="BC184" s="48"/>
      <c r="BD184" s="47"/>
      <c r="BE184" s="47"/>
      <c r="BF184" s="47"/>
      <c r="BG184" s="47"/>
      <c r="BH184" s="47"/>
      <c r="BI184" s="47"/>
      <c r="BJ184" s="47"/>
      <c r="BK184" s="47"/>
    </row>
    <row r="185" spans="1:63" x14ac:dyDescent="0.2">
      <c r="A185" s="46" t="s">
        <v>162</v>
      </c>
      <c r="B185" s="47"/>
      <c r="C185" s="47"/>
      <c r="D185" s="47"/>
      <c r="E185" s="47"/>
      <c r="F185" s="52" t="s">
        <v>183</v>
      </c>
      <c r="G185" s="52" t="s">
        <v>183</v>
      </c>
      <c r="H185" s="48"/>
      <c r="I185" s="48"/>
      <c r="J185" s="48"/>
      <c r="K185" s="48"/>
      <c r="L185" s="48"/>
      <c r="M185" s="48"/>
      <c r="N185" s="47"/>
      <c r="O185" s="47"/>
      <c r="P185" s="47"/>
      <c r="Q185" s="47"/>
      <c r="R185" s="47"/>
      <c r="S185" s="47"/>
      <c r="T185" s="47"/>
      <c r="U185" s="47"/>
      <c r="V185" s="46" t="s">
        <v>162</v>
      </c>
      <c r="W185" s="47"/>
      <c r="X185" s="47"/>
      <c r="Y185" s="47"/>
      <c r="Z185" s="47"/>
      <c r="AA185" s="52" t="s">
        <v>183</v>
      </c>
      <c r="AB185" s="52" t="s">
        <v>183</v>
      </c>
      <c r="AC185" s="48"/>
      <c r="AD185" s="48"/>
      <c r="AE185" s="48"/>
      <c r="AF185" s="48"/>
      <c r="AG185" s="48"/>
      <c r="AH185" s="48"/>
      <c r="AI185" s="47"/>
      <c r="AJ185" s="47"/>
      <c r="AK185" s="47"/>
      <c r="AL185" s="47"/>
      <c r="AM185" s="47"/>
      <c r="AN185" s="47"/>
      <c r="AO185" s="47"/>
      <c r="AP185" s="47"/>
      <c r="AQ185" s="46" t="s">
        <v>162</v>
      </c>
      <c r="AR185" s="47"/>
      <c r="AS185" s="47"/>
      <c r="AT185" s="47"/>
      <c r="AU185" s="47"/>
      <c r="AV185" s="52" t="s">
        <v>183</v>
      </c>
      <c r="AW185" s="52" t="s">
        <v>183</v>
      </c>
      <c r="AX185" s="48"/>
      <c r="AY185" s="48"/>
      <c r="AZ185" s="48"/>
      <c r="BA185" s="48"/>
      <c r="BB185" s="48"/>
      <c r="BC185" s="48"/>
      <c r="BD185" s="47"/>
      <c r="BE185" s="47"/>
      <c r="BF185" s="47"/>
      <c r="BG185" s="47"/>
      <c r="BH185" s="47"/>
      <c r="BI185" s="47"/>
      <c r="BJ185" s="47"/>
      <c r="BK185" s="47"/>
    </row>
    <row r="186" spans="1:63" x14ac:dyDescent="0.2">
      <c r="A186" s="46" t="s">
        <v>163</v>
      </c>
      <c r="B186" s="47"/>
      <c r="C186" s="47"/>
      <c r="D186" s="47"/>
      <c r="E186" s="47"/>
      <c r="F186" s="52" t="s">
        <v>183</v>
      </c>
      <c r="G186" s="52" t="s">
        <v>183</v>
      </c>
      <c r="H186" s="48"/>
      <c r="I186" s="48"/>
      <c r="J186" s="48"/>
      <c r="K186" s="48"/>
      <c r="L186" s="48"/>
      <c r="M186" s="48"/>
      <c r="N186" s="47"/>
      <c r="O186" s="47"/>
      <c r="P186" s="47"/>
      <c r="Q186" s="47"/>
      <c r="R186" s="47"/>
      <c r="S186" s="47"/>
      <c r="T186" s="47"/>
      <c r="U186" s="47"/>
      <c r="V186" s="46" t="s">
        <v>163</v>
      </c>
      <c r="W186" s="47"/>
      <c r="X186" s="47"/>
      <c r="Y186" s="47"/>
      <c r="Z186" s="47"/>
      <c r="AA186" s="52" t="s">
        <v>183</v>
      </c>
      <c r="AB186" s="52" t="s">
        <v>183</v>
      </c>
      <c r="AC186" s="48"/>
      <c r="AD186" s="48"/>
      <c r="AE186" s="48"/>
      <c r="AF186" s="48"/>
      <c r="AG186" s="48"/>
      <c r="AH186" s="48"/>
      <c r="AI186" s="47"/>
      <c r="AJ186" s="47"/>
      <c r="AK186" s="47"/>
      <c r="AL186" s="47"/>
      <c r="AM186" s="47"/>
      <c r="AN186" s="47"/>
      <c r="AO186" s="47"/>
      <c r="AP186" s="47"/>
      <c r="AQ186" s="46" t="s">
        <v>163</v>
      </c>
      <c r="AR186" s="47"/>
      <c r="AS186" s="47"/>
      <c r="AT186" s="47"/>
      <c r="AU186" s="47"/>
      <c r="AV186" s="52" t="s">
        <v>183</v>
      </c>
      <c r="AW186" s="52" t="s">
        <v>183</v>
      </c>
      <c r="AX186" s="48"/>
      <c r="AY186" s="48"/>
      <c r="AZ186" s="48"/>
      <c r="BA186" s="48"/>
      <c r="BB186" s="48"/>
      <c r="BC186" s="48"/>
      <c r="BD186" s="47"/>
      <c r="BE186" s="47"/>
      <c r="BF186" s="47"/>
      <c r="BG186" s="47"/>
      <c r="BH186" s="47"/>
      <c r="BI186" s="47"/>
      <c r="BJ186" s="47"/>
      <c r="BK186" s="47"/>
    </row>
    <row r="187" spans="1:63" x14ac:dyDescent="0.2">
      <c r="A187" s="46" t="s">
        <v>164</v>
      </c>
      <c r="B187" s="47"/>
      <c r="C187" s="47"/>
      <c r="D187" s="47"/>
      <c r="E187" s="47"/>
      <c r="F187" s="52" t="s">
        <v>183</v>
      </c>
      <c r="G187" s="52" t="s">
        <v>183</v>
      </c>
      <c r="H187" s="48"/>
      <c r="I187" s="48"/>
      <c r="J187" s="48"/>
      <c r="K187" s="48"/>
      <c r="L187" s="48"/>
      <c r="M187" s="48"/>
      <c r="N187" s="47"/>
      <c r="O187" s="47"/>
      <c r="P187" s="47"/>
      <c r="Q187" s="47"/>
      <c r="R187" s="47"/>
      <c r="S187" s="47"/>
      <c r="T187" s="47"/>
      <c r="U187" s="47"/>
      <c r="V187" s="46" t="s">
        <v>164</v>
      </c>
      <c r="W187" s="47"/>
      <c r="X187" s="47"/>
      <c r="Y187" s="47"/>
      <c r="Z187" s="47"/>
      <c r="AA187" s="52" t="s">
        <v>183</v>
      </c>
      <c r="AB187" s="52" t="s">
        <v>183</v>
      </c>
      <c r="AC187" s="48"/>
      <c r="AD187" s="48"/>
      <c r="AE187" s="48"/>
      <c r="AF187" s="48"/>
      <c r="AG187" s="48"/>
      <c r="AH187" s="48"/>
      <c r="AI187" s="47"/>
      <c r="AJ187" s="47"/>
      <c r="AK187" s="47"/>
      <c r="AL187" s="47"/>
      <c r="AM187" s="47"/>
      <c r="AN187" s="47"/>
      <c r="AO187" s="47"/>
      <c r="AP187" s="47"/>
      <c r="AQ187" s="46" t="s">
        <v>164</v>
      </c>
      <c r="AR187" s="47"/>
      <c r="AS187" s="47"/>
      <c r="AT187" s="47"/>
      <c r="AU187" s="47"/>
      <c r="AV187" s="52" t="s">
        <v>183</v>
      </c>
      <c r="AW187" s="52" t="s">
        <v>183</v>
      </c>
      <c r="AX187" s="48"/>
      <c r="AY187" s="48"/>
      <c r="AZ187" s="48"/>
      <c r="BA187" s="48"/>
      <c r="BB187" s="48"/>
      <c r="BC187" s="48"/>
      <c r="BD187" s="47"/>
      <c r="BE187" s="47"/>
      <c r="BF187" s="47"/>
      <c r="BG187" s="47"/>
      <c r="BH187" s="47"/>
      <c r="BI187" s="47"/>
      <c r="BJ187" s="47"/>
      <c r="BK187" s="47"/>
    </row>
    <row r="188" spans="1:63" x14ac:dyDescent="0.2">
      <c r="A188" s="46" t="s">
        <v>165</v>
      </c>
      <c r="B188" s="47"/>
      <c r="C188" s="47"/>
      <c r="D188" s="47"/>
      <c r="E188" s="47"/>
      <c r="F188" s="52" t="s">
        <v>183</v>
      </c>
      <c r="G188" s="52" t="s">
        <v>183</v>
      </c>
      <c r="H188" s="48"/>
      <c r="I188" s="48"/>
      <c r="J188" s="48"/>
      <c r="K188" s="48"/>
      <c r="L188" s="48"/>
      <c r="M188" s="48"/>
      <c r="N188" s="47"/>
      <c r="O188" s="47"/>
      <c r="P188" s="47"/>
      <c r="Q188" s="47"/>
      <c r="R188" s="47"/>
      <c r="S188" s="47"/>
      <c r="T188" s="47"/>
      <c r="U188" s="47"/>
      <c r="V188" s="46" t="s">
        <v>165</v>
      </c>
      <c r="W188" s="47"/>
      <c r="X188" s="47"/>
      <c r="Y188" s="47"/>
      <c r="Z188" s="47"/>
      <c r="AA188" s="52" t="s">
        <v>183</v>
      </c>
      <c r="AB188" s="52" t="s">
        <v>183</v>
      </c>
      <c r="AC188" s="48"/>
      <c r="AD188" s="48"/>
      <c r="AE188" s="48"/>
      <c r="AF188" s="48"/>
      <c r="AG188" s="48"/>
      <c r="AH188" s="48"/>
      <c r="AI188" s="47"/>
      <c r="AJ188" s="47"/>
      <c r="AK188" s="47"/>
      <c r="AL188" s="47"/>
      <c r="AM188" s="47"/>
      <c r="AN188" s="47"/>
      <c r="AO188" s="47"/>
      <c r="AP188" s="47"/>
      <c r="AQ188" s="46" t="s">
        <v>165</v>
      </c>
      <c r="AR188" s="47"/>
      <c r="AS188" s="47"/>
      <c r="AT188" s="47"/>
      <c r="AU188" s="47"/>
      <c r="AV188" s="52" t="s">
        <v>183</v>
      </c>
      <c r="AW188" s="52" t="s">
        <v>183</v>
      </c>
      <c r="AX188" s="48"/>
      <c r="AY188" s="48"/>
      <c r="AZ188" s="48"/>
      <c r="BA188" s="48"/>
      <c r="BB188" s="48"/>
      <c r="BC188" s="48"/>
      <c r="BD188" s="47"/>
      <c r="BE188" s="47"/>
      <c r="BF188" s="47"/>
      <c r="BG188" s="47"/>
      <c r="BH188" s="47"/>
      <c r="BI188" s="47"/>
      <c r="BJ188" s="47"/>
      <c r="BK188" s="47"/>
    </row>
    <row r="189" spans="1:63" x14ac:dyDescent="0.2">
      <c r="A189" s="247" t="s">
        <v>156</v>
      </c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47" t="s">
        <v>156</v>
      </c>
      <c r="W189" s="227"/>
      <c r="X189" s="227"/>
      <c r="Y189" s="227"/>
      <c r="Z189" s="227"/>
      <c r="AA189" s="227"/>
      <c r="AB189" s="227"/>
      <c r="AC189" s="227"/>
      <c r="AD189" s="227"/>
      <c r="AE189" s="227"/>
      <c r="AF189" s="227"/>
      <c r="AG189" s="227"/>
      <c r="AH189" s="227"/>
      <c r="AI189" s="227"/>
      <c r="AJ189" s="227"/>
      <c r="AK189" s="227"/>
      <c r="AL189" s="227"/>
      <c r="AM189" s="227"/>
      <c r="AN189" s="227"/>
      <c r="AO189" s="227"/>
      <c r="AP189" s="227"/>
      <c r="AQ189" s="247" t="s">
        <v>156</v>
      </c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  <c r="BG189" s="227"/>
      <c r="BH189" s="227"/>
      <c r="BI189" s="227"/>
      <c r="BJ189" s="227"/>
      <c r="BK189" s="227"/>
    </row>
    <row r="190" spans="1:63" x14ac:dyDescent="0.2">
      <c r="A190" s="49" t="s">
        <v>166</v>
      </c>
      <c r="B190" s="49"/>
      <c r="C190" s="47"/>
      <c r="D190" s="47"/>
      <c r="E190" s="47"/>
      <c r="F190" s="47"/>
      <c r="G190" s="48"/>
      <c r="H190" s="52" t="s">
        <v>183</v>
      </c>
      <c r="I190" s="52" t="s">
        <v>183</v>
      </c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9" t="s">
        <v>166</v>
      </c>
      <c r="W190" s="49"/>
      <c r="X190" s="47"/>
      <c r="Y190" s="47"/>
      <c r="Z190" s="47"/>
      <c r="AA190" s="47"/>
      <c r="AB190" s="48"/>
      <c r="AC190" s="52" t="s">
        <v>183</v>
      </c>
      <c r="AD190" s="52" t="s">
        <v>183</v>
      </c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9" t="s">
        <v>166</v>
      </c>
      <c r="AR190" s="49"/>
      <c r="AS190" s="47"/>
      <c r="AT190" s="47"/>
      <c r="AU190" s="47"/>
      <c r="AV190" s="47"/>
      <c r="AW190" s="48"/>
      <c r="AX190" s="52" t="s">
        <v>183</v>
      </c>
      <c r="AY190" s="52" t="s">
        <v>183</v>
      </c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</row>
    <row r="191" spans="1:63" x14ac:dyDescent="0.2">
      <c r="A191" s="49" t="s">
        <v>167</v>
      </c>
      <c r="B191" s="49"/>
      <c r="C191" s="47"/>
      <c r="D191" s="47"/>
      <c r="E191" s="47"/>
      <c r="F191" s="47"/>
      <c r="G191" s="48"/>
      <c r="H191" s="52" t="s">
        <v>183</v>
      </c>
      <c r="I191" s="52" t="s">
        <v>183</v>
      </c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9" t="s">
        <v>167</v>
      </c>
      <c r="W191" s="49"/>
      <c r="X191" s="47"/>
      <c r="Y191" s="47"/>
      <c r="Z191" s="47"/>
      <c r="AA191" s="47"/>
      <c r="AB191" s="48"/>
      <c r="AC191" s="52" t="s">
        <v>183</v>
      </c>
      <c r="AD191" s="52" t="s">
        <v>183</v>
      </c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9" t="s">
        <v>167</v>
      </c>
      <c r="AR191" s="49"/>
      <c r="AS191" s="47"/>
      <c r="AT191" s="47"/>
      <c r="AU191" s="47"/>
      <c r="AV191" s="47"/>
      <c r="AW191" s="48"/>
      <c r="AX191" s="52" t="s">
        <v>183</v>
      </c>
      <c r="AY191" s="52" t="s">
        <v>183</v>
      </c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</row>
    <row r="192" spans="1:63" x14ac:dyDescent="0.2">
      <c r="A192" s="49" t="s">
        <v>168</v>
      </c>
      <c r="B192" s="49"/>
      <c r="C192" s="47"/>
      <c r="D192" s="47"/>
      <c r="E192" s="47"/>
      <c r="F192" s="47"/>
      <c r="G192" s="48"/>
      <c r="H192" s="52" t="s">
        <v>183</v>
      </c>
      <c r="I192" s="52" t="s">
        <v>183</v>
      </c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9" t="s">
        <v>168</v>
      </c>
      <c r="W192" s="49"/>
      <c r="X192" s="47"/>
      <c r="Y192" s="47"/>
      <c r="Z192" s="47"/>
      <c r="AA192" s="47"/>
      <c r="AB192" s="48"/>
      <c r="AC192" s="52" t="s">
        <v>183</v>
      </c>
      <c r="AD192" s="52" t="s">
        <v>183</v>
      </c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9" t="s">
        <v>168</v>
      </c>
      <c r="AR192" s="49"/>
      <c r="AS192" s="47"/>
      <c r="AT192" s="47"/>
      <c r="AU192" s="47"/>
      <c r="AV192" s="47"/>
      <c r="AW192" s="48"/>
      <c r="AX192" s="52" t="s">
        <v>183</v>
      </c>
      <c r="AY192" s="52" t="s">
        <v>183</v>
      </c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</row>
    <row r="193" spans="1:63" x14ac:dyDescent="0.2">
      <c r="A193" s="49" t="s">
        <v>169</v>
      </c>
      <c r="B193" s="49"/>
      <c r="C193" s="47"/>
      <c r="D193" s="47"/>
      <c r="E193" s="47"/>
      <c r="F193" s="47"/>
      <c r="G193" s="48"/>
      <c r="H193" s="52" t="s">
        <v>183</v>
      </c>
      <c r="I193" s="52" t="s">
        <v>183</v>
      </c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9" t="s">
        <v>169</v>
      </c>
      <c r="W193" s="49"/>
      <c r="X193" s="47"/>
      <c r="Y193" s="47"/>
      <c r="Z193" s="47"/>
      <c r="AA193" s="47"/>
      <c r="AB193" s="48"/>
      <c r="AC193" s="52" t="s">
        <v>183</v>
      </c>
      <c r="AD193" s="52" t="s">
        <v>183</v>
      </c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9" t="s">
        <v>169</v>
      </c>
      <c r="AR193" s="49"/>
      <c r="AS193" s="47"/>
      <c r="AT193" s="47"/>
      <c r="AU193" s="47"/>
      <c r="AV193" s="47"/>
      <c r="AW193" s="48"/>
      <c r="AX193" s="52" t="s">
        <v>183</v>
      </c>
      <c r="AY193" s="52" t="s">
        <v>183</v>
      </c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</row>
    <row r="194" spans="1:63" x14ac:dyDescent="0.2">
      <c r="A194" s="49" t="s">
        <v>170</v>
      </c>
      <c r="B194" s="49"/>
      <c r="C194" s="47"/>
      <c r="D194" s="47"/>
      <c r="E194" s="47"/>
      <c r="F194" s="47"/>
      <c r="G194" s="47"/>
      <c r="H194" s="47"/>
      <c r="I194" s="47"/>
      <c r="J194" s="52" t="s">
        <v>183</v>
      </c>
      <c r="K194" s="52" t="s">
        <v>183</v>
      </c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9" t="s">
        <v>170</v>
      </c>
      <c r="W194" s="49"/>
      <c r="X194" s="47"/>
      <c r="Y194" s="47"/>
      <c r="Z194" s="47"/>
      <c r="AA194" s="47"/>
      <c r="AB194" s="47"/>
      <c r="AC194" s="47"/>
      <c r="AD194" s="47"/>
      <c r="AE194" s="52" t="s">
        <v>183</v>
      </c>
      <c r="AF194" s="52" t="s">
        <v>183</v>
      </c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9" t="s">
        <v>170</v>
      </c>
      <c r="AR194" s="49"/>
      <c r="AS194" s="47"/>
      <c r="AT194" s="47"/>
      <c r="AU194" s="47"/>
      <c r="AV194" s="47"/>
      <c r="AW194" s="47"/>
      <c r="AX194" s="47"/>
      <c r="AY194" s="47"/>
      <c r="AZ194" s="52" t="s">
        <v>183</v>
      </c>
      <c r="BA194" s="52" t="s">
        <v>183</v>
      </c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</row>
    <row r="195" spans="1:63" x14ac:dyDescent="0.2">
      <c r="A195" s="49" t="s">
        <v>171</v>
      </c>
      <c r="B195" s="49"/>
      <c r="C195" s="47"/>
      <c r="D195" s="47"/>
      <c r="E195" s="47"/>
      <c r="F195" s="47"/>
      <c r="G195" s="47"/>
      <c r="H195" s="47"/>
      <c r="I195" s="47"/>
      <c r="J195" s="52" t="s">
        <v>183</v>
      </c>
      <c r="K195" s="52" t="s">
        <v>183</v>
      </c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9" t="s">
        <v>171</v>
      </c>
      <c r="W195" s="49"/>
      <c r="X195" s="47"/>
      <c r="Y195" s="47"/>
      <c r="Z195" s="47"/>
      <c r="AA195" s="47"/>
      <c r="AB195" s="47"/>
      <c r="AC195" s="47"/>
      <c r="AD195" s="47"/>
      <c r="AE195" s="52" t="s">
        <v>183</v>
      </c>
      <c r="AF195" s="52" t="s">
        <v>183</v>
      </c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9" t="s">
        <v>171</v>
      </c>
      <c r="AR195" s="49"/>
      <c r="AS195" s="47"/>
      <c r="AT195" s="47"/>
      <c r="AU195" s="47"/>
      <c r="AV195" s="47"/>
      <c r="AW195" s="47"/>
      <c r="AX195" s="47"/>
      <c r="AY195" s="47"/>
      <c r="AZ195" s="52" t="s">
        <v>183</v>
      </c>
      <c r="BA195" s="52" t="s">
        <v>183</v>
      </c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</row>
    <row r="196" spans="1:63" x14ac:dyDescent="0.2">
      <c r="A196" s="49" t="s">
        <v>172</v>
      </c>
      <c r="B196" s="49"/>
      <c r="C196" s="47"/>
      <c r="D196" s="47"/>
      <c r="E196" s="47"/>
      <c r="F196" s="47"/>
      <c r="G196" s="47"/>
      <c r="H196" s="47"/>
      <c r="I196" s="47"/>
      <c r="J196" s="52" t="s">
        <v>183</v>
      </c>
      <c r="K196" s="52" t="s">
        <v>183</v>
      </c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9" t="s">
        <v>172</v>
      </c>
      <c r="W196" s="49"/>
      <c r="X196" s="47"/>
      <c r="Y196" s="47"/>
      <c r="Z196" s="47"/>
      <c r="AA196" s="47"/>
      <c r="AB196" s="47"/>
      <c r="AC196" s="47"/>
      <c r="AD196" s="47"/>
      <c r="AE196" s="52" t="s">
        <v>183</v>
      </c>
      <c r="AF196" s="52" t="s">
        <v>183</v>
      </c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9" t="s">
        <v>172</v>
      </c>
      <c r="AR196" s="49"/>
      <c r="AS196" s="47"/>
      <c r="AT196" s="47"/>
      <c r="AU196" s="47"/>
      <c r="AV196" s="47"/>
      <c r="AW196" s="47"/>
      <c r="AX196" s="47"/>
      <c r="AY196" s="47"/>
      <c r="AZ196" s="52" t="s">
        <v>183</v>
      </c>
      <c r="BA196" s="52" t="s">
        <v>183</v>
      </c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</row>
    <row r="197" spans="1:63" x14ac:dyDescent="0.2">
      <c r="A197" s="46" t="s">
        <v>173</v>
      </c>
      <c r="B197" s="47"/>
      <c r="C197" s="47"/>
      <c r="D197" s="47"/>
      <c r="E197" s="47"/>
      <c r="F197" s="47"/>
      <c r="G197" s="47"/>
      <c r="H197" s="47"/>
      <c r="I197" s="47"/>
      <c r="J197" s="52" t="s">
        <v>183</v>
      </c>
      <c r="K197" s="52" t="s">
        <v>183</v>
      </c>
      <c r="L197" s="47"/>
      <c r="M197" s="47"/>
      <c r="N197" s="48"/>
      <c r="O197" s="48"/>
      <c r="P197" s="47"/>
      <c r="Q197" s="47"/>
      <c r="R197" s="47"/>
      <c r="S197" s="47"/>
      <c r="T197" s="47"/>
      <c r="U197" s="47"/>
      <c r="V197" s="46" t="s">
        <v>173</v>
      </c>
      <c r="W197" s="47"/>
      <c r="X197" s="47"/>
      <c r="Y197" s="47"/>
      <c r="Z197" s="47"/>
      <c r="AA197" s="47"/>
      <c r="AB197" s="47"/>
      <c r="AC197" s="47"/>
      <c r="AD197" s="47"/>
      <c r="AE197" s="52" t="s">
        <v>183</v>
      </c>
      <c r="AF197" s="52" t="s">
        <v>183</v>
      </c>
      <c r="AG197" s="47"/>
      <c r="AH197" s="47"/>
      <c r="AI197" s="48"/>
      <c r="AJ197" s="48"/>
      <c r="AK197" s="47"/>
      <c r="AL197" s="47"/>
      <c r="AM197" s="47"/>
      <c r="AN197" s="47"/>
      <c r="AO197" s="47"/>
      <c r="AP197" s="47"/>
      <c r="AQ197" s="46" t="s">
        <v>173</v>
      </c>
      <c r="AR197" s="47"/>
      <c r="AS197" s="47"/>
      <c r="AT197" s="47"/>
      <c r="AU197" s="47"/>
      <c r="AV197" s="47"/>
      <c r="AW197" s="47"/>
      <c r="AX197" s="47"/>
      <c r="AY197" s="47"/>
      <c r="AZ197" s="52" t="s">
        <v>183</v>
      </c>
      <c r="BA197" s="52" t="s">
        <v>183</v>
      </c>
      <c r="BB197" s="47"/>
      <c r="BC197" s="47"/>
      <c r="BD197" s="48"/>
      <c r="BE197" s="48"/>
      <c r="BF197" s="47"/>
      <c r="BG197" s="47"/>
      <c r="BH197" s="47"/>
      <c r="BI197" s="47"/>
      <c r="BJ197" s="47"/>
      <c r="BK197" s="47"/>
    </row>
    <row r="198" spans="1:63" x14ac:dyDescent="0.2">
      <c r="A198" s="46" t="s">
        <v>174</v>
      </c>
      <c r="B198" s="47"/>
      <c r="C198" s="47"/>
      <c r="D198" s="47"/>
      <c r="E198" s="47"/>
      <c r="F198" s="47"/>
      <c r="G198" s="47"/>
      <c r="H198" s="47"/>
      <c r="I198" s="47"/>
      <c r="J198" s="52" t="s">
        <v>183</v>
      </c>
      <c r="K198" s="52" t="s">
        <v>183</v>
      </c>
      <c r="L198" s="47"/>
      <c r="M198" s="47"/>
      <c r="N198" s="48"/>
      <c r="O198" s="48"/>
      <c r="P198" s="47"/>
      <c r="Q198" s="47"/>
      <c r="R198" s="47"/>
      <c r="S198" s="47"/>
      <c r="T198" s="47"/>
      <c r="U198" s="47"/>
      <c r="V198" s="46" t="s">
        <v>174</v>
      </c>
      <c r="W198" s="47"/>
      <c r="X198" s="47"/>
      <c r="Y198" s="47"/>
      <c r="Z198" s="47"/>
      <c r="AA198" s="47"/>
      <c r="AB198" s="47"/>
      <c r="AC198" s="47"/>
      <c r="AD198" s="47"/>
      <c r="AE198" s="52" t="s">
        <v>183</v>
      </c>
      <c r="AF198" s="52" t="s">
        <v>183</v>
      </c>
      <c r="AG198" s="47"/>
      <c r="AH198" s="47"/>
      <c r="AI198" s="48"/>
      <c r="AJ198" s="48"/>
      <c r="AK198" s="47"/>
      <c r="AL198" s="47"/>
      <c r="AM198" s="47"/>
      <c r="AN198" s="47"/>
      <c r="AO198" s="47"/>
      <c r="AP198" s="47"/>
      <c r="AQ198" s="46" t="s">
        <v>174</v>
      </c>
      <c r="AR198" s="47"/>
      <c r="AS198" s="47"/>
      <c r="AT198" s="47"/>
      <c r="AU198" s="47"/>
      <c r="AV198" s="47"/>
      <c r="AW198" s="47"/>
      <c r="AX198" s="47"/>
      <c r="AY198" s="47"/>
      <c r="AZ198" s="52" t="s">
        <v>183</v>
      </c>
      <c r="BA198" s="52" t="s">
        <v>183</v>
      </c>
      <c r="BB198" s="47"/>
      <c r="BC198" s="47"/>
      <c r="BD198" s="48"/>
      <c r="BE198" s="48"/>
      <c r="BF198" s="47"/>
      <c r="BG198" s="47"/>
      <c r="BH198" s="47"/>
      <c r="BI198" s="47"/>
      <c r="BJ198" s="47"/>
      <c r="BK198" s="47"/>
    </row>
    <row r="199" spans="1:63" x14ac:dyDescent="0.2">
      <c r="A199" s="242" t="s">
        <v>156</v>
      </c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8"/>
      <c r="V199" s="242" t="s">
        <v>156</v>
      </c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27"/>
      <c r="AL199" s="227"/>
      <c r="AM199" s="227"/>
      <c r="AN199" s="227"/>
      <c r="AO199" s="227"/>
      <c r="AP199" s="228"/>
      <c r="AQ199" s="242" t="s">
        <v>156</v>
      </c>
      <c r="AR199" s="227"/>
      <c r="AS199" s="227"/>
      <c r="AT199" s="227"/>
      <c r="AU199" s="227"/>
      <c r="AV199" s="227"/>
      <c r="AW199" s="227"/>
      <c r="AX199" s="227"/>
      <c r="AY199" s="227"/>
      <c r="AZ199" s="227"/>
      <c r="BA199" s="227"/>
      <c r="BB199" s="227"/>
      <c r="BC199" s="227"/>
      <c r="BD199" s="227"/>
      <c r="BE199" s="227"/>
      <c r="BF199" s="227"/>
      <c r="BG199" s="227"/>
      <c r="BH199" s="227"/>
      <c r="BI199" s="227"/>
      <c r="BJ199" s="227"/>
      <c r="BK199" s="228"/>
    </row>
    <row r="200" spans="1:63" x14ac:dyDescent="0.2">
      <c r="A200" s="49" t="s">
        <v>175</v>
      </c>
      <c r="B200" s="49"/>
      <c r="C200" s="47"/>
      <c r="D200" s="47"/>
      <c r="E200" s="47"/>
      <c r="F200" s="47"/>
      <c r="G200" s="47"/>
      <c r="H200" s="47"/>
      <c r="I200" s="47"/>
      <c r="J200" s="47"/>
      <c r="K200" s="47"/>
      <c r="L200" s="52" t="s">
        <v>183</v>
      </c>
      <c r="M200" s="52" t="s">
        <v>183</v>
      </c>
      <c r="N200" s="47"/>
      <c r="O200" s="47"/>
      <c r="P200" s="47"/>
      <c r="Q200" s="47"/>
      <c r="R200" s="47"/>
      <c r="S200" s="47"/>
      <c r="T200" s="47"/>
      <c r="U200" s="47"/>
      <c r="V200" s="49" t="s">
        <v>175</v>
      </c>
      <c r="W200" s="49"/>
      <c r="X200" s="47"/>
      <c r="Y200" s="47"/>
      <c r="Z200" s="47"/>
      <c r="AA200" s="47"/>
      <c r="AB200" s="47"/>
      <c r="AC200" s="47"/>
      <c r="AD200" s="47"/>
      <c r="AE200" s="47"/>
      <c r="AF200" s="47"/>
      <c r="AG200" s="52" t="s">
        <v>183</v>
      </c>
      <c r="AH200" s="52" t="s">
        <v>183</v>
      </c>
      <c r="AI200" s="47"/>
      <c r="AJ200" s="47"/>
      <c r="AK200" s="47"/>
      <c r="AL200" s="47"/>
      <c r="AM200" s="47"/>
      <c r="AN200" s="47"/>
      <c r="AO200" s="47"/>
      <c r="AP200" s="47"/>
      <c r="AQ200" s="49" t="s">
        <v>175</v>
      </c>
      <c r="AR200" s="49"/>
      <c r="AS200" s="47"/>
      <c r="AT200" s="47"/>
      <c r="AU200" s="47"/>
      <c r="AV200" s="47"/>
      <c r="AW200" s="47"/>
      <c r="AX200" s="47"/>
      <c r="AY200" s="47"/>
      <c r="AZ200" s="47"/>
      <c r="BA200" s="47"/>
      <c r="BB200" s="52" t="s">
        <v>183</v>
      </c>
      <c r="BC200" s="52" t="s">
        <v>183</v>
      </c>
      <c r="BD200" s="47"/>
      <c r="BE200" s="47"/>
      <c r="BF200" s="47"/>
      <c r="BG200" s="47"/>
      <c r="BH200" s="47"/>
      <c r="BI200" s="47"/>
      <c r="BJ200" s="47"/>
      <c r="BK200" s="47"/>
    </row>
    <row r="201" spans="1:63" x14ac:dyDescent="0.2">
      <c r="A201" s="49" t="s">
        <v>176</v>
      </c>
      <c r="B201" s="49"/>
      <c r="C201" s="47"/>
      <c r="D201" s="47"/>
      <c r="E201" s="47"/>
      <c r="F201" s="47"/>
      <c r="G201" s="47"/>
      <c r="H201" s="47"/>
      <c r="I201" s="47"/>
      <c r="J201" s="47"/>
      <c r="K201" s="47"/>
      <c r="L201" s="52" t="s">
        <v>183</v>
      </c>
      <c r="M201" s="52" t="s">
        <v>183</v>
      </c>
      <c r="N201" s="47"/>
      <c r="O201" s="47"/>
      <c r="P201" s="47"/>
      <c r="Q201" s="47"/>
      <c r="R201" s="47"/>
      <c r="S201" s="47"/>
      <c r="T201" s="47"/>
      <c r="U201" s="47"/>
      <c r="V201" s="49" t="s">
        <v>176</v>
      </c>
      <c r="W201" s="49"/>
      <c r="X201" s="47"/>
      <c r="Y201" s="47"/>
      <c r="Z201" s="47"/>
      <c r="AA201" s="47"/>
      <c r="AB201" s="47"/>
      <c r="AC201" s="47"/>
      <c r="AD201" s="47"/>
      <c r="AE201" s="47"/>
      <c r="AF201" s="47"/>
      <c r="AG201" s="52" t="s">
        <v>183</v>
      </c>
      <c r="AH201" s="52" t="s">
        <v>183</v>
      </c>
      <c r="AI201" s="47"/>
      <c r="AJ201" s="47"/>
      <c r="AK201" s="47"/>
      <c r="AL201" s="47"/>
      <c r="AM201" s="47"/>
      <c r="AN201" s="47"/>
      <c r="AO201" s="47"/>
      <c r="AP201" s="47"/>
      <c r="AQ201" s="49" t="s">
        <v>176</v>
      </c>
      <c r="AR201" s="49"/>
      <c r="AS201" s="47"/>
      <c r="AT201" s="47"/>
      <c r="AU201" s="47"/>
      <c r="AV201" s="47"/>
      <c r="AW201" s="47"/>
      <c r="AX201" s="47"/>
      <c r="AY201" s="47"/>
      <c r="AZ201" s="47"/>
      <c r="BA201" s="47"/>
      <c r="BB201" s="52" t="s">
        <v>183</v>
      </c>
      <c r="BC201" s="52" t="s">
        <v>183</v>
      </c>
      <c r="BD201" s="47"/>
      <c r="BE201" s="47"/>
      <c r="BF201" s="47"/>
      <c r="BG201" s="47"/>
      <c r="BH201" s="47"/>
      <c r="BI201" s="47"/>
      <c r="BJ201" s="47"/>
      <c r="BK201" s="47"/>
    </row>
    <row r="202" spans="1:63" x14ac:dyDescent="0.2">
      <c r="A202" s="49" t="s">
        <v>177</v>
      </c>
      <c r="B202" s="49"/>
      <c r="C202" s="47"/>
      <c r="D202" s="47"/>
      <c r="E202" s="47"/>
      <c r="F202" s="47"/>
      <c r="G202" s="47"/>
      <c r="H202" s="47"/>
      <c r="I202" s="47"/>
      <c r="J202" s="47"/>
      <c r="K202" s="47"/>
      <c r="L202" s="52" t="s">
        <v>183</v>
      </c>
      <c r="M202" s="52" t="s">
        <v>183</v>
      </c>
      <c r="N202" s="47"/>
      <c r="O202" s="47"/>
      <c r="P202" s="47"/>
      <c r="Q202" s="47"/>
      <c r="R202" s="47"/>
      <c r="S202" s="47"/>
      <c r="T202" s="47"/>
      <c r="U202" s="47"/>
      <c r="V202" s="49" t="s">
        <v>177</v>
      </c>
      <c r="W202" s="49"/>
      <c r="X202" s="47"/>
      <c r="Y202" s="47"/>
      <c r="Z202" s="47"/>
      <c r="AA202" s="47"/>
      <c r="AB202" s="47"/>
      <c r="AC202" s="47"/>
      <c r="AD202" s="47"/>
      <c r="AE202" s="47"/>
      <c r="AF202" s="47"/>
      <c r="AG202" s="52" t="s">
        <v>183</v>
      </c>
      <c r="AH202" s="52" t="s">
        <v>183</v>
      </c>
      <c r="AI202" s="47"/>
      <c r="AJ202" s="47"/>
      <c r="AK202" s="47"/>
      <c r="AL202" s="47"/>
      <c r="AM202" s="47"/>
      <c r="AN202" s="47"/>
      <c r="AO202" s="47"/>
      <c r="AP202" s="47"/>
      <c r="AQ202" s="49" t="s">
        <v>177</v>
      </c>
      <c r="AR202" s="49"/>
      <c r="AS202" s="47"/>
      <c r="AT202" s="47"/>
      <c r="AU202" s="47"/>
      <c r="AV202" s="47"/>
      <c r="AW202" s="47"/>
      <c r="AX202" s="47"/>
      <c r="AY202" s="47"/>
      <c r="AZ202" s="47"/>
      <c r="BA202" s="47"/>
      <c r="BB202" s="52" t="s">
        <v>183</v>
      </c>
      <c r="BC202" s="52" t="s">
        <v>183</v>
      </c>
      <c r="BD202" s="47"/>
      <c r="BE202" s="47"/>
      <c r="BF202" s="47"/>
      <c r="BG202" s="47"/>
      <c r="BH202" s="47"/>
      <c r="BI202" s="47"/>
      <c r="BJ202" s="47"/>
      <c r="BK202" s="47"/>
    </row>
    <row r="203" spans="1:63" x14ac:dyDescent="0.2">
      <c r="A203" s="49" t="s">
        <v>178</v>
      </c>
      <c r="B203" s="49"/>
      <c r="C203" s="47"/>
      <c r="D203" s="47"/>
      <c r="E203" s="47"/>
      <c r="F203" s="47"/>
      <c r="G203" s="47"/>
      <c r="H203" s="47"/>
      <c r="I203" s="47"/>
      <c r="J203" s="47"/>
      <c r="K203" s="47"/>
      <c r="L203" s="52" t="s">
        <v>183</v>
      </c>
      <c r="M203" s="52" t="s">
        <v>183</v>
      </c>
      <c r="N203" s="47"/>
      <c r="O203" s="47"/>
      <c r="P203" s="47"/>
      <c r="Q203" s="47"/>
      <c r="R203" s="47"/>
      <c r="S203" s="47"/>
      <c r="T203" s="47"/>
      <c r="U203" s="47"/>
      <c r="V203" s="49" t="s">
        <v>178</v>
      </c>
      <c r="W203" s="49"/>
      <c r="X203" s="47"/>
      <c r="Y203" s="47"/>
      <c r="Z203" s="47"/>
      <c r="AA203" s="47"/>
      <c r="AB203" s="47"/>
      <c r="AC203" s="47"/>
      <c r="AD203" s="47"/>
      <c r="AE203" s="47"/>
      <c r="AF203" s="47"/>
      <c r="AG203" s="52" t="s">
        <v>183</v>
      </c>
      <c r="AH203" s="52" t="s">
        <v>183</v>
      </c>
      <c r="AI203" s="47"/>
      <c r="AJ203" s="47"/>
      <c r="AK203" s="47"/>
      <c r="AL203" s="47"/>
      <c r="AM203" s="47"/>
      <c r="AN203" s="47"/>
      <c r="AO203" s="47"/>
      <c r="AP203" s="47"/>
      <c r="AQ203" s="49" t="s">
        <v>178</v>
      </c>
      <c r="AR203" s="49"/>
      <c r="AS203" s="47"/>
      <c r="AT203" s="47"/>
      <c r="AU203" s="47"/>
      <c r="AV203" s="47"/>
      <c r="AW203" s="47"/>
      <c r="AX203" s="47"/>
      <c r="AY203" s="47"/>
      <c r="AZ203" s="47"/>
      <c r="BA203" s="47"/>
      <c r="BB203" s="52" t="s">
        <v>183</v>
      </c>
      <c r="BC203" s="52" t="s">
        <v>183</v>
      </c>
      <c r="BD203" s="47"/>
      <c r="BE203" s="47"/>
      <c r="BF203" s="47"/>
      <c r="BG203" s="47"/>
      <c r="BH203" s="47"/>
      <c r="BI203" s="47"/>
      <c r="BJ203" s="47"/>
      <c r="BK203" s="47"/>
    </row>
    <row r="204" spans="1:63" x14ac:dyDescent="0.2">
      <c r="A204" s="49" t="s">
        <v>179</v>
      </c>
      <c r="B204" s="49"/>
      <c r="C204" s="47"/>
      <c r="D204" s="47"/>
      <c r="E204" s="47"/>
      <c r="F204" s="47"/>
      <c r="G204" s="47"/>
      <c r="H204" s="47"/>
      <c r="I204" s="47"/>
      <c r="J204" s="47"/>
      <c r="K204" s="47"/>
      <c r="L204" s="52" t="s">
        <v>183</v>
      </c>
      <c r="M204" s="52" t="s">
        <v>183</v>
      </c>
      <c r="N204" s="47"/>
      <c r="O204" s="47"/>
      <c r="P204" s="47"/>
      <c r="Q204" s="47"/>
      <c r="R204" s="47"/>
      <c r="S204" s="47"/>
      <c r="T204" s="47"/>
      <c r="U204" s="47"/>
      <c r="V204" s="49" t="s">
        <v>179</v>
      </c>
      <c r="W204" s="49"/>
      <c r="X204" s="47"/>
      <c r="Y204" s="47"/>
      <c r="Z204" s="47"/>
      <c r="AA204" s="47"/>
      <c r="AB204" s="47"/>
      <c r="AC204" s="47"/>
      <c r="AD204" s="47"/>
      <c r="AE204" s="47"/>
      <c r="AF204" s="47"/>
      <c r="AG204" s="52" t="s">
        <v>183</v>
      </c>
      <c r="AH204" s="52" t="s">
        <v>183</v>
      </c>
      <c r="AI204" s="47"/>
      <c r="AJ204" s="47"/>
      <c r="AK204" s="47"/>
      <c r="AL204" s="47"/>
      <c r="AM204" s="47"/>
      <c r="AN204" s="47"/>
      <c r="AO204" s="47"/>
      <c r="AP204" s="47"/>
      <c r="AQ204" s="49" t="s">
        <v>179</v>
      </c>
      <c r="AR204" s="49"/>
      <c r="AS204" s="47"/>
      <c r="AT204" s="47"/>
      <c r="AU204" s="47"/>
      <c r="AV204" s="47"/>
      <c r="AW204" s="47"/>
      <c r="AX204" s="47"/>
      <c r="AY204" s="47"/>
      <c r="AZ204" s="47"/>
      <c r="BA204" s="47"/>
      <c r="BB204" s="52" t="s">
        <v>183</v>
      </c>
      <c r="BC204" s="52" t="s">
        <v>183</v>
      </c>
      <c r="BD204" s="47"/>
      <c r="BE204" s="47"/>
      <c r="BF204" s="47"/>
      <c r="BG204" s="47"/>
      <c r="BH204" s="47"/>
      <c r="BI204" s="47"/>
      <c r="BJ204" s="47"/>
      <c r="BK204" s="47"/>
    </row>
    <row r="205" spans="1:63" x14ac:dyDescent="0.2">
      <c r="A205" s="49" t="s">
        <v>180</v>
      </c>
      <c r="B205" s="49"/>
      <c r="C205" s="47"/>
      <c r="D205" s="47"/>
      <c r="E205" s="47"/>
      <c r="F205" s="47"/>
      <c r="G205" s="47"/>
      <c r="H205" s="47"/>
      <c r="I205" s="47"/>
      <c r="J205" s="47"/>
      <c r="K205" s="47"/>
      <c r="L205" s="52" t="s">
        <v>183</v>
      </c>
      <c r="M205" s="52" t="s">
        <v>183</v>
      </c>
      <c r="N205" s="47"/>
      <c r="O205" s="47"/>
      <c r="P205" s="47"/>
      <c r="Q205" s="47"/>
      <c r="R205" s="47"/>
      <c r="S205" s="47"/>
      <c r="T205" s="47"/>
      <c r="U205" s="47"/>
      <c r="V205" s="49" t="s">
        <v>180</v>
      </c>
      <c r="W205" s="49"/>
      <c r="X205" s="47"/>
      <c r="Y205" s="47"/>
      <c r="Z205" s="47"/>
      <c r="AA205" s="47"/>
      <c r="AB205" s="47"/>
      <c r="AC205" s="47"/>
      <c r="AD205" s="47"/>
      <c r="AE205" s="47"/>
      <c r="AF205" s="47"/>
      <c r="AG205" s="52" t="s">
        <v>183</v>
      </c>
      <c r="AH205" s="52" t="s">
        <v>183</v>
      </c>
      <c r="AI205" s="47"/>
      <c r="AJ205" s="47"/>
      <c r="AK205" s="47"/>
      <c r="AL205" s="47"/>
      <c r="AM205" s="47"/>
      <c r="AN205" s="47"/>
      <c r="AO205" s="47"/>
      <c r="AP205" s="47"/>
      <c r="AQ205" s="49" t="s">
        <v>180</v>
      </c>
      <c r="AR205" s="49"/>
      <c r="AS205" s="47"/>
      <c r="AT205" s="47"/>
      <c r="AU205" s="47"/>
      <c r="AV205" s="47"/>
      <c r="AW205" s="47"/>
      <c r="AX205" s="47"/>
      <c r="AY205" s="47"/>
      <c r="AZ205" s="47"/>
      <c r="BA205" s="47"/>
      <c r="BB205" s="52" t="s">
        <v>183</v>
      </c>
      <c r="BC205" s="52" t="s">
        <v>183</v>
      </c>
      <c r="BD205" s="47"/>
      <c r="BE205" s="47"/>
      <c r="BF205" s="47"/>
      <c r="BG205" s="47"/>
      <c r="BH205" s="47"/>
      <c r="BI205" s="47"/>
      <c r="BJ205" s="47"/>
      <c r="BK205" s="47"/>
    </row>
    <row r="206" spans="1:63" x14ac:dyDescent="0.2">
      <c r="A206" s="49" t="s">
        <v>181</v>
      </c>
      <c r="B206" s="49"/>
      <c r="C206" s="46"/>
      <c r="D206" s="46"/>
      <c r="E206" s="47"/>
      <c r="F206" s="47"/>
      <c r="G206" s="47"/>
      <c r="H206" s="47"/>
      <c r="I206" s="47"/>
      <c r="J206" s="47"/>
      <c r="K206" s="47"/>
      <c r="L206" s="52" t="s">
        <v>183</v>
      </c>
      <c r="M206" s="52" t="s">
        <v>183</v>
      </c>
      <c r="N206" s="47"/>
      <c r="O206" s="47"/>
      <c r="P206" s="47"/>
      <c r="Q206" s="47"/>
      <c r="R206" s="47"/>
      <c r="S206" s="47"/>
      <c r="T206" s="47"/>
      <c r="U206" s="47"/>
      <c r="V206" s="49" t="s">
        <v>181</v>
      </c>
      <c r="W206" s="49"/>
      <c r="X206" s="46"/>
      <c r="Y206" s="46"/>
      <c r="Z206" s="47"/>
      <c r="AA206" s="47"/>
      <c r="AB206" s="47"/>
      <c r="AC206" s="47"/>
      <c r="AD206" s="47"/>
      <c r="AE206" s="47"/>
      <c r="AF206" s="47"/>
      <c r="AG206" s="52" t="s">
        <v>183</v>
      </c>
      <c r="AH206" s="52" t="s">
        <v>183</v>
      </c>
      <c r="AI206" s="47"/>
      <c r="AJ206" s="47"/>
      <c r="AK206" s="47"/>
      <c r="AL206" s="47"/>
      <c r="AM206" s="47"/>
      <c r="AN206" s="47"/>
      <c r="AO206" s="47"/>
      <c r="AP206" s="47"/>
      <c r="AQ206" s="49" t="s">
        <v>181</v>
      </c>
      <c r="AR206" s="49"/>
      <c r="AS206" s="46"/>
      <c r="AT206" s="46"/>
      <c r="AU206" s="47"/>
      <c r="AV206" s="47"/>
      <c r="AW206" s="47"/>
      <c r="AX206" s="47"/>
      <c r="AY206" s="47"/>
      <c r="AZ206" s="47"/>
      <c r="BA206" s="47"/>
      <c r="BB206" s="52" t="s">
        <v>183</v>
      </c>
      <c r="BC206" s="52" t="s">
        <v>183</v>
      </c>
      <c r="BD206" s="47"/>
      <c r="BE206" s="47"/>
      <c r="BF206" s="47"/>
      <c r="BG206" s="47"/>
      <c r="BH206" s="47"/>
      <c r="BI206" s="47"/>
      <c r="BJ206" s="47"/>
      <c r="BK206" s="47"/>
    </row>
    <row r="207" spans="1:63" x14ac:dyDescent="0.2">
      <c r="A207" s="242" t="s">
        <v>156</v>
      </c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8"/>
      <c r="V207" s="242" t="s">
        <v>156</v>
      </c>
      <c r="W207" s="227"/>
      <c r="X207" s="227"/>
      <c r="Y207" s="227"/>
      <c r="Z207" s="227"/>
      <c r="AA207" s="227"/>
      <c r="AB207" s="227"/>
      <c r="AC207" s="227"/>
      <c r="AD207" s="227"/>
      <c r="AE207" s="227"/>
      <c r="AF207" s="227"/>
      <c r="AG207" s="227"/>
      <c r="AH207" s="227"/>
      <c r="AI207" s="227"/>
      <c r="AJ207" s="227"/>
      <c r="AK207" s="227"/>
      <c r="AL207" s="227"/>
      <c r="AM207" s="227"/>
      <c r="AN207" s="227"/>
      <c r="AO207" s="227"/>
      <c r="AP207" s="228"/>
      <c r="AQ207" s="242" t="s">
        <v>156</v>
      </c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/>
      <c r="BF207" s="227"/>
      <c r="BG207" s="227"/>
      <c r="BH207" s="227"/>
      <c r="BI207" s="227"/>
      <c r="BJ207" s="227"/>
      <c r="BK207" s="228"/>
    </row>
    <row r="208" spans="1:63" x14ac:dyDescent="0.2">
      <c r="A208" s="49" t="s">
        <v>182</v>
      </c>
      <c r="B208" s="49"/>
      <c r="C208" s="46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52" t="s">
        <v>183</v>
      </c>
      <c r="O208" s="52" t="s">
        <v>183</v>
      </c>
      <c r="P208" s="47"/>
      <c r="Q208" s="47"/>
      <c r="R208" s="47"/>
      <c r="S208" s="47"/>
      <c r="T208" s="47"/>
      <c r="U208" s="47"/>
      <c r="V208" s="49" t="s">
        <v>182</v>
      </c>
      <c r="W208" s="49"/>
      <c r="X208" s="46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52" t="s">
        <v>183</v>
      </c>
      <c r="AJ208" s="52" t="s">
        <v>183</v>
      </c>
      <c r="AK208" s="47"/>
      <c r="AL208" s="47"/>
      <c r="AM208" s="47"/>
      <c r="AN208" s="47"/>
      <c r="AO208" s="47"/>
      <c r="AP208" s="47"/>
      <c r="AQ208" s="49" t="s">
        <v>182</v>
      </c>
      <c r="AR208" s="49"/>
      <c r="AS208" s="46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52" t="s">
        <v>183</v>
      </c>
      <c r="BE208" s="52" t="s">
        <v>183</v>
      </c>
      <c r="BF208" s="47"/>
      <c r="BG208" s="47"/>
      <c r="BH208" s="47"/>
      <c r="BI208" s="47"/>
      <c r="BJ208" s="47"/>
      <c r="BK208" s="47"/>
    </row>
    <row r="209" spans="1:63" x14ac:dyDescent="0.2">
      <c r="A209" s="49" t="s">
        <v>184</v>
      </c>
      <c r="B209" s="49"/>
      <c r="C209" s="46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52" t="s">
        <v>183</v>
      </c>
      <c r="O209" s="52" t="s">
        <v>183</v>
      </c>
      <c r="P209" s="47"/>
      <c r="Q209" s="47"/>
      <c r="R209" s="47"/>
      <c r="S209" s="47"/>
      <c r="T209" s="47"/>
      <c r="U209" s="47"/>
      <c r="V209" s="49" t="s">
        <v>184</v>
      </c>
      <c r="W209" s="49"/>
      <c r="X209" s="46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52" t="s">
        <v>183</v>
      </c>
      <c r="AJ209" s="52" t="s">
        <v>183</v>
      </c>
      <c r="AK209" s="47"/>
      <c r="AL209" s="47"/>
      <c r="AM209" s="47"/>
      <c r="AN209" s="47"/>
      <c r="AO209" s="47"/>
      <c r="AP209" s="47"/>
      <c r="AQ209" s="49" t="s">
        <v>184</v>
      </c>
      <c r="AR209" s="49"/>
      <c r="AS209" s="46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52" t="s">
        <v>183</v>
      </c>
      <c r="BE209" s="52" t="s">
        <v>183</v>
      </c>
      <c r="BF209" s="47"/>
      <c r="BG209" s="47"/>
      <c r="BH209" s="47"/>
      <c r="BI209" s="47"/>
      <c r="BJ209" s="47"/>
      <c r="BK209" s="47"/>
    </row>
    <row r="210" spans="1:63" x14ac:dyDescent="0.2">
      <c r="A210" s="49" t="s">
        <v>185</v>
      </c>
      <c r="B210" s="49"/>
      <c r="C210" s="46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52" t="s">
        <v>183</v>
      </c>
      <c r="O210" s="52" t="s">
        <v>183</v>
      </c>
      <c r="P210" s="47"/>
      <c r="Q210" s="47"/>
      <c r="R210" s="47"/>
      <c r="S210" s="47"/>
      <c r="T210" s="47"/>
      <c r="U210" s="47"/>
      <c r="V210" s="49" t="s">
        <v>185</v>
      </c>
      <c r="W210" s="49"/>
      <c r="X210" s="46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52" t="s">
        <v>183</v>
      </c>
      <c r="AJ210" s="52" t="s">
        <v>183</v>
      </c>
      <c r="AK210" s="47"/>
      <c r="AL210" s="47"/>
      <c r="AM210" s="47"/>
      <c r="AN210" s="47"/>
      <c r="AO210" s="47"/>
      <c r="AP210" s="47"/>
      <c r="AQ210" s="49" t="s">
        <v>185</v>
      </c>
      <c r="AR210" s="49"/>
      <c r="AS210" s="46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52" t="s">
        <v>183</v>
      </c>
      <c r="BE210" s="52" t="s">
        <v>183</v>
      </c>
      <c r="BF210" s="47"/>
      <c r="BG210" s="47"/>
      <c r="BH210" s="47"/>
      <c r="BI210" s="47"/>
      <c r="BJ210" s="47"/>
      <c r="BK210" s="47"/>
    </row>
    <row r="211" spans="1:63" x14ac:dyDescent="0.2">
      <c r="A211" s="49" t="s">
        <v>186</v>
      </c>
      <c r="B211" s="49"/>
      <c r="C211" s="46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52" t="s">
        <v>183</v>
      </c>
      <c r="O211" s="52" t="s">
        <v>183</v>
      </c>
      <c r="P211" s="47"/>
      <c r="Q211" s="47"/>
      <c r="R211" s="47"/>
      <c r="S211" s="47"/>
      <c r="T211" s="47"/>
      <c r="U211" s="47"/>
      <c r="V211" s="49" t="s">
        <v>186</v>
      </c>
      <c r="W211" s="49"/>
      <c r="X211" s="46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52" t="s">
        <v>183</v>
      </c>
      <c r="AJ211" s="52" t="s">
        <v>183</v>
      </c>
      <c r="AK211" s="47"/>
      <c r="AL211" s="47"/>
      <c r="AM211" s="47"/>
      <c r="AN211" s="47"/>
      <c r="AO211" s="47"/>
      <c r="AP211" s="47"/>
      <c r="AQ211" s="49" t="s">
        <v>186</v>
      </c>
      <c r="AR211" s="49"/>
      <c r="AS211" s="46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52" t="s">
        <v>183</v>
      </c>
      <c r="BE211" s="52" t="s">
        <v>183</v>
      </c>
      <c r="BF211" s="47"/>
      <c r="BG211" s="47"/>
      <c r="BH211" s="47"/>
      <c r="BI211" s="47"/>
      <c r="BJ211" s="47"/>
      <c r="BK211" s="47"/>
    </row>
    <row r="212" spans="1:63" x14ac:dyDescent="0.2">
      <c r="A212" s="49" t="s">
        <v>187</v>
      </c>
      <c r="B212" s="49"/>
      <c r="C212" s="4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52" t="s">
        <v>183</v>
      </c>
      <c r="O212" s="52" t="s">
        <v>183</v>
      </c>
      <c r="P212" s="47"/>
      <c r="Q212" s="47"/>
      <c r="R212" s="47"/>
      <c r="S212" s="47"/>
      <c r="T212" s="47"/>
      <c r="U212" s="47"/>
      <c r="V212" s="49" t="s">
        <v>187</v>
      </c>
      <c r="W212" s="49"/>
      <c r="X212" s="46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52" t="s">
        <v>183</v>
      </c>
      <c r="AJ212" s="52" t="s">
        <v>183</v>
      </c>
      <c r="AK212" s="47"/>
      <c r="AL212" s="47"/>
      <c r="AM212" s="47"/>
      <c r="AN212" s="47"/>
      <c r="AO212" s="47"/>
      <c r="AP212" s="47"/>
      <c r="AQ212" s="49" t="s">
        <v>187</v>
      </c>
      <c r="AR212" s="49"/>
      <c r="AS212" s="46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52" t="s">
        <v>183</v>
      </c>
      <c r="BE212" s="52" t="s">
        <v>183</v>
      </c>
      <c r="BF212" s="47"/>
      <c r="BG212" s="47"/>
      <c r="BH212" s="47"/>
      <c r="BI212" s="47"/>
      <c r="BJ212" s="47"/>
      <c r="BK212" s="47"/>
    </row>
    <row r="213" spans="1:63" x14ac:dyDescent="0.2">
      <c r="A213" s="49" t="s">
        <v>188</v>
      </c>
      <c r="B213" s="49"/>
      <c r="C213" s="46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52" t="s">
        <v>183</v>
      </c>
      <c r="O213" s="52" t="s">
        <v>183</v>
      </c>
      <c r="P213" s="47"/>
      <c r="Q213" s="47"/>
      <c r="R213" s="47"/>
      <c r="S213" s="47"/>
      <c r="T213" s="47"/>
      <c r="U213" s="47"/>
      <c r="V213" s="49" t="s">
        <v>188</v>
      </c>
      <c r="W213" s="49"/>
      <c r="X213" s="46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52" t="s">
        <v>183</v>
      </c>
      <c r="AJ213" s="52" t="s">
        <v>183</v>
      </c>
      <c r="AK213" s="47"/>
      <c r="AL213" s="47"/>
      <c r="AM213" s="47"/>
      <c r="AN213" s="47"/>
      <c r="AO213" s="47"/>
      <c r="AP213" s="47"/>
      <c r="AQ213" s="49" t="s">
        <v>188</v>
      </c>
      <c r="AR213" s="49"/>
      <c r="AS213" s="46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52" t="s">
        <v>183</v>
      </c>
      <c r="BE213" s="52" t="s">
        <v>183</v>
      </c>
      <c r="BF213" s="47"/>
      <c r="BG213" s="47"/>
      <c r="BH213" s="47"/>
      <c r="BI213" s="47"/>
      <c r="BJ213" s="47"/>
      <c r="BK213" s="47"/>
    </row>
    <row r="214" spans="1:63" x14ac:dyDescent="0.2">
      <c r="A214" s="49" t="s">
        <v>189</v>
      </c>
      <c r="B214" s="49"/>
      <c r="C214" s="46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52" t="s">
        <v>183</v>
      </c>
      <c r="O214" s="52" t="s">
        <v>183</v>
      </c>
      <c r="P214" s="47"/>
      <c r="Q214" s="47"/>
      <c r="R214" s="47"/>
      <c r="S214" s="47"/>
      <c r="T214" s="47"/>
      <c r="U214" s="47"/>
      <c r="V214" s="49" t="s">
        <v>189</v>
      </c>
      <c r="W214" s="49"/>
      <c r="X214" s="46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52" t="s">
        <v>183</v>
      </c>
      <c r="AJ214" s="52" t="s">
        <v>183</v>
      </c>
      <c r="AK214" s="47"/>
      <c r="AL214" s="47"/>
      <c r="AM214" s="47"/>
      <c r="AN214" s="47"/>
      <c r="AO214" s="47"/>
      <c r="AP214" s="47"/>
      <c r="AQ214" s="49" t="s">
        <v>189</v>
      </c>
      <c r="AR214" s="49"/>
      <c r="AS214" s="46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52" t="s">
        <v>183</v>
      </c>
      <c r="BE214" s="52" t="s">
        <v>183</v>
      </c>
      <c r="BF214" s="47"/>
      <c r="BG214" s="47"/>
      <c r="BH214" s="47"/>
      <c r="BI214" s="47"/>
      <c r="BJ214" s="47"/>
      <c r="BK214" s="47"/>
    </row>
    <row r="215" spans="1:63" x14ac:dyDescent="0.2">
      <c r="A215" s="242" t="s">
        <v>190</v>
      </c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8"/>
      <c r="V215" s="242" t="s">
        <v>190</v>
      </c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7"/>
      <c r="AG215" s="227"/>
      <c r="AH215" s="227"/>
      <c r="AI215" s="227"/>
      <c r="AJ215" s="227"/>
      <c r="AK215" s="227"/>
      <c r="AL215" s="227"/>
      <c r="AM215" s="227"/>
      <c r="AN215" s="227"/>
      <c r="AO215" s="227"/>
      <c r="AP215" s="228"/>
      <c r="AQ215" s="242" t="s">
        <v>190</v>
      </c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227"/>
      <c r="BG215" s="227"/>
      <c r="BH215" s="227"/>
      <c r="BI215" s="227"/>
      <c r="BJ215" s="227"/>
      <c r="BK215" s="228"/>
    </row>
    <row r="216" spans="1:63" x14ac:dyDescent="0.2">
      <c r="A216" s="46" t="s">
        <v>191</v>
      </c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52" t="s">
        <v>183</v>
      </c>
      <c r="Q216" s="52" t="s">
        <v>183</v>
      </c>
      <c r="R216" s="52" t="s">
        <v>183</v>
      </c>
      <c r="S216" s="47"/>
      <c r="T216" s="47"/>
      <c r="U216" s="47"/>
      <c r="V216" s="46" t="s">
        <v>191</v>
      </c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52" t="s">
        <v>183</v>
      </c>
      <c r="AL216" s="52" t="s">
        <v>183</v>
      </c>
      <c r="AM216" s="52" t="s">
        <v>183</v>
      </c>
      <c r="AN216" s="47"/>
      <c r="AO216" s="47"/>
      <c r="AP216" s="47"/>
      <c r="AQ216" s="46" t="s">
        <v>191</v>
      </c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52" t="s">
        <v>183</v>
      </c>
      <c r="BG216" s="52" t="s">
        <v>183</v>
      </c>
      <c r="BH216" s="52" t="s">
        <v>183</v>
      </c>
      <c r="BI216" s="47"/>
      <c r="BJ216" s="47"/>
      <c r="BK216" s="47"/>
    </row>
    <row r="217" spans="1:63" x14ac:dyDescent="0.2">
      <c r="A217" s="242" t="s">
        <v>156</v>
      </c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8"/>
      <c r="V217" s="242" t="s">
        <v>156</v>
      </c>
      <c r="W217" s="227"/>
      <c r="X217" s="227"/>
      <c r="Y217" s="227"/>
      <c r="Z217" s="227"/>
      <c r="AA217" s="227"/>
      <c r="AB217" s="227"/>
      <c r="AC217" s="227"/>
      <c r="AD217" s="227"/>
      <c r="AE217" s="227"/>
      <c r="AF217" s="227"/>
      <c r="AG217" s="227"/>
      <c r="AH217" s="227"/>
      <c r="AI217" s="227"/>
      <c r="AJ217" s="227"/>
      <c r="AK217" s="227"/>
      <c r="AL217" s="227"/>
      <c r="AM217" s="227"/>
      <c r="AN217" s="227"/>
      <c r="AO217" s="227"/>
      <c r="AP217" s="228"/>
      <c r="AQ217" s="242" t="s">
        <v>156</v>
      </c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/>
      <c r="BG217" s="227"/>
      <c r="BH217" s="227"/>
      <c r="BI217" s="227"/>
      <c r="BJ217" s="227"/>
      <c r="BK217" s="228"/>
    </row>
    <row r="218" spans="1:63" x14ac:dyDescent="0.2">
      <c r="A218" s="46" t="s">
        <v>192</v>
      </c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52" t="s">
        <v>183</v>
      </c>
      <c r="T218" s="52" t="s">
        <v>183</v>
      </c>
      <c r="U218" s="47"/>
      <c r="V218" s="46" t="s">
        <v>192</v>
      </c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52" t="s">
        <v>183</v>
      </c>
      <c r="AO218" s="52" t="s">
        <v>183</v>
      </c>
      <c r="AP218" s="47"/>
      <c r="AQ218" s="46" t="s">
        <v>192</v>
      </c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52" t="s">
        <v>183</v>
      </c>
      <c r="BJ218" s="52" t="s">
        <v>183</v>
      </c>
      <c r="BK218" s="47"/>
    </row>
    <row r="219" spans="1:63" x14ac:dyDescent="0.2">
      <c r="A219" s="46" t="s">
        <v>193</v>
      </c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52" t="s">
        <v>183</v>
      </c>
      <c r="T219" s="52" t="s">
        <v>183</v>
      </c>
      <c r="U219" s="47"/>
      <c r="V219" s="46" t="s">
        <v>193</v>
      </c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52" t="s">
        <v>183</v>
      </c>
      <c r="AO219" s="52" t="s">
        <v>183</v>
      </c>
      <c r="AP219" s="47"/>
      <c r="AQ219" s="46" t="s">
        <v>193</v>
      </c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52" t="s">
        <v>183</v>
      </c>
      <c r="BJ219" s="52" t="s">
        <v>183</v>
      </c>
      <c r="BK219" s="47"/>
    </row>
    <row r="220" spans="1:63" x14ac:dyDescent="0.2">
      <c r="A220" s="46" t="s">
        <v>194</v>
      </c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52" t="s">
        <v>183</v>
      </c>
      <c r="T220" s="52" t="s">
        <v>183</v>
      </c>
      <c r="U220" s="47"/>
      <c r="V220" s="46" t="s">
        <v>194</v>
      </c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52" t="s">
        <v>183</v>
      </c>
      <c r="AO220" s="52" t="s">
        <v>183</v>
      </c>
      <c r="AP220" s="47"/>
      <c r="AQ220" s="46" t="s">
        <v>194</v>
      </c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52" t="s">
        <v>183</v>
      </c>
      <c r="BJ220" s="52" t="s">
        <v>183</v>
      </c>
      <c r="BK220" s="47"/>
    </row>
    <row r="221" spans="1:63" x14ac:dyDescent="0.2">
      <c r="A221" s="46" t="s">
        <v>195</v>
      </c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52" t="s">
        <v>183</v>
      </c>
      <c r="T221" s="52" t="s">
        <v>183</v>
      </c>
      <c r="U221" s="47"/>
      <c r="V221" s="46" t="s">
        <v>195</v>
      </c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52" t="s">
        <v>183</v>
      </c>
      <c r="AO221" s="52" t="s">
        <v>183</v>
      </c>
      <c r="AP221" s="47"/>
      <c r="AQ221" s="46" t="s">
        <v>195</v>
      </c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52" t="s">
        <v>183</v>
      </c>
      <c r="BJ221" s="52" t="s">
        <v>183</v>
      </c>
      <c r="BK221" s="47"/>
    </row>
    <row r="222" spans="1:63" x14ac:dyDescent="0.2">
      <c r="A222" s="46" t="s">
        <v>196</v>
      </c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52" t="s">
        <v>183</v>
      </c>
      <c r="T222" s="52" t="s">
        <v>183</v>
      </c>
      <c r="U222" s="47"/>
      <c r="V222" s="46" t="s">
        <v>196</v>
      </c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52" t="s">
        <v>183</v>
      </c>
      <c r="AO222" s="52" t="s">
        <v>183</v>
      </c>
      <c r="AP222" s="47"/>
      <c r="AQ222" s="46" t="s">
        <v>196</v>
      </c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52" t="s">
        <v>183</v>
      </c>
      <c r="BJ222" s="52" t="s">
        <v>183</v>
      </c>
      <c r="BK222" s="47"/>
    </row>
    <row r="223" spans="1:63" x14ac:dyDescent="0.2">
      <c r="A223" s="50" t="s">
        <v>197</v>
      </c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52" t="s">
        <v>183</v>
      </c>
      <c r="T223" s="52" t="s">
        <v>183</v>
      </c>
      <c r="U223" s="47"/>
      <c r="V223" s="50" t="s">
        <v>197</v>
      </c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52" t="s">
        <v>183</v>
      </c>
      <c r="AO223" s="52" t="s">
        <v>183</v>
      </c>
      <c r="AP223" s="47"/>
      <c r="AQ223" s="50" t="s">
        <v>197</v>
      </c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52" t="s">
        <v>183</v>
      </c>
      <c r="BJ223" s="52" t="s">
        <v>183</v>
      </c>
      <c r="BK223" s="47"/>
    </row>
    <row r="224" spans="1:63" x14ac:dyDescent="0.2">
      <c r="A224" s="50" t="s">
        <v>198</v>
      </c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52" t="s">
        <v>183</v>
      </c>
      <c r="T224" s="52" t="s">
        <v>183</v>
      </c>
      <c r="U224" s="47"/>
      <c r="V224" s="50" t="s">
        <v>198</v>
      </c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52" t="s">
        <v>183</v>
      </c>
      <c r="AO224" s="52" t="s">
        <v>183</v>
      </c>
      <c r="AP224" s="47"/>
      <c r="AQ224" s="50" t="s">
        <v>198</v>
      </c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52" t="s">
        <v>183</v>
      </c>
      <c r="BJ224" s="52" t="s">
        <v>183</v>
      </c>
      <c r="BK224" s="47"/>
    </row>
    <row r="225" spans="1:63" x14ac:dyDescent="0.2">
      <c r="A225" s="50" t="s">
        <v>199</v>
      </c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52" t="s">
        <v>183</v>
      </c>
      <c r="T225" s="52" t="s">
        <v>183</v>
      </c>
      <c r="U225" s="47"/>
      <c r="V225" s="50" t="s">
        <v>199</v>
      </c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52" t="s">
        <v>183</v>
      </c>
      <c r="AO225" s="52" t="s">
        <v>183</v>
      </c>
      <c r="AP225" s="47"/>
      <c r="AQ225" s="50" t="s">
        <v>199</v>
      </c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52" t="s">
        <v>183</v>
      </c>
      <c r="BJ225" s="52" t="s">
        <v>183</v>
      </c>
      <c r="BK225" s="47"/>
    </row>
    <row r="226" spans="1:63" x14ac:dyDescent="0.2">
      <c r="A226" s="242" t="s">
        <v>200</v>
      </c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8"/>
      <c r="V226" s="242" t="s">
        <v>200</v>
      </c>
      <c r="W226" s="227"/>
      <c r="X226" s="227"/>
      <c r="Y226" s="227"/>
      <c r="Z226" s="227"/>
      <c r="AA226" s="227"/>
      <c r="AB226" s="227"/>
      <c r="AC226" s="227"/>
      <c r="AD226" s="227"/>
      <c r="AE226" s="227"/>
      <c r="AF226" s="227"/>
      <c r="AG226" s="227"/>
      <c r="AH226" s="227"/>
      <c r="AI226" s="227"/>
      <c r="AJ226" s="227"/>
      <c r="AK226" s="227"/>
      <c r="AL226" s="227"/>
      <c r="AM226" s="227"/>
      <c r="AN226" s="227"/>
      <c r="AO226" s="227"/>
      <c r="AP226" s="228"/>
      <c r="AQ226" s="242" t="s">
        <v>200</v>
      </c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27"/>
      <c r="BC226" s="227"/>
      <c r="BD226" s="227"/>
      <c r="BE226" s="227"/>
      <c r="BF226" s="227"/>
      <c r="BG226" s="227"/>
      <c r="BH226" s="227"/>
      <c r="BI226" s="227"/>
      <c r="BJ226" s="227"/>
      <c r="BK226" s="228"/>
    </row>
    <row r="227" spans="1:63" x14ac:dyDescent="0.2">
      <c r="A227" s="46" t="s">
        <v>24</v>
      </c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52" t="s">
        <v>183</v>
      </c>
      <c r="T227" s="52" t="s">
        <v>183</v>
      </c>
      <c r="U227" s="52" t="s">
        <v>183</v>
      </c>
      <c r="V227" s="46" t="s">
        <v>24</v>
      </c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52" t="s">
        <v>183</v>
      </c>
      <c r="AO227" s="52" t="s">
        <v>183</v>
      </c>
      <c r="AP227" s="52" t="s">
        <v>183</v>
      </c>
      <c r="AQ227" s="46" t="s">
        <v>24</v>
      </c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52" t="s">
        <v>183</v>
      </c>
      <c r="BJ227" s="52" t="s">
        <v>183</v>
      </c>
      <c r="BK227" s="52" t="s">
        <v>183</v>
      </c>
    </row>
    <row r="228" spans="1:63" x14ac:dyDescent="0.2">
      <c r="A228" s="242" t="s">
        <v>156</v>
      </c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8"/>
      <c r="V228" s="242" t="s">
        <v>156</v>
      </c>
      <c r="W228" s="227"/>
      <c r="X228" s="227"/>
      <c r="Y228" s="227"/>
      <c r="Z228" s="227"/>
      <c r="AA228" s="227"/>
      <c r="AB228" s="227"/>
      <c r="AC228" s="227"/>
      <c r="AD228" s="227"/>
      <c r="AE228" s="227"/>
      <c r="AF228" s="227"/>
      <c r="AG228" s="227"/>
      <c r="AH228" s="227"/>
      <c r="AI228" s="227"/>
      <c r="AJ228" s="227"/>
      <c r="AK228" s="227"/>
      <c r="AL228" s="227"/>
      <c r="AM228" s="227"/>
      <c r="AN228" s="227"/>
      <c r="AO228" s="227"/>
      <c r="AP228" s="228"/>
      <c r="AQ228" s="242" t="s">
        <v>156</v>
      </c>
      <c r="AR228" s="227"/>
      <c r="AS228" s="227"/>
      <c r="AT228" s="227"/>
      <c r="AU228" s="227"/>
      <c r="AV228" s="227"/>
      <c r="AW228" s="227"/>
      <c r="AX228" s="227"/>
      <c r="AY228" s="227"/>
      <c r="AZ228" s="227"/>
      <c r="BA228" s="227"/>
      <c r="BB228" s="227"/>
      <c r="BC228" s="227"/>
      <c r="BD228" s="227"/>
      <c r="BE228" s="227"/>
      <c r="BF228" s="227"/>
      <c r="BG228" s="227"/>
      <c r="BH228" s="227"/>
      <c r="BI228" s="227"/>
      <c r="BJ228" s="227"/>
      <c r="BK228" s="228"/>
    </row>
  </sheetData>
  <mergeCells count="180">
    <mergeCell ref="V180:AP180"/>
    <mergeCell ref="AG173:AK173"/>
    <mergeCell ref="Q116:U116"/>
    <mergeCell ref="AQ46:BK46"/>
    <mergeCell ref="AQ112:BK112"/>
    <mergeCell ref="A46:U46"/>
    <mergeCell ref="Q173:U173"/>
    <mergeCell ref="V160:AP160"/>
    <mergeCell ref="AQ123:BK123"/>
    <mergeCell ref="AR173:AV173"/>
    <mergeCell ref="AB116:AF116"/>
    <mergeCell ref="L59:P59"/>
    <mergeCell ref="A1:U1"/>
    <mergeCell ref="AQ85:BK85"/>
    <mergeCell ref="V121:AP121"/>
    <mergeCell ref="A36:U36"/>
    <mergeCell ref="AQ57:BK57"/>
    <mergeCell ref="V64:AP64"/>
    <mergeCell ref="AQ66:BK66"/>
    <mergeCell ref="AQ116:AQ117"/>
    <mergeCell ref="V171:AP171"/>
    <mergeCell ref="AW2:BA2"/>
    <mergeCell ref="G2:K2"/>
    <mergeCell ref="V1:AP1"/>
    <mergeCell ref="AQ115:BK115"/>
    <mergeCell ref="A75:U75"/>
    <mergeCell ref="V115:AP115"/>
    <mergeCell ref="V36:AP36"/>
    <mergeCell ref="AB2:AF2"/>
    <mergeCell ref="AR2:AV2"/>
    <mergeCell ref="V9:AP9"/>
    <mergeCell ref="V123:AP123"/>
    <mergeCell ref="AQ114:BK114"/>
    <mergeCell ref="V132:AP132"/>
    <mergeCell ref="G116:K116"/>
    <mergeCell ref="B2:F2"/>
    <mergeCell ref="V228:AP228"/>
    <mergeCell ref="AQ215:BK215"/>
    <mergeCell ref="AW116:BA116"/>
    <mergeCell ref="W173:AA173"/>
    <mergeCell ref="AG59:AK59"/>
    <mergeCell ref="A57:U57"/>
    <mergeCell ref="V173:V174"/>
    <mergeCell ref="V172:AP172"/>
    <mergeCell ref="AQ158:BK158"/>
    <mergeCell ref="AW173:BA173"/>
    <mergeCell ref="AG116:AK116"/>
    <mergeCell ref="Q59:U59"/>
    <mergeCell ref="AQ142:BK142"/>
    <mergeCell ref="AQ226:BK226"/>
    <mergeCell ref="A58:U58"/>
    <mergeCell ref="AQ228:BK228"/>
    <mergeCell ref="AQ189:BK189"/>
    <mergeCell ref="A189:U189"/>
    <mergeCell ref="AQ199:BK199"/>
    <mergeCell ref="A59:A60"/>
    <mergeCell ref="A207:U207"/>
    <mergeCell ref="G173:K173"/>
    <mergeCell ref="AQ103:BK103"/>
    <mergeCell ref="A217:U217"/>
    <mergeCell ref="AG2:AK2"/>
    <mergeCell ref="AQ150:BK150"/>
    <mergeCell ref="AQ132:BK132"/>
    <mergeCell ref="A150:U150"/>
    <mergeCell ref="AQ28:BK28"/>
    <mergeCell ref="V226:AP226"/>
    <mergeCell ref="V93:AP93"/>
    <mergeCell ref="AQ160:BK160"/>
    <mergeCell ref="A55:U55"/>
    <mergeCell ref="V55:AP55"/>
    <mergeCell ref="W2:AA2"/>
    <mergeCell ref="V2:V3"/>
    <mergeCell ref="BG173:BK173"/>
    <mergeCell ref="V207:AP207"/>
    <mergeCell ref="AQ64:BK64"/>
    <mergeCell ref="V103:AP103"/>
    <mergeCell ref="A2:A3"/>
    <mergeCell ref="BG59:BK59"/>
    <mergeCell ref="V66:AP66"/>
    <mergeCell ref="AQ171:BK171"/>
    <mergeCell ref="V75:AP75"/>
    <mergeCell ref="A171:U171"/>
    <mergeCell ref="V158:AP158"/>
    <mergeCell ref="B116:F116"/>
    <mergeCell ref="V7:AP7"/>
    <mergeCell ref="AQ9:BK9"/>
    <mergeCell ref="A199:U199"/>
    <mergeCell ref="A112:U112"/>
    <mergeCell ref="A121:U121"/>
    <mergeCell ref="W59:AA59"/>
    <mergeCell ref="V57:AP57"/>
    <mergeCell ref="AQ44:BK44"/>
    <mergeCell ref="BB2:BF2"/>
    <mergeCell ref="A123:U123"/>
    <mergeCell ref="AQ172:BK172"/>
    <mergeCell ref="A132:U132"/>
    <mergeCell ref="A173:A174"/>
    <mergeCell ref="V112:AP112"/>
    <mergeCell ref="B173:F173"/>
    <mergeCell ref="AR59:AV59"/>
    <mergeCell ref="B59:F59"/>
    <mergeCell ref="BB116:BF116"/>
    <mergeCell ref="AL59:AP59"/>
    <mergeCell ref="AB173:AF173"/>
    <mergeCell ref="A66:U66"/>
    <mergeCell ref="A18:U18"/>
    <mergeCell ref="A158:U158"/>
    <mergeCell ref="AQ58:BK58"/>
    <mergeCell ref="V18:AP18"/>
    <mergeCell ref="A114:U114"/>
    <mergeCell ref="AQ55:BK55"/>
    <mergeCell ref="A64:U64"/>
    <mergeCell ref="A226:U226"/>
    <mergeCell ref="AW59:BA59"/>
    <mergeCell ref="A178:U178"/>
    <mergeCell ref="BG116:BK116"/>
    <mergeCell ref="V58:AP58"/>
    <mergeCell ref="V150:AP150"/>
    <mergeCell ref="AR116:AV116"/>
    <mergeCell ref="AB59:AF59"/>
    <mergeCell ref="A215:U215"/>
    <mergeCell ref="A160:U160"/>
    <mergeCell ref="BB173:BF173"/>
    <mergeCell ref="AL116:AP116"/>
    <mergeCell ref="A180:U180"/>
    <mergeCell ref="A116:A117"/>
    <mergeCell ref="A115:U115"/>
    <mergeCell ref="A93:U93"/>
    <mergeCell ref="V46:AP46"/>
    <mergeCell ref="V116:V117"/>
    <mergeCell ref="W116:AA116"/>
    <mergeCell ref="G59:K59"/>
    <mergeCell ref="A228:U228"/>
    <mergeCell ref="AQ217:BK217"/>
    <mergeCell ref="V215:AP215"/>
    <mergeCell ref="AL173:AP173"/>
    <mergeCell ref="L2:P2"/>
    <mergeCell ref="AQ7:BK7"/>
    <mergeCell ref="A7:U7"/>
    <mergeCell ref="V199:AP199"/>
    <mergeCell ref="A172:U172"/>
    <mergeCell ref="V28:AP28"/>
    <mergeCell ref="V44:AP44"/>
    <mergeCell ref="V59:V60"/>
    <mergeCell ref="AL2:AP2"/>
    <mergeCell ref="V142:AP142"/>
    <mergeCell ref="AQ18:BK18"/>
    <mergeCell ref="AQ173:AQ174"/>
    <mergeCell ref="AQ2:AQ3"/>
    <mergeCell ref="L116:P116"/>
    <mergeCell ref="A101:U101"/>
    <mergeCell ref="AQ121:BK121"/>
    <mergeCell ref="V169:AP169"/>
    <mergeCell ref="A85:U85"/>
    <mergeCell ref="V178:AP178"/>
    <mergeCell ref="AQ180:BK180"/>
    <mergeCell ref="AQ1:BK1"/>
    <mergeCell ref="AQ93:BK93"/>
    <mergeCell ref="V217:AP217"/>
    <mergeCell ref="A28:U28"/>
    <mergeCell ref="BB59:BF59"/>
    <mergeCell ref="A9:U9"/>
    <mergeCell ref="AQ59:AQ60"/>
    <mergeCell ref="V114:AP114"/>
    <mergeCell ref="AQ207:BK207"/>
    <mergeCell ref="AQ36:BK36"/>
    <mergeCell ref="V101:AP101"/>
    <mergeCell ref="Q2:U2"/>
    <mergeCell ref="A142:U142"/>
    <mergeCell ref="AQ169:BK169"/>
    <mergeCell ref="L173:P173"/>
    <mergeCell ref="A103:U103"/>
    <mergeCell ref="A169:U169"/>
    <mergeCell ref="AQ178:BK178"/>
    <mergeCell ref="V85:AP85"/>
    <mergeCell ref="AQ101:BK101"/>
    <mergeCell ref="AQ75:BK75"/>
    <mergeCell ref="BG2:BK2"/>
    <mergeCell ref="A44:U44"/>
    <mergeCell ref="V189:AP18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3"/>
  <sheetViews>
    <sheetView workbookViewId="0">
      <selection activeCell="C16" sqref="C16"/>
    </sheetView>
  </sheetViews>
  <sheetFormatPr baseColWidth="10" defaultColWidth="9" defaultRowHeight="15" x14ac:dyDescent="0.2"/>
  <cols>
    <col min="2" max="2" width="7.83203125" customWidth="1"/>
    <col min="3" max="3" width="8.5" customWidth="1"/>
    <col min="4" max="4" width="8.33203125" customWidth="1"/>
    <col min="5" max="5" width="8.5" customWidth="1"/>
    <col min="6" max="6" width="11.6640625" customWidth="1"/>
    <col min="7" max="7" width="9" customWidth="1"/>
    <col min="8" max="8" width="8" customWidth="1"/>
    <col min="9" max="9" width="11" customWidth="1"/>
    <col min="10" max="10" width="11.83203125" customWidth="1"/>
    <col min="11" max="11" width="15.83203125" customWidth="1"/>
    <col min="12" max="12" width="8.5" customWidth="1"/>
    <col min="13" max="13" width="7" customWidth="1"/>
    <col min="15" max="15" width="12.5" customWidth="1"/>
    <col min="16" max="16" width="13.1640625" customWidth="1"/>
    <col min="17" max="17" width="15" customWidth="1"/>
    <col min="18" max="18" width="17.83203125" customWidth="1"/>
  </cols>
  <sheetData>
    <row r="1" spans="1:18" ht="45.75" customHeight="1" thickBot="1" x14ac:dyDescent="0.25">
      <c r="A1" s="34"/>
      <c r="B1" s="35" t="s">
        <v>19</v>
      </c>
      <c r="C1" s="35" t="s">
        <v>20</v>
      </c>
      <c r="D1" s="35" t="s">
        <v>21</v>
      </c>
      <c r="E1" s="35" t="s">
        <v>22</v>
      </c>
      <c r="F1" s="35" t="s">
        <v>23</v>
      </c>
      <c r="G1" s="35" t="s">
        <v>24</v>
      </c>
      <c r="H1" s="35" t="s">
        <v>25</v>
      </c>
      <c r="I1" s="35" t="s">
        <v>26</v>
      </c>
      <c r="J1" s="35" t="s">
        <v>27</v>
      </c>
      <c r="K1" s="35" t="s">
        <v>28</v>
      </c>
      <c r="L1" s="35" t="s">
        <v>29</v>
      </c>
      <c r="M1" s="35" t="s">
        <v>30</v>
      </c>
      <c r="N1" s="35" t="s">
        <v>31</v>
      </c>
      <c r="O1" s="35" t="s">
        <v>32</v>
      </c>
      <c r="P1" s="35" t="s">
        <v>33</v>
      </c>
      <c r="Q1" s="172" t="s">
        <v>34</v>
      </c>
      <c r="R1" s="184" t="s">
        <v>35</v>
      </c>
    </row>
    <row r="2" spans="1:18" x14ac:dyDescent="0.2">
      <c r="A2" s="36" t="s">
        <v>47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 s="39">
        <v>5</v>
      </c>
    </row>
    <row r="3" spans="1:18" x14ac:dyDescent="0.2">
      <c r="A3" s="36" t="s">
        <v>36</v>
      </c>
      <c r="B3">
        <v>4.4000000000000004</v>
      </c>
      <c r="C3">
        <v>4.3</v>
      </c>
      <c r="D3">
        <v>4.2</v>
      </c>
      <c r="E3">
        <v>4.3</v>
      </c>
      <c r="F3">
        <v>4.3</v>
      </c>
      <c r="G3">
        <v>4.3</v>
      </c>
      <c r="H3">
        <v>4.3</v>
      </c>
      <c r="I3">
        <v>4.4000000000000004</v>
      </c>
      <c r="J3">
        <v>4.4000000000000004</v>
      </c>
      <c r="K3">
        <v>4.3</v>
      </c>
      <c r="L3">
        <v>4.9000000000000004</v>
      </c>
      <c r="M3">
        <v>4.4000000000000004</v>
      </c>
      <c r="N3">
        <v>4.8</v>
      </c>
      <c r="O3">
        <v>4.8</v>
      </c>
      <c r="P3">
        <v>4.9000000000000004</v>
      </c>
      <c r="Q3">
        <v>5</v>
      </c>
      <c r="R3" s="39">
        <v>5</v>
      </c>
    </row>
    <row r="4" spans="1:18" x14ac:dyDescent="0.2">
      <c r="A4" s="36" t="s">
        <v>17</v>
      </c>
      <c r="R4" s="39"/>
    </row>
    <row r="5" spans="1:18" x14ac:dyDescent="0.2">
      <c r="A5" s="36" t="s">
        <v>48</v>
      </c>
      <c r="R5" s="39"/>
    </row>
    <row r="6" spans="1:18" x14ac:dyDescent="0.2">
      <c r="A6" s="36" t="s">
        <v>49</v>
      </c>
      <c r="R6" s="39"/>
    </row>
    <row r="7" spans="1:18" x14ac:dyDescent="0.2">
      <c r="A7" s="36" t="s">
        <v>50</v>
      </c>
      <c r="R7" s="39"/>
    </row>
    <row r="8" spans="1:18" x14ac:dyDescent="0.2">
      <c r="A8" s="36" t="s">
        <v>51</v>
      </c>
      <c r="R8" s="39"/>
    </row>
    <row r="9" spans="1:18" x14ac:dyDescent="0.2">
      <c r="A9" s="36" t="s">
        <v>52</v>
      </c>
      <c r="R9" s="39"/>
    </row>
    <row r="10" spans="1:18" x14ac:dyDescent="0.2">
      <c r="A10" s="36" t="s">
        <v>53</v>
      </c>
      <c r="R10" s="39"/>
    </row>
    <row r="11" spans="1:18" x14ac:dyDescent="0.2">
      <c r="A11" s="36" t="s">
        <v>54</v>
      </c>
      <c r="R11" s="39"/>
    </row>
    <row r="12" spans="1:18" x14ac:dyDescent="0.2">
      <c r="A12" s="36" t="s">
        <v>55</v>
      </c>
      <c r="R12" s="39"/>
    </row>
    <row r="13" spans="1:18" ht="15.75" customHeight="1" thickBot="1" x14ac:dyDescent="0.25">
      <c r="A13" s="37" t="s">
        <v>56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40"/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V1359"/>
  <sheetViews>
    <sheetView topLeftCell="D1" workbookViewId="0">
      <selection activeCell="M18" sqref="M18"/>
    </sheetView>
  </sheetViews>
  <sheetFormatPr baseColWidth="10" defaultColWidth="14.5" defaultRowHeight="15" x14ac:dyDescent="0.2"/>
  <cols>
    <col min="1" max="1" width="2.6640625" style="3" customWidth="1"/>
    <col min="2" max="2" width="7.33203125" style="3" customWidth="1"/>
    <col min="3" max="3" width="3.83203125" style="3" customWidth="1"/>
    <col min="4" max="4" width="66" style="3" customWidth="1"/>
    <col min="5" max="5" width="10.33203125" style="3" customWidth="1"/>
    <col min="6" max="6" width="14" style="3" customWidth="1"/>
    <col min="7" max="7" width="13.33203125" style="3" customWidth="1"/>
    <col min="8" max="8" width="2.5" style="3" customWidth="1"/>
    <col min="9" max="9" width="26.5" style="3" customWidth="1"/>
    <col min="10" max="11" width="23" style="3" customWidth="1"/>
    <col min="12" max="13" width="23" style="4" customWidth="1"/>
    <col min="14" max="14" width="23" style="5" customWidth="1"/>
    <col min="15" max="15" width="6.1640625" style="3" customWidth="1"/>
    <col min="16" max="16" width="24" hidden="1" customWidth="1"/>
    <col min="17" max="43" width="0.1640625" hidden="1" customWidth="1"/>
    <col min="45" max="45" width="0.33203125" hidden="1" customWidth="1"/>
    <col min="47" max="47" width="15.6640625" hidden="1" customWidth="1"/>
    <col min="48" max="48" width="21.33203125" hidden="1" customWidth="1"/>
    <col min="51" max="51" width="0.33203125" hidden="1" customWidth="1"/>
    <col min="55" max="55" width="0.33203125" hidden="1" customWidth="1"/>
    <col min="57" max="70" width="0.1640625" hidden="1" customWidth="1"/>
    <col min="71" max="71" width="10.83203125" hidden="1" customWidth="1"/>
    <col min="72" max="74" width="0.1640625" hidden="1" customWidth="1"/>
    <col min="75" max="75" width="9.5" hidden="1" customWidth="1"/>
    <col min="76" max="76" width="10" hidden="1" customWidth="1"/>
    <col min="77" max="77" width="9.5" hidden="1" customWidth="1"/>
    <col min="78" max="78" width="8.33203125" hidden="1" customWidth="1"/>
    <col min="79" max="79" width="9.1640625" hidden="1" customWidth="1"/>
    <col min="80" max="83" width="7.33203125" hidden="1" customWidth="1"/>
    <col min="84" max="84" width="8.83203125" hidden="1" customWidth="1"/>
    <col min="85" max="85" width="10.1640625" hidden="1" customWidth="1"/>
    <col min="86" max="87" width="14.5" hidden="1" customWidth="1"/>
    <col min="88" max="89" width="12.83203125" hidden="1" customWidth="1"/>
    <col min="90" max="132" width="14.5" hidden="1" customWidth="1"/>
    <col min="133" max="133" width="17.83203125" hidden="1" customWidth="1"/>
    <col min="134" max="186" width="14.5" hidden="1" customWidth="1"/>
  </cols>
  <sheetData>
    <row r="1" spans="1:204" x14ac:dyDescent="0.2">
      <c r="A1" s="6" t="s">
        <v>210</v>
      </c>
      <c r="B1" s="7" t="s">
        <v>211</v>
      </c>
      <c r="C1" s="6" t="s">
        <v>212</v>
      </c>
      <c r="D1" s="6" t="s">
        <v>213</v>
      </c>
      <c r="E1" s="8" t="s">
        <v>214</v>
      </c>
      <c r="F1" s="188" t="s">
        <v>215</v>
      </c>
      <c r="G1" s="9" t="s">
        <v>216</v>
      </c>
      <c r="H1" s="9"/>
      <c r="I1" s="9" t="s">
        <v>217</v>
      </c>
      <c r="J1" s="9" t="s">
        <v>218</v>
      </c>
      <c r="K1" s="207" t="s">
        <v>351</v>
      </c>
      <c r="L1" s="13" t="s">
        <v>219</v>
      </c>
      <c r="M1" s="13" t="s">
        <v>361</v>
      </c>
      <c r="N1" s="14" t="s">
        <v>68</v>
      </c>
      <c r="O1" s="9" t="s">
        <v>220</v>
      </c>
      <c r="P1" s="15" t="s">
        <v>221</v>
      </c>
      <c r="Q1" s="15">
        <v>40</v>
      </c>
      <c r="R1" s="16">
        <v>41</v>
      </c>
      <c r="S1" s="15">
        <v>42</v>
      </c>
      <c r="T1" s="16">
        <v>43</v>
      </c>
      <c r="U1" s="15">
        <v>44</v>
      </c>
      <c r="V1" s="16">
        <v>45</v>
      </c>
      <c r="W1" s="15">
        <v>46</v>
      </c>
      <c r="X1" s="16">
        <v>47</v>
      </c>
      <c r="Y1" s="15">
        <v>48</v>
      </c>
      <c r="Z1" s="16">
        <v>49</v>
      </c>
      <c r="AA1" s="15">
        <v>50</v>
      </c>
      <c r="AB1" s="16">
        <v>51</v>
      </c>
      <c r="AC1" s="15">
        <v>52</v>
      </c>
      <c r="AD1" s="16">
        <v>1</v>
      </c>
      <c r="AE1" s="16">
        <v>2</v>
      </c>
      <c r="AF1" s="16">
        <v>3</v>
      </c>
      <c r="AG1" s="16">
        <v>4</v>
      </c>
      <c r="AH1" s="16">
        <v>5</v>
      </c>
      <c r="AI1" s="16">
        <v>6</v>
      </c>
      <c r="AJ1" s="16">
        <v>7</v>
      </c>
      <c r="AK1" s="16">
        <v>8</v>
      </c>
      <c r="AL1" s="16">
        <v>9</v>
      </c>
      <c r="AM1" s="16">
        <v>10</v>
      </c>
      <c r="AN1" s="16">
        <v>11</v>
      </c>
      <c r="AO1" s="16">
        <v>12</v>
      </c>
      <c r="AP1" s="16">
        <v>13</v>
      </c>
      <c r="AQ1" s="16">
        <v>14</v>
      </c>
      <c r="AR1" s="16">
        <v>15</v>
      </c>
      <c r="AS1" s="16">
        <v>16</v>
      </c>
      <c r="AT1" s="16">
        <v>17</v>
      </c>
      <c r="AU1" s="16">
        <v>18</v>
      </c>
      <c r="AV1" s="16">
        <v>19</v>
      </c>
      <c r="AW1" s="16">
        <v>20</v>
      </c>
      <c r="AX1" s="16">
        <v>21</v>
      </c>
      <c r="AY1" s="16">
        <v>22</v>
      </c>
      <c r="AZ1" s="16">
        <v>23</v>
      </c>
      <c r="BA1" s="16">
        <v>24</v>
      </c>
      <c r="BB1" s="16">
        <v>25</v>
      </c>
      <c r="BC1" s="16">
        <v>26</v>
      </c>
      <c r="BD1" s="16">
        <v>27</v>
      </c>
      <c r="BE1" s="16">
        <v>28</v>
      </c>
      <c r="BF1" s="16">
        <v>29</v>
      </c>
      <c r="BG1" s="16">
        <v>30</v>
      </c>
      <c r="BH1" s="16">
        <v>31</v>
      </c>
      <c r="BI1" s="16">
        <v>32</v>
      </c>
      <c r="BJ1" s="16">
        <v>33</v>
      </c>
      <c r="BK1" s="16">
        <v>34</v>
      </c>
      <c r="BL1" s="16">
        <v>35</v>
      </c>
      <c r="BM1" s="16">
        <v>36</v>
      </c>
      <c r="BN1" s="16">
        <v>37</v>
      </c>
      <c r="BO1" s="16">
        <v>38</v>
      </c>
      <c r="BP1" s="16">
        <v>39</v>
      </c>
      <c r="BQ1" s="16">
        <v>40</v>
      </c>
      <c r="BR1" s="16">
        <v>41</v>
      </c>
      <c r="BS1" s="16">
        <v>42</v>
      </c>
      <c r="BT1" s="16">
        <v>43</v>
      </c>
      <c r="BU1" s="16">
        <v>44</v>
      </c>
      <c r="BV1" s="16">
        <v>45</v>
      </c>
      <c r="BW1" s="16">
        <v>46</v>
      </c>
      <c r="BX1" s="16">
        <v>47</v>
      </c>
      <c r="BY1" s="16">
        <v>48</v>
      </c>
      <c r="BZ1" s="16">
        <v>49</v>
      </c>
      <c r="CA1" s="16">
        <v>50</v>
      </c>
      <c r="CB1" s="26">
        <v>51</v>
      </c>
      <c r="CC1" s="26">
        <v>52</v>
      </c>
      <c r="CD1" s="26">
        <v>1</v>
      </c>
      <c r="CE1" s="26">
        <v>2</v>
      </c>
      <c r="CF1" s="26">
        <v>3</v>
      </c>
      <c r="CG1" s="26">
        <v>4</v>
      </c>
      <c r="CH1" s="26">
        <v>5</v>
      </c>
      <c r="CI1" s="26">
        <v>6</v>
      </c>
      <c r="CJ1" s="26">
        <v>7</v>
      </c>
      <c r="CK1" s="26">
        <v>8</v>
      </c>
      <c r="CL1" s="26">
        <v>9</v>
      </c>
      <c r="CM1" s="26">
        <v>10</v>
      </c>
      <c r="CN1" s="26">
        <v>11</v>
      </c>
      <c r="CO1" s="26">
        <v>12</v>
      </c>
      <c r="CP1" s="26">
        <v>13</v>
      </c>
      <c r="CQ1" s="26">
        <v>14</v>
      </c>
      <c r="CR1" s="26">
        <v>15</v>
      </c>
      <c r="CS1" s="26">
        <v>16</v>
      </c>
      <c r="CT1" s="26">
        <v>17</v>
      </c>
      <c r="CU1" s="26">
        <v>18</v>
      </c>
      <c r="CV1" s="26">
        <v>19</v>
      </c>
      <c r="CW1" s="26">
        <v>20</v>
      </c>
      <c r="CX1" s="26">
        <v>21</v>
      </c>
      <c r="CY1" s="26">
        <v>22</v>
      </c>
      <c r="CZ1" s="26">
        <v>23</v>
      </c>
      <c r="DA1" s="26">
        <v>24</v>
      </c>
      <c r="DB1" s="26">
        <v>25</v>
      </c>
      <c r="DC1" s="26">
        <v>26</v>
      </c>
      <c r="DD1" s="26">
        <v>27</v>
      </c>
      <c r="DE1" s="26">
        <v>28</v>
      </c>
      <c r="DF1" s="26">
        <v>29</v>
      </c>
      <c r="DG1" s="26">
        <v>30</v>
      </c>
      <c r="DH1" s="26">
        <v>31</v>
      </c>
      <c r="DI1" s="26">
        <v>32</v>
      </c>
      <c r="DJ1" s="26">
        <v>33</v>
      </c>
      <c r="DK1" s="26">
        <v>34</v>
      </c>
      <c r="DL1" s="26">
        <v>35</v>
      </c>
      <c r="DM1" s="26">
        <v>36</v>
      </c>
      <c r="DN1" s="26">
        <v>37</v>
      </c>
      <c r="DO1" s="26">
        <v>38</v>
      </c>
      <c r="DP1" s="28">
        <v>39</v>
      </c>
      <c r="DQ1" s="28">
        <v>40</v>
      </c>
      <c r="DR1" s="28">
        <v>41</v>
      </c>
      <c r="DS1" s="28">
        <v>42</v>
      </c>
      <c r="DT1" s="28">
        <v>43</v>
      </c>
      <c r="DU1" s="28">
        <v>44</v>
      </c>
      <c r="DV1" s="28">
        <v>45</v>
      </c>
      <c r="DW1" s="28">
        <v>46</v>
      </c>
      <c r="DX1" s="28">
        <v>47</v>
      </c>
      <c r="DY1" s="28">
        <v>48</v>
      </c>
      <c r="DZ1" s="28">
        <v>49</v>
      </c>
      <c r="EA1" s="28">
        <v>50</v>
      </c>
      <c r="EB1" s="28">
        <v>51</v>
      </c>
      <c r="EC1" s="28">
        <v>52</v>
      </c>
      <c r="ED1" s="28">
        <v>1</v>
      </c>
      <c r="EE1" s="28">
        <v>2</v>
      </c>
      <c r="EF1" s="28">
        <v>3</v>
      </c>
      <c r="EG1" s="28">
        <v>4</v>
      </c>
      <c r="EH1" s="28">
        <v>5</v>
      </c>
      <c r="EI1" s="28">
        <v>6</v>
      </c>
      <c r="EJ1" s="28">
        <v>7</v>
      </c>
      <c r="EK1" s="28">
        <v>8</v>
      </c>
      <c r="EL1" s="28">
        <v>9</v>
      </c>
      <c r="EM1" s="28">
        <v>10</v>
      </c>
      <c r="EN1" s="28">
        <v>11</v>
      </c>
      <c r="EO1" s="28">
        <v>12</v>
      </c>
      <c r="EP1" s="28">
        <v>13</v>
      </c>
      <c r="EQ1" s="28">
        <v>14</v>
      </c>
      <c r="ER1" s="28">
        <v>15</v>
      </c>
      <c r="ES1" s="28">
        <v>16</v>
      </c>
      <c r="ET1" s="28">
        <v>17</v>
      </c>
      <c r="EU1" s="28">
        <v>18</v>
      </c>
      <c r="EV1" s="28">
        <v>19</v>
      </c>
      <c r="EW1" s="28">
        <v>20</v>
      </c>
      <c r="EX1" s="28">
        <v>21</v>
      </c>
      <c r="EY1" s="28">
        <v>22</v>
      </c>
      <c r="EZ1" s="28">
        <v>23</v>
      </c>
      <c r="FA1" s="28">
        <v>24</v>
      </c>
      <c r="FB1" s="28">
        <v>25</v>
      </c>
      <c r="FC1" s="28">
        <v>26</v>
      </c>
      <c r="FD1" s="28">
        <v>27</v>
      </c>
      <c r="FE1" s="28">
        <v>28</v>
      </c>
      <c r="FF1" s="28">
        <v>29</v>
      </c>
      <c r="FG1" s="28">
        <v>30</v>
      </c>
      <c r="FH1" s="28">
        <v>31</v>
      </c>
      <c r="FI1" s="28">
        <v>32</v>
      </c>
      <c r="FJ1" s="28">
        <v>33</v>
      </c>
      <c r="FK1" s="28">
        <v>34</v>
      </c>
      <c r="FL1" s="28">
        <v>35</v>
      </c>
      <c r="FM1" s="28">
        <v>36</v>
      </c>
      <c r="FN1" s="28">
        <v>37</v>
      </c>
      <c r="FO1" s="28">
        <v>38</v>
      </c>
      <c r="FP1" s="28">
        <v>39</v>
      </c>
      <c r="FQ1" s="28">
        <v>40</v>
      </c>
      <c r="FR1" s="28">
        <v>41</v>
      </c>
      <c r="FS1" s="28">
        <v>42</v>
      </c>
      <c r="FT1" s="28">
        <v>43</v>
      </c>
      <c r="FU1" s="28">
        <v>44</v>
      </c>
      <c r="FV1" s="28">
        <v>45</v>
      </c>
      <c r="FW1" s="28">
        <v>46</v>
      </c>
      <c r="FX1" s="28">
        <v>47</v>
      </c>
      <c r="FY1" s="28">
        <v>48</v>
      </c>
      <c r="FZ1" s="28">
        <v>49</v>
      </c>
      <c r="GA1" s="28">
        <v>50</v>
      </c>
      <c r="GB1" s="28">
        <v>51</v>
      </c>
      <c r="GC1" s="28">
        <v>52</v>
      </c>
      <c r="GD1" s="28">
        <v>1</v>
      </c>
      <c r="GE1" s="28">
        <v>2</v>
      </c>
      <c r="GF1" s="28">
        <v>3</v>
      </c>
      <c r="GG1" s="28">
        <v>4</v>
      </c>
      <c r="GH1" s="28">
        <v>5</v>
      </c>
      <c r="GI1" s="28">
        <v>6</v>
      </c>
      <c r="GJ1" s="28">
        <v>7</v>
      </c>
      <c r="GK1" s="28">
        <v>8</v>
      </c>
      <c r="GL1" s="28">
        <v>9</v>
      </c>
      <c r="GM1" s="28">
        <v>10</v>
      </c>
      <c r="GN1" s="28">
        <v>11</v>
      </c>
      <c r="GO1" s="28">
        <v>12</v>
      </c>
      <c r="GP1" s="28">
        <v>13</v>
      </c>
      <c r="GQ1" s="28">
        <v>14</v>
      </c>
      <c r="GR1" s="28">
        <v>15</v>
      </c>
      <c r="GS1" s="28">
        <v>16</v>
      </c>
      <c r="GT1" s="28">
        <v>17</v>
      </c>
      <c r="GU1" s="28">
        <v>18</v>
      </c>
      <c r="GV1" s="28">
        <v>19</v>
      </c>
    </row>
    <row r="2" spans="1:204" ht="15.75" customHeight="1" x14ac:dyDescent="0.2">
      <c r="A2" s="10">
        <f t="shared" ref="A2:A62" si="0">ROW()-1</f>
        <v>1</v>
      </c>
      <c r="B2" s="249" t="s">
        <v>222</v>
      </c>
      <c r="C2" s="189">
        <v>630</v>
      </c>
      <c r="D2" s="248" t="s">
        <v>223</v>
      </c>
      <c r="E2" s="248" t="s">
        <v>224</v>
      </c>
      <c r="F2" s="250">
        <v>17000</v>
      </c>
      <c r="G2" s="10">
        <v>3177</v>
      </c>
      <c r="H2" s="10" t="s">
        <v>225</v>
      </c>
      <c r="I2" s="189"/>
      <c r="J2" s="10"/>
      <c r="K2" s="190"/>
      <c r="L2" s="17" t="str">
        <f t="shared" ref="L2:L65" si="1">IF(OR(I2="",J2=""),"",J2-I2)</f>
        <v/>
      </c>
      <c r="M2" s="18" t="str">
        <f>IF(OR(I2="",J2="",K2=""),"",IF(I2&lt;=K2,"",(J2-I2)/(I2-K2)))</f>
        <v/>
      </c>
      <c r="N2" s="18" t="str">
        <f>IF(J2="","",TEXT(J2,"[$-419]mmmm yyyy"))</f>
        <v/>
      </c>
      <c r="O2" s="251">
        <v>32675</v>
      </c>
      <c r="AR2" s="19"/>
      <c r="AS2" s="16" t="s">
        <v>226</v>
      </c>
      <c r="AT2" s="20" t="s">
        <v>227</v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EB2" s="29"/>
      <c r="EC2" s="29"/>
      <c r="ED2" s="29"/>
      <c r="EE2" s="29"/>
      <c r="EF2" s="29"/>
      <c r="EG2" s="29"/>
      <c r="EH2" s="29"/>
      <c r="EI2" s="29"/>
      <c r="EJ2" s="29"/>
      <c r="EK2" s="30"/>
      <c r="EL2" s="30"/>
      <c r="EM2" s="30"/>
      <c r="EN2" s="30"/>
      <c r="EO2" s="30"/>
      <c r="EP2" s="30"/>
      <c r="FT2" s="28"/>
    </row>
    <row r="3" spans="1:204" ht="15.75" customHeight="1" x14ac:dyDescent="0.2">
      <c r="A3" s="10">
        <f t="shared" si="0"/>
        <v>2</v>
      </c>
      <c r="B3" s="249"/>
      <c r="C3" s="189">
        <v>654</v>
      </c>
      <c r="D3" s="248"/>
      <c r="E3" s="248"/>
      <c r="F3" s="250"/>
      <c r="G3" s="10">
        <v>2096</v>
      </c>
      <c r="H3" s="10" t="s">
        <v>225</v>
      </c>
      <c r="I3" s="189"/>
      <c r="J3" s="10"/>
      <c r="K3" s="190"/>
      <c r="L3" s="17" t="str">
        <f t="shared" si="1"/>
        <v/>
      </c>
      <c r="M3" s="18" t="str">
        <f t="shared" ref="M3:M66" si="2">IF(OR(I3="",J3="",K3=""),"",IF(I3&lt;=K3,"",(J3-I3)/(I3-K3)))</f>
        <v/>
      </c>
      <c r="N3" s="18" t="str">
        <f t="shared" ref="N3:N66" si="3">IF(J3="","",TEXT(J3,"[$-419]mmmm yyyy"))</f>
        <v/>
      </c>
      <c r="O3" s="251"/>
      <c r="AR3" s="21"/>
      <c r="AS3" s="16" t="s">
        <v>226</v>
      </c>
      <c r="AT3" s="20" t="s">
        <v>228</v>
      </c>
      <c r="DO3" s="29"/>
      <c r="DP3" s="29"/>
      <c r="DQ3" s="29"/>
      <c r="DR3" s="29"/>
      <c r="DS3" s="29"/>
      <c r="DT3" s="29"/>
      <c r="DU3" s="29"/>
      <c r="DV3" s="29"/>
      <c r="DW3" s="29"/>
      <c r="DX3" s="29"/>
      <c r="EB3" s="29"/>
      <c r="EC3" s="29"/>
      <c r="ED3" s="29"/>
      <c r="EE3" s="29"/>
      <c r="EF3" s="29"/>
      <c r="EG3" s="29"/>
      <c r="EH3" s="29"/>
      <c r="EI3" s="29"/>
      <c r="EJ3" s="29"/>
      <c r="EK3" s="30"/>
      <c r="EL3" s="30"/>
      <c r="EM3" s="30"/>
      <c r="EN3" s="30"/>
      <c r="EO3" s="30"/>
      <c r="EP3" s="30"/>
      <c r="EW3" s="30"/>
      <c r="EX3" s="30"/>
      <c r="EY3" s="30"/>
      <c r="EZ3" s="30"/>
      <c r="FA3" s="31"/>
      <c r="FT3" s="28"/>
    </row>
    <row r="4" spans="1:204" ht="15.5" customHeight="1" x14ac:dyDescent="0.2">
      <c r="A4" s="10">
        <f t="shared" si="0"/>
        <v>3</v>
      </c>
      <c r="B4" s="249"/>
      <c r="C4" s="189">
        <v>684</v>
      </c>
      <c r="D4" s="248"/>
      <c r="E4" s="248"/>
      <c r="F4" s="250"/>
      <c r="G4" s="208">
        <v>7000</v>
      </c>
      <c r="H4" s="10" t="s">
        <v>225</v>
      </c>
      <c r="I4" s="189"/>
      <c r="J4" s="10"/>
      <c r="K4" s="190"/>
      <c r="L4" s="17" t="str">
        <f t="shared" si="1"/>
        <v/>
      </c>
      <c r="M4" s="18" t="str">
        <f t="shared" si="2"/>
        <v/>
      </c>
      <c r="N4" s="18" t="str">
        <f t="shared" si="3"/>
        <v/>
      </c>
      <c r="O4" s="251"/>
      <c r="AR4" s="22"/>
      <c r="AS4" s="16" t="s">
        <v>226</v>
      </c>
      <c r="AT4" s="20" t="s">
        <v>229</v>
      </c>
      <c r="DO4" s="29"/>
      <c r="DP4" s="29"/>
      <c r="DQ4" s="29"/>
      <c r="DR4" s="29"/>
      <c r="DS4" s="29"/>
      <c r="DT4" s="29"/>
      <c r="DU4" s="29"/>
      <c r="DV4" s="29"/>
      <c r="DW4" s="29"/>
      <c r="DX4" s="29"/>
      <c r="EB4" s="29"/>
      <c r="EC4" s="29"/>
      <c r="ED4" s="29"/>
      <c r="EE4" s="29"/>
      <c r="EF4" s="29"/>
      <c r="EG4" s="29"/>
      <c r="EH4" s="29"/>
      <c r="EI4" s="29"/>
      <c r="EJ4" s="29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1"/>
    </row>
    <row r="5" spans="1:204" ht="15.75" customHeight="1" x14ac:dyDescent="0.2">
      <c r="A5" s="10">
        <f t="shared" si="0"/>
        <v>4</v>
      </c>
      <c r="B5" s="249"/>
      <c r="C5" s="189"/>
      <c r="D5" s="248"/>
      <c r="E5" s="248"/>
      <c r="F5" s="250"/>
      <c r="G5" s="209">
        <v>7000</v>
      </c>
      <c r="H5" s="10" t="s">
        <v>225</v>
      </c>
      <c r="I5" s="190">
        <v>46138</v>
      </c>
      <c r="J5" s="10"/>
      <c r="K5" s="190">
        <v>45636</v>
      </c>
      <c r="L5" s="17" t="str">
        <f t="shared" si="1"/>
        <v/>
      </c>
      <c r="M5" s="18" t="str">
        <f t="shared" si="2"/>
        <v/>
      </c>
      <c r="N5" s="18" t="str">
        <f t="shared" si="3"/>
        <v/>
      </c>
      <c r="O5" s="251"/>
      <c r="AR5" s="23"/>
      <c r="AS5" s="16" t="s">
        <v>226</v>
      </c>
      <c r="AT5" s="20" t="s">
        <v>230</v>
      </c>
      <c r="DO5" s="29"/>
      <c r="DP5" s="29"/>
      <c r="DQ5" s="29"/>
      <c r="DR5" s="29"/>
      <c r="DS5" s="29"/>
      <c r="DT5" s="29"/>
      <c r="DU5" s="29"/>
      <c r="DV5" s="29"/>
      <c r="DW5" s="29"/>
      <c r="DX5" s="29"/>
      <c r="EB5" s="29"/>
      <c r="EC5" s="29"/>
      <c r="ED5" s="29"/>
      <c r="EE5" s="29"/>
      <c r="EF5" s="29"/>
      <c r="EG5" s="29"/>
      <c r="EH5" s="29"/>
      <c r="EI5" s="29"/>
      <c r="EJ5" s="29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24"/>
    </row>
    <row r="6" spans="1:204" ht="15.75" customHeight="1" x14ac:dyDescent="0.25">
      <c r="A6" s="10">
        <f t="shared" si="0"/>
        <v>5</v>
      </c>
      <c r="B6" s="249" t="s">
        <v>222</v>
      </c>
      <c r="C6" s="189">
        <v>630</v>
      </c>
      <c r="D6" s="248" t="s">
        <v>231</v>
      </c>
      <c r="E6" s="248" t="s">
        <v>224</v>
      </c>
      <c r="F6" s="250">
        <v>17000</v>
      </c>
      <c r="G6" s="10">
        <v>3125</v>
      </c>
      <c r="H6" s="10" t="s">
        <v>225</v>
      </c>
      <c r="I6" s="189"/>
      <c r="J6" s="10"/>
      <c r="K6" s="190"/>
      <c r="L6" s="17" t="str">
        <f t="shared" si="1"/>
        <v/>
      </c>
      <c r="M6" s="18" t="str">
        <f t="shared" si="2"/>
        <v/>
      </c>
      <c r="N6" s="18" t="str">
        <f t="shared" si="3"/>
        <v/>
      </c>
      <c r="O6" s="251">
        <v>32675</v>
      </c>
      <c r="AR6" s="24"/>
      <c r="AT6" s="25" t="s">
        <v>232</v>
      </c>
      <c r="DO6" s="29"/>
      <c r="DP6" s="29"/>
      <c r="DQ6" s="29"/>
      <c r="DR6" s="29"/>
      <c r="DS6" s="29"/>
      <c r="DT6" s="29"/>
      <c r="DU6" s="29"/>
      <c r="DV6" s="29"/>
      <c r="DW6" s="29"/>
      <c r="DX6" s="29"/>
      <c r="EB6" s="29"/>
      <c r="EC6" s="29"/>
      <c r="ED6" s="29"/>
      <c r="EE6" s="29"/>
      <c r="EF6" s="29"/>
      <c r="EG6" s="29"/>
      <c r="EH6" s="29"/>
      <c r="EI6" s="29"/>
      <c r="EJ6" s="29"/>
      <c r="EK6" s="30"/>
      <c r="EL6" s="30"/>
      <c r="EM6" s="30"/>
      <c r="EN6" s="30"/>
      <c r="EO6" s="30"/>
      <c r="EP6" s="30"/>
      <c r="FT6" s="28"/>
    </row>
    <row r="7" spans="1:204" ht="15.75" customHeight="1" x14ac:dyDescent="0.2">
      <c r="A7" s="10">
        <f t="shared" si="0"/>
        <v>6</v>
      </c>
      <c r="B7" s="249"/>
      <c r="C7" s="189">
        <v>654</v>
      </c>
      <c r="D7" s="248"/>
      <c r="E7" s="248"/>
      <c r="F7" s="250"/>
      <c r="G7" s="10">
        <v>2014</v>
      </c>
      <c r="H7" s="10" t="s">
        <v>225</v>
      </c>
      <c r="I7" s="189"/>
      <c r="J7" s="10"/>
      <c r="K7" s="190"/>
      <c r="L7" s="17" t="str">
        <f t="shared" si="1"/>
        <v/>
      </c>
      <c r="M7" s="18" t="str">
        <f t="shared" si="2"/>
        <v/>
      </c>
      <c r="N7" s="18" t="str">
        <f t="shared" si="3"/>
        <v/>
      </c>
      <c r="O7" s="251"/>
      <c r="DO7" s="29"/>
      <c r="DP7" s="29"/>
      <c r="DQ7" s="29"/>
      <c r="DR7" s="29"/>
      <c r="DS7" s="29"/>
      <c r="DT7" s="29"/>
      <c r="DU7" s="29"/>
      <c r="DV7" s="29"/>
      <c r="DW7" s="29"/>
      <c r="DX7" s="29"/>
      <c r="EB7" s="29"/>
      <c r="EC7" s="29"/>
      <c r="ED7" s="29"/>
      <c r="EE7" s="29"/>
      <c r="EF7" s="29"/>
      <c r="EG7" s="29"/>
      <c r="EH7" s="29"/>
      <c r="EI7" s="29"/>
      <c r="EJ7" s="29"/>
      <c r="EK7" s="30"/>
      <c r="EL7" s="30"/>
      <c r="EM7" s="30"/>
      <c r="EN7" s="30"/>
      <c r="EO7" s="30"/>
      <c r="EP7" s="30"/>
      <c r="EV7" s="30"/>
      <c r="EW7" s="30"/>
      <c r="EX7" s="30"/>
      <c r="EY7" s="30"/>
      <c r="EZ7" s="30"/>
      <c r="FA7" s="31"/>
      <c r="FT7" s="28"/>
    </row>
    <row r="8" spans="1:204" ht="15.75" customHeight="1" x14ac:dyDescent="0.2">
      <c r="A8" s="10">
        <f t="shared" si="0"/>
        <v>7</v>
      </c>
      <c r="B8" s="249"/>
      <c r="C8" s="189">
        <v>684</v>
      </c>
      <c r="D8" s="248"/>
      <c r="E8" s="248"/>
      <c r="F8" s="250"/>
      <c r="G8" s="10">
        <v>7000</v>
      </c>
      <c r="H8" s="10" t="s">
        <v>225</v>
      </c>
      <c r="I8" s="189"/>
      <c r="J8" s="10"/>
      <c r="K8" s="190"/>
      <c r="L8" s="17" t="str">
        <f t="shared" si="1"/>
        <v/>
      </c>
      <c r="M8" s="18" t="str">
        <f t="shared" si="2"/>
        <v/>
      </c>
      <c r="N8" s="18" t="str">
        <f t="shared" si="3"/>
        <v/>
      </c>
      <c r="O8" s="251"/>
      <c r="DO8" s="29"/>
      <c r="DP8" s="29"/>
      <c r="DQ8" s="29"/>
      <c r="DR8" s="29"/>
      <c r="DS8" s="29"/>
      <c r="DT8" s="29"/>
      <c r="DU8" s="29"/>
      <c r="DV8" s="29"/>
      <c r="DW8" s="29"/>
      <c r="DX8" s="29"/>
      <c r="EB8" s="29"/>
      <c r="EC8" s="29"/>
      <c r="ED8" s="29"/>
      <c r="EE8" s="29"/>
      <c r="EF8" s="29"/>
      <c r="EG8" s="29"/>
      <c r="EH8" s="29"/>
      <c r="EI8" s="29"/>
      <c r="EJ8" s="29"/>
      <c r="EK8" s="30"/>
      <c r="EL8" s="30"/>
      <c r="EM8" s="30"/>
      <c r="EN8" s="30"/>
      <c r="EO8" s="30"/>
      <c r="EP8" s="30"/>
      <c r="EV8" s="30"/>
      <c r="EW8" s="30"/>
      <c r="EX8" s="30"/>
      <c r="EY8" s="30"/>
      <c r="EZ8" s="30"/>
      <c r="FA8" s="31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1"/>
    </row>
    <row r="9" spans="1:204" ht="15.75" customHeight="1" x14ac:dyDescent="0.2">
      <c r="A9" s="10">
        <f t="shared" si="0"/>
        <v>8</v>
      </c>
      <c r="B9" s="249"/>
      <c r="C9" s="189">
        <v>687</v>
      </c>
      <c r="D9" s="248"/>
      <c r="E9" s="248"/>
      <c r="F9" s="250"/>
      <c r="G9" s="10">
        <v>1130</v>
      </c>
      <c r="H9" s="10" t="s">
        <v>225</v>
      </c>
      <c r="I9" s="189"/>
      <c r="J9" s="10"/>
      <c r="K9" s="190"/>
      <c r="L9" s="17" t="str">
        <f t="shared" si="1"/>
        <v/>
      </c>
      <c r="M9" s="18" t="str">
        <f t="shared" si="2"/>
        <v/>
      </c>
      <c r="N9" s="18" t="str">
        <f t="shared" si="3"/>
        <v/>
      </c>
      <c r="O9" s="251"/>
      <c r="DO9" s="29"/>
      <c r="DP9" s="29"/>
      <c r="DQ9" s="29"/>
      <c r="DR9" s="29"/>
      <c r="DS9" s="29"/>
      <c r="DT9" s="29"/>
      <c r="DU9" s="29"/>
      <c r="DV9" s="29"/>
      <c r="DW9" s="29"/>
      <c r="DX9" s="29"/>
      <c r="EB9" s="29"/>
      <c r="EC9" s="29"/>
      <c r="ED9" s="29"/>
      <c r="EE9" s="29"/>
      <c r="EF9" s="29"/>
      <c r="EG9" s="29"/>
      <c r="EH9" s="29"/>
      <c r="EI9" s="29"/>
      <c r="EJ9" s="29"/>
      <c r="EK9" s="30"/>
      <c r="EL9" s="30"/>
      <c r="EM9" s="30"/>
      <c r="EN9" s="30"/>
      <c r="EO9" s="30"/>
      <c r="EP9" s="30"/>
      <c r="EV9" s="30"/>
      <c r="EW9" s="30"/>
      <c r="EX9" s="30"/>
      <c r="EY9" s="30"/>
      <c r="EZ9" s="30"/>
      <c r="FA9" s="31"/>
      <c r="FJ9" s="30"/>
      <c r="FK9" s="30"/>
      <c r="FL9" s="30"/>
      <c r="FM9" s="30"/>
      <c r="FN9" s="30"/>
      <c r="FO9" s="30"/>
      <c r="FP9" s="30"/>
      <c r="FQ9" s="30"/>
      <c r="FR9" s="31"/>
    </row>
    <row r="10" spans="1:204" ht="15.75" customHeight="1" x14ac:dyDescent="0.2">
      <c r="A10" s="10">
        <f t="shared" si="0"/>
        <v>9</v>
      </c>
      <c r="B10" s="249"/>
      <c r="C10" s="189"/>
      <c r="D10" s="248"/>
      <c r="E10" s="248"/>
      <c r="F10" s="250"/>
      <c r="G10" s="209">
        <v>9000</v>
      </c>
      <c r="H10" s="10" t="s">
        <v>225</v>
      </c>
      <c r="I10" s="190">
        <v>46138</v>
      </c>
      <c r="J10" s="10"/>
      <c r="K10" s="190">
        <v>45636</v>
      </c>
      <c r="L10" s="17" t="str">
        <f t="shared" si="1"/>
        <v/>
      </c>
      <c r="M10" s="18" t="str">
        <f t="shared" si="2"/>
        <v/>
      </c>
      <c r="N10" s="18" t="str">
        <f t="shared" si="3"/>
        <v/>
      </c>
      <c r="O10" s="251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EB10" s="29"/>
      <c r="EC10" s="29"/>
      <c r="ED10" s="29"/>
      <c r="EE10" s="29"/>
      <c r="EF10" s="29"/>
      <c r="EG10" s="29"/>
      <c r="EH10" s="29"/>
      <c r="EI10" s="29"/>
      <c r="EJ10" s="29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24"/>
    </row>
    <row r="11" spans="1:204" ht="15.75" customHeight="1" x14ac:dyDescent="0.2">
      <c r="A11" s="10">
        <f t="shared" si="0"/>
        <v>10</v>
      </c>
      <c r="B11" s="11"/>
      <c r="C11" s="10"/>
      <c r="D11" s="12" t="s">
        <v>233</v>
      </c>
      <c r="E11" s="12" t="s">
        <v>234</v>
      </c>
      <c r="F11" s="10">
        <v>1000</v>
      </c>
      <c r="G11" s="10"/>
      <c r="H11" s="10" t="s">
        <v>225</v>
      </c>
      <c r="I11" s="190">
        <v>46117</v>
      </c>
      <c r="J11" s="10"/>
      <c r="K11" s="190">
        <v>45881</v>
      </c>
      <c r="L11" s="17" t="str">
        <f t="shared" si="1"/>
        <v/>
      </c>
      <c r="M11" s="18" t="str">
        <f t="shared" si="2"/>
        <v/>
      </c>
      <c r="N11" s="18" t="str">
        <f t="shared" si="3"/>
        <v/>
      </c>
      <c r="O11" s="10">
        <v>34539</v>
      </c>
      <c r="AV11" s="20"/>
      <c r="AW11" s="20"/>
      <c r="AX11" s="20"/>
      <c r="AY11" s="20"/>
      <c r="AZ11" s="20"/>
      <c r="BA11" s="20"/>
      <c r="BB11" s="20"/>
      <c r="BF11" s="20"/>
      <c r="BG11" s="20"/>
      <c r="CB11" s="27"/>
      <c r="CC11" s="27"/>
      <c r="CD11" s="27"/>
      <c r="CE11" s="27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24"/>
    </row>
    <row r="12" spans="1:204" ht="15.75" customHeight="1" x14ac:dyDescent="0.2">
      <c r="A12" s="10">
        <f t="shared" si="0"/>
        <v>11</v>
      </c>
      <c r="B12" s="210"/>
      <c r="C12" s="189">
        <v>725</v>
      </c>
      <c r="D12" s="211" t="s">
        <v>235</v>
      </c>
      <c r="E12" s="12" t="s">
        <v>224</v>
      </c>
      <c r="F12" s="10">
        <v>2500</v>
      </c>
      <c r="G12" s="10">
        <v>2591</v>
      </c>
      <c r="H12" s="10" t="s">
        <v>236</v>
      </c>
      <c r="I12" s="190">
        <v>46103</v>
      </c>
      <c r="J12" s="190">
        <v>46099</v>
      </c>
      <c r="K12" s="190">
        <v>45881</v>
      </c>
      <c r="L12" s="17">
        <f t="shared" si="1"/>
        <v>-4</v>
      </c>
      <c r="M12" s="18">
        <f t="shared" si="2"/>
        <v>-1.8018018018018018E-2</v>
      </c>
      <c r="N12" s="18" t="str">
        <f t="shared" si="3"/>
        <v>март 2026</v>
      </c>
      <c r="O12" s="10"/>
      <c r="AV12" s="20"/>
      <c r="AW12" s="20"/>
      <c r="AX12" s="20"/>
      <c r="AY12" s="20"/>
      <c r="AZ12" s="20"/>
      <c r="BA12" s="20"/>
      <c r="BB12" s="20"/>
      <c r="BF12" s="20"/>
      <c r="BG12" s="20"/>
      <c r="CB12" s="27"/>
      <c r="CC12" s="27"/>
      <c r="CD12" s="27"/>
      <c r="CE12" s="27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24"/>
    </row>
    <row r="13" spans="1:204" ht="15.75" customHeight="1" x14ac:dyDescent="0.2">
      <c r="A13" s="10">
        <f t="shared" si="0"/>
        <v>12</v>
      </c>
      <c r="B13" s="11"/>
      <c r="C13" s="10"/>
      <c r="D13" s="12" t="s">
        <v>235</v>
      </c>
      <c r="E13" s="12" t="s">
        <v>224</v>
      </c>
      <c r="F13" s="10">
        <v>2500</v>
      </c>
      <c r="G13" s="10"/>
      <c r="H13" s="10" t="s">
        <v>236</v>
      </c>
      <c r="I13" s="190">
        <v>46138</v>
      </c>
      <c r="J13" s="10"/>
      <c r="K13" s="190">
        <v>45881</v>
      </c>
      <c r="L13" s="17" t="str">
        <f t="shared" si="1"/>
        <v/>
      </c>
      <c r="M13" s="18" t="str">
        <f t="shared" si="2"/>
        <v/>
      </c>
      <c r="N13" s="18" t="str">
        <f t="shared" si="3"/>
        <v/>
      </c>
      <c r="O13" s="10"/>
      <c r="AV13" s="20"/>
      <c r="AW13" s="20"/>
      <c r="AX13" s="20"/>
      <c r="AY13" s="20"/>
      <c r="AZ13" s="20"/>
      <c r="BA13" s="20"/>
      <c r="BB13" s="20"/>
      <c r="BF13" s="20"/>
      <c r="BG13" s="20"/>
      <c r="CB13" s="27"/>
      <c r="CC13" s="27"/>
      <c r="CD13" s="27"/>
      <c r="CE13" s="27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30"/>
      <c r="GB13" s="30"/>
      <c r="GC13" s="30"/>
      <c r="GD13" s="30"/>
      <c r="GE13" s="30"/>
      <c r="GF13" s="30"/>
      <c r="GG13" s="30"/>
      <c r="GH13" s="30"/>
      <c r="GI13" s="30"/>
      <c r="GJ13" s="24"/>
    </row>
    <row r="14" spans="1:204" ht="15.75" customHeight="1" x14ac:dyDescent="0.2">
      <c r="A14" s="10">
        <f t="shared" si="0"/>
        <v>13</v>
      </c>
      <c r="B14" s="11"/>
      <c r="C14" s="10"/>
      <c r="D14" s="12" t="s">
        <v>235</v>
      </c>
      <c r="E14" s="12" t="s">
        <v>224</v>
      </c>
      <c r="F14" s="10">
        <v>5000</v>
      </c>
      <c r="G14" s="10"/>
      <c r="H14" s="10" t="s">
        <v>236</v>
      </c>
      <c r="I14" s="190">
        <v>46152</v>
      </c>
      <c r="J14" s="10"/>
      <c r="K14" s="190">
        <v>45881</v>
      </c>
      <c r="L14" s="17" t="str">
        <f t="shared" si="1"/>
        <v/>
      </c>
      <c r="M14" s="18" t="str">
        <f t="shared" si="2"/>
        <v/>
      </c>
      <c r="N14" s="18" t="str">
        <f t="shared" si="3"/>
        <v/>
      </c>
      <c r="O14" s="10"/>
      <c r="AV14" s="20"/>
      <c r="AW14" s="20"/>
      <c r="AX14" s="20"/>
      <c r="AY14" s="20"/>
      <c r="AZ14" s="20"/>
      <c r="BA14" s="20"/>
      <c r="BB14" s="20"/>
      <c r="BF14" s="20"/>
      <c r="BG14" s="20"/>
      <c r="CB14" s="27"/>
      <c r="CC14" s="27"/>
      <c r="CD14" s="27"/>
      <c r="CE14" s="27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30"/>
      <c r="GB14" s="30"/>
      <c r="GC14" s="29"/>
      <c r="GD14" s="29"/>
      <c r="GE14" s="29"/>
      <c r="GF14" s="29"/>
      <c r="GG14" s="29"/>
      <c r="GH14" s="33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24"/>
    </row>
    <row r="15" spans="1:204" ht="15.75" customHeight="1" x14ac:dyDescent="0.2">
      <c r="A15" s="10">
        <f t="shared" si="0"/>
        <v>14</v>
      </c>
      <c r="B15" s="11"/>
      <c r="C15" s="10"/>
      <c r="D15" s="12" t="s">
        <v>237</v>
      </c>
      <c r="E15" s="12" t="s">
        <v>224</v>
      </c>
      <c r="F15" s="250">
        <v>5000</v>
      </c>
      <c r="G15" s="10">
        <v>3400</v>
      </c>
      <c r="H15" s="10" t="s">
        <v>236</v>
      </c>
      <c r="I15" s="190">
        <v>46111</v>
      </c>
      <c r="J15" s="10"/>
      <c r="K15" s="190">
        <v>45881</v>
      </c>
      <c r="L15" s="17" t="str">
        <f t="shared" si="1"/>
        <v/>
      </c>
      <c r="M15" s="18" t="str">
        <f t="shared" si="2"/>
        <v/>
      </c>
      <c r="N15" s="18" t="str">
        <f t="shared" si="3"/>
        <v/>
      </c>
      <c r="AV15" s="20"/>
      <c r="AW15" s="20"/>
      <c r="AX15" s="20"/>
      <c r="AY15" s="20"/>
      <c r="AZ15" s="20"/>
      <c r="BA15" s="20"/>
      <c r="BB15" s="20"/>
      <c r="BF15" s="20"/>
      <c r="BG15" s="20"/>
      <c r="CB15" s="27"/>
      <c r="CC15" s="27"/>
      <c r="CD15" s="27"/>
      <c r="CE15" s="27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30"/>
      <c r="GB15" s="30"/>
      <c r="GC15" s="29"/>
      <c r="GD15" s="29"/>
      <c r="GE15" s="29"/>
      <c r="GF15" s="29"/>
      <c r="GG15" s="29"/>
      <c r="GH15" s="33"/>
      <c r="GI15" s="30"/>
      <c r="GJ15" s="30"/>
      <c r="GK15" s="30"/>
      <c r="GL15" s="30"/>
      <c r="GM15" s="30"/>
      <c r="GN15" s="24"/>
    </row>
    <row r="16" spans="1:204" ht="15.75" customHeight="1" x14ac:dyDescent="0.2">
      <c r="A16" s="189">
        <f t="shared" si="0"/>
        <v>15</v>
      </c>
      <c r="B16" s="210"/>
      <c r="C16" s="189">
        <v>727</v>
      </c>
      <c r="D16" s="211" t="s">
        <v>237</v>
      </c>
      <c r="E16" s="12" t="s">
        <v>224</v>
      </c>
      <c r="F16" s="250"/>
      <c r="G16" s="10">
        <v>1100</v>
      </c>
      <c r="H16" s="10" t="s">
        <v>236</v>
      </c>
      <c r="I16" s="190">
        <v>46091</v>
      </c>
      <c r="J16" s="190">
        <v>46090</v>
      </c>
      <c r="K16" s="190">
        <v>46038</v>
      </c>
      <c r="L16" s="17">
        <f t="shared" si="1"/>
        <v>-1</v>
      </c>
      <c r="M16" s="18">
        <f t="shared" si="2"/>
        <v>-1.8867924528301886E-2</v>
      </c>
      <c r="N16" s="18" t="str">
        <f t="shared" si="3"/>
        <v>март 2026</v>
      </c>
      <c r="O16" s="10">
        <v>35815</v>
      </c>
      <c r="AV16" s="20"/>
      <c r="AW16" s="20"/>
      <c r="AX16" s="20"/>
      <c r="AY16" s="20"/>
      <c r="AZ16" s="20"/>
      <c r="BA16" s="20"/>
      <c r="BB16" s="20"/>
      <c r="BF16" s="20"/>
      <c r="BG16" s="20"/>
      <c r="CB16" s="27"/>
      <c r="CC16" s="27"/>
      <c r="CD16" s="27"/>
      <c r="CE16" s="27"/>
      <c r="FQ16" s="29"/>
      <c r="FR16" s="29"/>
      <c r="FS16" s="29"/>
      <c r="FT16" s="29"/>
      <c r="FU16" s="29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29"/>
    </row>
    <row r="17" spans="1:202" ht="15.5" customHeight="1" x14ac:dyDescent="0.2">
      <c r="A17" s="189">
        <f t="shared" si="0"/>
        <v>16</v>
      </c>
      <c r="B17" s="210"/>
      <c r="C17" s="189">
        <v>724</v>
      </c>
      <c r="D17" s="211" t="s">
        <v>237</v>
      </c>
      <c r="E17" s="12" t="s">
        <v>224</v>
      </c>
      <c r="F17" s="250"/>
      <c r="G17" s="10">
        <v>1400</v>
      </c>
      <c r="H17" s="10" t="s">
        <v>236</v>
      </c>
      <c r="I17" s="190">
        <v>46078</v>
      </c>
      <c r="J17" s="190">
        <v>46078</v>
      </c>
      <c r="K17" s="190">
        <v>45909</v>
      </c>
      <c r="L17" s="17">
        <f t="shared" si="1"/>
        <v>0</v>
      </c>
      <c r="M17" s="18">
        <f t="shared" si="2"/>
        <v>0</v>
      </c>
      <c r="N17" s="18" t="str">
        <f t="shared" si="3"/>
        <v>февраль 2026</v>
      </c>
      <c r="O17" s="10">
        <v>34763</v>
      </c>
      <c r="AV17" s="20"/>
      <c r="AW17" s="20"/>
      <c r="AX17" s="20"/>
      <c r="AY17" s="20"/>
      <c r="AZ17" s="20"/>
      <c r="BA17" s="20"/>
      <c r="BB17" s="20"/>
      <c r="BF17" s="20"/>
      <c r="BG17" s="20"/>
      <c r="CB17" s="27"/>
      <c r="CC17" s="27"/>
      <c r="CD17" s="27"/>
      <c r="CE17" s="27"/>
      <c r="FX17" s="20"/>
      <c r="FY17" s="20"/>
      <c r="GC17" s="29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24"/>
    </row>
    <row r="18" spans="1:202" ht="15.5" customHeight="1" x14ac:dyDescent="0.2">
      <c r="A18" s="10">
        <f t="shared" si="0"/>
        <v>17</v>
      </c>
      <c r="B18" s="212"/>
      <c r="C18" s="209"/>
      <c r="D18" s="12" t="s">
        <v>238</v>
      </c>
      <c r="E18" s="213"/>
      <c r="F18" s="214">
        <v>10000</v>
      </c>
      <c r="G18" s="10"/>
      <c r="H18" s="10" t="s">
        <v>225</v>
      </c>
      <c r="I18" s="190">
        <v>46138</v>
      </c>
      <c r="J18" s="10"/>
      <c r="K18" s="190">
        <v>45931</v>
      </c>
      <c r="L18" s="17" t="str">
        <f t="shared" si="1"/>
        <v/>
      </c>
      <c r="M18" s="18" t="str">
        <f t="shared" si="2"/>
        <v/>
      </c>
      <c r="N18" s="18" t="str">
        <f t="shared" si="3"/>
        <v/>
      </c>
      <c r="O18" s="10">
        <v>34969</v>
      </c>
      <c r="AV18" s="20"/>
      <c r="AW18" s="20"/>
      <c r="AX18" s="20"/>
      <c r="AY18" s="20"/>
      <c r="AZ18" s="20"/>
      <c r="BA18" s="20"/>
      <c r="BB18" s="20"/>
      <c r="BF18" s="20"/>
      <c r="BG18" s="20"/>
      <c r="CB18" s="27"/>
      <c r="CC18" s="27"/>
      <c r="CD18" s="27"/>
      <c r="CE18" s="27"/>
      <c r="FX18" s="20"/>
      <c r="FY18" s="20"/>
      <c r="GC18" s="29"/>
      <c r="GD18" s="32"/>
      <c r="GE18" s="29"/>
      <c r="GF18" s="29"/>
      <c r="GG18" s="30"/>
      <c r="GH18" s="30"/>
      <c r="GI18" s="30"/>
      <c r="GJ18" s="30"/>
      <c r="GK18" s="30"/>
      <c r="GL18" s="30"/>
      <c r="GM18" s="23"/>
    </row>
    <row r="19" spans="1:202" ht="15.5" customHeight="1" x14ac:dyDescent="0.2">
      <c r="A19" s="189">
        <f t="shared" si="0"/>
        <v>18</v>
      </c>
      <c r="B19" s="215" t="s">
        <v>239</v>
      </c>
      <c r="C19" s="216">
        <v>721</v>
      </c>
      <c r="D19" s="217" t="s">
        <v>240</v>
      </c>
      <c r="E19" s="218" t="s">
        <v>224</v>
      </c>
      <c r="F19" s="219">
        <v>1200</v>
      </c>
      <c r="G19" s="208">
        <v>1118</v>
      </c>
      <c r="H19" s="10" t="s">
        <v>225</v>
      </c>
      <c r="I19" s="190">
        <v>46111</v>
      </c>
      <c r="J19" s="190">
        <v>46091</v>
      </c>
      <c r="K19" s="190">
        <v>46009</v>
      </c>
      <c r="L19" s="17">
        <f t="shared" si="1"/>
        <v>-20</v>
      </c>
      <c r="M19" s="18">
        <f t="shared" si="2"/>
        <v>-0.19607843137254902</v>
      </c>
      <c r="N19" s="18" t="str">
        <f t="shared" si="3"/>
        <v>март 2026</v>
      </c>
      <c r="O19" s="208">
        <v>35631</v>
      </c>
      <c r="AV19" s="20"/>
      <c r="AW19" s="20"/>
      <c r="AX19" s="20"/>
      <c r="AY19" s="20"/>
      <c r="AZ19" s="20"/>
      <c r="BA19" s="20"/>
      <c r="BB19" s="20"/>
      <c r="BF19" s="20"/>
      <c r="BG19" s="20"/>
      <c r="CB19" s="27"/>
      <c r="CC19" s="27"/>
      <c r="CD19" s="27"/>
      <c r="CE19" s="27"/>
      <c r="FX19" s="20"/>
      <c r="FY19" s="20"/>
      <c r="GC19" s="29"/>
      <c r="GD19" s="32"/>
      <c r="GE19" s="29"/>
      <c r="GF19" s="29"/>
      <c r="GG19" s="30"/>
      <c r="GH19" s="30"/>
      <c r="GI19" s="30"/>
      <c r="GJ19" s="30"/>
      <c r="GK19" s="30"/>
      <c r="GL19" s="30"/>
      <c r="GM19" s="23"/>
    </row>
    <row r="20" spans="1:202" ht="15.5" customHeight="1" x14ac:dyDescent="0.2">
      <c r="A20" s="189">
        <f t="shared" si="0"/>
        <v>19</v>
      </c>
      <c r="B20" s="215" t="s">
        <v>239</v>
      </c>
      <c r="C20" s="216">
        <v>721</v>
      </c>
      <c r="D20" s="217" t="s">
        <v>240</v>
      </c>
      <c r="E20" s="218" t="s">
        <v>241</v>
      </c>
      <c r="F20" s="219">
        <v>1200</v>
      </c>
      <c r="G20" s="208">
        <v>1204</v>
      </c>
      <c r="H20" s="10" t="s">
        <v>225</v>
      </c>
      <c r="I20" s="190">
        <v>46111</v>
      </c>
      <c r="J20" s="190">
        <v>46091</v>
      </c>
      <c r="K20" s="190">
        <v>46009</v>
      </c>
      <c r="L20" s="17">
        <f t="shared" si="1"/>
        <v>-20</v>
      </c>
      <c r="M20" s="18">
        <f t="shared" si="2"/>
        <v>-0.19607843137254902</v>
      </c>
      <c r="N20" s="18" t="str">
        <f t="shared" si="3"/>
        <v>март 2026</v>
      </c>
      <c r="O20" s="208">
        <v>35631</v>
      </c>
      <c r="AV20" s="20"/>
      <c r="AW20" s="20"/>
      <c r="AX20" s="20"/>
      <c r="AY20" s="20"/>
      <c r="AZ20" s="20"/>
      <c r="BA20" s="20"/>
      <c r="BB20" s="20"/>
      <c r="BF20" s="20"/>
      <c r="BG20" s="20"/>
      <c r="CB20" s="27"/>
      <c r="CC20" s="27"/>
      <c r="CD20" s="27"/>
      <c r="CE20" s="27"/>
      <c r="GC20" s="29"/>
      <c r="GD20" s="29"/>
      <c r="GE20" s="29"/>
      <c r="GF20" s="29"/>
      <c r="GG20" s="30"/>
      <c r="GH20" s="30"/>
      <c r="GI20" s="30"/>
      <c r="GJ20" s="30"/>
      <c r="GK20" s="30"/>
      <c r="GL20" s="30"/>
      <c r="GM20" s="23"/>
    </row>
    <row r="21" spans="1:202" ht="15.5" customHeight="1" x14ac:dyDescent="0.2">
      <c r="A21" s="189">
        <f t="shared" si="0"/>
        <v>20</v>
      </c>
      <c r="B21" s="215" t="s">
        <v>239</v>
      </c>
      <c r="C21" s="216">
        <v>721</v>
      </c>
      <c r="D21" s="217" t="s">
        <v>240</v>
      </c>
      <c r="E21" s="218" t="s">
        <v>242</v>
      </c>
      <c r="F21" s="208">
        <v>1200</v>
      </c>
      <c r="G21" s="208">
        <v>1175</v>
      </c>
      <c r="H21" s="10" t="s">
        <v>225</v>
      </c>
      <c r="I21" s="190">
        <v>46111</v>
      </c>
      <c r="J21" s="190">
        <v>46091</v>
      </c>
      <c r="K21" s="190">
        <v>46009</v>
      </c>
      <c r="L21" s="17">
        <f t="shared" si="1"/>
        <v>-20</v>
      </c>
      <c r="M21" s="18">
        <f t="shared" si="2"/>
        <v>-0.19607843137254902</v>
      </c>
      <c r="N21" s="18" t="str">
        <f t="shared" si="3"/>
        <v>март 2026</v>
      </c>
      <c r="O21" s="208">
        <v>35631</v>
      </c>
      <c r="AV21" s="20"/>
      <c r="AW21" s="20"/>
      <c r="AX21" s="20"/>
      <c r="AY21" s="20"/>
      <c r="AZ21" s="20"/>
      <c r="BA21" s="20"/>
      <c r="BB21" s="20"/>
      <c r="BF21" s="20"/>
      <c r="BG21" s="20"/>
      <c r="CB21" s="27"/>
      <c r="CC21" s="27"/>
      <c r="CD21" s="27"/>
      <c r="CE21" s="27"/>
      <c r="GC21" s="29"/>
      <c r="GD21" s="29"/>
      <c r="GE21" s="29"/>
      <c r="GF21" s="29"/>
      <c r="GG21" s="29"/>
      <c r="GH21" s="29"/>
      <c r="GI21" s="30"/>
      <c r="GJ21" s="30"/>
      <c r="GK21" s="23"/>
    </row>
    <row r="22" spans="1:202" ht="15.5" customHeight="1" x14ac:dyDescent="0.2">
      <c r="A22" s="189">
        <f t="shared" si="0"/>
        <v>21</v>
      </c>
      <c r="B22" s="210" t="s">
        <v>243</v>
      </c>
      <c r="C22" s="189">
        <v>718</v>
      </c>
      <c r="D22" s="211" t="s">
        <v>244</v>
      </c>
      <c r="E22" s="12" t="s">
        <v>245</v>
      </c>
      <c r="F22" s="250">
        <v>900000</v>
      </c>
      <c r="G22" s="10">
        <v>200319</v>
      </c>
      <c r="H22" s="10" t="s">
        <v>225</v>
      </c>
      <c r="I22" s="190">
        <v>46075</v>
      </c>
      <c r="J22" s="190">
        <v>46071</v>
      </c>
      <c r="K22" s="190">
        <v>46002</v>
      </c>
      <c r="L22" s="17">
        <f t="shared" si="1"/>
        <v>-4</v>
      </c>
      <c r="M22" s="18">
        <f t="shared" si="2"/>
        <v>-5.4794520547945202E-2</v>
      </c>
      <c r="N22" s="18" t="str">
        <f t="shared" si="3"/>
        <v>февраль 2026</v>
      </c>
      <c r="O22" s="10">
        <v>35589</v>
      </c>
      <c r="AV22" s="20"/>
      <c r="AW22" s="20"/>
      <c r="AX22" s="20"/>
      <c r="AY22" s="20"/>
      <c r="AZ22" s="20"/>
      <c r="BA22" s="20"/>
      <c r="BB22" s="20"/>
      <c r="BF22" s="20"/>
      <c r="BG22" s="20"/>
      <c r="CB22" s="27"/>
      <c r="CC22" s="27"/>
      <c r="CD22" s="27"/>
      <c r="CE22" s="27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31"/>
    </row>
    <row r="23" spans="1:202" ht="15.5" customHeight="1" x14ac:dyDescent="0.2">
      <c r="A23" s="189">
        <f t="shared" si="0"/>
        <v>22</v>
      </c>
      <c r="B23" s="210" t="s">
        <v>243</v>
      </c>
      <c r="C23" s="189">
        <v>721</v>
      </c>
      <c r="D23" s="211" t="s">
        <v>244</v>
      </c>
      <c r="E23" s="12" t="s">
        <v>245</v>
      </c>
      <c r="F23" s="250"/>
      <c r="G23" s="10">
        <v>149718</v>
      </c>
      <c r="H23" s="10" t="s">
        <v>225</v>
      </c>
      <c r="I23" s="190">
        <v>46117</v>
      </c>
      <c r="J23" s="190">
        <v>46091</v>
      </c>
      <c r="K23" s="190">
        <v>46002</v>
      </c>
      <c r="L23" s="17">
        <f t="shared" si="1"/>
        <v>-26</v>
      </c>
      <c r="M23" s="18">
        <f t="shared" si="2"/>
        <v>-0.22608695652173913</v>
      </c>
      <c r="N23" s="18" t="str">
        <f t="shared" si="3"/>
        <v>март 2026</v>
      </c>
      <c r="O23" s="10">
        <v>35589</v>
      </c>
      <c r="AV23" s="20"/>
      <c r="AW23" s="20"/>
      <c r="AX23" s="20"/>
      <c r="AY23" s="20"/>
      <c r="AZ23" s="20"/>
      <c r="BA23" s="20"/>
      <c r="BB23" s="20"/>
      <c r="BF23" s="20"/>
      <c r="BG23" s="20"/>
      <c r="CB23" s="27"/>
      <c r="CC23" s="27"/>
      <c r="CD23" s="27"/>
      <c r="CE23" s="27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30"/>
      <c r="GP23" s="30"/>
      <c r="GQ23" s="31"/>
    </row>
    <row r="24" spans="1:202" ht="15.5" customHeight="1" x14ac:dyDescent="0.2">
      <c r="A24" s="10">
        <f t="shared" si="0"/>
        <v>23</v>
      </c>
      <c r="B24" s="11" t="s">
        <v>243</v>
      </c>
      <c r="C24" s="10">
        <v>728</v>
      </c>
      <c r="D24" s="12" t="s">
        <v>244</v>
      </c>
      <c r="E24" s="12" t="s">
        <v>245</v>
      </c>
      <c r="F24" s="250"/>
      <c r="G24" s="10">
        <v>199858</v>
      </c>
      <c r="H24" s="10" t="s">
        <v>225</v>
      </c>
      <c r="I24" s="190">
        <v>46117</v>
      </c>
      <c r="J24" s="10"/>
      <c r="K24" s="190">
        <v>46002</v>
      </c>
      <c r="L24" s="17" t="str">
        <f t="shared" si="1"/>
        <v/>
      </c>
      <c r="M24" s="18" t="str">
        <f t="shared" si="2"/>
        <v/>
      </c>
      <c r="N24" s="18" t="str">
        <f t="shared" si="3"/>
        <v/>
      </c>
      <c r="O24" s="10">
        <v>35589</v>
      </c>
      <c r="AV24" s="20"/>
      <c r="AW24" s="20"/>
      <c r="AX24" s="20"/>
      <c r="AY24" s="20"/>
      <c r="AZ24" s="20"/>
      <c r="BA24" s="20"/>
      <c r="BB24" s="20"/>
      <c r="BF24" s="20"/>
      <c r="BG24" s="20"/>
      <c r="CB24" s="27"/>
      <c r="CC24" s="27"/>
      <c r="CD24" s="27"/>
      <c r="CE24" s="27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30"/>
      <c r="GS24" s="30"/>
      <c r="GT24" s="31"/>
    </row>
    <row r="25" spans="1:202" ht="15.75" customHeight="1" x14ac:dyDescent="0.2">
      <c r="A25" s="10">
        <f t="shared" si="0"/>
        <v>24</v>
      </c>
      <c r="B25" s="11" t="s">
        <v>243</v>
      </c>
      <c r="C25" s="10"/>
      <c r="D25" s="12" t="s">
        <v>244</v>
      </c>
      <c r="E25" s="12" t="s">
        <v>245</v>
      </c>
      <c r="F25" s="250"/>
      <c r="G25" s="10">
        <f>F22-(G22+G23+G24)</f>
        <v>350105</v>
      </c>
      <c r="H25" s="10" t="s">
        <v>225</v>
      </c>
      <c r="I25" s="190">
        <v>46138</v>
      </c>
      <c r="J25" s="10"/>
      <c r="K25" s="190">
        <v>46002</v>
      </c>
      <c r="L25" s="17" t="str">
        <f t="shared" si="1"/>
        <v/>
      </c>
      <c r="M25" s="18" t="str">
        <f t="shared" si="2"/>
        <v/>
      </c>
      <c r="N25" s="18" t="str">
        <f t="shared" si="3"/>
        <v/>
      </c>
      <c r="O25" s="10">
        <v>35589</v>
      </c>
      <c r="AV25" s="20"/>
      <c r="AW25" s="20"/>
      <c r="AX25" s="20"/>
      <c r="AY25" s="20"/>
      <c r="AZ25" s="20"/>
      <c r="BA25" s="20"/>
      <c r="BB25" s="20"/>
      <c r="BF25" s="20"/>
      <c r="BG25" s="20"/>
      <c r="CB25" s="27"/>
      <c r="CC25" s="27"/>
      <c r="CD25" s="27"/>
      <c r="CE25" s="27"/>
      <c r="GD25" s="29"/>
      <c r="GE25" s="29"/>
      <c r="GF25" s="29"/>
      <c r="GG25" s="29"/>
      <c r="GH25" s="29"/>
      <c r="GI25" s="30"/>
      <c r="GJ25" s="30"/>
      <c r="GK25" s="30"/>
      <c r="GL25" s="30"/>
      <c r="GM25" s="30"/>
      <c r="GN25" s="30"/>
      <c r="GO25" s="30"/>
      <c r="GP25" s="30"/>
      <c r="GQ25" s="31"/>
    </row>
    <row r="26" spans="1:202" ht="15.75" customHeight="1" x14ac:dyDescent="0.2">
      <c r="A26" s="10">
        <f t="shared" si="0"/>
        <v>25</v>
      </c>
      <c r="B26" s="11" t="s">
        <v>243</v>
      </c>
      <c r="C26" s="10">
        <v>722</v>
      </c>
      <c r="D26" s="12" t="s">
        <v>246</v>
      </c>
      <c r="E26" s="12" t="s">
        <v>224</v>
      </c>
      <c r="F26" s="10">
        <v>22000</v>
      </c>
      <c r="G26" s="10"/>
      <c r="H26" s="10" t="s">
        <v>225</v>
      </c>
      <c r="I26" s="190">
        <v>46111</v>
      </c>
      <c r="J26" s="10"/>
      <c r="K26" s="190">
        <v>46017</v>
      </c>
      <c r="L26" s="17" t="str">
        <f t="shared" si="1"/>
        <v/>
      </c>
      <c r="M26" s="18" t="str">
        <f t="shared" si="2"/>
        <v/>
      </c>
      <c r="N26" s="18" t="str">
        <f t="shared" si="3"/>
        <v/>
      </c>
      <c r="O26" s="10">
        <v>35715</v>
      </c>
      <c r="AV26" s="20"/>
      <c r="AW26" s="20"/>
      <c r="AX26" s="20"/>
      <c r="AY26" s="20"/>
      <c r="AZ26" s="20"/>
      <c r="BA26" s="20"/>
      <c r="BB26" s="20"/>
      <c r="BF26" s="20"/>
      <c r="BG26" s="20"/>
      <c r="CB26" s="27"/>
      <c r="CC26" s="27"/>
      <c r="CD26" s="27"/>
      <c r="CE26" s="27"/>
      <c r="GD26" s="29"/>
      <c r="GE26" s="29"/>
      <c r="GF26" s="29"/>
      <c r="GG26" s="29"/>
      <c r="GH26" s="30"/>
      <c r="GI26" s="30"/>
      <c r="GJ26" s="31"/>
    </row>
    <row r="27" spans="1:202" ht="15.75" customHeight="1" x14ac:dyDescent="0.2">
      <c r="A27" s="189">
        <f t="shared" si="0"/>
        <v>26</v>
      </c>
      <c r="B27" s="210" t="s">
        <v>243</v>
      </c>
      <c r="C27" s="189">
        <v>720</v>
      </c>
      <c r="D27" s="211" t="s">
        <v>246</v>
      </c>
      <c r="E27" s="12" t="s">
        <v>224</v>
      </c>
      <c r="F27" s="10">
        <v>3000</v>
      </c>
      <c r="G27" s="220">
        <v>2777.9</v>
      </c>
      <c r="H27" s="10" t="s">
        <v>225</v>
      </c>
      <c r="I27" s="190">
        <v>46068</v>
      </c>
      <c r="J27" s="190">
        <v>46068</v>
      </c>
      <c r="K27" s="190">
        <v>46017</v>
      </c>
      <c r="L27" s="17">
        <f t="shared" si="1"/>
        <v>0</v>
      </c>
      <c r="M27" s="18">
        <f t="shared" si="2"/>
        <v>0</v>
      </c>
      <c r="N27" s="18" t="str">
        <f t="shared" si="3"/>
        <v>февраль 2026</v>
      </c>
      <c r="O27" s="10">
        <v>35715</v>
      </c>
      <c r="AV27" s="20"/>
      <c r="AW27" s="20"/>
      <c r="AX27" s="20"/>
      <c r="AY27" s="20"/>
      <c r="AZ27" s="20"/>
      <c r="BA27" s="20"/>
      <c r="BB27" s="20"/>
      <c r="BF27" s="20"/>
      <c r="BG27" s="20"/>
      <c r="CB27" s="27"/>
      <c r="CC27" s="27"/>
      <c r="CD27" s="27"/>
      <c r="CE27" s="27"/>
      <c r="GD27" s="29"/>
      <c r="GE27" s="29"/>
      <c r="GF27" s="29"/>
      <c r="GG27" s="29"/>
      <c r="GH27" s="30"/>
      <c r="GI27" s="30"/>
      <c r="GJ27" s="30"/>
      <c r="GK27" s="31"/>
    </row>
    <row r="28" spans="1:202" ht="15.75" customHeight="1" x14ac:dyDescent="0.2">
      <c r="A28" s="189">
        <f t="shared" si="0"/>
        <v>27</v>
      </c>
      <c r="B28" s="210"/>
      <c r="C28" s="189">
        <v>714</v>
      </c>
      <c r="D28" s="211" t="s">
        <v>247</v>
      </c>
      <c r="E28" s="12" t="s">
        <v>248</v>
      </c>
      <c r="F28" s="10">
        <v>400</v>
      </c>
      <c r="G28" s="10">
        <v>400</v>
      </c>
      <c r="H28" s="10" t="s">
        <v>236</v>
      </c>
      <c r="I28" s="190">
        <v>46075</v>
      </c>
      <c r="J28" s="190">
        <v>46094</v>
      </c>
      <c r="K28" s="190">
        <v>46002</v>
      </c>
      <c r="L28" s="17">
        <f t="shared" si="1"/>
        <v>19</v>
      </c>
      <c r="M28" s="18">
        <f t="shared" si="2"/>
        <v>0.26027397260273971</v>
      </c>
      <c r="N28" s="18" t="str">
        <f t="shared" si="3"/>
        <v>март 2026</v>
      </c>
      <c r="O28" s="10">
        <v>35589</v>
      </c>
      <c r="AV28" s="20"/>
      <c r="AW28" s="20"/>
      <c r="AX28" s="20"/>
      <c r="AY28" s="20"/>
      <c r="AZ28" s="20"/>
      <c r="BA28" s="20"/>
      <c r="BB28" s="20"/>
      <c r="BF28" s="20"/>
      <c r="BG28" s="20"/>
      <c r="CB28" s="27"/>
      <c r="CC28" s="27"/>
      <c r="CD28" s="27"/>
      <c r="CE28" s="27"/>
      <c r="GD28" s="29"/>
      <c r="GE28" s="29"/>
      <c r="GF28" s="29"/>
      <c r="GG28" s="29"/>
      <c r="GH28" s="29"/>
      <c r="GI28" s="29"/>
      <c r="GJ28" s="29"/>
      <c r="GK28" s="30"/>
      <c r="GL28" s="30"/>
      <c r="GM28" s="30"/>
      <c r="GN28" s="30"/>
      <c r="GO28" s="31"/>
    </row>
    <row r="29" spans="1:202" ht="15.75" customHeight="1" x14ac:dyDescent="0.2">
      <c r="A29" s="10">
        <f t="shared" si="0"/>
        <v>28</v>
      </c>
      <c r="B29" s="11"/>
      <c r="C29" s="10">
        <v>722</v>
      </c>
      <c r="D29" s="12" t="s">
        <v>247</v>
      </c>
      <c r="E29" s="12" t="s">
        <v>248</v>
      </c>
      <c r="F29" s="10">
        <v>1600</v>
      </c>
      <c r="G29" s="10">
        <v>1600</v>
      </c>
      <c r="H29" s="10" t="s">
        <v>236</v>
      </c>
      <c r="I29" s="190">
        <v>46103</v>
      </c>
      <c r="J29" s="10"/>
      <c r="K29" s="190">
        <v>46002</v>
      </c>
      <c r="L29" s="17" t="str">
        <f t="shared" si="1"/>
        <v/>
      </c>
      <c r="M29" s="18" t="str">
        <f t="shared" si="2"/>
        <v/>
      </c>
      <c r="N29" s="18" t="str">
        <f t="shared" si="3"/>
        <v/>
      </c>
      <c r="O29" s="10">
        <v>35589</v>
      </c>
      <c r="AV29" s="20"/>
      <c r="AW29" s="20"/>
      <c r="AX29" s="20"/>
      <c r="AY29" s="20"/>
      <c r="AZ29" s="20"/>
      <c r="BA29" s="20"/>
      <c r="BB29" s="20"/>
      <c r="BF29" s="20"/>
      <c r="BG29" s="20"/>
      <c r="CB29" s="27"/>
      <c r="CC29" s="27"/>
      <c r="CD29" s="27"/>
      <c r="CE29" s="27"/>
      <c r="GD29" s="29"/>
      <c r="GE29" s="29"/>
      <c r="GF29" s="29"/>
      <c r="GG29" s="29"/>
      <c r="GH29" s="29"/>
      <c r="GI29" s="29"/>
      <c r="GJ29" s="29"/>
      <c r="GK29" s="30"/>
      <c r="GL29" s="30"/>
      <c r="GM29" s="30"/>
      <c r="GN29" s="30"/>
      <c r="GO29" s="31"/>
    </row>
    <row r="30" spans="1:202" ht="15.75" customHeight="1" x14ac:dyDescent="0.2">
      <c r="A30" s="10">
        <f t="shared" si="0"/>
        <v>29</v>
      </c>
      <c r="B30" s="11"/>
      <c r="C30" s="10">
        <v>723</v>
      </c>
      <c r="D30" s="12" t="s">
        <v>249</v>
      </c>
      <c r="E30" s="12"/>
      <c r="F30" s="10">
        <v>11000</v>
      </c>
      <c r="G30" s="10">
        <v>11000</v>
      </c>
      <c r="H30" s="10" t="s">
        <v>236</v>
      </c>
      <c r="I30" s="190">
        <v>46103</v>
      </c>
      <c r="J30" s="10"/>
      <c r="K30" s="190">
        <v>46002</v>
      </c>
      <c r="L30" s="17" t="str">
        <f t="shared" si="1"/>
        <v/>
      </c>
      <c r="M30" s="18" t="str">
        <f t="shared" si="2"/>
        <v/>
      </c>
      <c r="N30" s="18" t="str">
        <f t="shared" si="3"/>
        <v/>
      </c>
      <c r="O30" s="10">
        <v>35589</v>
      </c>
      <c r="AV30" s="20"/>
      <c r="AW30" s="20"/>
      <c r="AX30" s="20"/>
      <c r="AY30" s="20"/>
      <c r="AZ30" s="20"/>
      <c r="BA30" s="20"/>
      <c r="BB30" s="20"/>
      <c r="BF30" s="20"/>
      <c r="BG30" s="20"/>
      <c r="CB30" s="27"/>
      <c r="CC30" s="27"/>
      <c r="CD30" s="27"/>
      <c r="CE30" s="27"/>
      <c r="GD30" s="29"/>
      <c r="GE30" s="29"/>
      <c r="GF30" s="29"/>
      <c r="GG30" s="29"/>
      <c r="GH30" s="29"/>
      <c r="GI30" s="29"/>
      <c r="GJ30" s="29"/>
      <c r="GK30" s="30"/>
      <c r="GL30" s="30"/>
      <c r="GM30" s="30"/>
      <c r="GN30" s="30"/>
      <c r="GO30" s="31"/>
    </row>
    <row r="31" spans="1:202" ht="15.75" customHeight="1" x14ac:dyDescent="0.2">
      <c r="A31" s="10">
        <f t="shared" si="0"/>
        <v>30</v>
      </c>
      <c r="B31" s="11"/>
      <c r="C31" s="10">
        <v>723</v>
      </c>
      <c r="D31" s="12" t="s">
        <v>250</v>
      </c>
      <c r="E31" s="12"/>
      <c r="F31" s="10">
        <v>16000</v>
      </c>
      <c r="G31" s="10">
        <v>16000</v>
      </c>
      <c r="H31" s="10" t="s">
        <v>236</v>
      </c>
      <c r="I31" s="190">
        <v>46103</v>
      </c>
      <c r="J31" s="10"/>
      <c r="K31" s="190">
        <v>46002</v>
      </c>
      <c r="L31" s="17" t="str">
        <f t="shared" si="1"/>
        <v/>
      </c>
      <c r="M31" s="18" t="str">
        <f t="shared" si="2"/>
        <v/>
      </c>
      <c r="N31" s="18" t="str">
        <f t="shared" si="3"/>
        <v/>
      </c>
      <c r="O31" s="10"/>
      <c r="AV31" s="20"/>
      <c r="AW31" s="20"/>
      <c r="AX31" s="20"/>
      <c r="AY31" s="20"/>
      <c r="AZ31" s="20"/>
      <c r="BA31" s="20"/>
      <c r="BB31" s="20"/>
      <c r="BF31" s="20"/>
      <c r="BG31" s="20"/>
      <c r="CB31" s="27"/>
      <c r="CC31" s="27"/>
      <c r="CD31" s="27"/>
      <c r="CE31" s="27"/>
      <c r="GD31" s="29"/>
      <c r="GE31" s="29"/>
      <c r="GF31" s="29"/>
      <c r="GG31" s="29"/>
      <c r="GH31" s="29"/>
      <c r="GI31" s="29"/>
      <c r="GJ31" s="29"/>
      <c r="GK31" s="29"/>
      <c r="GL31" s="29"/>
      <c r="GM31" s="31"/>
    </row>
    <row r="32" spans="1:202" ht="15.75" customHeight="1" x14ac:dyDescent="0.2">
      <c r="A32" s="189">
        <f t="shared" si="0"/>
        <v>31</v>
      </c>
      <c r="B32" s="210" t="s">
        <v>251</v>
      </c>
      <c r="C32" s="189">
        <v>721</v>
      </c>
      <c r="D32" s="211" t="s">
        <v>252</v>
      </c>
      <c r="E32" s="12" t="s">
        <v>253</v>
      </c>
      <c r="F32" s="10"/>
      <c r="G32" s="10">
        <v>52340</v>
      </c>
      <c r="H32" s="10" t="s">
        <v>225</v>
      </c>
      <c r="I32" s="190">
        <v>46117</v>
      </c>
      <c r="J32" s="190">
        <v>46091</v>
      </c>
      <c r="K32" s="190">
        <v>45990</v>
      </c>
      <c r="L32" s="17">
        <f t="shared" si="1"/>
        <v>-26</v>
      </c>
      <c r="M32" s="18">
        <f t="shared" si="2"/>
        <v>-0.20472440944881889</v>
      </c>
      <c r="N32" s="18" t="str">
        <f t="shared" si="3"/>
        <v>март 2026</v>
      </c>
      <c r="O32" s="10">
        <v>35291</v>
      </c>
      <c r="AV32" s="20"/>
      <c r="AW32" s="20"/>
      <c r="AX32" s="20"/>
      <c r="AY32" s="20"/>
      <c r="AZ32" s="20"/>
      <c r="BA32" s="20"/>
      <c r="BB32" s="20"/>
      <c r="BF32" s="20"/>
      <c r="BG32" s="20"/>
      <c r="CB32" s="27"/>
      <c r="CC32" s="27"/>
      <c r="CD32" s="27"/>
      <c r="CE32" s="27"/>
      <c r="GD32" s="29"/>
      <c r="GE32" s="29"/>
      <c r="GF32" s="29"/>
      <c r="GG32" s="29"/>
      <c r="GH32" s="29"/>
      <c r="GI32" s="30"/>
      <c r="GJ32" s="30"/>
      <c r="GK32" s="30"/>
      <c r="GL32" s="30"/>
      <c r="GM32" s="30"/>
      <c r="GN32" s="30"/>
      <c r="GO32" s="30"/>
      <c r="GP32" s="30"/>
      <c r="GQ32" s="31"/>
    </row>
    <row r="33" spans="1:83" ht="15.75" customHeight="1" x14ac:dyDescent="0.2">
      <c r="A33" s="10">
        <f t="shared" si="0"/>
        <v>32</v>
      </c>
      <c r="B33" s="11" t="s">
        <v>251</v>
      </c>
      <c r="C33" s="10">
        <v>722</v>
      </c>
      <c r="D33" s="12" t="s">
        <v>252</v>
      </c>
      <c r="E33" s="12" t="s">
        <v>253</v>
      </c>
      <c r="F33" s="10"/>
      <c r="G33" s="10">
        <v>21135</v>
      </c>
      <c r="H33" s="10" t="s">
        <v>225</v>
      </c>
      <c r="I33" s="190">
        <v>46111</v>
      </c>
      <c r="J33" s="10"/>
      <c r="K33" s="190">
        <v>45990</v>
      </c>
      <c r="L33" s="17" t="str">
        <f t="shared" si="1"/>
        <v/>
      </c>
      <c r="M33" s="18" t="str">
        <f t="shared" si="2"/>
        <v/>
      </c>
      <c r="N33" s="18" t="str">
        <f t="shared" si="3"/>
        <v/>
      </c>
      <c r="O33" s="10">
        <v>35291</v>
      </c>
      <c r="AV33" s="20"/>
      <c r="AW33" s="20"/>
      <c r="AX33" s="20"/>
      <c r="AY33" s="20"/>
      <c r="AZ33" s="20"/>
      <c r="BA33" s="20"/>
      <c r="BB33" s="20"/>
      <c r="BF33" s="20"/>
      <c r="BG33" s="20"/>
      <c r="CB33" s="27"/>
      <c r="CC33" s="27"/>
      <c r="CD33" s="27"/>
      <c r="CE33" s="27"/>
    </row>
    <row r="34" spans="1:83" ht="15.75" customHeight="1" x14ac:dyDescent="0.2">
      <c r="A34" s="189">
        <f t="shared" si="0"/>
        <v>33</v>
      </c>
      <c r="B34" s="210"/>
      <c r="C34" s="189"/>
      <c r="D34" s="211" t="s">
        <v>254</v>
      </c>
      <c r="E34" s="12" t="s">
        <v>224</v>
      </c>
      <c r="F34" s="10"/>
      <c r="G34" s="10">
        <v>100</v>
      </c>
      <c r="H34" s="10" t="s">
        <v>225</v>
      </c>
      <c r="I34" s="190">
        <v>46103</v>
      </c>
      <c r="J34" s="190">
        <v>46097</v>
      </c>
      <c r="K34" s="190">
        <v>45744</v>
      </c>
      <c r="L34" s="17">
        <f t="shared" si="1"/>
        <v>-6</v>
      </c>
      <c r="M34" s="18">
        <f t="shared" si="2"/>
        <v>-1.6713091922005572E-2</v>
      </c>
      <c r="N34" s="18" t="str">
        <f t="shared" si="3"/>
        <v>март 2026</v>
      </c>
      <c r="O34" s="10">
        <v>33431</v>
      </c>
      <c r="AV34" s="20"/>
      <c r="AW34" s="20"/>
      <c r="AX34" s="20"/>
      <c r="AY34" s="20"/>
      <c r="AZ34" s="20"/>
      <c r="BA34" s="20"/>
      <c r="BB34" s="20"/>
      <c r="BF34" s="20"/>
      <c r="BG34" s="20"/>
      <c r="CB34" s="27"/>
      <c r="CC34" s="27"/>
      <c r="CD34" s="27"/>
      <c r="CE34" s="27"/>
    </row>
    <row r="35" spans="1:83" ht="15.75" customHeight="1" x14ac:dyDescent="0.2">
      <c r="A35" s="10">
        <f t="shared" si="0"/>
        <v>34</v>
      </c>
      <c r="B35" s="11" t="s">
        <v>255</v>
      </c>
      <c r="C35" s="10"/>
      <c r="D35" s="12" t="s">
        <v>256</v>
      </c>
      <c r="E35" s="12" t="s">
        <v>224</v>
      </c>
      <c r="F35" s="10"/>
      <c r="G35" s="10">
        <v>700</v>
      </c>
      <c r="H35" s="10" t="s">
        <v>236</v>
      </c>
      <c r="I35" s="190">
        <v>46117</v>
      </c>
      <c r="J35" s="10"/>
      <c r="K35" s="190">
        <v>46038</v>
      </c>
      <c r="L35" s="17" t="str">
        <f t="shared" si="1"/>
        <v/>
      </c>
      <c r="M35" s="18" t="str">
        <f t="shared" si="2"/>
        <v/>
      </c>
      <c r="N35" s="18" t="str">
        <f t="shared" si="3"/>
        <v/>
      </c>
      <c r="O35" s="10">
        <v>35815</v>
      </c>
      <c r="AV35" s="20"/>
      <c r="AW35" s="20"/>
      <c r="AX35" s="20"/>
      <c r="AY35" s="20"/>
      <c r="AZ35" s="20"/>
      <c r="BA35" s="20"/>
      <c r="BB35" s="20"/>
      <c r="BF35" s="20"/>
      <c r="BG35" s="20"/>
      <c r="CB35" s="27"/>
      <c r="CC35" s="27"/>
      <c r="CD35" s="27"/>
      <c r="CE35" s="27"/>
    </row>
    <row r="36" spans="1:83" ht="15.75" customHeight="1" x14ac:dyDescent="0.2">
      <c r="A36" s="10">
        <f t="shared" si="0"/>
        <v>35</v>
      </c>
      <c r="B36" s="11"/>
      <c r="C36" s="10"/>
      <c r="D36" s="12" t="s">
        <v>257</v>
      </c>
      <c r="E36" s="12" t="s">
        <v>234</v>
      </c>
      <c r="F36" s="10"/>
      <c r="G36" s="10">
        <v>100</v>
      </c>
      <c r="H36" s="10" t="s">
        <v>225</v>
      </c>
      <c r="I36" s="190">
        <v>46112</v>
      </c>
      <c r="J36" s="10"/>
      <c r="K36" s="190">
        <v>45888</v>
      </c>
      <c r="L36" s="17" t="str">
        <f t="shared" si="1"/>
        <v/>
      </c>
      <c r="M36" s="18" t="str">
        <f t="shared" si="2"/>
        <v/>
      </c>
      <c r="N36" s="18" t="str">
        <f t="shared" si="3"/>
        <v/>
      </c>
      <c r="O36" s="10">
        <v>34593</v>
      </c>
      <c r="AV36" s="20"/>
      <c r="AW36" s="20"/>
      <c r="AX36" s="20"/>
      <c r="AY36" s="20"/>
      <c r="AZ36" s="20"/>
      <c r="BA36" s="20"/>
      <c r="BB36" s="20"/>
      <c r="BF36" s="20"/>
      <c r="BG36" s="20"/>
      <c r="CB36" s="27"/>
      <c r="CC36" s="27"/>
      <c r="CD36" s="27"/>
      <c r="CE36" s="27"/>
    </row>
    <row r="37" spans="1:83" ht="15.75" customHeight="1" x14ac:dyDescent="0.2">
      <c r="A37" s="10">
        <f t="shared" si="0"/>
        <v>36</v>
      </c>
      <c r="B37" s="11"/>
      <c r="C37" s="10"/>
      <c r="D37" s="12" t="s">
        <v>257</v>
      </c>
      <c r="E37" s="12" t="s">
        <v>258</v>
      </c>
      <c r="F37" s="10"/>
      <c r="G37" s="10">
        <v>138</v>
      </c>
      <c r="H37" s="10" t="s">
        <v>225</v>
      </c>
      <c r="I37" s="190">
        <v>46112</v>
      </c>
      <c r="J37" s="10"/>
      <c r="K37" s="190">
        <v>45888</v>
      </c>
      <c r="L37" s="17" t="str">
        <f t="shared" si="1"/>
        <v/>
      </c>
      <c r="M37" s="18" t="str">
        <f t="shared" si="2"/>
        <v/>
      </c>
      <c r="N37" s="18" t="str">
        <f t="shared" si="3"/>
        <v/>
      </c>
      <c r="O37" s="10">
        <v>34593</v>
      </c>
      <c r="AV37" s="20"/>
      <c r="AW37" s="20"/>
      <c r="AX37" s="20"/>
      <c r="AY37" s="20"/>
      <c r="AZ37" s="20"/>
      <c r="BA37" s="20"/>
      <c r="BB37" s="20"/>
      <c r="BF37" s="20"/>
      <c r="BG37" s="20"/>
      <c r="CB37" s="27"/>
      <c r="CC37" s="27"/>
      <c r="CD37" s="27"/>
      <c r="CE37" s="27"/>
    </row>
    <row r="38" spans="1:83" ht="15.75" customHeight="1" x14ac:dyDescent="0.2">
      <c r="A38" s="10">
        <f t="shared" si="0"/>
        <v>37</v>
      </c>
      <c r="B38" s="11"/>
      <c r="C38" s="10"/>
      <c r="D38" s="12" t="s">
        <v>257</v>
      </c>
      <c r="E38" s="12" t="s">
        <v>259</v>
      </c>
      <c r="F38" s="10"/>
      <c r="G38" s="10">
        <v>135</v>
      </c>
      <c r="H38" s="10" t="s">
        <v>225</v>
      </c>
      <c r="I38" s="190">
        <v>46112</v>
      </c>
      <c r="J38" s="10"/>
      <c r="K38" s="190">
        <v>45888</v>
      </c>
      <c r="L38" s="17" t="str">
        <f t="shared" si="1"/>
        <v/>
      </c>
      <c r="M38" s="18" t="str">
        <f t="shared" si="2"/>
        <v/>
      </c>
      <c r="N38" s="18" t="str">
        <f t="shared" si="3"/>
        <v/>
      </c>
      <c r="O38" s="10">
        <v>34593</v>
      </c>
      <c r="AV38" s="20"/>
      <c r="AW38" s="20"/>
      <c r="AX38" s="20"/>
      <c r="AY38" s="20"/>
      <c r="AZ38" s="20"/>
      <c r="BA38" s="20"/>
      <c r="BB38" s="20"/>
      <c r="BF38" s="20"/>
      <c r="BG38" s="20"/>
      <c r="CB38" s="27"/>
      <c r="CC38" s="27"/>
      <c r="CD38" s="27"/>
      <c r="CE38" s="27"/>
    </row>
    <row r="39" spans="1:83" ht="15.75" customHeight="1" x14ac:dyDescent="0.2">
      <c r="A39" s="189">
        <f t="shared" si="0"/>
        <v>38</v>
      </c>
      <c r="B39" s="210"/>
      <c r="C39" s="189">
        <v>726</v>
      </c>
      <c r="D39" s="211" t="s">
        <v>247</v>
      </c>
      <c r="E39" s="12" t="s">
        <v>248</v>
      </c>
      <c r="F39" s="10"/>
      <c r="G39" s="10">
        <v>400</v>
      </c>
      <c r="H39" s="10" t="s">
        <v>236</v>
      </c>
      <c r="I39" s="190">
        <v>46088</v>
      </c>
      <c r="J39" s="190">
        <v>46088</v>
      </c>
      <c r="K39" s="190">
        <v>46002</v>
      </c>
      <c r="L39" s="17">
        <f t="shared" si="1"/>
        <v>0</v>
      </c>
      <c r="M39" s="18">
        <f t="shared" si="2"/>
        <v>0</v>
      </c>
      <c r="N39" s="18" t="str">
        <f t="shared" si="3"/>
        <v>март 2026</v>
      </c>
      <c r="O39" s="10">
        <v>35589</v>
      </c>
      <c r="AV39" s="20"/>
      <c r="AW39" s="20"/>
      <c r="AX39" s="20"/>
      <c r="AY39" s="20"/>
      <c r="AZ39" s="20"/>
      <c r="BA39" s="20"/>
      <c r="BB39" s="20"/>
      <c r="BF39" s="20"/>
      <c r="BG39" s="20"/>
      <c r="CB39" s="27"/>
      <c r="CC39" s="27"/>
      <c r="CD39" s="27"/>
      <c r="CE39" s="27"/>
    </row>
    <row r="40" spans="1:83" ht="15.75" customHeight="1" x14ac:dyDescent="0.2">
      <c r="A40" s="10">
        <f t="shared" si="0"/>
        <v>39</v>
      </c>
      <c r="B40" s="11" t="s">
        <v>260</v>
      </c>
      <c r="D40" s="3" t="s">
        <v>244</v>
      </c>
      <c r="E40" s="3" t="s">
        <v>245</v>
      </c>
      <c r="F40" s="10">
        <v>47000</v>
      </c>
      <c r="G40" s="10"/>
      <c r="H40" s="3" t="s">
        <v>225</v>
      </c>
      <c r="I40" s="190">
        <v>46147</v>
      </c>
      <c r="K40" s="190">
        <v>46078</v>
      </c>
      <c r="L40" s="17" t="str">
        <f t="shared" si="1"/>
        <v/>
      </c>
      <c r="M40" s="18" t="str">
        <f t="shared" si="2"/>
        <v/>
      </c>
      <c r="N40" s="18" t="str">
        <f t="shared" si="3"/>
        <v/>
      </c>
      <c r="O40" s="3">
        <v>36135</v>
      </c>
      <c r="AV40" s="20"/>
      <c r="AW40" s="20"/>
      <c r="AX40" s="20"/>
      <c r="AY40" s="20"/>
      <c r="AZ40" s="20"/>
      <c r="BA40" s="20"/>
      <c r="BB40" s="20"/>
      <c r="BF40" s="20"/>
      <c r="BG40" s="20"/>
      <c r="CB40" s="27"/>
      <c r="CC40" s="27"/>
      <c r="CD40" s="27"/>
      <c r="CE40" s="27"/>
    </row>
    <row r="41" spans="1:83" ht="15.75" customHeight="1" x14ac:dyDescent="0.2">
      <c r="A41" s="10">
        <f t="shared" si="0"/>
        <v>40</v>
      </c>
      <c r="B41" s="11" t="s">
        <v>260</v>
      </c>
      <c r="C41" s="10"/>
      <c r="D41" s="221" t="s">
        <v>261</v>
      </c>
      <c r="E41" s="12" t="s">
        <v>248</v>
      </c>
      <c r="F41" s="10">
        <v>9000</v>
      </c>
      <c r="G41" s="10"/>
      <c r="H41" s="3" t="s">
        <v>225</v>
      </c>
      <c r="I41" s="190">
        <v>46175</v>
      </c>
      <c r="J41" s="10"/>
      <c r="K41" s="190">
        <v>46073</v>
      </c>
      <c r="L41" s="17" t="str">
        <f t="shared" si="1"/>
        <v/>
      </c>
      <c r="M41" s="18" t="str">
        <f t="shared" si="2"/>
        <v/>
      </c>
      <c r="N41" s="18" t="str">
        <f t="shared" si="3"/>
        <v/>
      </c>
      <c r="O41" s="10">
        <v>36113</v>
      </c>
      <c r="AV41" s="20"/>
      <c r="AW41" s="20"/>
      <c r="AX41" s="20"/>
      <c r="AY41" s="20"/>
      <c r="AZ41" s="20"/>
      <c r="BA41" s="20"/>
      <c r="BB41" s="20"/>
      <c r="BF41" s="20"/>
      <c r="BG41" s="20"/>
      <c r="CB41" s="27"/>
      <c r="CC41" s="27"/>
      <c r="CD41" s="27"/>
      <c r="CE41" s="27"/>
    </row>
    <row r="42" spans="1:83" ht="15.75" customHeight="1" x14ac:dyDescent="0.2">
      <c r="A42" s="10">
        <f t="shared" si="0"/>
        <v>41</v>
      </c>
      <c r="B42" s="11" t="s">
        <v>260</v>
      </c>
      <c r="C42" s="10"/>
      <c r="D42" s="221" t="s">
        <v>261</v>
      </c>
      <c r="E42" s="12" t="s">
        <v>262</v>
      </c>
      <c r="F42" s="10">
        <v>16000</v>
      </c>
      <c r="G42" s="10"/>
      <c r="H42" s="3" t="s">
        <v>225</v>
      </c>
      <c r="I42" s="190">
        <v>46175</v>
      </c>
      <c r="J42" s="10"/>
      <c r="K42" s="190">
        <v>46073</v>
      </c>
      <c r="L42" s="17" t="str">
        <f t="shared" si="1"/>
        <v/>
      </c>
      <c r="M42" s="18" t="str">
        <f t="shared" si="2"/>
        <v/>
      </c>
      <c r="N42" s="18" t="str">
        <f t="shared" si="3"/>
        <v/>
      </c>
      <c r="O42" s="10">
        <v>36113</v>
      </c>
      <c r="AV42" s="20"/>
      <c r="AW42" s="20"/>
      <c r="AX42" s="20"/>
      <c r="AY42" s="20"/>
      <c r="AZ42" s="20"/>
      <c r="BA42" s="20"/>
      <c r="BB42" s="20"/>
      <c r="BF42" s="20"/>
      <c r="BG42" s="20"/>
      <c r="CB42" s="27"/>
      <c r="CC42" s="27"/>
      <c r="CD42" s="27"/>
      <c r="CE42" s="27"/>
    </row>
    <row r="43" spans="1:83" ht="15.75" customHeight="1" x14ac:dyDescent="0.2">
      <c r="A43" s="10">
        <f t="shared" si="0"/>
        <v>42</v>
      </c>
      <c r="B43" s="11" t="s">
        <v>260</v>
      </c>
      <c r="C43" s="10"/>
      <c r="D43" s="221" t="s">
        <v>261</v>
      </c>
      <c r="E43" s="12" t="s">
        <v>263</v>
      </c>
      <c r="F43" s="10">
        <v>12000</v>
      </c>
      <c r="G43" s="10"/>
      <c r="H43" s="3" t="s">
        <v>225</v>
      </c>
      <c r="I43" s="190">
        <v>46175</v>
      </c>
      <c r="J43" s="10"/>
      <c r="K43" s="190">
        <v>46073</v>
      </c>
      <c r="L43" s="17" t="str">
        <f t="shared" si="1"/>
        <v/>
      </c>
      <c r="M43" s="18" t="str">
        <f t="shared" si="2"/>
        <v/>
      </c>
      <c r="N43" s="18" t="str">
        <f t="shared" si="3"/>
        <v/>
      </c>
      <c r="O43" s="10">
        <v>36113</v>
      </c>
      <c r="AV43" s="20"/>
      <c r="AW43" s="20"/>
      <c r="AX43" s="20"/>
      <c r="AY43" s="20"/>
      <c r="AZ43" s="20"/>
      <c r="BA43" s="20"/>
      <c r="BB43" s="20"/>
      <c r="BF43" s="20"/>
      <c r="BG43" s="20"/>
      <c r="CB43" s="27"/>
      <c r="CC43" s="27"/>
      <c r="CD43" s="27"/>
      <c r="CE43" s="27"/>
    </row>
    <row r="44" spans="1:83" ht="15.75" customHeight="1" x14ac:dyDescent="0.2">
      <c r="A44" s="189">
        <f t="shared" si="0"/>
        <v>43</v>
      </c>
      <c r="B44" s="210" t="s">
        <v>260</v>
      </c>
      <c r="C44" s="189"/>
      <c r="D44" s="222" t="s">
        <v>264</v>
      </c>
      <c r="E44" s="12" t="s">
        <v>265</v>
      </c>
      <c r="F44" s="10">
        <v>20</v>
      </c>
      <c r="G44" s="10"/>
      <c r="H44" s="10" t="s">
        <v>225</v>
      </c>
      <c r="I44" s="190">
        <v>46097</v>
      </c>
      <c r="J44" s="190">
        <v>46097</v>
      </c>
      <c r="K44" s="190">
        <v>46066</v>
      </c>
      <c r="L44" s="17">
        <f t="shared" si="1"/>
        <v>0</v>
      </c>
      <c r="M44" s="18">
        <f t="shared" si="2"/>
        <v>0</v>
      </c>
      <c r="N44" s="18" t="str">
        <f t="shared" si="3"/>
        <v>март 2026</v>
      </c>
      <c r="O44" s="10">
        <v>36047</v>
      </c>
      <c r="AV44" s="20"/>
      <c r="AW44" s="20"/>
      <c r="AX44" s="20"/>
      <c r="AY44" s="20"/>
      <c r="AZ44" s="20"/>
      <c r="BA44" s="20"/>
      <c r="BB44" s="20"/>
      <c r="BF44" s="20"/>
      <c r="BG44" s="20"/>
      <c r="CB44" s="27"/>
      <c r="CC44" s="27"/>
      <c r="CD44" s="27"/>
      <c r="CE44" s="27"/>
    </row>
    <row r="45" spans="1:83" ht="15.75" customHeight="1" x14ac:dyDescent="0.2">
      <c r="A45" s="10">
        <f t="shared" si="0"/>
        <v>44</v>
      </c>
      <c r="B45" s="11" t="s">
        <v>260</v>
      </c>
      <c r="C45" s="10"/>
      <c r="D45" s="221" t="s">
        <v>266</v>
      </c>
      <c r="E45" s="12" t="s">
        <v>253</v>
      </c>
      <c r="F45" s="10">
        <v>10000</v>
      </c>
      <c r="G45" s="10"/>
      <c r="H45" s="10" t="s">
        <v>225</v>
      </c>
      <c r="I45" s="190">
        <v>46175</v>
      </c>
      <c r="J45" s="10"/>
      <c r="K45" s="190">
        <v>46037</v>
      </c>
      <c r="L45" s="17" t="str">
        <f t="shared" si="1"/>
        <v/>
      </c>
      <c r="M45" s="18" t="str">
        <f t="shared" si="2"/>
        <v/>
      </c>
      <c r="N45" s="18" t="str">
        <f t="shared" si="3"/>
        <v/>
      </c>
      <c r="O45" s="10">
        <v>35795</v>
      </c>
      <c r="AV45" s="20"/>
      <c r="AW45" s="20"/>
      <c r="AX45" s="20"/>
      <c r="AY45" s="20"/>
      <c r="AZ45" s="20"/>
      <c r="BA45" s="20"/>
      <c r="BB45" s="20"/>
      <c r="BF45" s="20"/>
      <c r="BG45" s="20"/>
      <c r="CB45" s="27"/>
      <c r="CC45" s="27"/>
      <c r="CD45" s="27"/>
      <c r="CE45" s="27"/>
    </row>
    <row r="46" spans="1:83" ht="15.75" customHeight="1" x14ac:dyDescent="0.2">
      <c r="A46" s="10">
        <f t="shared" si="0"/>
        <v>45</v>
      </c>
      <c r="B46" s="11" t="s">
        <v>260</v>
      </c>
      <c r="C46" s="10"/>
      <c r="D46" s="221" t="s">
        <v>267</v>
      </c>
      <c r="E46" s="12" t="s">
        <v>265</v>
      </c>
      <c r="F46" s="10">
        <v>10000</v>
      </c>
      <c r="G46" s="10"/>
      <c r="H46" s="10" t="s">
        <v>236</v>
      </c>
      <c r="I46" s="190">
        <v>46175</v>
      </c>
      <c r="J46" s="10"/>
      <c r="K46" s="190">
        <v>46037</v>
      </c>
      <c r="L46" s="17" t="str">
        <f t="shared" si="1"/>
        <v/>
      </c>
      <c r="M46" s="18" t="str">
        <f t="shared" si="2"/>
        <v/>
      </c>
      <c r="N46" s="18" t="str">
        <f t="shared" si="3"/>
        <v/>
      </c>
      <c r="O46" s="10">
        <v>35795</v>
      </c>
      <c r="AV46" s="20"/>
      <c r="AW46" s="20"/>
      <c r="AX46" s="20"/>
      <c r="AY46" s="20"/>
      <c r="AZ46" s="20"/>
      <c r="BA46" s="20"/>
      <c r="BB46" s="20"/>
      <c r="BF46" s="20"/>
      <c r="BG46" s="20"/>
      <c r="CB46" s="27"/>
      <c r="CC46" s="27"/>
      <c r="CD46" s="27"/>
      <c r="CE46" s="27"/>
    </row>
    <row r="47" spans="1:83" ht="15.75" customHeight="1" x14ac:dyDescent="0.2">
      <c r="A47" s="10">
        <f t="shared" si="0"/>
        <v>46</v>
      </c>
      <c r="B47" s="11" t="s">
        <v>260</v>
      </c>
      <c r="C47" s="10"/>
      <c r="D47" s="221" t="s">
        <v>268</v>
      </c>
      <c r="E47" s="12" t="s">
        <v>248</v>
      </c>
      <c r="F47" s="10">
        <v>3000</v>
      </c>
      <c r="G47" s="10"/>
      <c r="H47" s="10" t="s">
        <v>225</v>
      </c>
      <c r="I47" s="190">
        <v>46175</v>
      </c>
      <c r="J47" s="10"/>
      <c r="K47" s="190">
        <v>46037</v>
      </c>
      <c r="L47" s="17" t="str">
        <f t="shared" si="1"/>
        <v/>
      </c>
      <c r="M47" s="18" t="str">
        <f t="shared" si="2"/>
        <v/>
      </c>
      <c r="N47" s="18" t="str">
        <f t="shared" si="3"/>
        <v/>
      </c>
      <c r="O47" s="10">
        <v>35795</v>
      </c>
      <c r="AV47" s="20"/>
      <c r="AW47" s="20"/>
      <c r="AX47" s="20"/>
      <c r="AY47" s="20"/>
      <c r="AZ47" s="20"/>
      <c r="BA47" s="20"/>
      <c r="BB47" s="20"/>
      <c r="BF47" s="20"/>
      <c r="BG47" s="20"/>
      <c r="CB47" s="27"/>
      <c r="CC47" s="27"/>
      <c r="CD47" s="27"/>
      <c r="CE47" s="27"/>
    </row>
    <row r="48" spans="1:83" ht="15.75" customHeight="1" x14ac:dyDescent="0.2">
      <c r="A48" s="10">
        <f t="shared" si="0"/>
        <v>47</v>
      </c>
      <c r="B48" s="11" t="s">
        <v>260</v>
      </c>
      <c r="C48" s="10"/>
      <c r="D48" s="221" t="s">
        <v>269</v>
      </c>
      <c r="E48" s="12" t="s">
        <v>253</v>
      </c>
      <c r="F48" s="10">
        <v>100000</v>
      </c>
      <c r="G48" s="10"/>
      <c r="H48" s="10" t="s">
        <v>225</v>
      </c>
      <c r="I48" s="190">
        <v>46175</v>
      </c>
      <c r="J48" s="10"/>
      <c r="K48" s="190">
        <v>46037</v>
      </c>
      <c r="L48" s="17" t="str">
        <f t="shared" si="1"/>
        <v/>
      </c>
      <c r="M48" s="18" t="str">
        <f t="shared" si="2"/>
        <v/>
      </c>
      <c r="N48" s="18" t="str">
        <f t="shared" si="3"/>
        <v/>
      </c>
      <c r="O48" s="10">
        <v>35795</v>
      </c>
      <c r="AV48" s="20"/>
      <c r="AW48" s="20"/>
      <c r="AX48" s="20"/>
      <c r="AY48" s="20"/>
      <c r="AZ48" s="20"/>
      <c r="BA48" s="20"/>
      <c r="BB48" s="20"/>
      <c r="BF48" s="20"/>
      <c r="BG48" s="20"/>
      <c r="CB48" s="27"/>
      <c r="CC48" s="27"/>
      <c r="CD48" s="27"/>
      <c r="CE48" s="27"/>
    </row>
    <row r="49" spans="1:83" ht="15.75" customHeight="1" x14ac:dyDescent="0.2">
      <c r="A49" s="10">
        <f t="shared" si="0"/>
        <v>48</v>
      </c>
      <c r="B49" s="11" t="s">
        <v>260</v>
      </c>
      <c r="C49" s="10"/>
      <c r="D49" s="221" t="s">
        <v>270</v>
      </c>
      <c r="E49" s="12" t="s">
        <v>224</v>
      </c>
      <c r="F49" s="10">
        <v>12000</v>
      </c>
      <c r="G49" s="10"/>
      <c r="H49" s="10" t="s">
        <v>236</v>
      </c>
      <c r="I49" s="190">
        <v>46175</v>
      </c>
      <c r="J49" s="10"/>
      <c r="K49" s="190">
        <v>46037</v>
      </c>
      <c r="L49" s="17" t="str">
        <f t="shared" si="1"/>
        <v/>
      </c>
      <c r="M49" s="18" t="str">
        <f t="shared" si="2"/>
        <v/>
      </c>
      <c r="N49" s="18" t="str">
        <f t="shared" si="3"/>
        <v/>
      </c>
      <c r="O49" s="10">
        <v>35795</v>
      </c>
      <c r="AV49" s="20"/>
      <c r="AW49" s="20"/>
      <c r="AX49" s="20"/>
      <c r="AY49" s="20"/>
      <c r="AZ49" s="20"/>
      <c r="BA49" s="20"/>
      <c r="BB49" s="20"/>
      <c r="BF49" s="20"/>
      <c r="BG49" s="20"/>
      <c r="CB49" s="27"/>
      <c r="CC49" s="27"/>
      <c r="CD49" s="27"/>
      <c r="CE49" s="27"/>
    </row>
    <row r="50" spans="1:83" ht="15.75" customHeight="1" x14ac:dyDescent="0.2">
      <c r="A50" s="10">
        <f t="shared" si="0"/>
        <v>49</v>
      </c>
      <c r="B50" s="11" t="s">
        <v>260</v>
      </c>
      <c r="C50" s="10"/>
      <c r="D50" s="221" t="s">
        <v>271</v>
      </c>
      <c r="E50" s="12" t="s">
        <v>262</v>
      </c>
      <c r="F50" s="10">
        <v>60</v>
      </c>
      <c r="G50" s="10"/>
      <c r="H50" s="10" t="s">
        <v>225</v>
      </c>
      <c r="I50" s="190">
        <v>46175</v>
      </c>
      <c r="J50" s="10"/>
      <c r="K50" s="190">
        <v>46055</v>
      </c>
      <c r="L50" s="17" t="str">
        <f t="shared" si="1"/>
        <v/>
      </c>
      <c r="M50" s="18" t="str">
        <f t="shared" si="2"/>
        <v/>
      </c>
      <c r="N50" s="18" t="str">
        <f t="shared" si="3"/>
        <v/>
      </c>
      <c r="O50" s="10">
        <v>35937</v>
      </c>
      <c r="AV50" s="20"/>
      <c r="AW50" s="20"/>
      <c r="AX50" s="20"/>
      <c r="AY50" s="20"/>
      <c r="AZ50" s="20"/>
      <c r="BA50" s="20"/>
      <c r="BB50" s="20"/>
      <c r="BF50" s="20"/>
      <c r="BG50" s="20"/>
      <c r="CB50" s="27"/>
      <c r="CC50" s="27"/>
      <c r="CD50" s="27"/>
      <c r="CE50" s="27"/>
    </row>
    <row r="51" spans="1:83" ht="15.75" customHeight="1" x14ac:dyDescent="0.2">
      <c r="A51" s="10">
        <f t="shared" si="0"/>
        <v>50</v>
      </c>
      <c r="B51" s="11" t="s">
        <v>260</v>
      </c>
      <c r="C51" s="10"/>
      <c r="D51" s="221" t="s">
        <v>271</v>
      </c>
      <c r="E51" s="12" t="s">
        <v>272</v>
      </c>
      <c r="F51" s="10">
        <v>60</v>
      </c>
      <c r="G51" s="10"/>
      <c r="H51" s="10" t="s">
        <v>225</v>
      </c>
      <c r="I51" s="190">
        <v>46175</v>
      </c>
      <c r="J51" s="10"/>
      <c r="K51" s="190">
        <v>46055</v>
      </c>
      <c r="L51" s="17" t="str">
        <f t="shared" si="1"/>
        <v/>
      </c>
      <c r="M51" s="18" t="str">
        <f t="shared" si="2"/>
        <v/>
      </c>
      <c r="N51" s="18" t="str">
        <f t="shared" si="3"/>
        <v/>
      </c>
      <c r="O51" s="10">
        <v>35937</v>
      </c>
      <c r="AV51" s="20"/>
      <c r="AW51" s="20"/>
      <c r="AX51" s="20"/>
      <c r="AY51" s="20"/>
      <c r="AZ51" s="20"/>
      <c r="BA51" s="20"/>
      <c r="BB51" s="20"/>
      <c r="BF51" s="20"/>
      <c r="BG51" s="20"/>
      <c r="CB51" s="27"/>
      <c r="CC51" s="27"/>
      <c r="CD51" s="27"/>
      <c r="CE51" s="27"/>
    </row>
    <row r="52" spans="1:83" ht="15.75" customHeight="1" x14ac:dyDescent="0.2">
      <c r="A52" s="10">
        <f t="shared" si="0"/>
        <v>51</v>
      </c>
      <c r="B52" s="11"/>
      <c r="C52" s="10"/>
      <c r="D52" s="221" t="s">
        <v>352</v>
      </c>
      <c r="E52" s="12" t="s">
        <v>357</v>
      </c>
      <c r="F52" s="10">
        <v>100</v>
      </c>
      <c r="G52" s="10"/>
      <c r="H52" s="10" t="s">
        <v>225</v>
      </c>
      <c r="I52" s="190">
        <v>46138</v>
      </c>
      <c r="J52" s="10"/>
      <c r="K52" s="190">
        <v>46098</v>
      </c>
      <c r="L52" s="17" t="str">
        <f t="shared" si="1"/>
        <v/>
      </c>
      <c r="M52" s="18" t="str">
        <f t="shared" si="2"/>
        <v/>
      </c>
      <c r="N52" s="18" t="str">
        <f t="shared" si="3"/>
        <v/>
      </c>
      <c r="O52" s="10">
        <v>36309</v>
      </c>
      <c r="AV52" s="20"/>
      <c r="AW52" s="20"/>
      <c r="AX52" s="20"/>
      <c r="AY52" s="20"/>
      <c r="AZ52" s="20"/>
      <c r="BA52" s="20"/>
      <c r="BB52" s="20"/>
      <c r="BF52" s="20"/>
      <c r="BG52" s="20"/>
      <c r="CB52" s="27"/>
      <c r="CC52" s="27"/>
      <c r="CD52" s="27"/>
      <c r="CE52" s="27"/>
    </row>
    <row r="53" spans="1:83" ht="15.75" customHeight="1" x14ac:dyDescent="0.2">
      <c r="A53" s="10">
        <f t="shared" si="0"/>
        <v>52</v>
      </c>
      <c r="B53" s="11"/>
      <c r="C53" s="10"/>
      <c r="D53" s="221" t="s">
        <v>353</v>
      </c>
      <c r="E53" s="12" t="s">
        <v>358</v>
      </c>
      <c r="F53" s="10" t="s">
        <v>359</v>
      </c>
      <c r="G53" s="10"/>
      <c r="H53" s="10" t="s">
        <v>225</v>
      </c>
      <c r="I53" s="190">
        <v>46117</v>
      </c>
      <c r="J53" s="10"/>
      <c r="K53" s="190">
        <v>46072</v>
      </c>
      <c r="L53" s="17" t="str">
        <f t="shared" si="1"/>
        <v/>
      </c>
      <c r="M53" s="18" t="str">
        <f t="shared" si="2"/>
        <v/>
      </c>
      <c r="N53" s="18" t="str">
        <f t="shared" si="3"/>
        <v/>
      </c>
      <c r="O53" s="10">
        <v>36091</v>
      </c>
      <c r="AV53" s="20"/>
      <c r="AW53" s="20"/>
      <c r="AX53" s="20"/>
      <c r="AY53" s="20"/>
      <c r="AZ53" s="20"/>
      <c r="BA53" s="20"/>
      <c r="BB53" s="20"/>
      <c r="BF53" s="20"/>
      <c r="BG53" s="20"/>
      <c r="CB53" s="27"/>
      <c r="CC53" s="27"/>
      <c r="CD53" s="27"/>
      <c r="CE53" s="27"/>
    </row>
    <row r="54" spans="1:83" ht="15.75" customHeight="1" x14ac:dyDescent="0.2">
      <c r="A54" s="10">
        <f t="shared" si="0"/>
        <v>53</v>
      </c>
      <c r="B54" s="11"/>
      <c r="C54" s="10"/>
      <c r="D54" s="221" t="s">
        <v>354</v>
      </c>
      <c r="E54" s="12" t="s">
        <v>245</v>
      </c>
      <c r="F54" s="10">
        <v>50</v>
      </c>
      <c r="G54" s="10"/>
      <c r="H54" s="10" t="s">
        <v>225</v>
      </c>
      <c r="I54" s="190">
        <v>46138</v>
      </c>
      <c r="J54" s="10"/>
      <c r="K54" s="190">
        <v>46094</v>
      </c>
      <c r="L54" s="17" t="str">
        <f t="shared" si="1"/>
        <v/>
      </c>
      <c r="M54" s="18" t="str">
        <f t="shared" si="2"/>
        <v/>
      </c>
      <c r="N54" s="18" t="str">
        <f t="shared" si="3"/>
        <v/>
      </c>
      <c r="O54" s="10">
        <v>36291</v>
      </c>
      <c r="AV54" s="20"/>
      <c r="AW54" s="20"/>
      <c r="AX54" s="20"/>
      <c r="AY54" s="20"/>
      <c r="AZ54" s="20"/>
      <c r="BA54" s="20"/>
      <c r="BB54" s="20"/>
      <c r="BF54" s="20"/>
      <c r="BG54" s="20"/>
      <c r="CB54" s="27"/>
      <c r="CC54" s="27"/>
      <c r="CD54" s="27"/>
      <c r="CE54" s="27"/>
    </row>
    <row r="55" spans="1:83" ht="15.75" customHeight="1" x14ac:dyDescent="0.2">
      <c r="A55" s="10">
        <f t="shared" si="0"/>
        <v>54</v>
      </c>
      <c r="B55" s="11"/>
      <c r="C55" s="10"/>
      <c r="D55" s="221" t="s">
        <v>355</v>
      </c>
      <c r="E55" s="12" t="s">
        <v>265</v>
      </c>
      <c r="F55" s="10">
        <v>7000</v>
      </c>
      <c r="G55" s="10"/>
      <c r="H55" s="10" t="s">
        <v>236</v>
      </c>
      <c r="I55" s="190">
        <v>46110</v>
      </c>
      <c r="J55" s="10"/>
      <c r="K55" s="190">
        <v>46094</v>
      </c>
      <c r="L55" s="17" t="str">
        <f t="shared" si="1"/>
        <v/>
      </c>
      <c r="M55" s="18" t="str">
        <f t="shared" si="2"/>
        <v/>
      </c>
      <c r="N55" s="18" t="str">
        <f t="shared" si="3"/>
        <v/>
      </c>
      <c r="O55" s="10"/>
      <c r="AV55" s="20"/>
      <c r="AW55" s="20"/>
      <c r="AX55" s="20"/>
      <c r="AY55" s="20"/>
      <c r="AZ55" s="20"/>
      <c r="BA55" s="20"/>
      <c r="BB55" s="20"/>
      <c r="BF55" s="20"/>
      <c r="BG55" s="20"/>
      <c r="CB55" s="27"/>
      <c r="CC55" s="27"/>
      <c r="CD55" s="27"/>
      <c r="CE55" s="27"/>
    </row>
    <row r="56" spans="1:83" ht="15.75" customHeight="1" x14ac:dyDescent="0.2">
      <c r="A56" s="10">
        <f t="shared" si="0"/>
        <v>55</v>
      </c>
      <c r="B56" s="11"/>
      <c r="C56" s="10"/>
      <c r="D56" s="221" t="s">
        <v>355</v>
      </c>
      <c r="E56" s="12" t="s">
        <v>265</v>
      </c>
      <c r="F56" s="10">
        <v>5130</v>
      </c>
      <c r="G56" s="10"/>
      <c r="H56" s="10" t="s">
        <v>236</v>
      </c>
      <c r="I56" s="190">
        <v>46131</v>
      </c>
      <c r="J56" s="10"/>
      <c r="K56" s="190">
        <v>46094</v>
      </c>
      <c r="L56" s="17" t="str">
        <f t="shared" si="1"/>
        <v/>
      </c>
      <c r="M56" s="18" t="str">
        <f t="shared" si="2"/>
        <v/>
      </c>
      <c r="N56" s="18" t="str">
        <f t="shared" si="3"/>
        <v/>
      </c>
      <c r="O56" s="10"/>
      <c r="AV56" s="20"/>
      <c r="AW56" s="20"/>
      <c r="AX56" s="20"/>
      <c r="AY56" s="20"/>
      <c r="AZ56" s="20"/>
      <c r="BA56" s="20"/>
      <c r="BB56" s="20"/>
      <c r="BF56" s="20"/>
      <c r="BG56" s="20"/>
      <c r="CB56" s="27"/>
      <c r="CC56" s="27"/>
      <c r="CD56" s="27"/>
      <c r="CE56" s="27"/>
    </row>
    <row r="57" spans="1:83" ht="15.75" customHeight="1" x14ac:dyDescent="0.2">
      <c r="A57" s="10">
        <f t="shared" si="0"/>
        <v>56</v>
      </c>
      <c r="B57" s="11"/>
      <c r="C57" s="10"/>
      <c r="D57" s="221" t="s">
        <v>355</v>
      </c>
      <c r="E57" s="12" t="s">
        <v>265</v>
      </c>
      <c r="F57" s="10">
        <v>4000</v>
      </c>
      <c r="G57" s="10"/>
      <c r="H57" s="10" t="s">
        <v>236</v>
      </c>
      <c r="I57" s="190">
        <v>46166</v>
      </c>
      <c r="J57" s="10"/>
      <c r="K57" s="190">
        <v>46094</v>
      </c>
      <c r="L57" s="17" t="str">
        <f t="shared" si="1"/>
        <v/>
      </c>
      <c r="M57" s="18" t="str">
        <f t="shared" si="2"/>
        <v/>
      </c>
      <c r="N57" s="18" t="str">
        <f t="shared" si="3"/>
        <v/>
      </c>
      <c r="O57" s="10"/>
      <c r="AV57" s="20"/>
      <c r="AW57" s="20"/>
      <c r="AX57" s="20"/>
      <c r="AY57" s="20"/>
      <c r="AZ57" s="20"/>
      <c r="BA57" s="20"/>
      <c r="BB57" s="20"/>
      <c r="BF57" s="20"/>
      <c r="BG57" s="20"/>
      <c r="CB57" s="27"/>
      <c r="CC57" s="27"/>
      <c r="CD57" s="27"/>
      <c r="CE57" s="27"/>
    </row>
    <row r="58" spans="1:83" ht="15.75" customHeight="1" x14ac:dyDescent="0.2">
      <c r="A58" s="10">
        <f t="shared" si="0"/>
        <v>57</v>
      </c>
      <c r="B58" s="11"/>
      <c r="C58" s="10"/>
      <c r="D58" s="221" t="s">
        <v>355</v>
      </c>
      <c r="E58" s="12" t="s">
        <v>265</v>
      </c>
      <c r="F58" s="10">
        <v>21800</v>
      </c>
      <c r="G58" s="10"/>
      <c r="H58" s="10" t="s">
        <v>236</v>
      </c>
      <c r="I58" s="190">
        <v>46166</v>
      </c>
      <c r="J58" s="10"/>
      <c r="K58" s="190">
        <v>46078</v>
      </c>
      <c r="L58" s="17" t="str">
        <f t="shared" si="1"/>
        <v/>
      </c>
      <c r="M58" s="18" t="str">
        <f t="shared" si="2"/>
        <v/>
      </c>
      <c r="N58" s="18" t="str">
        <f t="shared" si="3"/>
        <v/>
      </c>
      <c r="O58" s="10">
        <v>36127</v>
      </c>
      <c r="AV58" s="20"/>
      <c r="AW58" s="20"/>
      <c r="AX58" s="20"/>
      <c r="AY58" s="20"/>
      <c r="AZ58" s="20"/>
      <c r="BA58" s="20"/>
      <c r="BB58" s="20"/>
      <c r="BF58" s="20"/>
      <c r="BG58" s="20"/>
      <c r="CB58" s="27"/>
      <c r="CC58" s="27"/>
      <c r="CD58" s="27"/>
      <c r="CE58" s="27"/>
    </row>
    <row r="59" spans="1:83" ht="15.75" customHeight="1" x14ac:dyDescent="0.2">
      <c r="A59" s="10">
        <f t="shared" si="0"/>
        <v>58</v>
      </c>
      <c r="B59" s="11"/>
      <c r="C59" s="10"/>
      <c r="D59" s="221" t="s">
        <v>356</v>
      </c>
      <c r="E59" s="12" t="s">
        <v>272</v>
      </c>
      <c r="F59" s="10" t="s">
        <v>359</v>
      </c>
      <c r="G59" s="10"/>
      <c r="H59" s="10" t="s">
        <v>225</v>
      </c>
      <c r="I59" s="190">
        <v>46117</v>
      </c>
      <c r="J59" s="10"/>
      <c r="K59" s="190">
        <v>46049</v>
      </c>
      <c r="L59" s="17" t="str">
        <f t="shared" si="1"/>
        <v/>
      </c>
      <c r="M59" s="18" t="str">
        <f t="shared" si="2"/>
        <v/>
      </c>
      <c r="N59" s="18" t="str">
        <f t="shared" si="3"/>
        <v/>
      </c>
      <c r="O59" s="10">
        <v>35907</v>
      </c>
      <c r="AV59" s="20"/>
      <c r="AW59" s="20"/>
      <c r="AX59" s="20"/>
      <c r="AY59" s="20"/>
      <c r="AZ59" s="20"/>
      <c r="BA59" s="20"/>
      <c r="BB59" s="20"/>
      <c r="BF59" s="20"/>
      <c r="BG59" s="20"/>
      <c r="CB59" s="27"/>
      <c r="CC59" s="27"/>
      <c r="CD59" s="27"/>
      <c r="CE59" s="27"/>
    </row>
    <row r="60" spans="1:83" ht="15.75" customHeight="1" x14ac:dyDescent="0.2">
      <c r="A60" s="10">
        <f t="shared" si="0"/>
        <v>59</v>
      </c>
      <c r="B60" s="11"/>
      <c r="C60" s="10"/>
      <c r="D60" s="221" t="s">
        <v>356</v>
      </c>
      <c r="E60" s="12" t="s">
        <v>358</v>
      </c>
      <c r="F60" s="10" t="s">
        <v>359</v>
      </c>
      <c r="G60" s="10"/>
      <c r="H60" s="10" t="s">
        <v>225</v>
      </c>
      <c r="I60" s="190">
        <v>46117</v>
      </c>
      <c r="J60" s="10"/>
      <c r="K60" s="190">
        <v>46049</v>
      </c>
      <c r="L60" s="17" t="str">
        <f t="shared" si="1"/>
        <v/>
      </c>
      <c r="M60" s="18" t="str">
        <f t="shared" si="2"/>
        <v/>
      </c>
      <c r="N60" s="18" t="str">
        <f t="shared" si="3"/>
        <v/>
      </c>
      <c r="O60" s="10">
        <v>35907</v>
      </c>
      <c r="AV60" s="20"/>
      <c r="AW60" s="20"/>
      <c r="AX60" s="20"/>
      <c r="AY60" s="20"/>
      <c r="AZ60" s="20"/>
      <c r="BA60" s="20"/>
      <c r="BB60" s="20"/>
      <c r="BF60" s="20"/>
      <c r="BG60" s="20"/>
      <c r="CB60" s="27"/>
      <c r="CC60" s="27"/>
      <c r="CD60" s="27"/>
      <c r="CE60" s="27"/>
    </row>
    <row r="61" spans="1:83" ht="15.75" customHeight="1" x14ac:dyDescent="0.2">
      <c r="A61" s="10">
        <f t="shared" si="0"/>
        <v>60</v>
      </c>
      <c r="B61" s="11" t="s">
        <v>260</v>
      </c>
      <c r="C61" s="10"/>
      <c r="D61" s="218" t="s">
        <v>240</v>
      </c>
      <c r="E61" s="12" t="s">
        <v>224</v>
      </c>
      <c r="F61" s="10">
        <v>1200</v>
      </c>
      <c r="G61" s="10"/>
      <c r="H61" s="10" t="s">
        <v>225</v>
      </c>
      <c r="I61" s="190">
        <v>46175</v>
      </c>
      <c r="J61" s="10"/>
      <c r="K61" s="190">
        <v>46070</v>
      </c>
      <c r="L61" s="17" t="str">
        <f t="shared" si="1"/>
        <v/>
      </c>
      <c r="M61" s="18" t="str">
        <f t="shared" si="2"/>
        <v/>
      </c>
      <c r="N61" s="18" t="str">
        <f t="shared" si="3"/>
        <v/>
      </c>
      <c r="O61" s="10">
        <v>36071</v>
      </c>
      <c r="AV61" s="20"/>
      <c r="AW61" s="20"/>
      <c r="AX61" s="20"/>
      <c r="AY61" s="20"/>
      <c r="AZ61" s="20"/>
      <c r="BA61" s="20"/>
      <c r="BB61" s="20"/>
      <c r="BF61" s="20"/>
      <c r="BG61" s="20"/>
      <c r="CB61" s="27"/>
      <c r="CC61" s="27"/>
      <c r="CD61" s="27"/>
      <c r="CE61" s="27"/>
    </row>
    <row r="62" spans="1:83" ht="15.75" customHeight="1" x14ac:dyDescent="0.2">
      <c r="A62" s="10">
        <f t="shared" si="0"/>
        <v>61</v>
      </c>
      <c r="B62" s="11" t="s">
        <v>260</v>
      </c>
      <c r="C62" s="10"/>
      <c r="D62" s="218" t="s">
        <v>240</v>
      </c>
      <c r="E62" s="12" t="s">
        <v>360</v>
      </c>
      <c r="F62" s="10">
        <v>1200</v>
      </c>
      <c r="G62" s="10"/>
      <c r="H62" s="10" t="s">
        <v>225</v>
      </c>
      <c r="I62" s="190">
        <v>46175</v>
      </c>
      <c r="J62" s="10"/>
      <c r="K62" s="190">
        <v>46070</v>
      </c>
      <c r="L62" s="17" t="str">
        <f t="shared" si="1"/>
        <v/>
      </c>
      <c r="M62" s="18" t="str">
        <f t="shared" si="2"/>
        <v/>
      </c>
      <c r="N62" s="18" t="str">
        <f t="shared" si="3"/>
        <v/>
      </c>
      <c r="O62" s="10">
        <v>36071</v>
      </c>
      <c r="AV62" s="20"/>
      <c r="AW62" s="20"/>
      <c r="AX62" s="20"/>
      <c r="AY62" s="20"/>
      <c r="AZ62" s="20"/>
      <c r="BA62" s="20"/>
      <c r="BB62" s="20"/>
      <c r="BF62" s="20"/>
      <c r="BG62" s="20"/>
      <c r="CB62" s="27"/>
      <c r="CC62" s="27"/>
      <c r="CD62" s="27"/>
      <c r="CE62" s="27"/>
    </row>
    <row r="63" spans="1:83" ht="15.75" customHeight="1" x14ac:dyDescent="0.2">
      <c r="A63" s="10"/>
      <c r="B63" s="11"/>
      <c r="C63" s="10"/>
      <c r="D63" s="12"/>
      <c r="E63" s="12"/>
      <c r="F63" s="10"/>
      <c r="G63" s="10"/>
      <c r="H63" s="10"/>
      <c r="I63" s="10"/>
      <c r="J63" s="10"/>
      <c r="K63" s="10"/>
      <c r="L63" s="17" t="str">
        <f t="shared" si="1"/>
        <v/>
      </c>
      <c r="M63" s="18" t="str">
        <f t="shared" si="2"/>
        <v/>
      </c>
      <c r="N63" s="18" t="str">
        <f t="shared" si="3"/>
        <v/>
      </c>
      <c r="O63" s="10"/>
      <c r="AV63" s="20"/>
      <c r="AW63" s="20"/>
      <c r="AX63" s="20"/>
      <c r="AY63" s="20"/>
      <c r="AZ63" s="20"/>
      <c r="BA63" s="20"/>
      <c r="BB63" s="20"/>
      <c r="BF63" s="20"/>
      <c r="BG63" s="20"/>
      <c r="CB63" s="27"/>
      <c r="CC63" s="27"/>
      <c r="CD63" s="27"/>
      <c r="CE63" s="27"/>
    </row>
    <row r="64" spans="1:83" ht="15.75" customHeight="1" x14ac:dyDescent="0.2">
      <c r="A64" s="10"/>
      <c r="B64" s="11"/>
      <c r="C64" s="10"/>
      <c r="D64" s="12"/>
      <c r="E64" s="12"/>
      <c r="F64" s="10"/>
      <c r="G64" s="10"/>
      <c r="H64" s="10"/>
      <c r="I64" s="10"/>
      <c r="J64" s="10"/>
      <c r="K64" s="10"/>
      <c r="L64" s="17" t="str">
        <f t="shared" si="1"/>
        <v/>
      </c>
      <c r="M64" s="18" t="str">
        <f t="shared" si="2"/>
        <v/>
      </c>
      <c r="N64" s="18" t="str">
        <f t="shared" si="3"/>
        <v/>
      </c>
      <c r="O64" s="10"/>
      <c r="AV64" s="20"/>
      <c r="AW64" s="20"/>
      <c r="AX64" s="20"/>
      <c r="AY64" s="20"/>
      <c r="AZ64" s="20"/>
      <c r="BA64" s="20"/>
      <c r="BB64" s="20"/>
      <c r="BF64" s="20"/>
      <c r="BG64" s="20"/>
      <c r="CB64" s="27"/>
      <c r="CC64" s="27"/>
      <c r="CD64" s="27"/>
      <c r="CE64" s="27"/>
    </row>
    <row r="65" spans="1:83" ht="15.75" customHeight="1" x14ac:dyDescent="0.2">
      <c r="A65" s="10"/>
      <c r="B65" s="11"/>
      <c r="C65" s="10"/>
      <c r="D65" s="12"/>
      <c r="E65" s="12"/>
      <c r="F65" s="10"/>
      <c r="G65" s="10"/>
      <c r="H65" s="10"/>
      <c r="I65" s="10"/>
      <c r="J65" s="10"/>
      <c r="K65" s="10"/>
      <c r="L65" s="17" t="str">
        <f t="shared" si="1"/>
        <v/>
      </c>
      <c r="M65" s="18" t="str">
        <f t="shared" si="2"/>
        <v/>
      </c>
      <c r="N65" s="18" t="str">
        <f t="shared" si="3"/>
        <v/>
      </c>
      <c r="O65" s="10"/>
      <c r="AV65" s="20"/>
      <c r="AW65" s="20"/>
      <c r="AX65" s="20"/>
      <c r="AY65" s="20"/>
      <c r="AZ65" s="20"/>
      <c r="BA65" s="20"/>
      <c r="BB65" s="20"/>
      <c r="BF65" s="20"/>
      <c r="BG65" s="20"/>
      <c r="CB65" s="27"/>
      <c r="CC65" s="27"/>
      <c r="CD65" s="27"/>
      <c r="CE65" s="27"/>
    </row>
    <row r="66" spans="1:83" ht="15.75" customHeight="1" x14ac:dyDescent="0.2">
      <c r="A66" s="10"/>
      <c r="B66" s="11"/>
      <c r="C66" s="10"/>
      <c r="D66" s="12"/>
      <c r="E66" s="12"/>
      <c r="F66" s="10"/>
      <c r="G66" s="10"/>
      <c r="H66" s="10"/>
      <c r="I66" s="10"/>
      <c r="J66" s="10"/>
      <c r="K66" s="10"/>
      <c r="L66" s="17" t="str">
        <f t="shared" ref="L66:L129" si="4">IF(OR(I66="",J66=""),"",J66-I66)</f>
        <v/>
      </c>
      <c r="M66" s="18" t="str">
        <f t="shared" si="2"/>
        <v/>
      </c>
      <c r="N66" s="18" t="str">
        <f t="shared" si="3"/>
        <v/>
      </c>
      <c r="O66" s="10"/>
      <c r="AV66" s="20"/>
      <c r="AW66" s="20"/>
      <c r="AX66" s="20"/>
      <c r="AY66" s="20"/>
      <c r="AZ66" s="20"/>
      <c r="BA66" s="20"/>
      <c r="BB66" s="20"/>
      <c r="BF66" s="20"/>
      <c r="BG66" s="20"/>
      <c r="CB66" s="27"/>
      <c r="CC66" s="27"/>
      <c r="CD66" s="27"/>
      <c r="CE66" s="27"/>
    </row>
    <row r="67" spans="1:83" ht="15.75" customHeight="1" x14ac:dyDescent="0.2">
      <c r="A67" s="10"/>
      <c r="B67" s="11"/>
      <c r="C67" s="10"/>
      <c r="D67" s="12"/>
      <c r="E67" s="12"/>
      <c r="F67" s="10"/>
      <c r="G67" s="10"/>
      <c r="H67" s="10"/>
      <c r="I67" s="10"/>
      <c r="J67" s="10"/>
      <c r="K67" s="10"/>
      <c r="L67" s="17" t="str">
        <f t="shared" si="4"/>
        <v/>
      </c>
      <c r="M67" s="18" t="str">
        <f t="shared" ref="M67:M127" si="5">IF(OR(I67="",J67="",K67=""),"",IF(I67&lt;=K67,"",(J67-I67)/(I67-K67)))</f>
        <v/>
      </c>
      <c r="N67" s="18" t="str">
        <f t="shared" ref="N67:N130" si="6">IF(J67="","",TEXT(J67,"[$-419]mmmm yyyy"))</f>
        <v/>
      </c>
      <c r="O67" s="10"/>
      <c r="AV67" s="20"/>
      <c r="AW67" s="20"/>
      <c r="AX67" s="20"/>
      <c r="AY67" s="20"/>
      <c r="AZ67" s="20"/>
      <c r="BA67" s="20"/>
      <c r="BB67" s="20"/>
      <c r="BF67" s="20"/>
      <c r="BG67" s="20"/>
      <c r="CB67" s="27"/>
      <c r="CC67" s="27"/>
      <c r="CD67" s="27"/>
      <c r="CE67" s="27"/>
    </row>
    <row r="68" spans="1:83" ht="15.75" customHeight="1" x14ac:dyDescent="0.2">
      <c r="A68" s="10"/>
      <c r="B68" s="11"/>
      <c r="C68" s="10"/>
      <c r="D68" s="12"/>
      <c r="E68" s="12"/>
      <c r="F68" s="10"/>
      <c r="G68" s="10"/>
      <c r="H68" s="10"/>
      <c r="I68" s="10"/>
      <c r="J68" s="10"/>
      <c r="K68" s="10"/>
      <c r="L68" s="17" t="str">
        <f t="shared" si="4"/>
        <v/>
      </c>
      <c r="M68" s="18" t="str">
        <f t="shared" si="5"/>
        <v/>
      </c>
      <c r="N68" s="18" t="str">
        <f t="shared" si="6"/>
        <v/>
      </c>
      <c r="O68" s="10"/>
      <c r="AV68" s="20"/>
      <c r="AW68" s="20"/>
      <c r="AX68" s="20"/>
      <c r="AY68" s="20"/>
      <c r="AZ68" s="20"/>
      <c r="BA68" s="20"/>
      <c r="BB68" s="20"/>
      <c r="BF68" s="20"/>
      <c r="BG68" s="20"/>
      <c r="CB68" s="27"/>
      <c r="CC68" s="27"/>
      <c r="CD68" s="27"/>
      <c r="CE68" s="27"/>
    </row>
    <row r="69" spans="1:83" ht="15.75" customHeight="1" x14ac:dyDescent="0.2">
      <c r="A69" s="10"/>
      <c r="B69" s="11"/>
      <c r="C69" s="10"/>
      <c r="D69" s="12"/>
      <c r="E69" s="12"/>
      <c r="F69" s="10"/>
      <c r="G69" s="10"/>
      <c r="H69" s="10"/>
      <c r="I69" s="10"/>
      <c r="J69" s="10"/>
      <c r="K69" s="10"/>
      <c r="L69" s="17" t="str">
        <f t="shared" si="4"/>
        <v/>
      </c>
      <c r="M69" s="18" t="str">
        <f t="shared" si="5"/>
        <v/>
      </c>
      <c r="N69" s="18" t="str">
        <f t="shared" si="6"/>
        <v/>
      </c>
      <c r="O69" s="10"/>
      <c r="AV69" s="20"/>
      <c r="AW69" s="20"/>
      <c r="AX69" s="20"/>
      <c r="AY69" s="20"/>
      <c r="AZ69" s="20"/>
      <c r="BA69" s="20"/>
      <c r="BB69" s="20"/>
      <c r="BF69" s="20"/>
      <c r="BG69" s="20"/>
      <c r="CB69" s="27"/>
      <c r="CC69" s="27"/>
      <c r="CD69" s="27"/>
      <c r="CE69" s="27"/>
    </row>
    <row r="70" spans="1:83" ht="15.75" customHeight="1" x14ac:dyDescent="0.2">
      <c r="A70" s="10"/>
      <c r="B70" s="11"/>
      <c r="C70" s="10"/>
      <c r="D70" s="12"/>
      <c r="E70" s="12"/>
      <c r="F70" s="10"/>
      <c r="G70" s="10"/>
      <c r="H70" s="10"/>
      <c r="I70" s="10"/>
      <c r="J70" s="10"/>
      <c r="K70" s="10"/>
      <c r="L70" s="17" t="str">
        <f t="shared" si="4"/>
        <v/>
      </c>
      <c r="M70" s="18" t="str">
        <f t="shared" si="5"/>
        <v/>
      </c>
      <c r="N70" s="18" t="str">
        <f t="shared" si="6"/>
        <v/>
      </c>
      <c r="O70" s="10"/>
      <c r="AV70" s="20"/>
      <c r="AW70" s="20"/>
      <c r="AX70" s="20"/>
      <c r="AY70" s="20"/>
      <c r="AZ70" s="20"/>
      <c r="BA70" s="20"/>
      <c r="BB70" s="20"/>
      <c r="BF70" s="20"/>
      <c r="BG70" s="20"/>
      <c r="CB70" s="27"/>
      <c r="CC70" s="27"/>
      <c r="CD70" s="27"/>
      <c r="CE70" s="27"/>
    </row>
    <row r="71" spans="1:83" ht="15.75" customHeight="1" x14ac:dyDescent="0.2">
      <c r="A71" s="10"/>
      <c r="B71" s="11"/>
      <c r="C71" s="10"/>
      <c r="D71" s="12"/>
      <c r="E71" s="12"/>
      <c r="F71" s="10"/>
      <c r="G71" s="10"/>
      <c r="H71" s="10"/>
      <c r="I71" s="10"/>
      <c r="J71" s="10"/>
      <c r="K71" s="10"/>
      <c r="L71" s="17" t="str">
        <f t="shared" si="4"/>
        <v/>
      </c>
      <c r="M71" s="18" t="str">
        <f t="shared" si="5"/>
        <v/>
      </c>
      <c r="N71" s="18" t="str">
        <f t="shared" si="6"/>
        <v/>
      </c>
      <c r="O71" s="10"/>
      <c r="AV71" s="20"/>
      <c r="AW71" s="20"/>
      <c r="AX71" s="20"/>
      <c r="AY71" s="20"/>
      <c r="AZ71" s="20"/>
      <c r="BA71" s="20"/>
      <c r="BB71" s="20"/>
      <c r="BF71" s="20"/>
      <c r="BG71" s="20"/>
      <c r="CB71" s="27"/>
      <c r="CC71" s="27"/>
      <c r="CD71" s="27"/>
      <c r="CE71" s="27"/>
    </row>
    <row r="72" spans="1:83" ht="15.75" customHeight="1" x14ac:dyDescent="0.2">
      <c r="A72" s="10"/>
      <c r="B72" s="11"/>
      <c r="C72" s="10"/>
      <c r="D72" s="12"/>
      <c r="E72" s="12"/>
      <c r="F72" s="10"/>
      <c r="G72" s="10"/>
      <c r="H72" s="10"/>
      <c r="I72" s="10"/>
      <c r="J72" s="10"/>
      <c r="K72" s="10"/>
      <c r="L72" s="17" t="str">
        <f t="shared" si="4"/>
        <v/>
      </c>
      <c r="M72" s="18" t="str">
        <f t="shared" si="5"/>
        <v/>
      </c>
      <c r="N72" s="18" t="str">
        <f t="shared" si="6"/>
        <v/>
      </c>
      <c r="O72" s="10"/>
      <c r="AV72" s="20"/>
      <c r="AW72" s="20"/>
      <c r="AX72" s="20"/>
      <c r="AY72" s="20"/>
      <c r="AZ72" s="20"/>
      <c r="BA72" s="20"/>
      <c r="BB72" s="20"/>
      <c r="BF72" s="20"/>
      <c r="BG72" s="20"/>
      <c r="CB72" s="27"/>
      <c r="CC72" s="27"/>
      <c r="CD72" s="27"/>
      <c r="CE72" s="27"/>
    </row>
    <row r="73" spans="1:83" ht="15.75" customHeight="1" x14ac:dyDescent="0.2">
      <c r="A73" s="10"/>
      <c r="B73" s="11"/>
      <c r="C73" s="10"/>
      <c r="D73" s="12"/>
      <c r="E73" s="12"/>
      <c r="F73" s="10"/>
      <c r="G73" s="10"/>
      <c r="H73" s="10"/>
      <c r="I73" s="10"/>
      <c r="J73" s="10"/>
      <c r="K73" s="10"/>
      <c r="L73" s="17" t="str">
        <f t="shared" si="4"/>
        <v/>
      </c>
      <c r="M73" s="18" t="str">
        <f t="shared" si="5"/>
        <v/>
      </c>
      <c r="N73" s="18" t="str">
        <f t="shared" si="6"/>
        <v/>
      </c>
      <c r="O73" s="10"/>
      <c r="AV73" s="20"/>
      <c r="AW73" s="20"/>
      <c r="AX73" s="20"/>
      <c r="AY73" s="20"/>
      <c r="AZ73" s="20"/>
      <c r="BA73" s="20"/>
      <c r="BB73" s="20"/>
      <c r="BF73" s="20"/>
      <c r="BG73" s="20"/>
      <c r="CB73" s="27"/>
      <c r="CC73" s="27"/>
      <c r="CD73" s="27"/>
      <c r="CE73" s="27"/>
    </row>
    <row r="74" spans="1:83" ht="15.75" customHeight="1" x14ac:dyDescent="0.2">
      <c r="A74" s="10"/>
      <c r="B74" s="11"/>
      <c r="C74" s="10"/>
      <c r="D74" s="12"/>
      <c r="E74" s="12"/>
      <c r="F74" s="10"/>
      <c r="G74" s="10"/>
      <c r="H74" s="10"/>
      <c r="I74" s="10"/>
      <c r="J74" s="10"/>
      <c r="K74" s="10"/>
      <c r="L74" s="17" t="str">
        <f t="shared" si="4"/>
        <v/>
      </c>
      <c r="M74" s="18" t="str">
        <f t="shared" si="5"/>
        <v/>
      </c>
      <c r="N74" s="18" t="str">
        <f t="shared" si="6"/>
        <v/>
      </c>
      <c r="O74" s="10"/>
      <c r="AV74" s="20"/>
      <c r="AW74" s="20"/>
      <c r="AX74" s="20"/>
      <c r="AY74" s="20"/>
      <c r="AZ74" s="20"/>
      <c r="BA74" s="20"/>
      <c r="BB74" s="20"/>
      <c r="BF74" s="20"/>
      <c r="BG74" s="20"/>
      <c r="CB74" s="27"/>
      <c r="CC74" s="27"/>
      <c r="CD74" s="27"/>
      <c r="CE74" s="27"/>
    </row>
    <row r="75" spans="1:83" x14ac:dyDescent="0.2">
      <c r="A75" s="10"/>
      <c r="B75" s="11"/>
      <c r="C75" s="10"/>
      <c r="D75" s="12"/>
      <c r="E75" s="12"/>
      <c r="F75" s="10"/>
      <c r="G75" s="10"/>
      <c r="H75" s="10"/>
      <c r="I75" s="10"/>
      <c r="J75" s="10"/>
      <c r="K75" s="10"/>
      <c r="L75" s="17" t="str">
        <f t="shared" si="4"/>
        <v/>
      </c>
      <c r="M75" s="18" t="str">
        <f t="shared" si="5"/>
        <v/>
      </c>
      <c r="N75" s="18" t="str">
        <f t="shared" si="6"/>
        <v/>
      </c>
      <c r="O75" s="10"/>
      <c r="AV75" s="20"/>
      <c r="AW75" s="20"/>
      <c r="AX75" s="20"/>
      <c r="AY75" s="20"/>
      <c r="AZ75" s="20"/>
      <c r="BA75" s="20"/>
      <c r="BB75" s="20"/>
      <c r="BF75" s="20"/>
      <c r="BG75" s="20"/>
      <c r="CB75" s="27"/>
      <c r="CC75" s="27"/>
      <c r="CD75" s="27"/>
      <c r="CE75" s="27"/>
    </row>
    <row r="76" spans="1:83" x14ac:dyDescent="0.2">
      <c r="A76" s="10"/>
      <c r="B76" s="11"/>
      <c r="C76" s="10"/>
      <c r="D76" s="12"/>
      <c r="E76" s="12"/>
      <c r="F76" s="10"/>
      <c r="G76" s="10"/>
      <c r="H76" s="10"/>
      <c r="I76" s="10"/>
      <c r="J76" s="10"/>
      <c r="K76" s="10"/>
      <c r="L76" s="17" t="str">
        <f t="shared" si="4"/>
        <v/>
      </c>
      <c r="M76" s="18" t="str">
        <f t="shared" si="5"/>
        <v/>
      </c>
      <c r="N76" s="18" t="str">
        <f t="shared" si="6"/>
        <v/>
      </c>
      <c r="O76" s="10"/>
      <c r="AV76" s="20"/>
      <c r="AW76" s="20"/>
      <c r="AX76" s="20"/>
      <c r="AY76" s="20"/>
      <c r="AZ76" s="20"/>
      <c r="BA76" s="20"/>
      <c r="BB76" s="20"/>
      <c r="BF76" s="20"/>
      <c r="BG76" s="20"/>
      <c r="CB76" s="27"/>
      <c r="CC76" s="27"/>
      <c r="CD76" s="27"/>
      <c r="CE76" s="27"/>
    </row>
    <row r="77" spans="1:83" x14ac:dyDescent="0.2">
      <c r="A77" s="10"/>
      <c r="B77" s="11"/>
      <c r="C77" s="10"/>
      <c r="D77" s="12"/>
      <c r="E77" s="12"/>
      <c r="F77" s="10"/>
      <c r="G77" s="10"/>
      <c r="H77" s="10"/>
      <c r="I77" s="10"/>
      <c r="J77" s="10"/>
      <c r="K77" s="10"/>
      <c r="L77" s="17" t="str">
        <f t="shared" si="4"/>
        <v/>
      </c>
      <c r="M77" s="18" t="str">
        <f t="shared" si="5"/>
        <v/>
      </c>
      <c r="N77" s="18" t="str">
        <f t="shared" si="6"/>
        <v/>
      </c>
      <c r="O77" s="10"/>
      <c r="AV77" s="20"/>
      <c r="AW77" s="20"/>
      <c r="AX77" s="20"/>
      <c r="AY77" s="20"/>
      <c r="AZ77" s="20"/>
      <c r="BA77" s="20"/>
      <c r="BB77" s="20"/>
      <c r="BF77" s="20"/>
      <c r="BG77" s="20"/>
      <c r="CB77" s="27"/>
      <c r="CC77" s="27"/>
      <c r="CD77" s="27"/>
      <c r="CE77" s="27"/>
    </row>
    <row r="78" spans="1:83" x14ac:dyDescent="0.2">
      <c r="A78" s="10"/>
      <c r="B78" s="11"/>
      <c r="C78" s="10"/>
      <c r="D78" s="12"/>
      <c r="E78" s="12"/>
      <c r="F78" s="10"/>
      <c r="G78" s="10"/>
      <c r="H78" s="10"/>
      <c r="I78" s="10"/>
      <c r="J78" s="10"/>
      <c r="K78" s="10"/>
      <c r="L78" s="17" t="str">
        <f t="shared" si="4"/>
        <v/>
      </c>
      <c r="M78" s="18" t="str">
        <f t="shared" si="5"/>
        <v/>
      </c>
      <c r="N78" s="18" t="str">
        <f t="shared" si="6"/>
        <v/>
      </c>
      <c r="O78" s="10"/>
      <c r="AV78" s="20"/>
      <c r="AW78" s="20"/>
      <c r="AX78" s="20"/>
      <c r="AY78" s="20"/>
      <c r="AZ78" s="20"/>
      <c r="BA78" s="20"/>
      <c r="BB78" s="20"/>
      <c r="BF78" s="20"/>
      <c r="BG78" s="20"/>
      <c r="CB78" s="27"/>
      <c r="CC78" s="27"/>
      <c r="CD78" s="27"/>
      <c r="CE78" s="27"/>
    </row>
    <row r="79" spans="1:83" x14ac:dyDescent="0.2">
      <c r="A79" s="10"/>
      <c r="B79" s="11"/>
      <c r="C79" s="10"/>
      <c r="D79" s="12"/>
      <c r="E79" s="12"/>
      <c r="F79" s="10"/>
      <c r="G79" s="10"/>
      <c r="H79" s="10"/>
      <c r="I79" s="10"/>
      <c r="J79" s="10"/>
      <c r="K79" s="10"/>
      <c r="L79" s="17" t="str">
        <f t="shared" si="4"/>
        <v/>
      </c>
      <c r="M79" s="18" t="str">
        <f t="shared" si="5"/>
        <v/>
      </c>
      <c r="N79" s="18" t="str">
        <f t="shared" si="6"/>
        <v/>
      </c>
      <c r="O79" s="10"/>
      <c r="AV79" s="20"/>
      <c r="AW79" s="20"/>
      <c r="AX79" s="20"/>
      <c r="AY79" s="20"/>
      <c r="AZ79" s="20"/>
      <c r="BA79" s="20"/>
      <c r="BB79" s="20"/>
      <c r="BF79" s="20"/>
      <c r="BG79" s="20"/>
      <c r="CB79" s="27"/>
      <c r="CC79" s="27"/>
      <c r="CD79" s="27"/>
      <c r="CE79" s="27"/>
    </row>
    <row r="80" spans="1:83" x14ac:dyDescent="0.2">
      <c r="A80" s="10"/>
      <c r="B80" s="11"/>
      <c r="C80" s="10"/>
      <c r="D80" s="12"/>
      <c r="E80" s="12"/>
      <c r="F80" s="10"/>
      <c r="G80" s="10"/>
      <c r="H80" s="10"/>
      <c r="I80" s="10"/>
      <c r="J80" s="10"/>
      <c r="K80" s="10"/>
      <c r="L80" s="17" t="str">
        <f t="shared" si="4"/>
        <v/>
      </c>
      <c r="M80" s="18" t="str">
        <f t="shared" si="5"/>
        <v/>
      </c>
      <c r="N80" s="18" t="str">
        <f t="shared" si="6"/>
        <v/>
      </c>
      <c r="O80" s="10"/>
      <c r="AV80" s="20"/>
      <c r="AW80" s="20"/>
      <c r="AX80" s="20"/>
      <c r="AY80" s="20"/>
      <c r="AZ80" s="20"/>
      <c r="BA80" s="20"/>
      <c r="BB80" s="20"/>
      <c r="BF80" s="20"/>
      <c r="BG80" s="20"/>
      <c r="CB80" s="27"/>
      <c r="CC80" s="27"/>
      <c r="CD80" s="27"/>
      <c r="CE80" s="27"/>
    </row>
    <row r="81" spans="1:83" x14ac:dyDescent="0.2">
      <c r="A81" s="10"/>
      <c r="B81" s="11"/>
      <c r="C81" s="10"/>
      <c r="D81" s="12"/>
      <c r="E81" s="12"/>
      <c r="F81" s="10"/>
      <c r="G81" s="10"/>
      <c r="H81" s="10"/>
      <c r="I81" s="10"/>
      <c r="J81" s="10"/>
      <c r="K81" s="10"/>
      <c r="L81" s="17" t="str">
        <f t="shared" si="4"/>
        <v/>
      </c>
      <c r="M81" s="18" t="str">
        <f t="shared" si="5"/>
        <v/>
      </c>
      <c r="N81" s="18" t="str">
        <f t="shared" si="6"/>
        <v/>
      </c>
      <c r="O81" s="10"/>
      <c r="AV81" s="20"/>
      <c r="AW81" s="20"/>
      <c r="AX81" s="20"/>
      <c r="AY81" s="20"/>
      <c r="AZ81" s="20"/>
      <c r="BA81" s="20"/>
      <c r="BB81" s="20"/>
      <c r="BF81" s="20"/>
      <c r="BG81" s="20"/>
      <c r="CB81" s="27"/>
      <c r="CC81" s="27"/>
      <c r="CD81" s="27"/>
      <c r="CE81" s="27"/>
    </row>
    <row r="82" spans="1:83" x14ac:dyDescent="0.2">
      <c r="A82" s="10"/>
      <c r="B82" s="11"/>
      <c r="C82" s="10"/>
      <c r="D82" s="12"/>
      <c r="E82" s="12"/>
      <c r="F82" s="10"/>
      <c r="G82" s="10"/>
      <c r="H82" s="10"/>
      <c r="I82" s="10"/>
      <c r="J82" s="10"/>
      <c r="K82" s="10"/>
      <c r="L82" s="17" t="str">
        <f t="shared" si="4"/>
        <v/>
      </c>
      <c r="M82" s="18" t="str">
        <f t="shared" si="5"/>
        <v/>
      </c>
      <c r="N82" s="18" t="str">
        <f t="shared" si="6"/>
        <v/>
      </c>
      <c r="O82" s="10"/>
      <c r="AV82" s="20"/>
      <c r="AW82" s="20"/>
      <c r="AX82" s="20"/>
      <c r="AY82" s="20"/>
      <c r="AZ82" s="20"/>
      <c r="BA82" s="20"/>
      <c r="BB82" s="20"/>
      <c r="BF82" s="20"/>
      <c r="BG82" s="20"/>
      <c r="CB82" s="27"/>
      <c r="CC82" s="27"/>
      <c r="CD82" s="27"/>
      <c r="CE82" s="27"/>
    </row>
    <row r="83" spans="1:83" x14ac:dyDescent="0.2">
      <c r="A83" s="10"/>
      <c r="B83" s="11"/>
      <c r="C83" s="10"/>
      <c r="D83" s="12"/>
      <c r="E83" s="12"/>
      <c r="F83" s="10"/>
      <c r="G83" s="10"/>
      <c r="H83" s="10"/>
      <c r="I83" s="10"/>
      <c r="J83" s="10"/>
      <c r="K83" s="10"/>
      <c r="L83" s="17" t="str">
        <f t="shared" si="4"/>
        <v/>
      </c>
      <c r="M83" s="18" t="str">
        <f t="shared" si="5"/>
        <v/>
      </c>
      <c r="N83" s="18" t="str">
        <f t="shared" si="6"/>
        <v/>
      </c>
      <c r="O83" s="10"/>
      <c r="AV83" s="20"/>
      <c r="AW83" s="20"/>
      <c r="AX83" s="20"/>
      <c r="AY83" s="20"/>
      <c r="AZ83" s="20"/>
      <c r="BA83" s="20"/>
      <c r="BB83" s="20"/>
      <c r="BF83" s="20"/>
      <c r="BG83" s="20"/>
      <c r="CB83" s="27"/>
      <c r="CC83" s="27"/>
      <c r="CD83" s="27"/>
      <c r="CE83" s="27"/>
    </row>
    <row r="84" spans="1:83" x14ac:dyDescent="0.2">
      <c r="A84" s="10"/>
      <c r="B84" s="11"/>
      <c r="C84" s="10"/>
      <c r="D84" s="12"/>
      <c r="E84" s="12"/>
      <c r="F84" s="10"/>
      <c r="G84" s="10"/>
      <c r="H84" s="10"/>
      <c r="I84" s="10"/>
      <c r="J84" s="10"/>
      <c r="K84" s="10"/>
      <c r="L84" s="17" t="str">
        <f t="shared" si="4"/>
        <v/>
      </c>
      <c r="M84" s="18" t="str">
        <f t="shared" si="5"/>
        <v/>
      </c>
      <c r="N84" s="18" t="str">
        <f t="shared" si="6"/>
        <v/>
      </c>
      <c r="O84" s="10"/>
      <c r="AV84" s="20"/>
      <c r="AW84" s="20"/>
      <c r="AX84" s="20"/>
      <c r="AY84" s="20"/>
      <c r="AZ84" s="20"/>
      <c r="BA84" s="20"/>
      <c r="BB84" s="20"/>
      <c r="BF84" s="20"/>
      <c r="BG84" s="20"/>
      <c r="CB84" s="27"/>
      <c r="CC84" s="27"/>
      <c r="CD84" s="27"/>
      <c r="CE84" s="27"/>
    </row>
    <row r="85" spans="1:83" x14ac:dyDescent="0.2">
      <c r="A85" s="10"/>
      <c r="B85" s="11"/>
      <c r="C85" s="10"/>
      <c r="D85" s="12"/>
      <c r="E85" s="12"/>
      <c r="F85" s="10"/>
      <c r="G85" s="10"/>
      <c r="H85" s="10"/>
      <c r="I85" s="10"/>
      <c r="J85" s="10"/>
      <c r="K85" s="10"/>
      <c r="L85" s="17" t="str">
        <f t="shared" si="4"/>
        <v/>
      </c>
      <c r="M85" s="18" t="str">
        <f t="shared" si="5"/>
        <v/>
      </c>
      <c r="N85" s="18" t="str">
        <f t="shared" si="6"/>
        <v/>
      </c>
      <c r="O85" s="10"/>
      <c r="AV85" s="20"/>
      <c r="AW85" s="20"/>
      <c r="AX85" s="20"/>
      <c r="AY85" s="20"/>
      <c r="AZ85" s="20"/>
      <c r="BA85" s="20"/>
      <c r="BB85" s="20"/>
      <c r="BF85" s="20"/>
      <c r="BG85" s="20"/>
      <c r="CB85" s="27"/>
      <c r="CC85" s="27"/>
      <c r="CD85" s="27"/>
      <c r="CE85" s="27"/>
    </row>
    <row r="86" spans="1:83" x14ac:dyDescent="0.2">
      <c r="A86" s="10"/>
      <c r="B86" s="11"/>
      <c r="C86" s="10"/>
      <c r="D86" s="12"/>
      <c r="E86" s="12"/>
      <c r="F86" s="10"/>
      <c r="G86" s="10"/>
      <c r="H86" s="10"/>
      <c r="I86" s="10"/>
      <c r="J86" s="10"/>
      <c r="K86" s="10"/>
      <c r="L86" s="17" t="str">
        <f t="shared" si="4"/>
        <v/>
      </c>
      <c r="M86" s="18" t="str">
        <f t="shared" si="5"/>
        <v/>
      </c>
      <c r="N86" s="18" t="str">
        <f t="shared" si="6"/>
        <v/>
      </c>
      <c r="O86" s="10"/>
      <c r="AV86" s="20"/>
      <c r="AW86" s="20"/>
      <c r="AX86" s="20"/>
      <c r="AY86" s="20"/>
      <c r="AZ86" s="20"/>
      <c r="BA86" s="20"/>
      <c r="BB86" s="20"/>
      <c r="BF86" s="20"/>
      <c r="BG86" s="20"/>
      <c r="CB86" s="27"/>
      <c r="CC86" s="27"/>
      <c r="CD86" s="27"/>
      <c r="CE86" s="27"/>
    </row>
    <row r="87" spans="1:83" x14ac:dyDescent="0.2">
      <c r="A87" s="10"/>
      <c r="B87" s="11"/>
      <c r="C87" s="10"/>
      <c r="D87" s="12"/>
      <c r="E87" s="12"/>
      <c r="F87" s="10"/>
      <c r="G87" s="10"/>
      <c r="H87" s="10"/>
      <c r="I87" s="10"/>
      <c r="J87" s="10"/>
      <c r="K87" s="10"/>
      <c r="L87" s="17" t="str">
        <f t="shared" si="4"/>
        <v/>
      </c>
      <c r="M87" s="18" t="str">
        <f t="shared" si="5"/>
        <v/>
      </c>
      <c r="N87" s="18" t="str">
        <f t="shared" si="6"/>
        <v/>
      </c>
      <c r="O87" s="10"/>
      <c r="AV87" s="20"/>
      <c r="AW87" s="20"/>
      <c r="AX87" s="20"/>
      <c r="AY87" s="20"/>
      <c r="AZ87" s="20"/>
      <c r="BA87" s="20"/>
      <c r="BB87" s="20"/>
      <c r="BF87" s="20"/>
      <c r="BG87" s="20"/>
      <c r="CB87" s="27"/>
      <c r="CC87" s="27"/>
      <c r="CD87" s="27"/>
      <c r="CE87" s="27"/>
    </row>
    <row r="88" spans="1:83" x14ac:dyDescent="0.2">
      <c r="A88" s="10"/>
      <c r="B88" s="11"/>
      <c r="C88" s="10"/>
      <c r="D88" s="12"/>
      <c r="E88" s="12"/>
      <c r="F88" s="10"/>
      <c r="G88" s="10"/>
      <c r="H88" s="10"/>
      <c r="I88" s="10"/>
      <c r="J88" s="10"/>
      <c r="K88" s="10"/>
      <c r="L88" s="17" t="str">
        <f t="shared" si="4"/>
        <v/>
      </c>
      <c r="M88" s="18" t="str">
        <f t="shared" si="5"/>
        <v/>
      </c>
      <c r="N88" s="18" t="str">
        <f t="shared" si="6"/>
        <v/>
      </c>
      <c r="O88" s="10"/>
      <c r="AV88" s="20"/>
      <c r="AW88" s="20"/>
      <c r="AX88" s="20"/>
      <c r="AY88" s="20"/>
      <c r="AZ88" s="20"/>
      <c r="BA88" s="20"/>
      <c r="BB88" s="20"/>
      <c r="BF88" s="20"/>
      <c r="BG88" s="20"/>
      <c r="CB88" s="27"/>
      <c r="CC88" s="27"/>
      <c r="CD88" s="27"/>
      <c r="CE88" s="27"/>
    </row>
    <row r="89" spans="1:83" x14ac:dyDescent="0.2">
      <c r="A89" s="10"/>
      <c r="B89" s="11"/>
      <c r="C89" s="10"/>
      <c r="D89" s="12"/>
      <c r="E89" s="12"/>
      <c r="F89" s="10"/>
      <c r="G89" s="10"/>
      <c r="H89" s="10"/>
      <c r="I89" s="10"/>
      <c r="J89" s="10"/>
      <c r="K89" s="10"/>
      <c r="L89" s="17" t="str">
        <f t="shared" si="4"/>
        <v/>
      </c>
      <c r="M89" s="18" t="str">
        <f t="shared" si="5"/>
        <v/>
      </c>
      <c r="N89" s="18" t="str">
        <f t="shared" si="6"/>
        <v/>
      </c>
      <c r="O89" s="10"/>
      <c r="AV89" s="20"/>
      <c r="AW89" s="20"/>
      <c r="AX89" s="20"/>
      <c r="AY89" s="20"/>
      <c r="AZ89" s="20"/>
      <c r="BA89" s="20"/>
      <c r="BB89" s="20"/>
      <c r="BF89" s="20"/>
      <c r="BG89" s="20"/>
      <c r="CB89" s="27"/>
      <c r="CC89" s="27"/>
      <c r="CD89" s="27"/>
      <c r="CE89" s="27"/>
    </row>
    <row r="90" spans="1:83" x14ac:dyDescent="0.2">
      <c r="A90" s="10"/>
      <c r="B90" s="11"/>
      <c r="C90" s="10"/>
      <c r="D90" s="12"/>
      <c r="E90" s="12"/>
      <c r="F90" s="10"/>
      <c r="G90" s="10"/>
      <c r="H90" s="10"/>
      <c r="I90" s="10"/>
      <c r="J90" s="10"/>
      <c r="K90" s="10"/>
      <c r="L90" s="17" t="str">
        <f t="shared" si="4"/>
        <v/>
      </c>
      <c r="M90" s="18" t="str">
        <f t="shared" si="5"/>
        <v/>
      </c>
      <c r="N90" s="18" t="str">
        <f t="shared" si="6"/>
        <v/>
      </c>
      <c r="O90" s="10"/>
      <c r="AV90" s="20"/>
      <c r="AW90" s="20"/>
      <c r="AX90" s="20"/>
      <c r="AY90" s="20"/>
      <c r="AZ90" s="20"/>
      <c r="BA90" s="20"/>
      <c r="BB90" s="20"/>
      <c r="BF90" s="20"/>
      <c r="BG90" s="20"/>
      <c r="CB90" s="27"/>
      <c r="CC90" s="27"/>
      <c r="CD90" s="27"/>
      <c r="CE90" s="27"/>
    </row>
    <row r="91" spans="1:83" x14ac:dyDescent="0.2">
      <c r="A91" s="10"/>
      <c r="B91" s="11"/>
      <c r="C91" s="10"/>
      <c r="D91" s="12"/>
      <c r="E91" s="12"/>
      <c r="F91" s="10"/>
      <c r="G91" s="10"/>
      <c r="H91" s="10"/>
      <c r="I91" s="10"/>
      <c r="J91" s="10"/>
      <c r="K91" s="10"/>
      <c r="L91" s="17" t="str">
        <f t="shared" si="4"/>
        <v/>
      </c>
      <c r="M91" s="18" t="str">
        <f t="shared" si="5"/>
        <v/>
      </c>
      <c r="N91" s="18" t="str">
        <f t="shared" si="6"/>
        <v/>
      </c>
      <c r="O91" s="10"/>
      <c r="AV91" s="20"/>
      <c r="AW91" s="20"/>
      <c r="AX91" s="20"/>
      <c r="AY91" s="20"/>
      <c r="AZ91" s="20"/>
      <c r="BA91" s="20"/>
      <c r="BB91" s="20"/>
      <c r="BF91" s="20"/>
      <c r="BG91" s="20"/>
      <c r="CB91" s="27"/>
      <c r="CC91" s="27"/>
      <c r="CD91" s="27"/>
      <c r="CE91" s="27"/>
    </row>
    <row r="92" spans="1:83" x14ac:dyDescent="0.2">
      <c r="A92" s="10"/>
      <c r="B92" s="11"/>
      <c r="C92" s="10"/>
      <c r="D92" s="12"/>
      <c r="E92" s="12"/>
      <c r="F92" s="10"/>
      <c r="G92" s="10"/>
      <c r="H92" s="10"/>
      <c r="I92" s="10"/>
      <c r="J92" s="10"/>
      <c r="K92" s="10"/>
      <c r="L92" s="17" t="str">
        <f t="shared" si="4"/>
        <v/>
      </c>
      <c r="M92" s="18" t="str">
        <f t="shared" si="5"/>
        <v/>
      </c>
      <c r="N92" s="18" t="str">
        <f t="shared" si="6"/>
        <v/>
      </c>
      <c r="O92" s="10"/>
      <c r="AV92" s="20"/>
      <c r="AW92" s="20"/>
      <c r="AX92" s="20"/>
      <c r="AY92" s="20"/>
      <c r="AZ92" s="20"/>
      <c r="BA92" s="20"/>
      <c r="BB92" s="20"/>
      <c r="BF92" s="20"/>
      <c r="BG92" s="20"/>
      <c r="CB92" s="27"/>
      <c r="CC92" s="27"/>
      <c r="CD92" s="27"/>
      <c r="CE92" s="27"/>
    </row>
    <row r="93" spans="1:83" x14ac:dyDescent="0.2">
      <c r="A93" s="10"/>
      <c r="B93" s="11"/>
      <c r="C93" s="10"/>
      <c r="D93" s="12"/>
      <c r="E93" s="12"/>
      <c r="F93" s="10"/>
      <c r="G93" s="10"/>
      <c r="H93" s="10"/>
      <c r="I93" s="10"/>
      <c r="J93" s="10"/>
      <c r="K93" s="10"/>
      <c r="L93" s="17" t="str">
        <f t="shared" si="4"/>
        <v/>
      </c>
      <c r="M93" s="18" t="str">
        <f t="shared" si="5"/>
        <v/>
      </c>
      <c r="N93" s="18" t="str">
        <f t="shared" si="6"/>
        <v/>
      </c>
      <c r="O93" s="10"/>
      <c r="AV93" s="20"/>
      <c r="AW93" s="20"/>
      <c r="AX93" s="20"/>
      <c r="AY93" s="20"/>
      <c r="AZ93" s="20"/>
      <c r="BA93" s="20"/>
      <c r="BB93" s="20"/>
      <c r="BF93" s="20"/>
      <c r="BG93" s="20"/>
      <c r="CB93" s="27"/>
      <c r="CC93" s="27"/>
      <c r="CD93" s="27"/>
      <c r="CE93" s="27"/>
    </row>
    <row r="94" spans="1:83" x14ac:dyDescent="0.2">
      <c r="A94" s="10"/>
      <c r="B94" s="11"/>
      <c r="C94" s="10"/>
      <c r="D94" s="12"/>
      <c r="E94" s="12"/>
      <c r="F94" s="10"/>
      <c r="G94" s="10"/>
      <c r="H94" s="10"/>
      <c r="I94" s="10"/>
      <c r="J94" s="10"/>
      <c r="K94" s="10"/>
      <c r="L94" s="17" t="str">
        <f t="shared" si="4"/>
        <v/>
      </c>
      <c r="M94" s="18" t="str">
        <f t="shared" si="5"/>
        <v/>
      </c>
      <c r="N94" s="18" t="str">
        <f t="shared" si="6"/>
        <v/>
      </c>
      <c r="O94" s="10"/>
      <c r="AV94" s="20"/>
      <c r="AW94" s="20"/>
      <c r="AX94" s="20"/>
      <c r="AY94" s="20"/>
      <c r="AZ94" s="20"/>
      <c r="BA94" s="20"/>
      <c r="BB94" s="20"/>
      <c r="BF94" s="20"/>
      <c r="BG94" s="20"/>
      <c r="CB94" s="27"/>
      <c r="CC94" s="27"/>
      <c r="CD94" s="27"/>
      <c r="CE94" s="27"/>
    </row>
    <row r="95" spans="1:83" x14ac:dyDescent="0.2">
      <c r="A95" s="10"/>
      <c r="B95" s="11"/>
      <c r="C95" s="10"/>
      <c r="D95" s="12"/>
      <c r="E95" s="12"/>
      <c r="F95" s="10"/>
      <c r="G95" s="10"/>
      <c r="H95" s="10"/>
      <c r="I95" s="10"/>
      <c r="J95" s="10"/>
      <c r="K95" s="10"/>
      <c r="L95" s="17" t="str">
        <f t="shared" si="4"/>
        <v/>
      </c>
      <c r="M95" s="18" t="str">
        <f t="shared" si="5"/>
        <v/>
      </c>
      <c r="N95" s="18" t="str">
        <f t="shared" si="6"/>
        <v/>
      </c>
      <c r="O95" s="10"/>
      <c r="AV95" s="20"/>
      <c r="AW95" s="20"/>
      <c r="AX95" s="20"/>
      <c r="AY95" s="20"/>
      <c r="AZ95" s="20"/>
      <c r="BA95" s="20"/>
      <c r="BB95" s="20"/>
      <c r="BF95" s="20"/>
      <c r="BG95" s="20"/>
      <c r="CB95" s="27"/>
      <c r="CC95" s="27"/>
      <c r="CD95" s="27"/>
      <c r="CE95" s="27"/>
    </row>
    <row r="96" spans="1:83" x14ac:dyDescent="0.2">
      <c r="A96" s="10"/>
      <c r="B96" s="11"/>
      <c r="C96" s="10"/>
      <c r="D96" s="12"/>
      <c r="E96" s="12"/>
      <c r="F96" s="10"/>
      <c r="G96" s="10"/>
      <c r="H96" s="10"/>
      <c r="I96" s="10"/>
      <c r="J96" s="10"/>
      <c r="K96" s="10"/>
      <c r="L96" s="17" t="str">
        <f t="shared" si="4"/>
        <v/>
      </c>
      <c r="M96" s="18" t="str">
        <f t="shared" si="5"/>
        <v/>
      </c>
      <c r="N96" s="18" t="str">
        <f t="shared" si="6"/>
        <v/>
      </c>
      <c r="O96" s="10"/>
      <c r="AV96" s="20"/>
      <c r="AW96" s="20"/>
      <c r="AX96" s="20"/>
      <c r="AY96" s="20"/>
      <c r="AZ96" s="20"/>
      <c r="BA96" s="20"/>
      <c r="BB96" s="20"/>
      <c r="BF96" s="20"/>
      <c r="BG96" s="20"/>
      <c r="CB96" s="27"/>
      <c r="CC96" s="27"/>
      <c r="CD96" s="27"/>
      <c r="CE96" s="27"/>
    </row>
    <row r="97" spans="1:83" x14ac:dyDescent="0.2">
      <c r="A97" s="10"/>
      <c r="B97" s="11"/>
      <c r="C97" s="10"/>
      <c r="D97" s="12"/>
      <c r="E97" s="12"/>
      <c r="F97" s="10"/>
      <c r="G97" s="10"/>
      <c r="H97" s="10"/>
      <c r="I97" s="10"/>
      <c r="J97" s="10"/>
      <c r="K97" s="10"/>
      <c r="L97" s="17" t="str">
        <f t="shared" si="4"/>
        <v/>
      </c>
      <c r="M97" s="18" t="str">
        <f t="shared" si="5"/>
        <v/>
      </c>
      <c r="N97" s="18" t="str">
        <f t="shared" si="6"/>
        <v/>
      </c>
      <c r="O97" s="10"/>
      <c r="AV97" s="20"/>
      <c r="AW97" s="20"/>
      <c r="AX97" s="20"/>
      <c r="AY97" s="20"/>
      <c r="AZ97" s="20"/>
      <c r="BA97" s="20"/>
      <c r="BB97" s="20"/>
      <c r="BF97" s="20"/>
      <c r="BG97" s="20"/>
      <c r="CB97" s="27"/>
      <c r="CC97" s="27"/>
      <c r="CD97" s="27"/>
      <c r="CE97" s="27"/>
    </row>
    <row r="98" spans="1:83" x14ac:dyDescent="0.2">
      <c r="A98" s="10"/>
      <c r="B98" s="11"/>
      <c r="C98" s="10"/>
      <c r="D98" s="12"/>
      <c r="E98" s="12"/>
      <c r="F98" s="10"/>
      <c r="G98" s="10"/>
      <c r="H98" s="10"/>
      <c r="I98" s="10"/>
      <c r="J98" s="10"/>
      <c r="K98" s="10"/>
      <c r="L98" s="17" t="str">
        <f t="shared" si="4"/>
        <v/>
      </c>
      <c r="M98" s="18" t="str">
        <f t="shared" si="5"/>
        <v/>
      </c>
      <c r="N98" s="18" t="str">
        <f t="shared" si="6"/>
        <v/>
      </c>
      <c r="O98" s="10"/>
      <c r="AV98" s="20"/>
      <c r="AW98" s="20"/>
      <c r="AX98" s="20"/>
      <c r="AY98" s="20"/>
      <c r="AZ98" s="20"/>
      <c r="BA98" s="20"/>
      <c r="BB98" s="20"/>
      <c r="BF98" s="20"/>
      <c r="BG98" s="20"/>
      <c r="CB98" s="27"/>
      <c r="CC98" s="27"/>
      <c r="CD98" s="27"/>
      <c r="CE98" s="27"/>
    </row>
    <row r="99" spans="1:83" x14ac:dyDescent="0.2">
      <c r="A99" s="10"/>
      <c r="B99" s="11"/>
      <c r="C99" s="10"/>
      <c r="D99" s="12"/>
      <c r="E99" s="12"/>
      <c r="F99" s="10"/>
      <c r="G99" s="10"/>
      <c r="H99" s="10"/>
      <c r="I99" s="10"/>
      <c r="J99" s="10"/>
      <c r="K99" s="10"/>
      <c r="L99" s="17" t="str">
        <f t="shared" si="4"/>
        <v/>
      </c>
      <c r="M99" s="18" t="str">
        <f t="shared" si="5"/>
        <v/>
      </c>
      <c r="N99" s="18" t="str">
        <f t="shared" si="6"/>
        <v/>
      </c>
      <c r="O99" s="10"/>
      <c r="AV99" s="20"/>
      <c r="AW99" s="20"/>
      <c r="AX99" s="20"/>
      <c r="AY99" s="20"/>
      <c r="AZ99" s="20"/>
      <c r="BA99" s="20"/>
      <c r="BB99" s="20"/>
      <c r="BF99" s="20"/>
      <c r="BG99" s="20"/>
      <c r="CB99" s="27"/>
      <c r="CC99" s="27"/>
      <c r="CD99" s="27"/>
      <c r="CE99" s="27"/>
    </row>
    <row r="100" spans="1:83" x14ac:dyDescent="0.2">
      <c r="A100" s="10"/>
      <c r="B100" s="11"/>
      <c r="C100" s="10"/>
      <c r="D100" s="12"/>
      <c r="E100" s="12"/>
      <c r="F100" s="10"/>
      <c r="G100" s="10"/>
      <c r="H100" s="10"/>
      <c r="I100" s="10"/>
      <c r="J100" s="10"/>
      <c r="K100" s="10"/>
      <c r="L100" s="17" t="str">
        <f t="shared" si="4"/>
        <v/>
      </c>
      <c r="M100" s="18" t="str">
        <f t="shared" si="5"/>
        <v/>
      </c>
      <c r="N100" s="18" t="str">
        <f t="shared" si="6"/>
        <v/>
      </c>
      <c r="O100" s="10"/>
      <c r="AV100" s="20"/>
      <c r="AW100" s="20"/>
      <c r="AX100" s="20"/>
      <c r="AY100" s="20"/>
      <c r="AZ100" s="20"/>
      <c r="BA100" s="20"/>
      <c r="BB100" s="20"/>
      <c r="BF100" s="20"/>
      <c r="BG100" s="20"/>
      <c r="CB100" s="27"/>
      <c r="CC100" s="27"/>
      <c r="CD100" s="27"/>
      <c r="CE100" s="27"/>
    </row>
    <row r="101" spans="1:83" x14ac:dyDescent="0.2">
      <c r="A101" s="10"/>
      <c r="B101" s="11"/>
      <c r="C101" s="10"/>
      <c r="D101" s="12"/>
      <c r="E101" s="12"/>
      <c r="F101" s="10"/>
      <c r="G101" s="10"/>
      <c r="H101" s="10"/>
      <c r="I101" s="10"/>
      <c r="J101" s="10"/>
      <c r="K101" s="10"/>
      <c r="L101" s="17" t="str">
        <f t="shared" si="4"/>
        <v/>
      </c>
      <c r="M101" s="18" t="str">
        <f t="shared" si="5"/>
        <v/>
      </c>
      <c r="N101" s="18" t="str">
        <f t="shared" si="6"/>
        <v/>
      </c>
      <c r="O101" s="10"/>
      <c r="AV101" s="20"/>
      <c r="AW101" s="20"/>
      <c r="AX101" s="20"/>
      <c r="AY101" s="20"/>
      <c r="AZ101" s="20"/>
      <c r="BA101" s="20"/>
      <c r="BB101" s="20"/>
      <c r="BF101" s="20"/>
      <c r="BG101" s="20"/>
      <c r="CB101" s="27"/>
      <c r="CC101" s="27"/>
      <c r="CD101" s="27"/>
      <c r="CE101" s="27"/>
    </row>
    <row r="102" spans="1:83" x14ac:dyDescent="0.2">
      <c r="A102" s="10"/>
      <c r="B102" s="11"/>
      <c r="C102" s="10"/>
      <c r="D102" s="12"/>
      <c r="E102" s="12"/>
      <c r="F102" s="10"/>
      <c r="G102" s="10"/>
      <c r="H102" s="10"/>
      <c r="I102" s="10"/>
      <c r="J102" s="10"/>
      <c r="K102" s="10"/>
      <c r="L102" s="17" t="str">
        <f t="shared" si="4"/>
        <v/>
      </c>
      <c r="M102" s="18" t="str">
        <f t="shared" si="5"/>
        <v/>
      </c>
      <c r="N102" s="18" t="str">
        <f t="shared" si="6"/>
        <v/>
      </c>
      <c r="O102" s="10"/>
      <c r="AV102" s="20"/>
      <c r="AW102" s="20"/>
      <c r="AX102" s="20"/>
      <c r="AY102" s="20"/>
      <c r="AZ102" s="20"/>
      <c r="BA102" s="20"/>
      <c r="BB102" s="20"/>
      <c r="BF102" s="20"/>
      <c r="BG102" s="20"/>
      <c r="CB102" s="27"/>
      <c r="CC102" s="27"/>
      <c r="CD102" s="27"/>
      <c r="CE102" s="27"/>
    </row>
    <row r="103" spans="1:83" x14ac:dyDescent="0.2">
      <c r="A103" s="10"/>
      <c r="B103" s="11"/>
      <c r="C103" s="10"/>
      <c r="D103" s="12"/>
      <c r="E103" s="12"/>
      <c r="F103" s="10"/>
      <c r="G103" s="10"/>
      <c r="H103" s="10"/>
      <c r="I103" s="10"/>
      <c r="J103" s="10"/>
      <c r="K103" s="10"/>
      <c r="L103" s="17" t="str">
        <f t="shared" si="4"/>
        <v/>
      </c>
      <c r="M103" s="18" t="str">
        <f t="shared" si="5"/>
        <v/>
      </c>
      <c r="N103" s="18" t="str">
        <f t="shared" si="6"/>
        <v/>
      </c>
      <c r="O103" s="10"/>
      <c r="AV103" s="20"/>
      <c r="AW103" s="20"/>
      <c r="AX103" s="20"/>
      <c r="AY103" s="20"/>
      <c r="AZ103" s="20"/>
      <c r="BA103" s="20"/>
      <c r="BB103" s="20"/>
      <c r="BF103" s="20"/>
      <c r="BG103" s="20"/>
      <c r="CB103" s="27"/>
      <c r="CC103" s="27"/>
      <c r="CD103" s="27"/>
      <c r="CE103" s="27"/>
    </row>
    <row r="104" spans="1:83" x14ac:dyDescent="0.2">
      <c r="A104" s="10"/>
      <c r="B104" s="11"/>
      <c r="C104" s="10"/>
      <c r="D104" s="12"/>
      <c r="E104" s="12"/>
      <c r="F104" s="10"/>
      <c r="G104" s="10"/>
      <c r="H104" s="10"/>
      <c r="I104" s="10"/>
      <c r="J104" s="10"/>
      <c r="K104" s="10"/>
      <c r="L104" s="17" t="str">
        <f t="shared" si="4"/>
        <v/>
      </c>
      <c r="M104" s="18" t="str">
        <f t="shared" si="5"/>
        <v/>
      </c>
      <c r="N104" s="18" t="str">
        <f t="shared" si="6"/>
        <v/>
      </c>
      <c r="O104" s="10"/>
      <c r="AV104" s="20"/>
      <c r="AW104" s="20"/>
      <c r="AX104" s="20"/>
      <c r="AY104" s="20"/>
      <c r="AZ104" s="20"/>
      <c r="BA104" s="20"/>
      <c r="BB104" s="20"/>
      <c r="BF104" s="20"/>
      <c r="BG104" s="20"/>
      <c r="CB104" s="27"/>
      <c r="CC104" s="27"/>
      <c r="CD104" s="27"/>
      <c r="CE104" s="27"/>
    </row>
    <row r="105" spans="1:83" x14ac:dyDescent="0.2">
      <c r="A105" s="10"/>
      <c r="B105" s="11"/>
      <c r="C105" s="10"/>
      <c r="D105" s="12"/>
      <c r="E105" s="12"/>
      <c r="F105" s="10"/>
      <c r="G105" s="10"/>
      <c r="H105" s="10"/>
      <c r="I105" s="10"/>
      <c r="J105" s="10"/>
      <c r="K105" s="10"/>
      <c r="L105" s="17" t="str">
        <f t="shared" si="4"/>
        <v/>
      </c>
      <c r="M105" s="18" t="str">
        <f t="shared" si="5"/>
        <v/>
      </c>
      <c r="N105" s="18" t="str">
        <f t="shared" si="6"/>
        <v/>
      </c>
      <c r="O105" s="10"/>
      <c r="AV105" s="20"/>
      <c r="AW105" s="20"/>
      <c r="AX105" s="20"/>
      <c r="AY105" s="20"/>
      <c r="AZ105" s="20"/>
      <c r="BA105" s="20"/>
      <c r="BB105" s="20"/>
      <c r="BF105" s="20"/>
      <c r="BG105" s="20"/>
      <c r="CB105" s="27"/>
      <c r="CC105" s="27"/>
      <c r="CD105" s="27"/>
      <c r="CE105" s="27"/>
    </row>
    <row r="106" spans="1:83" x14ac:dyDescent="0.2">
      <c r="A106" s="10"/>
      <c r="B106" s="11"/>
      <c r="C106" s="10"/>
      <c r="D106" s="12"/>
      <c r="E106" s="12"/>
      <c r="F106" s="10"/>
      <c r="G106" s="10"/>
      <c r="H106" s="10"/>
      <c r="I106" s="10"/>
      <c r="J106" s="10"/>
      <c r="K106" s="10"/>
      <c r="L106" s="17" t="str">
        <f t="shared" si="4"/>
        <v/>
      </c>
      <c r="M106" s="18" t="str">
        <f t="shared" si="5"/>
        <v/>
      </c>
      <c r="N106" s="18" t="str">
        <f t="shared" si="6"/>
        <v/>
      </c>
      <c r="O106" s="10"/>
      <c r="AV106" s="20"/>
      <c r="AW106" s="20"/>
      <c r="AX106" s="20"/>
      <c r="AY106" s="20"/>
      <c r="AZ106" s="20"/>
      <c r="BA106" s="20"/>
      <c r="BB106" s="20"/>
      <c r="BF106" s="20"/>
      <c r="BG106" s="20"/>
      <c r="CB106" s="27"/>
      <c r="CC106" s="27"/>
      <c r="CD106" s="27"/>
      <c r="CE106" s="27"/>
    </row>
    <row r="107" spans="1:83" x14ac:dyDescent="0.2">
      <c r="A107" s="10"/>
      <c r="B107" s="11"/>
      <c r="C107" s="10"/>
      <c r="D107" s="12"/>
      <c r="E107" s="12"/>
      <c r="F107" s="10"/>
      <c r="G107" s="10"/>
      <c r="H107" s="10"/>
      <c r="I107" s="10"/>
      <c r="J107" s="10"/>
      <c r="K107" s="10"/>
      <c r="L107" s="17" t="str">
        <f t="shared" si="4"/>
        <v/>
      </c>
      <c r="M107" s="18" t="str">
        <f t="shared" si="5"/>
        <v/>
      </c>
      <c r="N107" s="18" t="str">
        <f t="shared" si="6"/>
        <v/>
      </c>
      <c r="O107" s="10"/>
      <c r="AV107" s="20"/>
      <c r="AW107" s="20"/>
      <c r="AX107" s="20"/>
      <c r="AY107" s="20"/>
      <c r="AZ107" s="20"/>
      <c r="BA107" s="20"/>
      <c r="BB107" s="20"/>
      <c r="BF107" s="20"/>
      <c r="BG107" s="20"/>
      <c r="CB107" s="27"/>
      <c r="CC107" s="27"/>
      <c r="CD107" s="27"/>
      <c r="CE107" s="27"/>
    </row>
    <row r="108" spans="1:83" x14ac:dyDescent="0.2">
      <c r="A108" s="10"/>
      <c r="B108" s="11"/>
      <c r="C108" s="10"/>
      <c r="D108" s="12"/>
      <c r="E108" s="12"/>
      <c r="F108" s="10"/>
      <c r="G108" s="10"/>
      <c r="H108" s="10"/>
      <c r="I108" s="10"/>
      <c r="J108" s="10"/>
      <c r="K108" s="10"/>
      <c r="L108" s="17" t="str">
        <f t="shared" si="4"/>
        <v/>
      </c>
      <c r="M108" s="18" t="str">
        <f t="shared" si="5"/>
        <v/>
      </c>
      <c r="N108" s="18" t="str">
        <f t="shared" si="6"/>
        <v/>
      </c>
      <c r="O108" s="10"/>
      <c r="AV108" s="20"/>
      <c r="AW108" s="20"/>
      <c r="AX108" s="20"/>
      <c r="AY108" s="20"/>
      <c r="AZ108" s="20"/>
      <c r="BA108" s="20"/>
      <c r="BB108" s="20"/>
      <c r="BF108" s="20"/>
      <c r="BG108" s="20"/>
      <c r="CB108" s="27"/>
      <c r="CC108" s="27"/>
      <c r="CD108" s="27"/>
      <c r="CE108" s="27"/>
    </row>
    <row r="109" spans="1:83" x14ac:dyDescent="0.2">
      <c r="A109" s="10"/>
      <c r="B109" s="11"/>
      <c r="C109" s="10"/>
      <c r="D109" s="12"/>
      <c r="E109" s="12"/>
      <c r="F109" s="10"/>
      <c r="G109" s="10"/>
      <c r="H109" s="10"/>
      <c r="I109" s="10"/>
      <c r="J109" s="10"/>
      <c r="K109" s="10"/>
      <c r="L109" s="17" t="str">
        <f t="shared" si="4"/>
        <v/>
      </c>
      <c r="M109" s="18" t="str">
        <f t="shared" si="5"/>
        <v/>
      </c>
      <c r="N109" s="18" t="str">
        <f t="shared" si="6"/>
        <v/>
      </c>
      <c r="O109" s="10"/>
      <c r="AV109" s="20"/>
      <c r="AW109" s="20"/>
      <c r="AX109" s="20"/>
      <c r="AY109" s="20"/>
      <c r="AZ109" s="20"/>
      <c r="BA109" s="20"/>
      <c r="BB109" s="20"/>
      <c r="BF109" s="20"/>
      <c r="BG109" s="20"/>
      <c r="CB109" s="27"/>
      <c r="CC109" s="27"/>
      <c r="CD109" s="27"/>
      <c r="CE109" s="27"/>
    </row>
    <row r="110" spans="1:83" x14ac:dyDescent="0.2">
      <c r="A110" s="10"/>
      <c r="B110" s="11"/>
      <c r="C110" s="10"/>
      <c r="D110" s="12"/>
      <c r="E110" s="12"/>
      <c r="F110" s="10"/>
      <c r="G110" s="10"/>
      <c r="H110" s="10"/>
      <c r="I110" s="10"/>
      <c r="J110" s="10"/>
      <c r="K110" s="10"/>
      <c r="L110" s="17" t="str">
        <f t="shared" si="4"/>
        <v/>
      </c>
      <c r="M110" s="18" t="str">
        <f t="shared" si="5"/>
        <v/>
      </c>
      <c r="N110" s="18" t="str">
        <f t="shared" si="6"/>
        <v/>
      </c>
      <c r="O110" s="10"/>
      <c r="AV110" s="20"/>
      <c r="AW110" s="20"/>
      <c r="AX110" s="20"/>
      <c r="AY110" s="20"/>
      <c r="AZ110" s="20"/>
      <c r="BA110" s="20"/>
      <c r="BB110" s="20"/>
      <c r="BF110" s="20"/>
      <c r="BG110" s="20"/>
      <c r="CB110" s="27"/>
      <c r="CC110" s="27"/>
      <c r="CD110" s="27"/>
      <c r="CE110" s="27"/>
    </row>
    <row r="111" spans="1:83" x14ac:dyDescent="0.2">
      <c r="A111" s="10"/>
      <c r="B111" s="11"/>
      <c r="C111" s="10"/>
      <c r="D111" s="12"/>
      <c r="E111" s="12"/>
      <c r="F111" s="10"/>
      <c r="G111" s="10"/>
      <c r="H111" s="10"/>
      <c r="I111" s="10"/>
      <c r="J111" s="10"/>
      <c r="K111" s="10"/>
      <c r="L111" s="17" t="str">
        <f t="shared" si="4"/>
        <v/>
      </c>
      <c r="M111" s="18" t="str">
        <f t="shared" si="5"/>
        <v/>
      </c>
      <c r="N111" s="18" t="str">
        <f t="shared" si="6"/>
        <v/>
      </c>
      <c r="O111" s="10"/>
      <c r="AV111" s="20"/>
      <c r="AW111" s="20"/>
      <c r="AX111" s="20"/>
      <c r="AY111" s="20"/>
      <c r="AZ111" s="20"/>
      <c r="BA111" s="20"/>
      <c r="BB111" s="20"/>
      <c r="BF111" s="20"/>
      <c r="BG111" s="20"/>
      <c r="CB111" s="27"/>
      <c r="CC111" s="27"/>
      <c r="CD111" s="27"/>
      <c r="CE111" s="27"/>
    </row>
    <row r="112" spans="1:83" x14ac:dyDescent="0.2">
      <c r="A112" s="10"/>
      <c r="B112" s="11"/>
      <c r="C112" s="10"/>
      <c r="D112" s="12"/>
      <c r="E112" s="12"/>
      <c r="F112" s="10"/>
      <c r="G112" s="10"/>
      <c r="H112" s="10"/>
      <c r="I112" s="10"/>
      <c r="J112" s="10"/>
      <c r="K112" s="10"/>
      <c r="L112" s="17" t="str">
        <f t="shared" si="4"/>
        <v/>
      </c>
      <c r="M112" s="18" t="str">
        <f t="shared" si="5"/>
        <v/>
      </c>
      <c r="N112" s="18" t="str">
        <f t="shared" si="6"/>
        <v/>
      </c>
      <c r="O112" s="10"/>
      <c r="AV112" s="20"/>
      <c r="AW112" s="20"/>
      <c r="AX112" s="20"/>
      <c r="AY112" s="20"/>
      <c r="AZ112" s="20"/>
      <c r="BA112" s="20"/>
      <c r="BB112" s="20"/>
      <c r="BF112" s="20"/>
      <c r="BG112" s="20"/>
      <c r="CB112" s="27"/>
      <c r="CC112" s="27"/>
      <c r="CD112" s="27"/>
      <c r="CE112" s="27"/>
    </row>
    <row r="113" spans="1:83" x14ac:dyDescent="0.2">
      <c r="A113" s="10"/>
      <c r="B113" s="11"/>
      <c r="C113" s="10"/>
      <c r="D113" s="12"/>
      <c r="E113" s="12"/>
      <c r="F113" s="10"/>
      <c r="G113" s="10"/>
      <c r="H113" s="10"/>
      <c r="I113" s="10"/>
      <c r="J113" s="10"/>
      <c r="K113" s="10"/>
      <c r="L113" s="17" t="str">
        <f t="shared" si="4"/>
        <v/>
      </c>
      <c r="M113" s="18" t="str">
        <f t="shared" si="5"/>
        <v/>
      </c>
      <c r="N113" s="18" t="str">
        <f t="shared" si="6"/>
        <v/>
      </c>
      <c r="O113" s="10"/>
      <c r="AV113" s="20"/>
      <c r="AW113" s="20"/>
      <c r="AX113" s="20"/>
      <c r="AY113" s="20"/>
      <c r="AZ113" s="20"/>
      <c r="BA113" s="20"/>
      <c r="BB113" s="20"/>
      <c r="BF113" s="20"/>
      <c r="BG113" s="20"/>
      <c r="CB113" s="27"/>
      <c r="CC113" s="27"/>
      <c r="CD113" s="27"/>
      <c r="CE113" s="27"/>
    </row>
    <row r="114" spans="1:83" x14ac:dyDescent="0.2">
      <c r="A114" s="10"/>
      <c r="B114" s="11"/>
      <c r="C114" s="10"/>
      <c r="D114" s="12"/>
      <c r="E114" s="12"/>
      <c r="F114" s="10"/>
      <c r="G114" s="10"/>
      <c r="H114" s="10"/>
      <c r="I114" s="10"/>
      <c r="J114" s="10"/>
      <c r="K114" s="10"/>
      <c r="L114" s="17" t="str">
        <f t="shared" si="4"/>
        <v/>
      </c>
      <c r="M114" s="18" t="str">
        <f t="shared" si="5"/>
        <v/>
      </c>
      <c r="N114" s="18" t="str">
        <f t="shared" si="6"/>
        <v/>
      </c>
      <c r="O114" s="10"/>
      <c r="AV114" s="20"/>
      <c r="AW114" s="20"/>
      <c r="AX114" s="20"/>
      <c r="AY114" s="20"/>
      <c r="AZ114" s="20"/>
      <c r="BA114" s="20"/>
      <c r="BB114" s="20"/>
      <c r="BF114" s="20"/>
      <c r="BG114" s="20"/>
      <c r="CB114" s="27"/>
      <c r="CC114" s="27"/>
      <c r="CD114" s="27"/>
      <c r="CE114" s="27"/>
    </row>
    <row r="115" spans="1:83" x14ac:dyDescent="0.2">
      <c r="A115" s="10"/>
      <c r="B115" s="11"/>
      <c r="C115" s="10"/>
      <c r="D115" s="12"/>
      <c r="E115" s="12"/>
      <c r="F115" s="10"/>
      <c r="G115" s="10"/>
      <c r="H115" s="10"/>
      <c r="I115" s="10"/>
      <c r="J115" s="10"/>
      <c r="K115" s="10"/>
      <c r="L115" s="17" t="str">
        <f t="shared" si="4"/>
        <v/>
      </c>
      <c r="M115" s="18" t="str">
        <f t="shared" si="5"/>
        <v/>
      </c>
      <c r="N115" s="18" t="str">
        <f t="shared" si="6"/>
        <v/>
      </c>
      <c r="O115" s="10"/>
      <c r="AV115" s="20"/>
      <c r="AW115" s="20"/>
      <c r="AX115" s="20"/>
      <c r="AY115" s="20"/>
      <c r="AZ115" s="20"/>
      <c r="BA115" s="20"/>
      <c r="BB115" s="20"/>
      <c r="BF115" s="20"/>
      <c r="BG115" s="20"/>
      <c r="CB115" s="27"/>
      <c r="CC115" s="27"/>
      <c r="CD115" s="27"/>
      <c r="CE115" s="27"/>
    </row>
    <row r="116" spans="1:83" x14ac:dyDescent="0.2">
      <c r="A116" s="10"/>
      <c r="B116" s="11"/>
      <c r="C116" s="10"/>
      <c r="D116" s="12"/>
      <c r="E116" s="12"/>
      <c r="F116" s="10"/>
      <c r="G116" s="10"/>
      <c r="H116" s="10"/>
      <c r="I116" s="10"/>
      <c r="J116" s="10"/>
      <c r="K116" s="10"/>
      <c r="L116" s="17" t="str">
        <f t="shared" si="4"/>
        <v/>
      </c>
      <c r="M116" s="18" t="str">
        <f t="shared" si="5"/>
        <v/>
      </c>
      <c r="N116" s="18" t="str">
        <f t="shared" si="6"/>
        <v/>
      </c>
      <c r="O116" s="10"/>
      <c r="AV116" s="20"/>
      <c r="AW116" s="20"/>
      <c r="AX116" s="20"/>
      <c r="AY116" s="20"/>
      <c r="AZ116" s="20"/>
      <c r="BA116" s="20"/>
      <c r="BB116" s="20"/>
      <c r="BF116" s="20"/>
      <c r="BG116" s="20"/>
      <c r="CB116" s="27"/>
      <c r="CC116" s="27"/>
      <c r="CD116" s="27"/>
      <c r="CE116" s="27"/>
    </row>
    <row r="117" spans="1:83" x14ac:dyDescent="0.2">
      <c r="A117" s="10"/>
      <c r="B117" s="11"/>
      <c r="C117" s="10"/>
      <c r="D117" s="12"/>
      <c r="E117" s="12"/>
      <c r="F117" s="10"/>
      <c r="G117" s="10"/>
      <c r="H117" s="10"/>
      <c r="I117" s="10"/>
      <c r="J117" s="10"/>
      <c r="K117" s="10"/>
      <c r="L117" s="17" t="str">
        <f t="shared" si="4"/>
        <v/>
      </c>
      <c r="M117" s="18" t="str">
        <f t="shared" si="5"/>
        <v/>
      </c>
      <c r="N117" s="18" t="str">
        <f t="shared" si="6"/>
        <v/>
      </c>
      <c r="O117" s="10"/>
      <c r="AV117" s="20"/>
      <c r="AW117" s="20"/>
      <c r="AX117" s="20"/>
      <c r="AY117" s="20"/>
      <c r="AZ117" s="20"/>
      <c r="BA117" s="20"/>
      <c r="BB117" s="20"/>
      <c r="BF117" s="20"/>
      <c r="BG117" s="20"/>
      <c r="CB117" s="27"/>
      <c r="CC117" s="27"/>
      <c r="CD117" s="27"/>
      <c r="CE117" s="27"/>
    </row>
    <row r="118" spans="1:83" x14ac:dyDescent="0.2">
      <c r="A118" s="10"/>
      <c r="B118" s="11"/>
      <c r="C118" s="10"/>
      <c r="D118" s="12"/>
      <c r="E118" s="12"/>
      <c r="F118" s="10"/>
      <c r="G118" s="10"/>
      <c r="H118" s="10"/>
      <c r="I118" s="10"/>
      <c r="J118" s="10"/>
      <c r="K118" s="10"/>
      <c r="L118" s="17" t="str">
        <f t="shared" si="4"/>
        <v/>
      </c>
      <c r="M118" s="18" t="str">
        <f t="shared" si="5"/>
        <v/>
      </c>
      <c r="N118" s="18" t="str">
        <f t="shared" si="6"/>
        <v/>
      </c>
      <c r="O118" s="10"/>
      <c r="AV118" s="20"/>
      <c r="AW118" s="20"/>
      <c r="AX118" s="20"/>
      <c r="AY118" s="20"/>
      <c r="AZ118" s="20"/>
      <c r="BA118" s="20"/>
      <c r="BB118" s="20"/>
      <c r="BF118" s="20"/>
      <c r="BG118" s="20"/>
      <c r="CB118" s="27"/>
      <c r="CC118" s="27"/>
      <c r="CD118" s="27"/>
      <c r="CE118" s="27"/>
    </row>
    <row r="119" spans="1:83" x14ac:dyDescent="0.2">
      <c r="A119" s="10"/>
      <c r="B119" s="11"/>
      <c r="C119" s="10"/>
      <c r="D119" s="12"/>
      <c r="E119" s="12"/>
      <c r="F119" s="10"/>
      <c r="G119" s="10"/>
      <c r="H119" s="10"/>
      <c r="I119" s="10"/>
      <c r="J119" s="10"/>
      <c r="K119" s="10"/>
      <c r="L119" s="17" t="str">
        <f t="shared" si="4"/>
        <v/>
      </c>
      <c r="M119" s="18" t="str">
        <f t="shared" si="5"/>
        <v/>
      </c>
      <c r="N119" s="18" t="str">
        <f t="shared" si="6"/>
        <v/>
      </c>
      <c r="O119" s="10"/>
      <c r="AV119" s="20"/>
      <c r="AW119" s="20"/>
      <c r="AX119" s="20"/>
      <c r="AY119" s="20"/>
      <c r="AZ119" s="20"/>
      <c r="BA119" s="20"/>
      <c r="BB119" s="20"/>
      <c r="BF119" s="20"/>
      <c r="BG119" s="20"/>
      <c r="CB119" s="27"/>
      <c r="CC119" s="27"/>
      <c r="CD119" s="27"/>
      <c r="CE119" s="27"/>
    </row>
    <row r="120" spans="1:83" x14ac:dyDescent="0.2">
      <c r="A120" s="10"/>
      <c r="B120" s="11"/>
      <c r="C120" s="10"/>
      <c r="D120" s="12"/>
      <c r="E120" s="12"/>
      <c r="F120" s="10"/>
      <c r="G120" s="10"/>
      <c r="H120" s="10"/>
      <c r="I120" s="10"/>
      <c r="J120" s="10"/>
      <c r="K120" s="10"/>
      <c r="L120" s="17" t="str">
        <f t="shared" si="4"/>
        <v/>
      </c>
      <c r="M120" s="18" t="str">
        <f t="shared" si="5"/>
        <v/>
      </c>
      <c r="N120" s="18" t="str">
        <f t="shared" si="6"/>
        <v/>
      </c>
      <c r="O120" s="10"/>
      <c r="AV120" s="20"/>
      <c r="AW120" s="20"/>
      <c r="AX120" s="20"/>
      <c r="AY120" s="20"/>
      <c r="AZ120" s="20"/>
      <c r="BA120" s="20"/>
      <c r="BB120" s="20"/>
      <c r="BF120" s="20"/>
      <c r="BG120" s="20"/>
      <c r="CB120" s="27"/>
      <c r="CC120" s="27"/>
      <c r="CD120" s="27"/>
      <c r="CE120" s="27"/>
    </row>
    <row r="121" spans="1:83" x14ac:dyDescent="0.2">
      <c r="A121" s="10"/>
      <c r="B121" s="11"/>
      <c r="C121" s="10"/>
      <c r="D121" s="12"/>
      <c r="E121" s="12"/>
      <c r="F121" s="10"/>
      <c r="G121" s="10"/>
      <c r="H121" s="10"/>
      <c r="I121" s="10"/>
      <c r="J121" s="10"/>
      <c r="K121" s="10"/>
      <c r="L121" s="17" t="str">
        <f t="shared" si="4"/>
        <v/>
      </c>
      <c r="M121" s="18" t="str">
        <f t="shared" si="5"/>
        <v/>
      </c>
      <c r="N121" s="18" t="str">
        <f t="shared" si="6"/>
        <v/>
      </c>
      <c r="O121" s="10"/>
      <c r="AV121" s="20"/>
      <c r="AW121" s="20"/>
      <c r="AX121" s="20"/>
      <c r="AY121" s="20"/>
      <c r="AZ121" s="20"/>
      <c r="BA121" s="20"/>
      <c r="BB121" s="20"/>
      <c r="BF121" s="20"/>
      <c r="BG121" s="20"/>
      <c r="CB121" s="27"/>
      <c r="CC121" s="27"/>
      <c r="CD121" s="27"/>
      <c r="CE121" s="27"/>
    </row>
    <row r="122" spans="1:83" x14ac:dyDescent="0.2">
      <c r="A122" s="10"/>
      <c r="B122" s="11"/>
      <c r="C122" s="10"/>
      <c r="D122" s="12"/>
      <c r="E122" s="12"/>
      <c r="F122" s="10"/>
      <c r="G122" s="10"/>
      <c r="H122" s="10"/>
      <c r="I122" s="10"/>
      <c r="J122" s="10"/>
      <c r="K122" s="10"/>
      <c r="L122" s="17" t="str">
        <f t="shared" si="4"/>
        <v/>
      </c>
      <c r="M122" s="18" t="str">
        <f t="shared" si="5"/>
        <v/>
      </c>
      <c r="N122" s="18" t="str">
        <f t="shared" si="6"/>
        <v/>
      </c>
      <c r="O122" s="10"/>
      <c r="AV122" s="20"/>
      <c r="AW122" s="20"/>
      <c r="AX122" s="20"/>
      <c r="AY122" s="20"/>
      <c r="AZ122" s="20"/>
      <c r="BA122" s="20"/>
      <c r="BB122" s="20"/>
      <c r="BF122" s="20"/>
      <c r="BG122" s="20"/>
      <c r="CB122" s="27"/>
      <c r="CC122" s="27"/>
      <c r="CD122" s="27"/>
      <c r="CE122" s="27"/>
    </row>
    <row r="123" spans="1:83" x14ac:dyDescent="0.2">
      <c r="A123" s="10"/>
      <c r="B123" s="11"/>
      <c r="C123" s="10"/>
      <c r="D123" s="12"/>
      <c r="E123" s="12"/>
      <c r="F123" s="10"/>
      <c r="G123" s="10"/>
      <c r="H123" s="10"/>
      <c r="I123" s="10"/>
      <c r="J123" s="10"/>
      <c r="K123" s="10"/>
      <c r="L123" s="17" t="str">
        <f t="shared" si="4"/>
        <v/>
      </c>
      <c r="M123" s="18" t="str">
        <f t="shared" si="5"/>
        <v/>
      </c>
      <c r="N123" s="18" t="str">
        <f t="shared" si="6"/>
        <v/>
      </c>
      <c r="O123" s="10"/>
      <c r="AV123" s="20"/>
      <c r="AW123" s="20"/>
      <c r="AX123" s="20"/>
      <c r="AY123" s="20"/>
      <c r="AZ123" s="20"/>
      <c r="BA123" s="20"/>
      <c r="BB123" s="20"/>
      <c r="BF123" s="20"/>
      <c r="BG123" s="20"/>
      <c r="CB123" s="27"/>
      <c r="CC123" s="27"/>
      <c r="CD123" s="27"/>
      <c r="CE123" s="27"/>
    </row>
    <row r="124" spans="1:83" x14ac:dyDescent="0.2">
      <c r="A124" s="10"/>
      <c r="B124" s="11"/>
      <c r="C124" s="10"/>
      <c r="D124" s="12"/>
      <c r="E124" s="12"/>
      <c r="F124" s="10"/>
      <c r="G124" s="10"/>
      <c r="H124" s="10"/>
      <c r="I124" s="10"/>
      <c r="J124" s="10"/>
      <c r="K124" s="10"/>
      <c r="L124" s="17" t="str">
        <f t="shared" si="4"/>
        <v/>
      </c>
      <c r="M124" s="18" t="str">
        <f t="shared" si="5"/>
        <v/>
      </c>
      <c r="N124" s="18" t="str">
        <f t="shared" si="6"/>
        <v/>
      </c>
      <c r="O124" s="10"/>
      <c r="AV124" s="20"/>
      <c r="AW124" s="20"/>
      <c r="AX124" s="20"/>
      <c r="AY124" s="20"/>
      <c r="AZ124" s="20"/>
      <c r="BA124" s="20"/>
      <c r="BB124" s="20"/>
      <c r="BF124" s="20"/>
      <c r="BG124" s="20"/>
      <c r="CB124" s="27"/>
      <c r="CC124" s="27"/>
      <c r="CD124" s="27"/>
      <c r="CE124" s="27"/>
    </row>
    <row r="125" spans="1:83" x14ac:dyDescent="0.2">
      <c r="A125" s="10"/>
      <c r="B125" s="11"/>
      <c r="C125" s="10"/>
      <c r="D125" s="12"/>
      <c r="E125" s="12"/>
      <c r="F125" s="10"/>
      <c r="G125" s="10"/>
      <c r="H125" s="10"/>
      <c r="I125" s="10"/>
      <c r="J125" s="10"/>
      <c r="K125" s="10"/>
      <c r="L125" s="17" t="str">
        <f t="shared" si="4"/>
        <v/>
      </c>
      <c r="M125" s="18" t="str">
        <f t="shared" si="5"/>
        <v/>
      </c>
      <c r="N125" s="18" t="str">
        <f t="shared" si="6"/>
        <v/>
      </c>
      <c r="O125" s="10"/>
      <c r="AV125" s="20"/>
      <c r="AW125" s="20"/>
      <c r="AX125" s="20"/>
      <c r="AY125" s="20"/>
      <c r="AZ125" s="20"/>
      <c r="BA125" s="20"/>
      <c r="BB125" s="20"/>
      <c r="BF125" s="20"/>
      <c r="BG125" s="20"/>
      <c r="CB125" s="27"/>
      <c r="CC125" s="27"/>
      <c r="CD125" s="27"/>
      <c r="CE125" s="27"/>
    </row>
    <row r="126" spans="1:83" x14ac:dyDescent="0.2">
      <c r="A126" s="10"/>
      <c r="B126" s="11"/>
      <c r="C126" s="10"/>
      <c r="D126" s="12"/>
      <c r="E126" s="12"/>
      <c r="F126" s="10"/>
      <c r="G126" s="10"/>
      <c r="H126" s="10"/>
      <c r="I126" s="10"/>
      <c r="J126" s="10"/>
      <c r="K126" s="10"/>
      <c r="L126" s="17" t="str">
        <f t="shared" si="4"/>
        <v/>
      </c>
      <c r="M126" s="18" t="str">
        <f t="shared" si="5"/>
        <v/>
      </c>
      <c r="N126" s="18" t="str">
        <f t="shared" si="6"/>
        <v/>
      </c>
      <c r="O126" s="10"/>
      <c r="AV126" s="20"/>
      <c r="AW126" s="20"/>
      <c r="AX126" s="20"/>
      <c r="AY126" s="20"/>
      <c r="AZ126" s="20"/>
      <c r="BA126" s="20"/>
      <c r="BB126" s="20"/>
      <c r="BF126" s="20"/>
      <c r="BG126" s="20"/>
      <c r="CB126" s="27"/>
      <c r="CC126" s="27"/>
      <c r="CD126" s="27"/>
      <c r="CE126" s="27"/>
    </row>
    <row r="127" spans="1:83" x14ac:dyDescent="0.2">
      <c r="A127" s="10"/>
      <c r="B127" s="11"/>
      <c r="C127" s="10"/>
      <c r="D127" s="12"/>
      <c r="E127" s="12"/>
      <c r="F127" s="10"/>
      <c r="G127" s="10"/>
      <c r="H127" s="10"/>
      <c r="I127" s="10"/>
      <c r="J127" s="10"/>
      <c r="K127" s="10"/>
      <c r="L127" s="17" t="str">
        <f t="shared" si="4"/>
        <v/>
      </c>
      <c r="M127" s="18" t="str">
        <f t="shared" si="5"/>
        <v/>
      </c>
      <c r="N127" s="18" t="str">
        <f t="shared" si="6"/>
        <v/>
      </c>
      <c r="O127" s="10"/>
      <c r="AV127" s="20"/>
      <c r="AW127" s="20"/>
      <c r="AX127" s="20"/>
      <c r="AY127" s="20"/>
      <c r="AZ127" s="20"/>
      <c r="BA127" s="20"/>
      <c r="BB127" s="20"/>
      <c r="BF127" s="20"/>
      <c r="BG127" s="20"/>
      <c r="CB127" s="27"/>
      <c r="CC127" s="27"/>
      <c r="CD127" s="27"/>
      <c r="CE127" s="27"/>
    </row>
    <row r="128" spans="1:83" x14ac:dyDescent="0.2">
      <c r="A128" s="10"/>
      <c r="B128" s="11"/>
      <c r="C128" s="10"/>
      <c r="D128" s="12"/>
      <c r="E128" s="12"/>
      <c r="F128" s="10"/>
      <c r="G128" s="10"/>
      <c r="H128" s="10"/>
      <c r="I128" s="10"/>
      <c r="J128" s="10"/>
      <c r="K128" s="10"/>
      <c r="L128" s="17" t="str">
        <f t="shared" si="4"/>
        <v/>
      </c>
      <c r="M128" s="18"/>
      <c r="N128" s="18" t="str">
        <f t="shared" si="6"/>
        <v/>
      </c>
      <c r="O128" s="10"/>
      <c r="AV128" s="20"/>
      <c r="AW128" s="20"/>
      <c r="AX128" s="20"/>
      <c r="AY128" s="20"/>
      <c r="AZ128" s="20"/>
      <c r="BA128" s="20"/>
      <c r="BB128" s="20"/>
      <c r="BF128" s="20"/>
      <c r="BG128" s="20"/>
      <c r="CB128" s="27"/>
      <c r="CC128" s="27"/>
      <c r="CD128" s="27"/>
      <c r="CE128" s="27"/>
    </row>
    <row r="129" spans="1:83" x14ac:dyDescent="0.2">
      <c r="A129" s="10"/>
      <c r="B129" s="11"/>
      <c r="C129" s="10"/>
      <c r="D129" s="12"/>
      <c r="E129" s="12"/>
      <c r="F129" s="10"/>
      <c r="G129" s="10"/>
      <c r="H129" s="10"/>
      <c r="I129" s="10"/>
      <c r="J129" s="10"/>
      <c r="K129" s="10"/>
      <c r="L129" s="17" t="str">
        <f t="shared" si="4"/>
        <v/>
      </c>
      <c r="M129" s="18"/>
      <c r="N129" s="18" t="str">
        <f t="shared" si="6"/>
        <v/>
      </c>
      <c r="O129" s="10"/>
      <c r="AV129" s="20"/>
      <c r="AW129" s="20"/>
      <c r="AX129" s="20"/>
      <c r="AY129" s="20"/>
      <c r="AZ129" s="20"/>
      <c r="BA129" s="20"/>
      <c r="BB129" s="20"/>
      <c r="BF129" s="20"/>
      <c r="BG129" s="20"/>
      <c r="CB129" s="27"/>
      <c r="CC129" s="27"/>
      <c r="CD129" s="27"/>
      <c r="CE129" s="27"/>
    </row>
    <row r="130" spans="1:83" x14ac:dyDescent="0.2">
      <c r="A130" s="10"/>
      <c r="B130" s="11"/>
      <c r="C130" s="10"/>
      <c r="D130" s="12"/>
      <c r="E130" s="12"/>
      <c r="F130" s="10"/>
      <c r="G130" s="10"/>
      <c r="H130" s="10"/>
      <c r="I130" s="10"/>
      <c r="J130" s="10"/>
      <c r="K130" s="10"/>
      <c r="L130" s="17" t="str">
        <f t="shared" ref="L130:L193" si="7">IF(OR(I130="",J130=""),"",J130-I130)</f>
        <v/>
      </c>
      <c r="M130" s="18"/>
      <c r="N130" s="18" t="str">
        <f t="shared" si="6"/>
        <v/>
      </c>
      <c r="O130" s="10"/>
      <c r="AV130" s="20"/>
      <c r="AW130" s="20"/>
      <c r="AX130" s="20"/>
      <c r="AY130" s="20"/>
      <c r="AZ130" s="20"/>
      <c r="BA130" s="20"/>
      <c r="BB130" s="20"/>
      <c r="BF130" s="20"/>
      <c r="BG130" s="20"/>
      <c r="CB130" s="27"/>
      <c r="CC130" s="27"/>
      <c r="CD130" s="27"/>
      <c r="CE130" s="27"/>
    </row>
    <row r="131" spans="1:83" x14ac:dyDescent="0.2">
      <c r="A131" s="10"/>
      <c r="B131" s="11"/>
      <c r="C131" s="10"/>
      <c r="D131" s="12"/>
      <c r="E131" s="12"/>
      <c r="F131" s="10"/>
      <c r="G131" s="10"/>
      <c r="H131" s="10"/>
      <c r="I131" s="10"/>
      <c r="J131" s="10"/>
      <c r="K131" s="10"/>
      <c r="L131" s="17" t="str">
        <f t="shared" si="7"/>
        <v/>
      </c>
      <c r="M131" s="18"/>
      <c r="N131" s="18" t="str">
        <f t="shared" ref="N131:N162" si="8">IF(J131="","",TEXT(J131,"[$-419]mmmm yyyy"))</f>
        <v/>
      </c>
      <c r="O131" s="10"/>
      <c r="AV131" s="20"/>
      <c r="AW131" s="20"/>
      <c r="AX131" s="20"/>
      <c r="AY131" s="20"/>
      <c r="AZ131" s="20"/>
      <c r="BA131" s="20"/>
      <c r="BB131" s="20"/>
      <c r="BF131" s="20"/>
      <c r="BG131" s="20"/>
      <c r="CB131" s="27"/>
      <c r="CC131" s="27"/>
      <c r="CD131" s="27"/>
      <c r="CE131" s="27"/>
    </row>
    <row r="132" spans="1:83" x14ac:dyDescent="0.2">
      <c r="A132" s="10"/>
      <c r="B132" s="11"/>
      <c r="C132" s="10"/>
      <c r="D132" s="12"/>
      <c r="E132" s="12"/>
      <c r="F132" s="10"/>
      <c r="G132" s="10"/>
      <c r="H132" s="10"/>
      <c r="I132" s="10"/>
      <c r="J132" s="10"/>
      <c r="K132" s="10"/>
      <c r="L132" s="17" t="str">
        <f t="shared" si="7"/>
        <v/>
      </c>
      <c r="M132" s="18"/>
      <c r="N132" s="18" t="str">
        <f t="shared" si="8"/>
        <v/>
      </c>
      <c r="O132" s="10"/>
      <c r="AV132" s="20"/>
      <c r="AW132" s="20"/>
      <c r="AX132" s="20"/>
      <c r="AY132" s="20"/>
      <c r="AZ132" s="20"/>
      <c r="BA132" s="20"/>
      <c r="BB132" s="20"/>
      <c r="BF132" s="20"/>
      <c r="BG132" s="20"/>
      <c r="CB132" s="27"/>
      <c r="CC132" s="27"/>
      <c r="CD132" s="27"/>
      <c r="CE132" s="27"/>
    </row>
    <row r="133" spans="1:83" x14ac:dyDescent="0.2">
      <c r="A133" s="10"/>
      <c r="B133" s="11"/>
      <c r="C133" s="10"/>
      <c r="D133" s="12"/>
      <c r="E133" s="12"/>
      <c r="F133" s="10"/>
      <c r="G133" s="10"/>
      <c r="H133" s="10"/>
      <c r="I133" s="10"/>
      <c r="J133" s="10"/>
      <c r="K133" s="10"/>
      <c r="L133" s="17" t="str">
        <f t="shared" si="7"/>
        <v/>
      </c>
      <c r="M133" s="18"/>
      <c r="N133" s="18" t="str">
        <f t="shared" si="8"/>
        <v/>
      </c>
      <c r="O133" s="10"/>
      <c r="AV133" s="20"/>
      <c r="AW133" s="20"/>
      <c r="AX133" s="20"/>
      <c r="AY133" s="20"/>
      <c r="AZ133" s="20"/>
      <c r="BA133" s="20"/>
      <c r="BB133" s="20"/>
      <c r="BF133" s="20"/>
      <c r="BG133" s="20"/>
      <c r="CB133" s="27"/>
      <c r="CC133" s="27"/>
      <c r="CD133" s="27"/>
      <c r="CE133" s="27"/>
    </row>
    <row r="134" spans="1:83" x14ac:dyDescent="0.2">
      <c r="A134" s="10"/>
      <c r="B134" s="11"/>
      <c r="C134" s="10"/>
      <c r="D134" s="12"/>
      <c r="E134" s="12"/>
      <c r="F134" s="10"/>
      <c r="G134" s="10"/>
      <c r="H134" s="10"/>
      <c r="I134" s="10"/>
      <c r="J134" s="10"/>
      <c r="K134" s="10"/>
      <c r="L134" s="17" t="str">
        <f t="shared" si="7"/>
        <v/>
      </c>
      <c r="M134" s="18"/>
      <c r="N134" s="18" t="str">
        <f t="shared" si="8"/>
        <v/>
      </c>
      <c r="O134" s="10"/>
      <c r="AV134" s="20"/>
      <c r="AW134" s="20"/>
      <c r="AX134" s="20"/>
      <c r="AY134" s="20"/>
      <c r="AZ134" s="20"/>
      <c r="BA134" s="20"/>
      <c r="BB134" s="20"/>
      <c r="BF134" s="20"/>
      <c r="BG134" s="20"/>
      <c r="CB134" s="27"/>
      <c r="CC134" s="27"/>
      <c r="CD134" s="27"/>
      <c r="CE134" s="27"/>
    </row>
    <row r="135" spans="1:83" x14ac:dyDescent="0.2">
      <c r="A135" s="10"/>
      <c r="B135" s="11"/>
      <c r="C135" s="10"/>
      <c r="D135" s="12"/>
      <c r="E135" s="12"/>
      <c r="F135" s="10"/>
      <c r="G135" s="10"/>
      <c r="H135" s="10"/>
      <c r="I135" s="10"/>
      <c r="J135" s="10"/>
      <c r="K135" s="10"/>
      <c r="L135" s="17" t="str">
        <f t="shared" si="7"/>
        <v/>
      </c>
      <c r="M135" s="18"/>
      <c r="N135" s="18" t="str">
        <f t="shared" si="8"/>
        <v/>
      </c>
      <c r="O135" s="10"/>
      <c r="AV135" s="20"/>
      <c r="AW135" s="20"/>
      <c r="AX135" s="20"/>
      <c r="AY135" s="20"/>
      <c r="AZ135" s="20"/>
      <c r="BA135" s="20"/>
      <c r="BB135" s="20"/>
      <c r="BF135" s="20"/>
      <c r="BG135" s="20"/>
      <c r="CB135" s="27"/>
      <c r="CC135" s="27"/>
      <c r="CD135" s="27"/>
      <c r="CE135" s="27"/>
    </row>
    <row r="136" spans="1:83" x14ac:dyDescent="0.2">
      <c r="A136" s="10"/>
      <c r="B136" s="11"/>
      <c r="C136" s="10"/>
      <c r="D136" s="12"/>
      <c r="E136" s="12"/>
      <c r="F136" s="10"/>
      <c r="G136" s="10"/>
      <c r="H136" s="10"/>
      <c r="I136" s="10"/>
      <c r="J136" s="10"/>
      <c r="K136" s="10"/>
      <c r="L136" s="17" t="str">
        <f t="shared" si="7"/>
        <v/>
      </c>
      <c r="M136" s="18"/>
      <c r="N136" s="18" t="str">
        <f t="shared" si="8"/>
        <v/>
      </c>
      <c r="O136" s="10"/>
      <c r="AV136" s="20"/>
      <c r="AW136" s="20"/>
      <c r="AX136" s="20"/>
      <c r="AY136" s="20"/>
      <c r="AZ136" s="20"/>
      <c r="BA136" s="20"/>
      <c r="BB136" s="20"/>
      <c r="BF136" s="20"/>
      <c r="BG136" s="20"/>
      <c r="CB136" s="27"/>
      <c r="CC136" s="27"/>
      <c r="CD136" s="27"/>
      <c r="CE136" s="27"/>
    </row>
    <row r="137" spans="1:83" x14ac:dyDescent="0.2">
      <c r="A137" s="10"/>
      <c r="B137" s="11"/>
      <c r="C137" s="10"/>
      <c r="D137" s="12"/>
      <c r="E137" s="12"/>
      <c r="F137" s="10"/>
      <c r="G137" s="10"/>
      <c r="H137" s="10"/>
      <c r="I137" s="10"/>
      <c r="J137" s="10"/>
      <c r="K137" s="10"/>
      <c r="L137" s="17" t="str">
        <f t="shared" si="7"/>
        <v/>
      </c>
      <c r="M137" s="18"/>
      <c r="N137" s="18" t="str">
        <f t="shared" si="8"/>
        <v/>
      </c>
      <c r="O137" s="10"/>
      <c r="AV137" s="20"/>
      <c r="AW137" s="20"/>
      <c r="AX137" s="20"/>
      <c r="AY137" s="20"/>
      <c r="AZ137" s="20"/>
      <c r="BA137" s="20"/>
      <c r="BB137" s="20"/>
      <c r="BF137" s="20"/>
      <c r="BG137" s="20"/>
      <c r="CB137" s="27"/>
      <c r="CC137" s="27"/>
      <c r="CD137" s="27"/>
      <c r="CE137" s="27"/>
    </row>
    <row r="138" spans="1:83" x14ac:dyDescent="0.2">
      <c r="A138" s="10"/>
      <c r="B138" s="11"/>
      <c r="C138" s="10"/>
      <c r="D138" s="12"/>
      <c r="E138" s="12"/>
      <c r="F138" s="10"/>
      <c r="G138" s="10"/>
      <c r="H138" s="10"/>
      <c r="I138" s="10"/>
      <c r="J138" s="10"/>
      <c r="K138" s="10"/>
      <c r="L138" s="17" t="str">
        <f t="shared" si="7"/>
        <v/>
      </c>
      <c r="M138" s="18"/>
      <c r="N138" s="18" t="str">
        <f t="shared" si="8"/>
        <v/>
      </c>
      <c r="O138" s="10"/>
      <c r="AV138" s="20"/>
      <c r="AW138" s="20"/>
      <c r="AX138" s="20"/>
      <c r="AY138" s="20"/>
      <c r="AZ138" s="20"/>
      <c r="BA138" s="20"/>
      <c r="BB138" s="20"/>
      <c r="BF138" s="20"/>
      <c r="BG138" s="20"/>
      <c r="CB138" s="27"/>
      <c r="CC138" s="27"/>
      <c r="CD138" s="27"/>
      <c r="CE138" s="27"/>
    </row>
    <row r="139" spans="1:83" x14ac:dyDescent="0.2">
      <c r="A139" s="10"/>
      <c r="B139" s="11"/>
      <c r="C139" s="10"/>
      <c r="D139" s="12"/>
      <c r="E139" s="12"/>
      <c r="F139" s="10"/>
      <c r="G139" s="10"/>
      <c r="H139" s="10"/>
      <c r="I139" s="10"/>
      <c r="J139" s="10"/>
      <c r="K139" s="10"/>
      <c r="L139" s="17" t="str">
        <f t="shared" si="7"/>
        <v/>
      </c>
      <c r="M139" s="18"/>
      <c r="N139" s="18" t="str">
        <f t="shared" si="8"/>
        <v/>
      </c>
      <c r="O139" s="10"/>
      <c r="AV139" s="20"/>
      <c r="AW139" s="20"/>
      <c r="AX139" s="20"/>
      <c r="AY139" s="20"/>
      <c r="AZ139" s="20"/>
      <c r="BA139" s="20"/>
      <c r="BB139" s="20"/>
      <c r="BF139" s="20"/>
      <c r="BG139" s="20"/>
      <c r="CB139" s="27"/>
      <c r="CC139" s="27"/>
      <c r="CD139" s="27"/>
      <c r="CE139" s="27"/>
    </row>
    <row r="140" spans="1:83" x14ac:dyDescent="0.2">
      <c r="A140" s="10"/>
      <c r="B140" s="11"/>
      <c r="C140" s="10"/>
      <c r="D140" s="12"/>
      <c r="E140" s="12"/>
      <c r="F140" s="10"/>
      <c r="G140" s="10"/>
      <c r="H140" s="10"/>
      <c r="I140" s="10"/>
      <c r="J140" s="10"/>
      <c r="K140" s="10"/>
      <c r="L140" s="17" t="str">
        <f t="shared" si="7"/>
        <v/>
      </c>
      <c r="M140" s="18"/>
      <c r="N140" s="18" t="str">
        <f t="shared" si="8"/>
        <v/>
      </c>
      <c r="O140" s="10"/>
      <c r="AV140" s="20"/>
      <c r="AW140" s="20"/>
      <c r="AX140" s="20"/>
      <c r="AY140" s="20"/>
      <c r="AZ140" s="20"/>
      <c r="BA140" s="20"/>
      <c r="BB140" s="20"/>
      <c r="BF140" s="20"/>
      <c r="BG140" s="20"/>
      <c r="CB140" s="27"/>
      <c r="CC140" s="27"/>
      <c r="CD140" s="27"/>
      <c r="CE140" s="27"/>
    </row>
    <row r="141" spans="1:83" x14ac:dyDescent="0.2">
      <c r="A141" s="10"/>
      <c r="B141" s="11"/>
      <c r="C141" s="10"/>
      <c r="D141" s="12"/>
      <c r="E141" s="12"/>
      <c r="F141" s="10"/>
      <c r="G141" s="10"/>
      <c r="H141" s="10"/>
      <c r="I141" s="10"/>
      <c r="J141" s="10"/>
      <c r="K141" s="10"/>
      <c r="L141" s="17" t="str">
        <f t="shared" si="7"/>
        <v/>
      </c>
      <c r="M141" s="18"/>
      <c r="N141" s="18" t="str">
        <f t="shared" si="8"/>
        <v/>
      </c>
      <c r="O141" s="10"/>
      <c r="AV141" s="20"/>
      <c r="AW141" s="20"/>
      <c r="AX141" s="20"/>
      <c r="AY141" s="20"/>
      <c r="AZ141" s="20"/>
      <c r="BA141" s="20"/>
      <c r="BB141" s="20"/>
      <c r="BF141" s="20"/>
      <c r="BG141" s="20"/>
      <c r="CB141" s="27"/>
      <c r="CC141" s="27"/>
      <c r="CD141" s="27"/>
      <c r="CE141" s="27"/>
    </row>
    <row r="142" spans="1:83" ht="15.75" customHeight="1" x14ac:dyDescent="0.2">
      <c r="A142" s="10"/>
      <c r="B142" s="11"/>
      <c r="C142" s="10"/>
      <c r="D142" s="12"/>
      <c r="E142" s="12"/>
      <c r="F142" s="10"/>
      <c r="G142" s="10"/>
      <c r="H142" s="10"/>
      <c r="I142" s="10"/>
      <c r="J142" s="10"/>
      <c r="K142" s="10"/>
      <c r="L142" s="17" t="str">
        <f t="shared" si="7"/>
        <v/>
      </c>
      <c r="M142" s="18"/>
      <c r="N142" s="18" t="str">
        <f t="shared" si="8"/>
        <v/>
      </c>
      <c r="O142" s="10"/>
      <c r="AV142" s="20"/>
      <c r="AW142" s="20"/>
      <c r="AX142" s="20"/>
      <c r="AY142" s="20"/>
      <c r="AZ142" s="20"/>
      <c r="BA142" s="20"/>
      <c r="BB142" s="20"/>
      <c r="BF142" s="20"/>
      <c r="BG142" s="20"/>
      <c r="CB142" s="27"/>
      <c r="CC142" s="27"/>
      <c r="CD142" s="27"/>
      <c r="CE142" s="27"/>
    </row>
    <row r="143" spans="1:83" ht="15.75" customHeight="1" x14ac:dyDescent="0.2">
      <c r="A143" s="10"/>
      <c r="B143" s="11"/>
      <c r="C143" s="10"/>
      <c r="D143" s="12"/>
      <c r="E143" s="12"/>
      <c r="F143" s="10"/>
      <c r="G143" s="10"/>
      <c r="H143" s="10"/>
      <c r="I143" s="10"/>
      <c r="J143" s="10"/>
      <c r="K143" s="10"/>
      <c r="L143" s="17" t="str">
        <f t="shared" si="7"/>
        <v/>
      </c>
      <c r="M143" s="18"/>
      <c r="N143" s="18" t="str">
        <f t="shared" si="8"/>
        <v/>
      </c>
      <c r="O143" s="10"/>
      <c r="AV143" s="20"/>
      <c r="AW143" s="20"/>
      <c r="AX143" s="20"/>
      <c r="AY143" s="20"/>
      <c r="AZ143" s="20"/>
      <c r="BA143" s="20"/>
      <c r="BB143" s="20"/>
      <c r="BF143" s="20"/>
      <c r="BG143" s="20"/>
      <c r="CB143" s="27"/>
      <c r="CC143" s="27"/>
      <c r="CD143" s="27"/>
      <c r="CE143" s="27"/>
    </row>
    <row r="144" spans="1:83" ht="15.75" customHeight="1" x14ac:dyDescent="0.2">
      <c r="A144" s="10"/>
      <c r="B144" s="11"/>
      <c r="C144" s="10"/>
      <c r="D144" s="12"/>
      <c r="E144" s="12"/>
      <c r="F144" s="10"/>
      <c r="G144" s="10"/>
      <c r="H144" s="10"/>
      <c r="I144" s="10"/>
      <c r="J144" s="10"/>
      <c r="K144" s="10"/>
      <c r="L144" s="17" t="str">
        <f t="shared" si="7"/>
        <v/>
      </c>
      <c r="M144" s="18"/>
      <c r="N144" s="18" t="str">
        <f t="shared" si="8"/>
        <v/>
      </c>
      <c r="O144" s="10"/>
      <c r="AV144" s="20"/>
      <c r="AW144" s="20"/>
      <c r="AX144" s="20"/>
      <c r="AY144" s="20"/>
      <c r="AZ144" s="20"/>
      <c r="BA144" s="20"/>
      <c r="BB144" s="20"/>
      <c r="BF144" s="20"/>
      <c r="BG144" s="20"/>
      <c r="CB144" s="27"/>
      <c r="CC144" s="27"/>
      <c r="CD144" s="27"/>
      <c r="CE144" s="27"/>
    </row>
    <row r="145" spans="1:83" ht="15.75" customHeight="1" x14ac:dyDescent="0.2">
      <c r="A145" s="10"/>
      <c r="B145" s="11"/>
      <c r="C145" s="10"/>
      <c r="D145" s="12"/>
      <c r="E145" s="12"/>
      <c r="F145" s="10"/>
      <c r="G145" s="10"/>
      <c r="H145" s="10"/>
      <c r="I145" s="10"/>
      <c r="J145" s="10"/>
      <c r="K145" s="10"/>
      <c r="L145" s="17" t="str">
        <f t="shared" si="7"/>
        <v/>
      </c>
      <c r="M145" s="18"/>
      <c r="N145" s="18" t="str">
        <f t="shared" si="8"/>
        <v/>
      </c>
      <c r="O145" s="10"/>
      <c r="AV145" s="20"/>
      <c r="AW145" s="20"/>
      <c r="AX145" s="20"/>
      <c r="AY145" s="20"/>
      <c r="AZ145" s="20"/>
      <c r="BA145" s="20"/>
      <c r="BB145" s="20"/>
      <c r="BF145" s="20"/>
      <c r="BG145" s="20"/>
      <c r="CB145" s="27"/>
      <c r="CC145" s="27"/>
      <c r="CD145" s="27"/>
      <c r="CE145" s="27"/>
    </row>
    <row r="146" spans="1:83" ht="15.75" customHeight="1" x14ac:dyDescent="0.2">
      <c r="A146" s="10"/>
      <c r="B146" s="11"/>
      <c r="C146" s="10"/>
      <c r="D146" s="12"/>
      <c r="E146" s="12"/>
      <c r="F146" s="10"/>
      <c r="G146" s="10"/>
      <c r="H146" s="10"/>
      <c r="I146" s="10"/>
      <c r="J146" s="10"/>
      <c r="K146" s="10"/>
      <c r="L146" s="17" t="str">
        <f t="shared" si="7"/>
        <v/>
      </c>
      <c r="M146" s="18"/>
      <c r="N146" s="18" t="str">
        <f t="shared" si="8"/>
        <v/>
      </c>
      <c r="O146" s="10"/>
      <c r="AV146" s="20"/>
      <c r="AW146" s="20"/>
      <c r="AX146" s="20"/>
      <c r="AY146" s="20"/>
      <c r="AZ146" s="20"/>
      <c r="BA146" s="20"/>
      <c r="BB146" s="20"/>
      <c r="BF146" s="20"/>
      <c r="BG146" s="20"/>
      <c r="CB146" s="27"/>
      <c r="CC146" s="27"/>
      <c r="CD146" s="27"/>
      <c r="CE146" s="27"/>
    </row>
    <row r="147" spans="1:83" ht="15.75" customHeight="1" x14ac:dyDescent="0.2">
      <c r="A147" s="10"/>
      <c r="B147" s="11"/>
      <c r="C147" s="10"/>
      <c r="D147" s="12"/>
      <c r="E147" s="12"/>
      <c r="F147" s="10"/>
      <c r="G147" s="10"/>
      <c r="H147" s="10"/>
      <c r="I147" s="10"/>
      <c r="J147" s="10"/>
      <c r="K147" s="10"/>
      <c r="L147" s="17" t="str">
        <f t="shared" si="7"/>
        <v/>
      </c>
      <c r="M147" s="18"/>
      <c r="N147" s="18" t="str">
        <f t="shared" si="8"/>
        <v/>
      </c>
      <c r="O147" s="10"/>
      <c r="AV147" s="20"/>
      <c r="AW147" s="20"/>
      <c r="AX147" s="20"/>
      <c r="AY147" s="20"/>
      <c r="AZ147" s="20"/>
      <c r="BA147" s="20"/>
      <c r="BB147" s="20"/>
      <c r="BF147" s="20"/>
      <c r="BG147" s="20"/>
      <c r="CB147" s="27"/>
      <c r="CC147" s="27"/>
      <c r="CD147" s="27"/>
      <c r="CE147" s="27"/>
    </row>
    <row r="148" spans="1:83" ht="15.75" customHeight="1" x14ac:dyDescent="0.2">
      <c r="A148" s="10"/>
      <c r="B148" s="11"/>
      <c r="C148" s="10"/>
      <c r="D148" s="12"/>
      <c r="E148" s="12"/>
      <c r="F148" s="10"/>
      <c r="G148" s="10"/>
      <c r="H148" s="10"/>
      <c r="I148" s="10"/>
      <c r="J148" s="10"/>
      <c r="K148" s="10"/>
      <c r="L148" s="17" t="str">
        <f t="shared" si="7"/>
        <v/>
      </c>
      <c r="M148" s="18"/>
      <c r="N148" s="18" t="str">
        <f t="shared" si="8"/>
        <v/>
      </c>
      <c r="O148" s="10"/>
      <c r="AV148" s="20"/>
      <c r="AW148" s="20"/>
      <c r="AX148" s="20"/>
      <c r="AY148" s="20"/>
      <c r="AZ148" s="20"/>
      <c r="BA148" s="20"/>
      <c r="BB148" s="20"/>
      <c r="BF148" s="20"/>
      <c r="BG148" s="20"/>
      <c r="CB148" s="27"/>
      <c r="CC148" s="27"/>
      <c r="CD148" s="27"/>
      <c r="CE148" s="27"/>
    </row>
    <row r="149" spans="1:83" ht="15" customHeight="1" x14ac:dyDescent="0.2">
      <c r="L149" s="17" t="str">
        <f t="shared" si="7"/>
        <v/>
      </c>
      <c r="M149" s="18"/>
      <c r="N149" s="18" t="str">
        <f t="shared" si="8"/>
        <v/>
      </c>
    </row>
    <row r="150" spans="1:83" ht="15" customHeight="1" x14ac:dyDescent="0.2">
      <c r="L150" s="17" t="str">
        <f t="shared" si="7"/>
        <v/>
      </c>
      <c r="M150" s="18"/>
      <c r="N150" s="18" t="str">
        <f t="shared" si="8"/>
        <v/>
      </c>
    </row>
    <row r="151" spans="1:83" ht="15" customHeight="1" x14ac:dyDescent="0.2">
      <c r="L151" s="17" t="str">
        <f t="shared" si="7"/>
        <v/>
      </c>
      <c r="M151" s="18"/>
      <c r="N151" s="18" t="str">
        <f t="shared" si="8"/>
        <v/>
      </c>
    </row>
    <row r="152" spans="1:83" ht="15" customHeight="1" x14ac:dyDescent="0.2">
      <c r="L152" s="17" t="str">
        <f t="shared" si="7"/>
        <v/>
      </c>
      <c r="M152" s="18"/>
      <c r="N152" s="18" t="str">
        <f t="shared" si="8"/>
        <v/>
      </c>
    </row>
    <row r="153" spans="1:83" ht="15" customHeight="1" x14ac:dyDescent="0.2">
      <c r="L153" s="17" t="str">
        <f t="shared" si="7"/>
        <v/>
      </c>
      <c r="M153" s="18"/>
      <c r="N153" s="18" t="str">
        <f t="shared" si="8"/>
        <v/>
      </c>
    </row>
    <row r="154" spans="1:83" ht="15" customHeight="1" x14ac:dyDescent="0.2">
      <c r="L154" s="17" t="str">
        <f t="shared" si="7"/>
        <v/>
      </c>
      <c r="M154" s="18"/>
      <c r="N154" s="18" t="str">
        <f t="shared" si="8"/>
        <v/>
      </c>
    </row>
    <row r="155" spans="1:83" ht="15" customHeight="1" x14ac:dyDescent="0.2">
      <c r="L155" s="17" t="str">
        <f t="shared" si="7"/>
        <v/>
      </c>
      <c r="M155" s="18"/>
      <c r="N155" s="18" t="str">
        <f t="shared" si="8"/>
        <v/>
      </c>
    </row>
    <row r="156" spans="1:83" ht="15" customHeight="1" x14ac:dyDescent="0.2">
      <c r="L156" s="17" t="str">
        <f t="shared" si="7"/>
        <v/>
      </c>
      <c r="M156" s="18"/>
      <c r="N156" s="18" t="str">
        <f t="shared" si="8"/>
        <v/>
      </c>
    </row>
    <row r="157" spans="1:83" ht="15" customHeight="1" x14ac:dyDescent="0.2">
      <c r="L157" s="17" t="str">
        <f t="shared" si="7"/>
        <v/>
      </c>
      <c r="M157" s="18"/>
      <c r="N157" s="18" t="str">
        <f t="shared" si="8"/>
        <v/>
      </c>
    </row>
    <row r="158" spans="1:83" ht="15" customHeight="1" x14ac:dyDescent="0.2">
      <c r="L158" s="17" t="str">
        <f t="shared" si="7"/>
        <v/>
      </c>
      <c r="M158" s="18"/>
      <c r="N158" s="18" t="str">
        <f t="shared" si="8"/>
        <v/>
      </c>
    </row>
    <row r="159" spans="1:83" ht="15" customHeight="1" x14ac:dyDescent="0.2">
      <c r="L159" s="17" t="str">
        <f t="shared" si="7"/>
        <v/>
      </c>
      <c r="M159" s="18"/>
      <c r="N159" s="18" t="str">
        <f t="shared" si="8"/>
        <v/>
      </c>
    </row>
    <row r="160" spans="1:83" ht="15" customHeight="1" x14ac:dyDescent="0.2">
      <c r="L160" s="17" t="str">
        <f t="shared" si="7"/>
        <v/>
      </c>
      <c r="M160" s="18"/>
      <c r="N160" s="18" t="str">
        <f t="shared" si="8"/>
        <v/>
      </c>
    </row>
    <row r="161" spans="12:14" ht="15" customHeight="1" x14ac:dyDescent="0.2">
      <c r="L161" s="17" t="str">
        <f t="shared" si="7"/>
        <v/>
      </c>
      <c r="M161" s="18"/>
      <c r="N161" s="18" t="str">
        <f t="shared" si="8"/>
        <v/>
      </c>
    </row>
    <row r="162" spans="12:14" ht="15" customHeight="1" x14ac:dyDescent="0.2">
      <c r="L162" s="17" t="str">
        <f t="shared" si="7"/>
        <v/>
      </c>
      <c r="M162" s="18"/>
      <c r="N162" s="18" t="str">
        <f t="shared" si="8"/>
        <v/>
      </c>
    </row>
    <row r="163" spans="12:14" ht="15" customHeight="1" x14ac:dyDescent="0.2">
      <c r="L163" s="17" t="str">
        <f t="shared" si="7"/>
        <v/>
      </c>
      <c r="M163" s="18"/>
      <c r="N163" s="18" t="str">
        <f t="shared" ref="N163:N194" si="9">IF(J163="","",TEXT(J163,"[$-419]mmmm yyyy"))</f>
        <v/>
      </c>
    </row>
    <row r="164" spans="12:14" ht="15" customHeight="1" x14ac:dyDescent="0.2">
      <c r="L164" s="17" t="str">
        <f t="shared" si="7"/>
        <v/>
      </c>
      <c r="M164" s="18"/>
      <c r="N164" s="18" t="str">
        <f t="shared" si="9"/>
        <v/>
      </c>
    </row>
    <row r="165" spans="12:14" ht="15" customHeight="1" x14ac:dyDescent="0.2">
      <c r="L165" s="17" t="str">
        <f t="shared" si="7"/>
        <v/>
      </c>
      <c r="M165" s="18"/>
      <c r="N165" s="18" t="str">
        <f t="shared" si="9"/>
        <v/>
      </c>
    </row>
    <row r="166" spans="12:14" ht="15" customHeight="1" x14ac:dyDescent="0.2">
      <c r="L166" s="17" t="str">
        <f t="shared" si="7"/>
        <v/>
      </c>
      <c r="M166" s="18"/>
      <c r="N166" s="18" t="str">
        <f t="shared" si="9"/>
        <v/>
      </c>
    </row>
    <row r="167" spans="12:14" ht="15" customHeight="1" x14ac:dyDescent="0.2">
      <c r="L167" s="17" t="str">
        <f t="shared" si="7"/>
        <v/>
      </c>
      <c r="M167" s="18"/>
      <c r="N167" s="18" t="str">
        <f t="shared" si="9"/>
        <v/>
      </c>
    </row>
    <row r="168" spans="12:14" ht="15" customHeight="1" x14ac:dyDescent="0.2">
      <c r="L168" s="17" t="str">
        <f t="shared" si="7"/>
        <v/>
      </c>
      <c r="M168" s="18"/>
      <c r="N168" s="18" t="str">
        <f t="shared" si="9"/>
        <v/>
      </c>
    </row>
    <row r="169" spans="12:14" ht="15" customHeight="1" x14ac:dyDescent="0.2">
      <c r="L169" s="17" t="str">
        <f t="shared" si="7"/>
        <v/>
      </c>
      <c r="M169" s="18"/>
      <c r="N169" s="18" t="str">
        <f t="shared" si="9"/>
        <v/>
      </c>
    </row>
    <row r="170" spans="12:14" ht="15" customHeight="1" x14ac:dyDescent="0.2">
      <c r="L170" s="17" t="str">
        <f t="shared" si="7"/>
        <v/>
      </c>
      <c r="M170" s="18"/>
      <c r="N170" s="18" t="str">
        <f t="shared" si="9"/>
        <v/>
      </c>
    </row>
    <row r="171" spans="12:14" ht="15" customHeight="1" x14ac:dyDescent="0.2">
      <c r="L171" s="17" t="str">
        <f t="shared" si="7"/>
        <v/>
      </c>
      <c r="M171" s="18"/>
      <c r="N171" s="18" t="str">
        <f t="shared" si="9"/>
        <v/>
      </c>
    </row>
    <row r="172" spans="12:14" ht="15" customHeight="1" x14ac:dyDescent="0.2">
      <c r="L172" s="17" t="str">
        <f t="shared" si="7"/>
        <v/>
      </c>
      <c r="M172" s="18"/>
      <c r="N172" s="18" t="str">
        <f t="shared" si="9"/>
        <v/>
      </c>
    </row>
    <row r="173" spans="12:14" ht="15" customHeight="1" x14ac:dyDescent="0.2">
      <c r="L173" s="17" t="str">
        <f t="shared" si="7"/>
        <v/>
      </c>
      <c r="M173" s="18"/>
      <c r="N173" s="18" t="str">
        <f t="shared" si="9"/>
        <v/>
      </c>
    </row>
    <row r="174" spans="12:14" ht="15" customHeight="1" x14ac:dyDescent="0.2">
      <c r="L174" s="17" t="str">
        <f t="shared" si="7"/>
        <v/>
      </c>
      <c r="M174" s="18"/>
      <c r="N174" s="18" t="str">
        <f t="shared" si="9"/>
        <v/>
      </c>
    </row>
    <row r="175" spans="12:14" ht="15" customHeight="1" x14ac:dyDescent="0.2">
      <c r="L175" s="17" t="str">
        <f t="shared" si="7"/>
        <v/>
      </c>
      <c r="M175" s="18"/>
      <c r="N175" s="18" t="str">
        <f t="shared" si="9"/>
        <v/>
      </c>
    </row>
    <row r="176" spans="12:14" ht="15" customHeight="1" x14ac:dyDescent="0.2">
      <c r="L176" s="17" t="str">
        <f t="shared" si="7"/>
        <v/>
      </c>
      <c r="M176" s="18"/>
      <c r="N176" s="18" t="str">
        <f t="shared" si="9"/>
        <v/>
      </c>
    </row>
    <row r="177" spans="12:14" ht="15" customHeight="1" x14ac:dyDescent="0.2">
      <c r="L177" s="17" t="str">
        <f t="shared" si="7"/>
        <v/>
      </c>
      <c r="M177" s="18"/>
      <c r="N177" s="18" t="str">
        <f t="shared" si="9"/>
        <v/>
      </c>
    </row>
    <row r="178" spans="12:14" ht="15" customHeight="1" x14ac:dyDescent="0.2">
      <c r="L178" s="17" t="str">
        <f t="shared" si="7"/>
        <v/>
      </c>
      <c r="M178" s="18"/>
      <c r="N178" s="18" t="str">
        <f t="shared" si="9"/>
        <v/>
      </c>
    </row>
    <row r="179" spans="12:14" ht="15" customHeight="1" x14ac:dyDescent="0.2">
      <c r="L179" s="17" t="str">
        <f t="shared" si="7"/>
        <v/>
      </c>
      <c r="M179" s="18"/>
      <c r="N179" s="18" t="str">
        <f t="shared" si="9"/>
        <v/>
      </c>
    </row>
    <row r="180" spans="12:14" ht="15" customHeight="1" x14ac:dyDescent="0.2">
      <c r="L180" s="17" t="str">
        <f t="shared" si="7"/>
        <v/>
      </c>
      <c r="M180" s="18"/>
      <c r="N180" s="18" t="str">
        <f t="shared" si="9"/>
        <v/>
      </c>
    </row>
    <row r="181" spans="12:14" ht="15" customHeight="1" x14ac:dyDescent="0.2">
      <c r="L181" s="17" t="str">
        <f t="shared" si="7"/>
        <v/>
      </c>
      <c r="M181" s="18"/>
      <c r="N181" s="18" t="str">
        <f t="shared" si="9"/>
        <v/>
      </c>
    </row>
    <row r="182" spans="12:14" ht="15" customHeight="1" x14ac:dyDescent="0.2">
      <c r="L182" s="17" t="str">
        <f t="shared" si="7"/>
        <v/>
      </c>
      <c r="M182" s="18"/>
      <c r="N182" s="18" t="str">
        <f t="shared" si="9"/>
        <v/>
      </c>
    </row>
    <row r="183" spans="12:14" ht="15" customHeight="1" x14ac:dyDescent="0.2">
      <c r="L183" s="17" t="str">
        <f t="shared" si="7"/>
        <v/>
      </c>
      <c r="M183" s="18"/>
      <c r="N183" s="18" t="str">
        <f t="shared" si="9"/>
        <v/>
      </c>
    </row>
    <row r="184" spans="12:14" ht="15" customHeight="1" x14ac:dyDescent="0.2">
      <c r="L184" s="17" t="str">
        <f t="shared" si="7"/>
        <v/>
      </c>
      <c r="M184" s="18"/>
      <c r="N184" s="18" t="str">
        <f t="shared" si="9"/>
        <v/>
      </c>
    </row>
    <row r="185" spans="12:14" ht="15" customHeight="1" x14ac:dyDescent="0.2">
      <c r="L185" s="17" t="str">
        <f t="shared" si="7"/>
        <v/>
      </c>
      <c r="M185" s="18"/>
      <c r="N185" s="18" t="str">
        <f t="shared" si="9"/>
        <v/>
      </c>
    </row>
    <row r="186" spans="12:14" ht="15" customHeight="1" x14ac:dyDescent="0.2">
      <c r="L186" s="17" t="str">
        <f t="shared" si="7"/>
        <v/>
      </c>
      <c r="M186" s="18"/>
      <c r="N186" s="18" t="str">
        <f t="shared" si="9"/>
        <v/>
      </c>
    </row>
    <row r="187" spans="12:14" ht="15" customHeight="1" x14ac:dyDescent="0.2">
      <c r="L187" s="17" t="str">
        <f t="shared" si="7"/>
        <v/>
      </c>
      <c r="M187" s="18"/>
      <c r="N187" s="18" t="str">
        <f t="shared" si="9"/>
        <v/>
      </c>
    </row>
    <row r="188" spans="12:14" ht="15" customHeight="1" x14ac:dyDescent="0.2">
      <c r="L188" s="17" t="str">
        <f t="shared" si="7"/>
        <v/>
      </c>
      <c r="M188" s="18"/>
      <c r="N188" s="18" t="str">
        <f t="shared" si="9"/>
        <v/>
      </c>
    </row>
    <row r="189" spans="12:14" ht="15" customHeight="1" x14ac:dyDescent="0.2">
      <c r="L189" s="17" t="str">
        <f t="shared" si="7"/>
        <v/>
      </c>
      <c r="M189" s="18"/>
      <c r="N189" s="18" t="str">
        <f t="shared" si="9"/>
        <v/>
      </c>
    </row>
    <row r="190" spans="12:14" ht="15" customHeight="1" x14ac:dyDescent="0.2">
      <c r="L190" s="17" t="str">
        <f t="shared" si="7"/>
        <v/>
      </c>
      <c r="M190" s="18"/>
      <c r="N190" s="18" t="str">
        <f t="shared" si="9"/>
        <v/>
      </c>
    </row>
    <row r="191" spans="12:14" ht="15" customHeight="1" x14ac:dyDescent="0.2">
      <c r="L191" s="17" t="str">
        <f t="shared" si="7"/>
        <v/>
      </c>
      <c r="M191" s="18"/>
      <c r="N191" s="18" t="str">
        <f t="shared" si="9"/>
        <v/>
      </c>
    </row>
    <row r="192" spans="12:14" ht="15" customHeight="1" x14ac:dyDescent="0.2">
      <c r="L192" s="17" t="str">
        <f t="shared" si="7"/>
        <v/>
      </c>
      <c r="M192" s="18"/>
      <c r="N192" s="18" t="str">
        <f t="shared" si="9"/>
        <v/>
      </c>
    </row>
    <row r="193" spans="12:14" ht="15" customHeight="1" x14ac:dyDescent="0.2">
      <c r="L193" s="17" t="str">
        <f t="shared" si="7"/>
        <v/>
      </c>
      <c r="M193" s="18"/>
      <c r="N193" s="18" t="str">
        <f t="shared" si="9"/>
        <v/>
      </c>
    </row>
    <row r="194" spans="12:14" ht="15" customHeight="1" x14ac:dyDescent="0.2">
      <c r="L194" s="17" t="str">
        <f t="shared" ref="L194:L257" si="10">IF(OR(I194="",J194=""),"",J194-I194)</f>
        <v/>
      </c>
      <c r="M194" s="18"/>
      <c r="N194" s="18" t="str">
        <f t="shared" si="9"/>
        <v/>
      </c>
    </row>
    <row r="195" spans="12:14" ht="15" customHeight="1" x14ac:dyDescent="0.2">
      <c r="L195" s="17" t="str">
        <f t="shared" si="10"/>
        <v/>
      </c>
      <c r="M195" s="18"/>
      <c r="N195" s="18" t="str">
        <f t="shared" ref="N195:N258" si="11">IF(J195="","",TEXT(J195,"[$-419]mmmm yyyy"))</f>
        <v/>
      </c>
    </row>
    <row r="196" spans="12:14" ht="15" customHeight="1" x14ac:dyDescent="0.2">
      <c r="L196" s="17" t="str">
        <f t="shared" si="10"/>
        <v/>
      </c>
      <c r="M196" s="18"/>
      <c r="N196" s="18" t="str">
        <f t="shared" si="11"/>
        <v/>
      </c>
    </row>
    <row r="197" spans="12:14" ht="15" customHeight="1" x14ac:dyDescent="0.2">
      <c r="L197" s="17" t="str">
        <f t="shared" si="10"/>
        <v/>
      </c>
      <c r="M197" s="18"/>
      <c r="N197" s="18" t="str">
        <f t="shared" si="11"/>
        <v/>
      </c>
    </row>
    <row r="198" spans="12:14" ht="15" customHeight="1" x14ac:dyDescent="0.2">
      <c r="L198" s="17" t="str">
        <f t="shared" si="10"/>
        <v/>
      </c>
      <c r="M198" s="18"/>
      <c r="N198" s="18" t="str">
        <f t="shared" si="11"/>
        <v/>
      </c>
    </row>
    <row r="199" spans="12:14" ht="15" customHeight="1" x14ac:dyDescent="0.2">
      <c r="L199" s="17" t="str">
        <f t="shared" si="10"/>
        <v/>
      </c>
      <c r="M199" s="18"/>
      <c r="N199" s="18" t="str">
        <f t="shared" si="11"/>
        <v/>
      </c>
    </row>
    <row r="200" spans="12:14" ht="15" customHeight="1" x14ac:dyDescent="0.2">
      <c r="L200" s="17" t="str">
        <f t="shared" si="10"/>
        <v/>
      </c>
      <c r="M200" s="18"/>
      <c r="N200" s="18" t="str">
        <f t="shared" si="11"/>
        <v/>
      </c>
    </row>
    <row r="201" spans="12:14" ht="15" customHeight="1" x14ac:dyDescent="0.2">
      <c r="L201" s="17" t="str">
        <f t="shared" si="10"/>
        <v/>
      </c>
      <c r="M201" s="18"/>
      <c r="N201" s="18" t="str">
        <f t="shared" si="11"/>
        <v/>
      </c>
    </row>
    <row r="202" spans="12:14" ht="15" customHeight="1" x14ac:dyDescent="0.2">
      <c r="L202" s="17" t="str">
        <f t="shared" si="10"/>
        <v/>
      </c>
      <c r="M202" s="18"/>
      <c r="N202" s="18" t="str">
        <f t="shared" si="11"/>
        <v/>
      </c>
    </row>
    <row r="203" spans="12:14" ht="15" customHeight="1" x14ac:dyDescent="0.2">
      <c r="L203" s="17" t="str">
        <f t="shared" si="10"/>
        <v/>
      </c>
      <c r="M203" s="18"/>
      <c r="N203" s="18" t="str">
        <f t="shared" si="11"/>
        <v/>
      </c>
    </row>
    <row r="204" spans="12:14" ht="15" customHeight="1" x14ac:dyDescent="0.2">
      <c r="L204" s="17" t="str">
        <f t="shared" si="10"/>
        <v/>
      </c>
      <c r="M204" s="18"/>
      <c r="N204" s="18" t="str">
        <f t="shared" si="11"/>
        <v/>
      </c>
    </row>
    <row r="205" spans="12:14" ht="15" customHeight="1" x14ac:dyDescent="0.2">
      <c r="L205" s="17" t="str">
        <f t="shared" si="10"/>
        <v/>
      </c>
      <c r="M205" s="18"/>
      <c r="N205" s="18" t="str">
        <f t="shared" si="11"/>
        <v/>
      </c>
    </row>
    <row r="206" spans="12:14" ht="15" customHeight="1" x14ac:dyDescent="0.2">
      <c r="L206" s="17" t="str">
        <f t="shared" si="10"/>
        <v/>
      </c>
      <c r="M206" s="18"/>
      <c r="N206" s="18" t="str">
        <f t="shared" si="11"/>
        <v/>
      </c>
    </row>
    <row r="207" spans="12:14" ht="15" customHeight="1" x14ac:dyDescent="0.2">
      <c r="L207" s="17" t="str">
        <f t="shared" si="10"/>
        <v/>
      </c>
      <c r="M207" s="18"/>
      <c r="N207" s="18" t="str">
        <f t="shared" si="11"/>
        <v/>
      </c>
    </row>
    <row r="208" spans="12:14" ht="15" customHeight="1" x14ac:dyDescent="0.2">
      <c r="L208" s="17" t="str">
        <f t="shared" si="10"/>
        <v/>
      </c>
      <c r="M208" s="18"/>
      <c r="N208" s="18" t="str">
        <f t="shared" si="11"/>
        <v/>
      </c>
    </row>
    <row r="209" spans="12:14" ht="15" customHeight="1" x14ac:dyDescent="0.2">
      <c r="L209" s="17" t="str">
        <f t="shared" si="10"/>
        <v/>
      </c>
      <c r="M209" s="18"/>
      <c r="N209" s="18" t="str">
        <f t="shared" si="11"/>
        <v/>
      </c>
    </row>
    <row r="210" spans="12:14" ht="15" customHeight="1" x14ac:dyDescent="0.2">
      <c r="L210" s="17" t="str">
        <f t="shared" si="10"/>
        <v/>
      </c>
      <c r="M210" s="18"/>
      <c r="N210" s="18" t="str">
        <f t="shared" si="11"/>
        <v/>
      </c>
    </row>
    <row r="211" spans="12:14" ht="15" customHeight="1" x14ac:dyDescent="0.2">
      <c r="L211" s="17" t="str">
        <f t="shared" si="10"/>
        <v/>
      </c>
      <c r="M211" s="18"/>
      <c r="N211" s="18" t="str">
        <f t="shared" si="11"/>
        <v/>
      </c>
    </row>
    <row r="212" spans="12:14" ht="15" customHeight="1" x14ac:dyDescent="0.2">
      <c r="L212" s="17" t="str">
        <f t="shared" si="10"/>
        <v/>
      </c>
      <c r="M212" s="18"/>
      <c r="N212" s="18" t="str">
        <f t="shared" si="11"/>
        <v/>
      </c>
    </row>
    <row r="213" spans="12:14" ht="15" customHeight="1" x14ac:dyDescent="0.2">
      <c r="L213" s="17" t="str">
        <f t="shared" si="10"/>
        <v/>
      </c>
      <c r="M213" s="18"/>
      <c r="N213" s="18" t="str">
        <f t="shared" si="11"/>
        <v/>
      </c>
    </row>
    <row r="214" spans="12:14" ht="15" customHeight="1" x14ac:dyDescent="0.2">
      <c r="L214" s="17" t="str">
        <f t="shared" si="10"/>
        <v/>
      </c>
      <c r="M214" s="18"/>
      <c r="N214" s="18" t="str">
        <f t="shared" si="11"/>
        <v/>
      </c>
    </row>
    <row r="215" spans="12:14" ht="15" customHeight="1" x14ac:dyDescent="0.2">
      <c r="L215" s="17" t="str">
        <f t="shared" si="10"/>
        <v/>
      </c>
      <c r="M215" s="18"/>
      <c r="N215" s="18" t="str">
        <f t="shared" si="11"/>
        <v/>
      </c>
    </row>
    <row r="216" spans="12:14" ht="15" customHeight="1" x14ac:dyDescent="0.2">
      <c r="L216" s="17" t="str">
        <f t="shared" si="10"/>
        <v/>
      </c>
      <c r="M216" s="18"/>
      <c r="N216" s="18" t="str">
        <f t="shared" si="11"/>
        <v/>
      </c>
    </row>
    <row r="217" spans="12:14" ht="15" customHeight="1" x14ac:dyDescent="0.2">
      <c r="L217" s="17" t="str">
        <f t="shared" si="10"/>
        <v/>
      </c>
      <c r="M217" s="18"/>
      <c r="N217" s="18" t="str">
        <f t="shared" si="11"/>
        <v/>
      </c>
    </row>
    <row r="218" spans="12:14" ht="15" customHeight="1" x14ac:dyDescent="0.2">
      <c r="L218" s="17" t="str">
        <f t="shared" si="10"/>
        <v/>
      </c>
      <c r="M218" s="18"/>
      <c r="N218" s="18" t="str">
        <f t="shared" si="11"/>
        <v/>
      </c>
    </row>
    <row r="219" spans="12:14" ht="15" customHeight="1" x14ac:dyDescent="0.2">
      <c r="L219" s="17" t="str">
        <f t="shared" si="10"/>
        <v/>
      </c>
      <c r="M219" s="18"/>
      <c r="N219" s="18" t="str">
        <f t="shared" si="11"/>
        <v/>
      </c>
    </row>
    <row r="220" spans="12:14" ht="15" customHeight="1" x14ac:dyDescent="0.2">
      <c r="L220" s="17" t="str">
        <f t="shared" si="10"/>
        <v/>
      </c>
      <c r="M220" s="18"/>
      <c r="N220" s="18" t="str">
        <f t="shared" si="11"/>
        <v/>
      </c>
    </row>
    <row r="221" spans="12:14" ht="15" customHeight="1" x14ac:dyDescent="0.2">
      <c r="L221" s="17" t="str">
        <f t="shared" si="10"/>
        <v/>
      </c>
      <c r="M221" s="18"/>
      <c r="N221" s="18" t="str">
        <f t="shared" si="11"/>
        <v/>
      </c>
    </row>
    <row r="222" spans="12:14" ht="15" customHeight="1" x14ac:dyDescent="0.2">
      <c r="L222" s="17" t="str">
        <f t="shared" si="10"/>
        <v/>
      </c>
      <c r="M222" s="18"/>
      <c r="N222" s="18" t="str">
        <f t="shared" si="11"/>
        <v/>
      </c>
    </row>
    <row r="223" spans="12:14" ht="15" customHeight="1" x14ac:dyDescent="0.2">
      <c r="L223" s="17" t="str">
        <f t="shared" si="10"/>
        <v/>
      </c>
      <c r="M223" s="18"/>
      <c r="N223" s="18" t="str">
        <f t="shared" si="11"/>
        <v/>
      </c>
    </row>
    <row r="224" spans="12:14" ht="15" customHeight="1" x14ac:dyDescent="0.2">
      <c r="L224" s="17" t="str">
        <f t="shared" si="10"/>
        <v/>
      </c>
      <c r="M224" s="18"/>
      <c r="N224" s="18" t="str">
        <f t="shared" si="11"/>
        <v/>
      </c>
    </row>
    <row r="225" spans="12:14" ht="15" customHeight="1" x14ac:dyDescent="0.2">
      <c r="L225" s="17" t="str">
        <f t="shared" si="10"/>
        <v/>
      </c>
      <c r="M225" s="18"/>
      <c r="N225" s="18" t="str">
        <f t="shared" si="11"/>
        <v/>
      </c>
    </row>
    <row r="226" spans="12:14" ht="15" customHeight="1" x14ac:dyDescent="0.2">
      <c r="L226" s="17" t="str">
        <f t="shared" si="10"/>
        <v/>
      </c>
      <c r="M226" s="18"/>
      <c r="N226" s="18" t="str">
        <f t="shared" si="11"/>
        <v/>
      </c>
    </row>
    <row r="227" spans="12:14" ht="15" customHeight="1" x14ac:dyDescent="0.2">
      <c r="L227" s="17" t="str">
        <f t="shared" si="10"/>
        <v/>
      </c>
      <c r="M227" s="18"/>
      <c r="N227" s="18" t="str">
        <f t="shared" si="11"/>
        <v/>
      </c>
    </row>
    <row r="228" spans="12:14" ht="15" customHeight="1" x14ac:dyDescent="0.2">
      <c r="L228" s="17" t="str">
        <f t="shared" si="10"/>
        <v/>
      </c>
      <c r="M228" s="18"/>
      <c r="N228" s="18" t="str">
        <f t="shared" si="11"/>
        <v/>
      </c>
    </row>
    <row r="229" spans="12:14" ht="15" customHeight="1" x14ac:dyDescent="0.2">
      <c r="L229" s="17" t="str">
        <f t="shared" si="10"/>
        <v/>
      </c>
      <c r="M229" s="18"/>
      <c r="N229" s="18" t="str">
        <f t="shared" si="11"/>
        <v/>
      </c>
    </row>
    <row r="230" spans="12:14" ht="15" customHeight="1" x14ac:dyDescent="0.2">
      <c r="L230" s="17" t="str">
        <f t="shared" si="10"/>
        <v/>
      </c>
      <c r="M230" s="18"/>
      <c r="N230" s="18" t="str">
        <f t="shared" si="11"/>
        <v/>
      </c>
    </row>
    <row r="231" spans="12:14" ht="15" customHeight="1" x14ac:dyDescent="0.2">
      <c r="L231" s="17" t="str">
        <f t="shared" si="10"/>
        <v/>
      </c>
      <c r="M231" s="18"/>
      <c r="N231" s="18" t="str">
        <f t="shared" si="11"/>
        <v/>
      </c>
    </row>
    <row r="232" spans="12:14" ht="15" customHeight="1" x14ac:dyDescent="0.2">
      <c r="L232" s="17" t="str">
        <f t="shared" si="10"/>
        <v/>
      </c>
      <c r="M232" s="18"/>
      <c r="N232" s="18" t="str">
        <f t="shared" si="11"/>
        <v/>
      </c>
    </row>
    <row r="233" spans="12:14" ht="15" customHeight="1" x14ac:dyDescent="0.2">
      <c r="L233" s="17" t="str">
        <f t="shared" si="10"/>
        <v/>
      </c>
      <c r="M233" s="18"/>
      <c r="N233" s="18" t="str">
        <f t="shared" si="11"/>
        <v/>
      </c>
    </row>
    <row r="234" spans="12:14" ht="15" customHeight="1" x14ac:dyDescent="0.2">
      <c r="L234" s="17" t="str">
        <f t="shared" si="10"/>
        <v/>
      </c>
      <c r="M234" s="18"/>
      <c r="N234" s="18" t="str">
        <f t="shared" si="11"/>
        <v/>
      </c>
    </row>
    <row r="235" spans="12:14" ht="15" customHeight="1" x14ac:dyDescent="0.2">
      <c r="L235" s="17" t="str">
        <f t="shared" si="10"/>
        <v/>
      </c>
      <c r="M235" s="18"/>
      <c r="N235" s="18" t="str">
        <f t="shared" si="11"/>
        <v/>
      </c>
    </row>
    <row r="236" spans="12:14" ht="15" customHeight="1" x14ac:dyDescent="0.2">
      <c r="L236" s="17" t="str">
        <f t="shared" si="10"/>
        <v/>
      </c>
      <c r="M236" s="18"/>
      <c r="N236" s="18" t="str">
        <f t="shared" si="11"/>
        <v/>
      </c>
    </row>
    <row r="237" spans="12:14" ht="15" customHeight="1" x14ac:dyDescent="0.2">
      <c r="L237" s="17" t="str">
        <f t="shared" si="10"/>
        <v/>
      </c>
      <c r="M237" s="18"/>
      <c r="N237" s="18" t="str">
        <f t="shared" si="11"/>
        <v/>
      </c>
    </row>
    <row r="238" spans="12:14" ht="15" customHeight="1" x14ac:dyDescent="0.2">
      <c r="L238" s="17" t="str">
        <f t="shared" si="10"/>
        <v/>
      </c>
      <c r="M238" s="18"/>
      <c r="N238" s="18" t="str">
        <f t="shared" si="11"/>
        <v/>
      </c>
    </row>
    <row r="239" spans="12:14" ht="15" customHeight="1" x14ac:dyDescent="0.2">
      <c r="L239" s="17" t="str">
        <f t="shared" si="10"/>
        <v/>
      </c>
      <c r="M239" s="18"/>
      <c r="N239" s="18" t="str">
        <f t="shared" si="11"/>
        <v/>
      </c>
    </row>
    <row r="240" spans="12:14" ht="15" customHeight="1" x14ac:dyDescent="0.2">
      <c r="L240" s="17" t="str">
        <f t="shared" si="10"/>
        <v/>
      </c>
      <c r="M240" s="18"/>
      <c r="N240" s="18" t="str">
        <f t="shared" si="11"/>
        <v/>
      </c>
    </row>
    <row r="241" spans="12:14" ht="15" customHeight="1" x14ac:dyDescent="0.2">
      <c r="L241" s="17" t="str">
        <f t="shared" si="10"/>
        <v/>
      </c>
      <c r="M241" s="18"/>
      <c r="N241" s="18" t="str">
        <f t="shared" si="11"/>
        <v/>
      </c>
    </row>
    <row r="242" spans="12:14" ht="15" customHeight="1" x14ac:dyDescent="0.2">
      <c r="L242" s="17" t="str">
        <f t="shared" si="10"/>
        <v/>
      </c>
      <c r="M242" s="18"/>
      <c r="N242" s="18" t="str">
        <f t="shared" si="11"/>
        <v/>
      </c>
    </row>
    <row r="243" spans="12:14" ht="15" customHeight="1" x14ac:dyDescent="0.2">
      <c r="L243" s="17" t="str">
        <f t="shared" si="10"/>
        <v/>
      </c>
      <c r="M243" s="18"/>
      <c r="N243" s="18" t="str">
        <f t="shared" si="11"/>
        <v/>
      </c>
    </row>
    <row r="244" spans="12:14" ht="15" customHeight="1" x14ac:dyDescent="0.2">
      <c r="L244" s="17" t="str">
        <f t="shared" si="10"/>
        <v/>
      </c>
      <c r="M244" s="18"/>
      <c r="N244" s="18" t="str">
        <f t="shared" si="11"/>
        <v/>
      </c>
    </row>
    <row r="245" spans="12:14" ht="15" customHeight="1" x14ac:dyDescent="0.2">
      <c r="L245" s="17" t="str">
        <f t="shared" si="10"/>
        <v/>
      </c>
      <c r="M245" s="18"/>
      <c r="N245" s="18" t="str">
        <f t="shared" si="11"/>
        <v/>
      </c>
    </row>
    <row r="246" spans="12:14" ht="15" customHeight="1" x14ac:dyDescent="0.2">
      <c r="L246" s="17" t="str">
        <f t="shared" si="10"/>
        <v/>
      </c>
      <c r="M246" s="18"/>
      <c r="N246" s="18" t="str">
        <f t="shared" si="11"/>
        <v/>
      </c>
    </row>
    <row r="247" spans="12:14" ht="15" customHeight="1" x14ac:dyDescent="0.2">
      <c r="L247" s="17" t="str">
        <f t="shared" si="10"/>
        <v/>
      </c>
      <c r="M247" s="18"/>
      <c r="N247" s="18" t="str">
        <f t="shared" si="11"/>
        <v/>
      </c>
    </row>
    <row r="248" spans="12:14" ht="15" customHeight="1" x14ac:dyDescent="0.2">
      <c r="L248" s="17" t="str">
        <f t="shared" si="10"/>
        <v/>
      </c>
      <c r="M248" s="18"/>
      <c r="N248" s="18" t="str">
        <f t="shared" si="11"/>
        <v/>
      </c>
    </row>
    <row r="249" spans="12:14" ht="15" customHeight="1" x14ac:dyDescent="0.2">
      <c r="L249" s="17" t="str">
        <f t="shared" si="10"/>
        <v/>
      </c>
      <c r="M249" s="18"/>
      <c r="N249" s="18" t="str">
        <f t="shared" si="11"/>
        <v/>
      </c>
    </row>
    <row r="250" spans="12:14" ht="15" customHeight="1" x14ac:dyDescent="0.2">
      <c r="L250" s="17" t="str">
        <f t="shared" si="10"/>
        <v/>
      </c>
      <c r="M250" s="18"/>
      <c r="N250" s="18" t="str">
        <f t="shared" si="11"/>
        <v/>
      </c>
    </row>
    <row r="251" spans="12:14" ht="15" customHeight="1" x14ac:dyDescent="0.2">
      <c r="L251" s="17" t="str">
        <f t="shared" si="10"/>
        <v/>
      </c>
      <c r="M251" s="18"/>
      <c r="N251" s="18" t="str">
        <f t="shared" si="11"/>
        <v/>
      </c>
    </row>
    <row r="252" spans="12:14" ht="15" customHeight="1" x14ac:dyDescent="0.2">
      <c r="L252" s="17" t="str">
        <f t="shared" si="10"/>
        <v/>
      </c>
      <c r="M252" s="18"/>
      <c r="N252" s="18" t="str">
        <f t="shared" si="11"/>
        <v/>
      </c>
    </row>
    <row r="253" spans="12:14" ht="15" customHeight="1" x14ac:dyDescent="0.2">
      <c r="L253" s="17" t="str">
        <f t="shared" si="10"/>
        <v/>
      </c>
      <c r="M253" s="18"/>
      <c r="N253" s="18" t="str">
        <f t="shared" si="11"/>
        <v/>
      </c>
    </row>
    <row r="254" spans="12:14" ht="15" customHeight="1" x14ac:dyDescent="0.2">
      <c r="L254" s="17" t="str">
        <f t="shared" si="10"/>
        <v/>
      </c>
      <c r="M254" s="18"/>
      <c r="N254" s="18" t="str">
        <f t="shared" si="11"/>
        <v/>
      </c>
    </row>
    <row r="255" spans="12:14" ht="15" customHeight="1" x14ac:dyDescent="0.2">
      <c r="L255" s="17" t="str">
        <f t="shared" si="10"/>
        <v/>
      </c>
      <c r="M255" s="18"/>
      <c r="N255" s="18" t="str">
        <f t="shared" si="11"/>
        <v/>
      </c>
    </row>
    <row r="256" spans="12:14" ht="15" customHeight="1" x14ac:dyDescent="0.2">
      <c r="L256" s="17" t="str">
        <f t="shared" si="10"/>
        <v/>
      </c>
      <c r="M256" s="18"/>
      <c r="N256" s="18" t="str">
        <f t="shared" si="11"/>
        <v/>
      </c>
    </row>
    <row r="257" spans="12:14" ht="15" customHeight="1" x14ac:dyDescent="0.2">
      <c r="L257" s="17" t="str">
        <f t="shared" si="10"/>
        <v/>
      </c>
      <c r="M257" s="18"/>
      <c r="N257" s="18" t="str">
        <f t="shared" si="11"/>
        <v/>
      </c>
    </row>
    <row r="258" spans="12:14" ht="15" customHeight="1" x14ac:dyDescent="0.2">
      <c r="L258" s="17" t="str">
        <f t="shared" ref="L258:L321" si="12">IF(OR(I258="",J258=""),"",J258-I258)</f>
        <v/>
      </c>
      <c r="M258" s="18"/>
      <c r="N258" s="18" t="str">
        <f t="shared" si="11"/>
        <v/>
      </c>
    </row>
    <row r="259" spans="12:14" ht="15" customHeight="1" x14ac:dyDescent="0.2">
      <c r="L259" s="17" t="str">
        <f t="shared" si="12"/>
        <v/>
      </c>
      <c r="M259" s="18"/>
      <c r="N259" s="18" t="str">
        <f t="shared" ref="N259:N322" si="13">IF(J259="","",TEXT(J259,"[$-419]mmmm yyyy"))</f>
        <v/>
      </c>
    </row>
    <row r="260" spans="12:14" ht="15" customHeight="1" x14ac:dyDescent="0.2">
      <c r="L260" s="17" t="str">
        <f t="shared" si="12"/>
        <v/>
      </c>
      <c r="M260" s="18"/>
      <c r="N260" s="18" t="str">
        <f t="shared" si="13"/>
        <v/>
      </c>
    </row>
    <row r="261" spans="12:14" ht="15" customHeight="1" x14ac:dyDescent="0.2">
      <c r="L261" s="17" t="str">
        <f t="shared" si="12"/>
        <v/>
      </c>
      <c r="M261" s="18"/>
      <c r="N261" s="18" t="str">
        <f t="shared" si="13"/>
        <v/>
      </c>
    </row>
    <row r="262" spans="12:14" ht="15" customHeight="1" x14ac:dyDescent="0.2">
      <c r="L262" s="17" t="str">
        <f t="shared" si="12"/>
        <v/>
      </c>
      <c r="M262" s="18"/>
      <c r="N262" s="18" t="str">
        <f t="shared" si="13"/>
        <v/>
      </c>
    </row>
    <row r="263" spans="12:14" ht="15" customHeight="1" x14ac:dyDescent="0.2">
      <c r="L263" s="17" t="str">
        <f t="shared" si="12"/>
        <v/>
      </c>
      <c r="M263" s="18"/>
      <c r="N263" s="18" t="str">
        <f t="shared" si="13"/>
        <v/>
      </c>
    </row>
    <row r="264" spans="12:14" ht="15" customHeight="1" x14ac:dyDescent="0.2">
      <c r="L264" s="17" t="str">
        <f t="shared" si="12"/>
        <v/>
      </c>
      <c r="M264" s="18"/>
      <c r="N264" s="18" t="str">
        <f t="shared" si="13"/>
        <v/>
      </c>
    </row>
    <row r="265" spans="12:14" ht="15" customHeight="1" x14ac:dyDescent="0.2">
      <c r="L265" s="17" t="str">
        <f t="shared" si="12"/>
        <v/>
      </c>
      <c r="M265" s="18"/>
      <c r="N265" s="18" t="str">
        <f t="shared" si="13"/>
        <v/>
      </c>
    </row>
    <row r="266" spans="12:14" ht="15" customHeight="1" x14ac:dyDescent="0.2">
      <c r="L266" s="17" t="str">
        <f t="shared" si="12"/>
        <v/>
      </c>
      <c r="M266" s="18"/>
      <c r="N266" s="18" t="str">
        <f t="shared" si="13"/>
        <v/>
      </c>
    </row>
    <row r="267" spans="12:14" ht="15" customHeight="1" x14ac:dyDescent="0.2">
      <c r="L267" s="17" t="str">
        <f t="shared" si="12"/>
        <v/>
      </c>
      <c r="M267" s="18"/>
      <c r="N267" s="18" t="str">
        <f t="shared" si="13"/>
        <v/>
      </c>
    </row>
    <row r="268" spans="12:14" ht="15" customHeight="1" x14ac:dyDescent="0.2">
      <c r="L268" s="17" t="str">
        <f t="shared" si="12"/>
        <v/>
      </c>
      <c r="M268" s="18"/>
      <c r="N268" s="18" t="str">
        <f t="shared" si="13"/>
        <v/>
      </c>
    </row>
    <row r="269" spans="12:14" ht="15" customHeight="1" x14ac:dyDescent="0.2">
      <c r="L269" s="17" t="str">
        <f t="shared" si="12"/>
        <v/>
      </c>
      <c r="M269" s="18"/>
      <c r="N269" s="18" t="str">
        <f t="shared" si="13"/>
        <v/>
      </c>
    </row>
    <row r="270" spans="12:14" ht="15" customHeight="1" x14ac:dyDescent="0.2">
      <c r="L270" s="17" t="str">
        <f t="shared" si="12"/>
        <v/>
      </c>
      <c r="M270" s="18"/>
      <c r="N270" s="18" t="str">
        <f t="shared" si="13"/>
        <v/>
      </c>
    </row>
    <row r="271" spans="12:14" ht="15" customHeight="1" x14ac:dyDescent="0.2">
      <c r="L271" s="17" t="str">
        <f t="shared" si="12"/>
        <v/>
      </c>
      <c r="M271" s="18"/>
      <c r="N271" s="18" t="str">
        <f t="shared" si="13"/>
        <v/>
      </c>
    </row>
    <row r="272" spans="12:14" ht="15" customHeight="1" x14ac:dyDescent="0.2">
      <c r="L272" s="17" t="str">
        <f t="shared" si="12"/>
        <v/>
      </c>
      <c r="M272" s="18"/>
      <c r="N272" s="18" t="str">
        <f t="shared" si="13"/>
        <v/>
      </c>
    </row>
    <row r="273" spans="12:14" ht="15" customHeight="1" x14ac:dyDescent="0.2">
      <c r="L273" s="17" t="str">
        <f t="shared" si="12"/>
        <v/>
      </c>
      <c r="M273" s="18"/>
      <c r="N273" s="18" t="str">
        <f t="shared" si="13"/>
        <v/>
      </c>
    </row>
    <row r="274" spans="12:14" ht="15" customHeight="1" x14ac:dyDescent="0.2">
      <c r="L274" s="17" t="str">
        <f t="shared" si="12"/>
        <v/>
      </c>
      <c r="M274" s="18"/>
      <c r="N274" s="18" t="str">
        <f t="shared" si="13"/>
        <v/>
      </c>
    </row>
    <row r="275" spans="12:14" ht="15" customHeight="1" x14ac:dyDescent="0.2">
      <c r="L275" s="17" t="str">
        <f t="shared" si="12"/>
        <v/>
      </c>
      <c r="M275" s="18"/>
      <c r="N275" s="18" t="str">
        <f t="shared" si="13"/>
        <v/>
      </c>
    </row>
    <row r="276" spans="12:14" ht="15" customHeight="1" x14ac:dyDescent="0.2">
      <c r="L276" s="17" t="str">
        <f t="shared" si="12"/>
        <v/>
      </c>
      <c r="M276" s="18"/>
      <c r="N276" s="18" t="str">
        <f t="shared" si="13"/>
        <v/>
      </c>
    </row>
    <row r="277" spans="12:14" ht="15" customHeight="1" x14ac:dyDescent="0.2">
      <c r="L277" s="17" t="str">
        <f t="shared" si="12"/>
        <v/>
      </c>
      <c r="M277" s="18"/>
      <c r="N277" s="18" t="str">
        <f t="shared" si="13"/>
        <v/>
      </c>
    </row>
    <row r="278" spans="12:14" ht="15" customHeight="1" x14ac:dyDescent="0.2">
      <c r="L278" s="17" t="str">
        <f t="shared" si="12"/>
        <v/>
      </c>
      <c r="M278" s="18"/>
      <c r="N278" s="18" t="str">
        <f t="shared" si="13"/>
        <v/>
      </c>
    </row>
    <row r="279" spans="12:14" ht="15" customHeight="1" x14ac:dyDescent="0.2">
      <c r="L279" s="17" t="str">
        <f t="shared" si="12"/>
        <v/>
      </c>
      <c r="M279" s="18"/>
      <c r="N279" s="18" t="str">
        <f t="shared" si="13"/>
        <v/>
      </c>
    </row>
    <row r="280" spans="12:14" ht="15" customHeight="1" x14ac:dyDescent="0.2">
      <c r="L280" s="17" t="str">
        <f t="shared" si="12"/>
        <v/>
      </c>
      <c r="M280" s="18"/>
      <c r="N280" s="18" t="str">
        <f t="shared" si="13"/>
        <v/>
      </c>
    </row>
    <row r="281" spans="12:14" ht="15" customHeight="1" x14ac:dyDescent="0.2">
      <c r="L281" s="17" t="str">
        <f t="shared" si="12"/>
        <v/>
      </c>
      <c r="M281" s="18"/>
      <c r="N281" s="18" t="str">
        <f t="shared" si="13"/>
        <v/>
      </c>
    </row>
    <row r="282" spans="12:14" ht="15" customHeight="1" x14ac:dyDescent="0.2">
      <c r="L282" s="17" t="str">
        <f t="shared" si="12"/>
        <v/>
      </c>
      <c r="M282" s="18"/>
      <c r="N282" s="18" t="str">
        <f t="shared" si="13"/>
        <v/>
      </c>
    </row>
    <row r="283" spans="12:14" ht="15" customHeight="1" x14ac:dyDescent="0.2">
      <c r="L283" s="17" t="str">
        <f t="shared" si="12"/>
        <v/>
      </c>
      <c r="M283" s="18"/>
      <c r="N283" s="18" t="str">
        <f t="shared" si="13"/>
        <v/>
      </c>
    </row>
    <row r="284" spans="12:14" ht="15" customHeight="1" x14ac:dyDescent="0.2">
      <c r="L284" s="17" t="str">
        <f t="shared" si="12"/>
        <v/>
      </c>
      <c r="M284" s="18"/>
      <c r="N284" s="18" t="str">
        <f t="shared" si="13"/>
        <v/>
      </c>
    </row>
    <row r="285" spans="12:14" ht="15" customHeight="1" x14ac:dyDescent="0.2">
      <c r="L285" s="17" t="str">
        <f t="shared" si="12"/>
        <v/>
      </c>
      <c r="M285" s="18"/>
      <c r="N285" s="18" t="str">
        <f t="shared" si="13"/>
        <v/>
      </c>
    </row>
    <row r="286" spans="12:14" ht="15" customHeight="1" x14ac:dyDescent="0.2">
      <c r="L286" s="17" t="str">
        <f t="shared" si="12"/>
        <v/>
      </c>
      <c r="M286" s="18"/>
      <c r="N286" s="18" t="str">
        <f t="shared" si="13"/>
        <v/>
      </c>
    </row>
    <row r="287" spans="12:14" ht="15" customHeight="1" x14ac:dyDescent="0.2">
      <c r="L287" s="17" t="str">
        <f t="shared" si="12"/>
        <v/>
      </c>
      <c r="M287" s="18"/>
      <c r="N287" s="18" t="str">
        <f t="shared" si="13"/>
        <v/>
      </c>
    </row>
    <row r="288" spans="12:14" ht="15" customHeight="1" x14ac:dyDescent="0.2">
      <c r="L288" s="17" t="str">
        <f t="shared" si="12"/>
        <v/>
      </c>
      <c r="M288" s="18"/>
      <c r="N288" s="18" t="str">
        <f t="shared" si="13"/>
        <v/>
      </c>
    </row>
    <row r="289" spans="12:14" ht="15" customHeight="1" x14ac:dyDescent="0.2">
      <c r="L289" s="17" t="str">
        <f t="shared" si="12"/>
        <v/>
      </c>
      <c r="M289" s="18"/>
      <c r="N289" s="18" t="str">
        <f t="shared" si="13"/>
        <v/>
      </c>
    </row>
    <row r="290" spans="12:14" ht="15" customHeight="1" x14ac:dyDescent="0.2">
      <c r="L290" s="17" t="str">
        <f t="shared" si="12"/>
        <v/>
      </c>
      <c r="M290" s="18"/>
      <c r="N290" s="18" t="str">
        <f t="shared" si="13"/>
        <v/>
      </c>
    </row>
    <row r="291" spans="12:14" ht="15" customHeight="1" x14ac:dyDescent="0.2">
      <c r="L291" s="17" t="str">
        <f t="shared" si="12"/>
        <v/>
      </c>
      <c r="M291" s="18"/>
      <c r="N291" s="18" t="str">
        <f t="shared" si="13"/>
        <v/>
      </c>
    </row>
    <row r="292" spans="12:14" ht="15" customHeight="1" x14ac:dyDescent="0.2">
      <c r="L292" s="17" t="str">
        <f t="shared" si="12"/>
        <v/>
      </c>
      <c r="M292" s="18"/>
      <c r="N292" s="18" t="str">
        <f t="shared" si="13"/>
        <v/>
      </c>
    </row>
    <row r="293" spans="12:14" ht="15" customHeight="1" x14ac:dyDescent="0.2">
      <c r="L293" s="17" t="str">
        <f t="shared" si="12"/>
        <v/>
      </c>
      <c r="M293" s="18"/>
      <c r="N293" s="18" t="str">
        <f t="shared" si="13"/>
        <v/>
      </c>
    </row>
    <row r="294" spans="12:14" ht="15" customHeight="1" x14ac:dyDescent="0.2">
      <c r="L294" s="17" t="str">
        <f t="shared" si="12"/>
        <v/>
      </c>
      <c r="M294" s="18"/>
      <c r="N294" s="18" t="str">
        <f t="shared" si="13"/>
        <v/>
      </c>
    </row>
    <row r="295" spans="12:14" ht="15" customHeight="1" x14ac:dyDescent="0.2">
      <c r="L295" s="17" t="str">
        <f t="shared" si="12"/>
        <v/>
      </c>
      <c r="M295" s="18"/>
      <c r="N295" s="18" t="str">
        <f t="shared" si="13"/>
        <v/>
      </c>
    </row>
    <row r="296" spans="12:14" ht="15" customHeight="1" x14ac:dyDescent="0.2">
      <c r="L296" s="17" t="str">
        <f t="shared" si="12"/>
        <v/>
      </c>
      <c r="M296" s="18"/>
      <c r="N296" s="18" t="str">
        <f t="shared" si="13"/>
        <v/>
      </c>
    </row>
    <row r="297" spans="12:14" ht="15" customHeight="1" x14ac:dyDescent="0.2">
      <c r="L297" s="17" t="str">
        <f t="shared" si="12"/>
        <v/>
      </c>
      <c r="M297" s="18"/>
      <c r="N297" s="18" t="str">
        <f t="shared" si="13"/>
        <v/>
      </c>
    </row>
    <row r="298" spans="12:14" ht="15" customHeight="1" x14ac:dyDescent="0.2">
      <c r="L298" s="17" t="str">
        <f t="shared" si="12"/>
        <v/>
      </c>
      <c r="M298" s="18"/>
      <c r="N298" s="18" t="str">
        <f t="shared" si="13"/>
        <v/>
      </c>
    </row>
    <row r="299" spans="12:14" ht="15" customHeight="1" x14ac:dyDescent="0.2">
      <c r="L299" s="17" t="str">
        <f t="shared" si="12"/>
        <v/>
      </c>
      <c r="M299" s="18"/>
      <c r="N299" s="18" t="str">
        <f t="shared" si="13"/>
        <v/>
      </c>
    </row>
    <row r="300" spans="12:14" ht="15" customHeight="1" x14ac:dyDescent="0.2">
      <c r="L300" s="17" t="str">
        <f t="shared" si="12"/>
        <v/>
      </c>
      <c r="M300" s="18"/>
      <c r="N300" s="18" t="str">
        <f t="shared" si="13"/>
        <v/>
      </c>
    </row>
    <row r="301" spans="12:14" ht="15" customHeight="1" x14ac:dyDescent="0.2">
      <c r="L301" s="17" t="str">
        <f t="shared" si="12"/>
        <v/>
      </c>
      <c r="M301" s="18"/>
      <c r="N301" s="18" t="str">
        <f t="shared" si="13"/>
        <v/>
      </c>
    </row>
    <row r="302" spans="12:14" ht="15" customHeight="1" x14ac:dyDescent="0.2">
      <c r="L302" s="17" t="str">
        <f t="shared" si="12"/>
        <v/>
      </c>
      <c r="M302" s="18"/>
      <c r="N302" s="18" t="str">
        <f t="shared" si="13"/>
        <v/>
      </c>
    </row>
    <row r="303" spans="12:14" ht="15" customHeight="1" x14ac:dyDescent="0.2">
      <c r="L303" s="17" t="str">
        <f t="shared" si="12"/>
        <v/>
      </c>
      <c r="M303" s="18"/>
      <c r="N303" s="18" t="str">
        <f t="shared" si="13"/>
        <v/>
      </c>
    </row>
    <row r="304" spans="12:14" ht="15" customHeight="1" x14ac:dyDescent="0.2">
      <c r="L304" s="17" t="str">
        <f t="shared" si="12"/>
        <v/>
      </c>
      <c r="M304" s="18"/>
      <c r="N304" s="18" t="str">
        <f t="shared" si="13"/>
        <v/>
      </c>
    </row>
    <row r="305" spans="12:14" ht="15" customHeight="1" x14ac:dyDescent="0.2">
      <c r="L305" s="17" t="str">
        <f t="shared" si="12"/>
        <v/>
      </c>
      <c r="M305" s="18"/>
      <c r="N305" s="18" t="str">
        <f t="shared" si="13"/>
        <v/>
      </c>
    </row>
    <row r="306" spans="12:14" ht="15" customHeight="1" x14ac:dyDescent="0.2">
      <c r="L306" s="17" t="str">
        <f t="shared" si="12"/>
        <v/>
      </c>
      <c r="M306" s="18"/>
      <c r="N306" s="18" t="str">
        <f t="shared" si="13"/>
        <v/>
      </c>
    </row>
    <row r="307" spans="12:14" ht="15" customHeight="1" x14ac:dyDescent="0.2">
      <c r="L307" s="17" t="str">
        <f t="shared" si="12"/>
        <v/>
      </c>
      <c r="M307" s="18"/>
      <c r="N307" s="18" t="str">
        <f t="shared" si="13"/>
        <v/>
      </c>
    </row>
    <row r="308" spans="12:14" ht="15" customHeight="1" x14ac:dyDescent="0.2">
      <c r="L308" s="17" t="str">
        <f t="shared" si="12"/>
        <v/>
      </c>
      <c r="M308" s="18"/>
      <c r="N308" s="18" t="str">
        <f t="shared" si="13"/>
        <v/>
      </c>
    </row>
    <row r="309" spans="12:14" ht="15" customHeight="1" x14ac:dyDescent="0.2">
      <c r="L309" s="17" t="str">
        <f t="shared" si="12"/>
        <v/>
      </c>
      <c r="M309" s="18"/>
      <c r="N309" s="18" t="str">
        <f t="shared" si="13"/>
        <v/>
      </c>
    </row>
    <row r="310" spans="12:14" ht="15" customHeight="1" x14ac:dyDescent="0.2">
      <c r="L310" s="17" t="str">
        <f t="shared" si="12"/>
        <v/>
      </c>
      <c r="M310" s="18"/>
      <c r="N310" s="18" t="str">
        <f t="shared" si="13"/>
        <v/>
      </c>
    </row>
    <row r="311" spans="12:14" ht="15" customHeight="1" x14ac:dyDescent="0.2">
      <c r="L311" s="17" t="str">
        <f t="shared" si="12"/>
        <v/>
      </c>
      <c r="M311" s="18"/>
      <c r="N311" s="18" t="str">
        <f t="shared" si="13"/>
        <v/>
      </c>
    </row>
    <row r="312" spans="12:14" ht="15" customHeight="1" x14ac:dyDescent="0.2">
      <c r="L312" s="17" t="str">
        <f t="shared" si="12"/>
        <v/>
      </c>
      <c r="M312" s="18"/>
      <c r="N312" s="18" t="str">
        <f t="shared" si="13"/>
        <v/>
      </c>
    </row>
    <row r="313" spans="12:14" ht="15" customHeight="1" x14ac:dyDescent="0.2">
      <c r="L313" s="17" t="str">
        <f t="shared" si="12"/>
        <v/>
      </c>
      <c r="M313" s="18"/>
      <c r="N313" s="18" t="str">
        <f t="shared" si="13"/>
        <v/>
      </c>
    </row>
    <row r="314" spans="12:14" ht="15" customHeight="1" x14ac:dyDescent="0.2">
      <c r="L314" s="17" t="str">
        <f t="shared" si="12"/>
        <v/>
      </c>
      <c r="M314" s="18"/>
      <c r="N314" s="18" t="str">
        <f t="shared" si="13"/>
        <v/>
      </c>
    </row>
    <row r="315" spans="12:14" ht="15" customHeight="1" x14ac:dyDescent="0.2">
      <c r="L315" s="17" t="str">
        <f t="shared" si="12"/>
        <v/>
      </c>
      <c r="M315" s="18"/>
      <c r="N315" s="18" t="str">
        <f t="shared" si="13"/>
        <v/>
      </c>
    </row>
    <row r="316" spans="12:14" ht="15" customHeight="1" x14ac:dyDescent="0.2">
      <c r="L316" s="17" t="str">
        <f t="shared" si="12"/>
        <v/>
      </c>
      <c r="M316" s="18"/>
      <c r="N316" s="18" t="str">
        <f t="shared" si="13"/>
        <v/>
      </c>
    </row>
    <row r="317" spans="12:14" ht="15" customHeight="1" x14ac:dyDescent="0.2">
      <c r="L317" s="17" t="str">
        <f t="shared" si="12"/>
        <v/>
      </c>
      <c r="M317" s="18"/>
      <c r="N317" s="18" t="str">
        <f t="shared" si="13"/>
        <v/>
      </c>
    </row>
    <row r="318" spans="12:14" ht="15" customHeight="1" x14ac:dyDescent="0.2">
      <c r="L318" s="17" t="str">
        <f t="shared" si="12"/>
        <v/>
      </c>
      <c r="M318" s="18"/>
      <c r="N318" s="18" t="str">
        <f t="shared" si="13"/>
        <v/>
      </c>
    </row>
    <row r="319" spans="12:14" ht="15" customHeight="1" x14ac:dyDescent="0.2">
      <c r="L319" s="17" t="str">
        <f t="shared" si="12"/>
        <v/>
      </c>
      <c r="M319" s="18"/>
      <c r="N319" s="18" t="str">
        <f t="shared" si="13"/>
        <v/>
      </c>
    </row>
    <row r="320" spans="12:14" ht="15" customHeight="1" x14ac:dyDescent="0.2">
      <c r="L320" s="17" t="str">
        <f t="shared" si="12"/>
        <v/>
      </c>
      <c r="M320" s="18"/>
      <c r="N320" s="18" t="str">
        <f t="shared" si="13"/>
        <v/>
      </c>
    </row>
    <row r="321" spans="12:14" ht="15" customHeight="1" x14ac:dyDescent="0.2">
      <c r="L321" s="17" t="str">
        <f t="shared" si="12"/>
        <v/>
      </c>
      <c r="M321" s="18"/>
      <c r="N321" s="18" t="str">
        <f t="shared" si="13"/>
        <v/>
      </c>
    </row>
    <row r="322" spans="12:14" ht="15" customHeight="1" x14ac:dyDescent="0.2">
      <c r="L322" s="17" t="str">
        <f t="shared" ref="L322:L385" si="14">IF(OR(I322="",J322=""),"",J322-I322)</f>
        <v/>
      </c>
      <c r="M322" s="18"/>
      <c r="N322" s="18" t="str">
        <f t="shared" si="13"/>
        <v/>
      </c>
    </row>
    <row r="323" spans="12:14" ht="15" customHeight="1" x14ac:dyDescent="0.2">
      <c r="L323" s="17" t="str">
        <f t="shared" si="14"/>
        <v/>
      </c>
      <c r="M323" s="18"/>
      <c r="N323" s="18" t="str">
        <f t="shared" ref="N323:N386" si="15">IF(J323="","",TEXT(J323,"[$-419]mmmm yyyy"))</f>
        <v/>
      </c>
    </row>
    <row r="324" spans="12:14" ht="15" customHeight="1" x14ac:dyDescent="0.2">
      <c r="L324" s="17" t="str">
        <f t="shared" si="14"/>
        <v/>
      </c>
      <c r="M324" s="18"/>
      <c r="N324" s="18" t="str">
        <f t="shared" si="15"/>
        <v/>
      </c>
    </row>
    <row r="325" spans="12:14" ht="15" customHeight="1" x14ac:dyDescent="0.2">
      <c r="L325" s="17" t="str">
        <f t="shared" si="14"/>
        <v/>
      </c>
      <c r="M325" s="18"/>
      <c r="N325" s="18" t="str">
        <f t="shared" si="15"/>
        <v/>
      </c>
    </row>
    <row r="326" spans="12:14" ht="15" customHeight="1" x14ac:dyDescent="0.2">
      <c r="L326" s="17" t="str">
        <f t="shared" si="14"/>
        <v/>
      </c>
      <c r="M326" s="18"/>
      <c r="N326" s="18" t="str">
        <f t="shared" si="15"/>
        <v/>
      </c>
    </row>
    <row r="327" spans="12:14" ht="15" customHeight="1" x14ac:dyDescent="0.2">
      <c r="L327" s="17" t="str">
        <f t="shared" si="14"/>
        <v/>
      </c>
      <c r="M327" s="18"/>
      <c r="N327" s="18" t="str">
        <f t="shared" si="15"/>
        <v/>
      </c>
    </row>
    <row r="328" spans="12:14" ht="15" customHeight="1" x14ac:dyDescent="0.2">
      <c r="L328" s="17" t="str">
        <f t="shared" si="14"/>
        <v/>
      </c>
      <c r="M328" s="18"/>
      <c r="N328" s="18" t="str">
        <f t="shared" si="15"/>
        <v/>
      </c>
    </row>
    <row r="329" spans="12:14" ht="15" customHeight="1" x14ac:dyDescent="0.2">
      <c r="L329" s="17" t="str">
        <f t="shared" si="14"/>
        <v/>
      </c>
      <c r="M329" s="18"/>
      <c r="N329" s="18" t="str">
        <f t="shared" si="15"/>
        <v/>
      </c>
    </row>
    <row r="330" spans="12:14" ht="15" customHeight="1" x14ac:dyDescent="0.2">
      <c r="L330" s="17" t="str">
        <f t="shared" si="14"/>
        <v/>
      </c>
      <c r="M330" s="18"/>
      <c r="N330" s="18" t="str">
        <f t="shared" si="15"/>
        <v/>
      </c>
    </row>
    <row r="331" spans="12:14" ht="15" customHeight="1" x14ac:dyDescent="0.2">
      <c r="L331" s="17" t="str">
        <f t="shared" si="14"/>
        <v/>
      </c>
      <c r="M331" s="18"/>
      <c r="N331" s="18" t="str">
        <f t="shared" si="15"/>
        <v/>
      </c>
    </row>
    <row r="332" spans="12:14" ht="15" customHeight="1" x14ac:dyDescent="0.2">
      <c r="L332" s="17" t="str">
        <f t="shared" si="14"/>
        <v/>
      </c>
      <c r="M332" s="18"/>
      <c r="N332" s="18" t="str">
        <f t="shared" si="15"/>
        <v/>
      </c>
    </row>
    <row r="333" spans="12:14" ht="15" customHeight="1" x14ac:dyDescent="0.2">
      <c r="L333" s="17" t="str">
        <f t="shared" si="14"/>
        <v/>
      </c>
      <c r="M333" s="18"/>
      <c r="N333" s="18" t="str">
        <f t="shared" si="15"/>
        <v/>
      </c>
    </row>
    <row r="334" spans="12:14" ht="15" customHeight="1" x14ac:dyDescent="0.2">
      <c r="L334" s="17" t="str">
        <f t="shared" si="14"/>
        <v/>
      </c>
      <c r="M334" s="18"/>
      <c r="N334" s="18" t="str">
        <f t="shared" si="15"/>
        <v/>
      </c>
    </row>
    <row r="335" spans="12:14" ht="15" customHeight="1" x14ac:dyDescent="0.2">
      <c r="L335" s="17" t="str">
        <f t="shared" si="14"/>
        <v/>
      </c>
      <c r="M335" s="18"/>
      <c r="N335" s="18" t="str">
        <f t="shared" si="15"/>
        <v/>
      </c>
    </row>
    <row r="336" spans="12:14" ht="15" customHeight="1" x14ac:dyDescent="0.2">
      <c r="L336" s="17" t="str">
        <f t="shared" si="14"/>
        <v/>
      </c>
      <c r="M336" s="18"/>
      <c r="N336" s="18" t="str">
        <f t="shared" si="15"/>
        <v/>
      </c>
    </row>
    <row r="337" spans="12:14" ht="15" customHeight="1" x14ac:dyDescent="0.2">
      <c r="L337" s="17" t="str">
        <f t="shared" si="14"/>
        <v/>
      </c>
      <c r="M337" s="18"/>
      <c r="N337" s="18" t="str">
        <f t="shared" si="15"/>
        <v/>
      </c>
    </row>
    <row r="338" spans="12:14" ht="15" customHeight="1" x14ac:dyDescent="0.2">
      <c r="L338" s="17" t="str">
        <f t="shared" si="14"/>
        <v/>
      </c>
      <c r="M338" s="18"/>
      <c r="N338" s="18" t="str">
        <f t="shared" si="15"/>
        <v/>
      </c>
    </row>
    <row r="339" spans="12:14" ht="15" customHeight="1" x14ac:dyDescent="0.2">
      <c r="L339" s="17" t="str">
        <f t="shared" si="14"/>
        <v/>
      </c>
      <c r="M339" s="18"/>
      <c r="N339" s="18" t="str">
        <f t="shared" si="15"/>
        <v/>
      </c>
    </row>
    <row r="340" spans="12:14" ht="15" customHeight="1" x14ac:dyDescent="0.2">
      <c r="L340" s="17" t="str">
        <f t="shared" si="14"/>
        <v/>
      </c>
      <c r="M340" s="18"/>
      <c r="N340" s="18" t="str">
        <f t="shared" si="15"/>
        <v/>
      </c>
    </row>
    <row r="341" spans="12:14" ht="15" customHeight="1" x14ac:dyDescent="0.2">
      <c r="L341" s="17" t="str">
        <f t="shared" si="14"/>
        <v/>
      </c>
      <c r="M341" s="18"/>
      <c r="N341" s="18" t="str">
        <f t="shared" si="15"/>
        <v/>
      </c>
    </row>
    <row r="342" spans="12:14" ht="15" customHeight="1" x14ac:dyDescent="0.2">
      <c r="L342" s="17" t="str">
        <f t="shared" si="14"/>
        <v/>
      </c>
      <c r="M342" s="18"/>
      <c r="N342" s="18" t="str">
        <f t="shared" si="15"/>
        <v/>
      </c>
    </row>
    <row r="343" spans="12:14" ht="15" customHeight="1" x14ac:dyDescent="0.2">
      <c r="L343" s="17" t="str">
        <f t="shared" si="14"/>
        <v/>
      </c>
      <c r="M343" s="18"/>
      <c r="N343" s="18" t="str">
        <f t="shared" si="15"/>
        <v/>
      </c>
    </row>
    <row r="344" spans="12:14" ht="15" customHeight="1" x14ac:dyDescent="0.2">
      <c r="L344" s="17" t="str">
        <f t="shared" si="14"/>
        <v/>
      </c>
      <c r="M344" s="18"/>
      <c r="N344" s="18" t="str">
        <f t="shared" si="15"/>
        <v/>
      </c>
    </row>
    <row r="345" spans="12:14" ht="15" customHeight="1" x14ac:dyDescent="0.2">
      <c r="L345" s="17" t="str">
        <f t="shared" si="14"/>
        <v/>
      </c>
      <c r="M345" s="18"/>
      <c r="N345" s="18" t="str">
        <f t="shared" si="15"/>
        <v/>
      </c>
    </row>
    <row r="346" spans="12:14" ht="15" customHeight="1" x14ac:dyDescent="0.2">
      <c r="L346" s="17" t="str">
        <f t="shared" si="14"/>
        <v/>
      </c>
      <c r="M346" s="18"/>
      <c r="N346" s="18" t="str">
        <f t="shared" si="15"/>
        <v/>
      </c>
    </row>
    <row r="347" spans="12:14" ht="15" customHeight="1" x14ac:dyDescent="0.2">
      <c r="L347" s="17" t="str">
        <f t="shared" si="14"/>
        <v/>
      </c>
      <c r="M347" s="18"/>
      <c r="N347" s="18" t="str">
        <f t="shared" si="15"/>
        <v/>
      </c>
    </row>
    <row r="348" spans="12:14" ht="15" customHeight="1" x14ac:dyDescent="0.2">
      <c r="L348" s="17" t="str">
        <f t="shared" si="14"/>
        <v/>
      </c>
      <c r="M348" s="18"/>
      <c r="N348" s="18" t="str">
        <f t="shared" si="15"/>
        <v/>
      </c>
    </row>
    <row r="349" spans="12:14" ht="15" customHeight="1" x14ac:dyDescent="0.2">
      <c r="L349" s="17" t="str">
        <f t="shared" si="14"/>
        <v/>
      </c>
      <c r="M349" s="18"/>
      <c r="N349" s="18" t="str">
        <f t="shared" si="15"/>
        <v/>
      </c>
    </row>
    <row r="350" spans="12:14" ht="15" customHeight="1" x14ac:dyDescent="0.2">
      <c r="L350" s="17" t="str">
        <f t="shared" si="14"/>
        <v/>
      </c>
      <c r="M350" s="18"/>
      <c r="N350" s="18" t="str">
        <f t="shared" si="15"/>
        <v/>
      </c>
    </row>
    <row r="351" spans="12:14" ht="15" customHeight="1" x14ac:dyDescent="0.2">
      <c r="L351" s="17" t="str">
        <f t="shared" si="14"/>
        <v/>
      </c>
      <c r="M351" s="18"/>
      <c r="N351" s="18" t="str">
        <f t="shared" si="15"/>
        <v/>
      </c>
    </row>
    <row r="352" spans="12:14" ht="15" customHeight="1" x14ac:dyDescent="0.2">
      <c r="L352" s="17" t="str">
        <f t="shared" si="14"/>
        <v/>
      </c>
      <c r="M352" s="18"/>
      <c r="N352" s="18" t="str">
        <f t="shared" si="15"/>
        <v/>
      </c>
    </row>
    <row r="353" spans="12:14" ht="15" customHeight="1" x14ac:dyDescent="0.2">
      <c r="L353" s="17" t="str">
        <f t="shared" si="14"/>
        <v/>
      </c>
      <c r="M353" s="18"/>
      <c r="N353" s="18" t="str">
        <f t="shared" si="15"/>
        <v/>
      </c>
    </row>
    <row r="354" spans="12:14" ht="15" customHeight="1" x14ac:dyDescent="0.2">
      <c r="L354" s="17" t="str">
        <f t="shared" si="14"/>
        <v/>
      </c>
      <c r="M354" s="18"/>
      <c r="N354" s="18" t="str">
        <f t="shared" si="15"/>
        <v/>
      </c>
    </row>
    <row r="355" spans="12:14" ht="15" customHeight="1" x14ac:dyDescent="0.2">
      <c r="L355" s="17" t="str">
        <f t="shared" si="14"/>
        <v/>
      </c>
      <c r="M355" s="18"/>
      <c r="N355" s="18" t="str">
        <f t="shared" si="15"/>
        <v/>
      </c>
    </row>
    <row r="356" spans="12:14" ht="15" customHeight="1" x14ac:dyDescent="0.2">
      <c r="L356" s="17" t="str">
        <f t="shared" si="14"/>
        <v/>
      </c>
      <c r="M356" s="18"/>
      <c r="N356" s="18" t="str">
        <f t="shared" si="15"/>
        <v/>
      </c>
    </row>
    <row r="357" spans="12:14" ht="15" customHeight="1" x14ac:dyDescent="0.2">
      <c r="L357" s="17" t="str">
        <f t="shared" si="14"/>
        <v/>
      </c>
      <c r="M357" s="18"/>
      <c r="N357" s="18" t="str">
        <f t="shared" si="15"/>
        <v/>
      </c>
    </row>
    <row r="358" spans="12:14" ht="15" customHeight="1" x14ac:dyDescent="0.2">
      <c r="L358" s="17" t="str">
        <f t="shared" si="14"/>
        <v/>
      </c>
      <c r="M358" s="18"/>
      <c r="N358" s="18" t="str">
        <f t="shared" si="15"/>
        <v/>
      </c>
    </row>
    <row r="359" spans="12:14" ht="15" customHeight="1" x14ac:dyDescent="0.2">
      <c r="L359" s="17" t="str">
        <f t="shared" si="14"/>
        <v/>
      </c>
      <c r="M359" s="18"/>
      <c r="N359" s="18" t="str">
        <f t="shared" si="15"/>
        <v/>
      </c>
    </row>
    <row r="360" spans="12:14" ht="15" customHeight="1" x14ac:dyDescent="0.2">
      <c r="L360" s="17" t="str">
        <f t="shared" si="14"/>
        <v/>
      </c>
      <c r="M360" s="18"/>
      <c r="N360" s="18" t="str">
        <f t="shared" si="15"/>
        <v/>
      </c>
    </row>
    <row r="361" spans="12:14" ht="15" customHeight="1" x14ac:dyDescent="0.2">
      <c r="L361" s="17" t="str">
        <f t="shared" si="14"/>
        <v/>
      </c>
      <c r="M361" s="18"/>
      <c r="N361" s="18" t="str">
        <f t="shared" si="15"/>
        <v/>
      </c>
    </row>
    <row r="362" spans="12:14" ht="15" customHeight="1" x14ac:dyDescent="0.2">
      <c r="L362" s="17" t="str">
        <f t="shared" si="14"/>
        <v/>
      </c>
      <c r="M362" s="18"/>
      <c r="N362" s="18" t="str">
        <f t="shared" si="15"/>
        <v/>
      </c>
    </row>
    <row r="363" spans="12:14" ht="15" customHeight="1" x14ac:dyDescent="0.2">
      <c r="L363" s="17" t="str">
        <f t="shared" si="14"/>
        <v/>
      </c>
      <c r="M363" s="18"/>
      <c r="N363" s="18" t="str">
        <f t="shared" si="15"/>
        <v/>
      </c>
    </row>
    <row r="364" spans="12:14" ht="15" customHeight="1" x14ac:dyDescent="0.2">
      <c r="L364" s="17" t="str">
        <f t="shared" si="14"/>
        <v/>
      </c>
      <c r="M364" s="18"/>
      <c r="N364" s="18" t="str">
        <f t="shared" si="15"/>
        <v/>
      </c>
    </row>
    <row r="365" spans="12:14" ht="15" customHeight="1" x14ac:dyDescent="0.2">
      <c r="L365" s="17" t="str">
        <f t="shared" si="14"/>
        <v/>
      </c>
      <c r="M365" s="18"/>
      <c r="N365" s="18" t="str">
        <f t="shared" si="15"/>
        <v/>
      </c>
    </row>
    <row r="366" spans="12:14" ht="15" customHeight="1" x14ac:dyDescent="0.2">
      <c r="L366" s="17" t="str">
        <f t="shared" si="14"/>
        <v/>
      </c>
      <c r="M366" s="18"/>
      <c r="N366" s="18" t="str">
        <f t="shared" si="15"/>
        <v/>
      </c>
    </row>
    <row r="367" spans="12:14" ht="15" customHeight="1" x14ac:dyDescent="0.2">
      <c r="L367" s="17" t="str">
        <f t="shared" si="14"/>
        <v/>
      </c>
      <c r="M367" s="18"/>
      <c r="N367" s="18" t="str">
        <f t="shared" si="15"/>
        <v/>
      </c>
    </row>
    <row r="368" spans="12:14" ht="15" customHeight="1" x14ac:dyDescent="0.2">
      <c r="L368" s="17" t="str">
        <f t="shared" si="14"/>
        <v/>
      </c>
      <c r="M368" s="18"/>
      <c r="N368" s="18" t="str">
        <f t="shared" si="15"/>
        <v/>
      </c>
    </row>
    <row r="369" spans="12:14" ht="15" customHeight="1" x14ac:dyDescent="0.2">
      <c r="L369" s="17" t="str">
        <f t="shared" si="14"/>
        <v/>
      </c>
      <c r="M369" s="18"/>
      <c r="N369" s="18" t="str">
        <f t="shared" si="15"/>
        <v/>
      </c>
    </row>
    <row r="370" spans="12:14" ht="15" customHeight="1" x14ac:dyDescent="0.2">
      <c r="L370" s="17" t="str">
        <f t="shared" si="14"/>
        <v/>
      </c>
      <c r="M370" s="18"/>
      <c r="N370" s="18" t="str">
        <f t="shared" si="15"/>
        <v/>
      </c>
    </row>
    <row r="371" spans="12:14" ht="15" customHeight="1" x14ac:dyDescent="0.2">
      <c r="L371" s="17" t="str">
        <f t="shared" si="14"/>
        <v/>
      </c>
      <c r="M371" s="18"/>
      <c r="N371" s="18" t="str">
        <f t="shared" si="15"/>
        <v/>
      </c>
    </row>
    <row r="372" spans="12:14" ht="15" customHeight="1" x14ac:dyDescent="0.2">
      <c r="L372" s="17" t="str">
        <f t="shared" si="14"/>
        <v/>
      </c>
      <c r="M372" s="18"/>
      <c r="N372" s="18" t="str">
        <f t="shared" si="15"/>
        <v/>
      </c>
    </row>
    <row r="373" spans="12:14" ht="15" customHeight="1" x14ac:dyDescent="0.2">
      <c r="L373" s="17" t="str">
        <f t="shared" si="14"/>
        <v/>
      </c>
      <c r="M373" s="17"/>
      <c r="N373" s="18" t="str">
        <f t="shared" si="15"/>
        <v/>
      </c>
    </row>
    <row r="374" spans="12:14" ht="15" customHeight="1" x14ac:dyDescent="0.2">
      <c r="L374" s="17" t="str">
        <f t="shared" si="14"/>
        <v/>
      </c>
      <c r="M374" s="17"/>
      <c r="N374" s="18" t="str">
        <f t="shared" si="15"/>
        <v/>
      </c>
    </row>
    <row r="375" spans="12:14" ht="15" customHeight="1" x14ac:dyDescent="0.2">
      <c r="L375" s="17" t="str">
        <f t="shared" si="14"/>
        <v/>
      </c>
      <c r="M375" s="17"/>
      <c r="N375" s="18" t="str">
        <f t="shared" si="15"/>
        <v/>
      </c>
    </row>
    <row r="376" spans="12:14" ht="15" customHeight="1" x14ac:dyDescent="0.2">
      <c r="L376" s="17" t="str">
        <f t="shared" si="14"/>
        <v/>
      </c>
      <c r="M376" s="17"/>
      <c r="N376" s="18" t="str">
        <f t="shared" si="15"/>
        <v/>
      </c>
    </row>
    <row r="377" spans="12:14" ht="15" customHeight="1" x14ac:dyDescent="0.2">
      <c r="L377" s="17" t="str">
        <f t="shared" si="14"/>
        <v/>
      </c>
      <c r="M377" s="17"/>
      <c r="N377" s="18" t="str">
        <f t="shared" si="15"/>
        <v/>
      </c>
    </row>
    <row r="378" spans="12:14" ht="15" customHeight="1" x14ac:dyDescent="0.2">
      <c r="L378" s="17" t="str">
        <f t="shared" si="14"/>
        <v/>
      </c>
      <c r="M378" s="17"/>
      <c r="N378" s="18" t="str">
        <f t="shared" si="15"/>
        <v/>
      </c>
    </row>
    <row r="379" spans="12:14" ht="15" customHeight="1" x14ac:dyDescent="0.2">
      <c r="L379" s="17" t="str">
        <f t="shared" si="14"/>
        <v/>
      </c>
      <c r="M379" s="17"/>
      <c r="N379" s="18" t="str">
        <f t="shared" si="15"/>
        <v/>
      </c>
    </row>
    <row r="380" spans="12:14" ht="15" customHeight="1" x14ac:dyDescent="0.2">
      <c r="L380" s="17" t="str">
        <f t="shared" si="14"/>
        <v/>
      </c>
      <c r="M380" s="17"/>
      <c r="N380" s="18" t="str">
        <f t="shared" si="15"/>
        <v/>
      </c>
    </row>
    <row r="381" spans="12:14" ht="15" customHeight="1" x14ac:dyDescent="0.2">
      <c r="L381" s="17" t="str">
        <f t="shared" si="14"/>
        <v/>
      </c>
      <c r="M381" s="17"/>
      <c r="N381" s="18" t="str">
        <f t="shared" si="15"/>
        <v/>
      </c>
    </row>
    <row r="382" spans="12:14" ht="15" customHeight="1" x14ac:dyDescent="0.2">
      <c r="L382" s="17" t="str">
        <f t="shared" si="14"/>
        <v/>
      </c>
      <c r="M382" s="17"/>
      <c r="N382" s="18" t="str">
        <f t="shared" si="15"/>
        <v/>
      </c>
    </row>
    <row r="383" spans="12:14" ht="15" customHeight="1" x14ac:dyDescent="0.2">
      <c r="L383" s="17" t="str">
        <f t="shared" si="14"/>
        <v/>
      </c>
      <c r="M383" s="17"/>
      <c r="N383" s="18" t="str">
        <f t="shared" si="15"/>
        <v/>
      </c>
    </row>
    <row r="384" spans="12:14" ht="15" customHeight="1" x14ac:dyDescent="0.2">
      <c r="L384" s="17" t="str">
        <f t="shared" si="14"/>
        <v/>
      </c>
      <c r="M384" s="17"/>
      <c r="N384" s="18" t="str">
        <f t="shared" si="15"/>
        <v/>
      </c>
    </row>
    <row r="385" spans="12:14" ht="15" customHeight="1" x14ac:dyDescent="0.2">
      <c r="L385" s="17" t="str">
        <f t="shared" si="14"/>
        <v/>
      </c>
      <c r="M385" s="17"/>
      <c r="N385" s="18" t="str">
        <f t="shared" si="15"/>
        <v/>
      </c>
    </row>
    <row r="386" spans="12:14" ht="15" customHeight="1" x14ac:dyDescent="0.2">
      <c r="L386" s="17" t="str">
        <f t="shared" ref="L386:L419" si="16">IF(OR(I386="",J386=""),"",J386-I386)</f>
        <v/>
      </c>
      <c r="M386" s="17"/>
      <c r="N386" s="18" t="str">
        <f t="shared" si="15"/>
        <v/>
      </c>
    </row>
    <row r="387" spans="12:14" ht="15" customHeight="1" x14ac:dyDescent="0.2">
      <c r="L387" s="17" t="str">
        <f t="shared" si="16"/>
        <v/>
      </c>
      <c r="M387" s="17"/>
      <c r="N387" s="18" t="str">
        <f t="shared" ref="N387:N450" si="17">IF(J387="","",TEXT(J387,"[$-419]mmmm yyyy"))</f>
        <v/>
      </c>
    </row>
    <row r="388" spans="12:14" ht="15" customHeight="1" x14ac:dyDescent="0.2">
      <c r="L388" s="17" t="str">
        <f t="shared" si="16"/>
        <v/>
      </c>
      <c r="M388" s="17"/>
      <c r="N388" s="18" t="str">
        <f t="shared" si="17"/>
        <v/>
      </c>
    </row>
    <row r="389" spans="12:14" ht="15" customHeight="1" x14ac:dyDescent="0.2">
      <c r="L389" s="17" t="str">
        <f t="shared" si="16"/>
        <v/>
      </c>
      <c r="M389" s="17"/>
      <c r="N389" s="18" t="str">
        <f t="shared" si="17"/>
        <v/>
      </c>
    </row>
    <row r="390" spans="12:14" ht="15" customHeight="1" x14ac:dyDescent="0.2">
      <c r="L390" s="17" t="str">
        <f t="shared" si="16"/>
        <v/>
      </c>
      <c r="M390" s="17"/>
      <c r="N390" s="18" t="str">
        <f t="shared" si="17"/>
        <v/>
      </c>
    </row>
    <row r="391" spans="12:14" ht="15" customHeight="1" x14ac:dyDescent="0.2">
      <c r="L391" s="17" t="str">
        <f t="shared" si="16"/>
        <v/>
      </c>
      <c r="M391" s="17"/>
      <c r="N391" s="18" t="str">
        <f t="shared" si="17"/>
        <v/>
      </c>
    </row>
    <row r="392" spans="12:14" ht="15" customHeight="1" x14ac:dyDescent="0.2">
      <c r="L392" s="17" t="str">
        <f t="shared" si="16"/>
        <v/>
      </c>
      <c r="M392" s="17"/>
      <c r="N392" s="18" t="str">
        <f t="shared" si="17"/>
        <v/>
      </c>
    </row>
    <row r="393" spans="12:14" ht="15" customHeight="1" x14ac:dyDescent="0.2">
      <c r="L393" s="17" t="str">
        <f t="shared" si="16"/>
        <v/>
      </c>
      <c r="M393" s="17"/>
      <c r="N393" s="18" t="str">
        <f t="shared" si="17"/>
        <v/>
      </c>
    </row>
    <row r="394" spans="12:14" ht="15" customHeight="1" x14ac:dyDescent="0.2">
      <c r="L394" s="17" t="str">
        <f t="shared" si="16"/>
        <v/>
      </c>
      <c r="M394" s="17"/>
      <c r="N394" s="18" t="str">
        <f t="shared" si="17"/>
        <v/>
      </c>
    </row>
    <row r="395" spans="12:14" ht="15" customHeight="1" x14ac:dyDescent="0.2">
      <c r="L395" s="17" t="str">
        <f t="shared" si="16"/>
        <v/>
      </c>
      <c r="M395" s="17"/>
      <c r="N395" s="18" t="str">
        <f t="shared" si="17"/>
        <v/>
      </c>
    </row>
    <row r="396" spans="12:14" ht="15" customHeight="1" x14ac:dyDescent="0.2">
      <c r="L396" s="17" t="str">
        <f t="shared" si="16"/>
        <v/>
      </c>
      <c r="M396" s="17"/>
      <c r="N396" s="18" t="str">
        <f t="shared" si="17"/>
        <v/>
      </c>
    </row>
    <row r="397" spans="12:14" ht="15" customHeight="1" x14ac:dyDescent="0.2">
      <c r="L397" s="17" t="str">
        <f t="shared" si="16"/>
        <v/>
      </c>
      <c r="M397" s="17"/>
      <c r="N397" s="18" t="str">
        <f t="shared" si="17"/>
        <v/>
      </c>
    </row>
    <row r="398" spans="12:14" ht="15" customHeight="1" x14ac:dyDescent="0.2">
      <c r="L398" s="17" t="str">
        <f t="shared" si="16"/>
        <v/>
      </c>
      <c r="M398" s="17"/>
      <c r="N398" s="18" t="str">
        <f t="shared" si="17"/>
        <v/>
      </c>
    </row>
    <row r="399" spans="12:14" ht="15" customHeight="1" x14ac:dyDescent="0.2">
      <c r="L399" s="17" t="str">
        <f t="shared" si="16"/>
        <v/>
      </c>
      <c r="M399" s="17"/>
      <c r="N399" s="18" t="str">
        <f t="shared" si="17"/>
        <v/>
      </c>
    </row>
    <row r="400" spans="12:14" ht="15" customHeight="1" x14ac:dyDescent="0.2">
      <c r="L400" s="17" t="str">
        <f t="shared" si="16"/>
        <v/>
      </c>
      <c r="M400" s="17"/>
      <c r="N400" s="18" t="str">
        <f t="shared" si="17"/>
        <v/>
      </c>
    </row>
    <row r="401" spans="12:14" ht="15" customHeight="1" x14ac:dyDescent="0.2">
      <c r="L401" s="17" t="str">
        <f t="shared" si="16"/>
        <v/>
      </c>
      <c r="M401" s="17"/>
      <c r="N401" s="18" t="str">
        <f t="shared" si="17"/>
        <v/>
      </c>
    </row>
    <row r="402" spans="12:14" ht="15" customHeight="1" x14ac:dyDescent="0.2">
      <c r="L402" s="17" t="str">
        <f t="shared" si="16"/>
        <v/>
      </c>
      <c r="M402" s="17"/>
      <c r="N402" s="18" t="str">
        <f t="shared" si="17"/>
        <v/>
      </c>
    </row>
    <row r="403" spans="12:14" ht="15" customHeight="1" x14ac:dyDescent="0.2">
      <c r="L403" s="17" t="str">
        <f t="shared" si="16"/>
        <v/>
      </c>
      <c r="M403" s="17"/>
      <c r="N403" s="18" t="str">
        <f t="shared" si="17"/>
        <v/>
      </c>
    </row>
    <row r="404" spans="12:14" ht="15" customHeight="1" x14ac:dyDescent="0.2">
      <c r="L404" s="17" t="str">
        <f t="shared" si="16"/>
        <v/>
      </c>
      <c r="M404" s="17"/>
      <c r="N404" s="18" t="str">
        <f t="shared" si="17"/>
        <v/>
      </c>
    </row>
    <row r="405" spans="12:14" ht="15" customHeight="1" x14ac:dyDescent="0.2">
      <c r="L405" s="17" t="str">
        <f t="shared" si="16"/>
        <v/>
      </c>
      <c r="M405" s="17"/>
      <c r="N405" s="18" t="str">
        <f t="shared" si="17"/>
        <v/>
      </c>
    </row>
    <row r="406" spans="12:14" ht="15" customHeight="1" x14ac:dyDescent="0.2">
      <c r="L406" s="17" t="str">
        <f t="shared" si="16"/>
        <v/>
      </c>
      <c r="M406" s="17"/>
      <c r="N406" s="18" t="str">
        <f t="shared" si="17"/>
        <v/>
      </c>
    </row>
    <row r="407" spans="12:14" ht="15" customHeight="1" x14ac:dyDescent="0.2">
      <c r="L407" s="17" t="str">
        <f t="shared" si="16"/>
        <v/>
      </c>
      <c r="M407" s="17"/>
      <c r="N407" s="18" t="str">
        <f t="shared" si="17"/>
        <v/>
      </c>
    </row>
    <row r="408" spans="12:14" ht="15" customHeight="1" x14ac:dyDescent="0.2">
      <c r="L408" s="17" t="str">
        <f t="shared" si="16"/>
        <v/>
      </c>
      <c r="M408" s="17"/>
      <c r="N408" s="18" t="str">
        <f t="shared" si="17"/>
        <v/>
      </c>
    </row>
    <row r="409" spans="12:14" ht="15" customHeight="1" x14ac:dyDescent="0.2">
      <c r="L409" s="17" t="str">
        <f t="shared" si="16"/>
        <v/>
      </c>
      <c r="M409" s="17"/>
      <c r="N409" s="18" t="str">
        <f t="shared" si="17"/>
        <v/>
      </c>
    </row>
    <row r="410" spans="12:14" ht="15" customHeight="1" x14ac:dyDescent="0.2">
      <c r="L410" s="17" t="str">
        <f t="shared" si="16"/>
        <v/>
      </c>
      <c r="M410" s="17"/>
      <c r="N410" s="18" t="str">
        <f t="shared" si="17"/>
        <v/>
      </c>
    </row>
    <row r="411" spans="12:14" ht="15" customHeight="1" x14ac:dyDescent="0.2">
      <c r="L411" s="17" t="str">
        <f t="shared" si="16"/>
        <v/>
      </c>
      <c r="M411" s="17"/>
      <c r="N411" s="18" t="str">
        <f t="shared" si="17"/>
        <v/>
      </c>
    </row>
    <row r="412" spans="12:14" ht="15" customHeight="1" x14ac:dyDescent="0.2">
      <c r="L412" s="17" t="str">
        <f t="shared" si="16"/>
        <v/>
      </c>
      <c r="M412" s="17"/>
      <c r="N412" s="18" t="str">
        <f t="shared" si="17"/>
        <v/>
      </c>
    </row>
    <row r="413" spans="12:14" ht="15" customHeight="1" x14ac:dyDescent="0.2">
      <c r="L413" s="17" t="str">
        <f t="shared" si="16"/>
        <v/>
      </c>
      <c r="M413" s="17"/>
      <c r="N413" s="18" t="str">
        <f t="shared" si="17"/>
        <v/>
      </c>
    </row>
    <row r="414" spans="12:14" ht="15" customHeight="1" x14ac:dyDescent="0.2">
      <c r="L414" s="17" t="str">
        <f t="shared" si="16"/>
        <v/>
      </c>
      <c r="M414" s="17"/>
      <c r="N414" s="18" t="str">
        <f t="shared" si="17"/>
        <v/>
      </c>
    </row>
    <row r="415" spans="12:14" ht="15" customHeight="1" x14ac:dyDescent="0.2">
      <c r="L415" s="17" t="str">
        <f t="shared" si="16"/>
        <v/>
      </c>
      <c r="M415" s="17"/>
      <c r="N415" s="18" t="str">
        <f t="shared" si="17"/>
        <v/>
      </c>
    </row>
    <row r="416" spans="12:14" ht="15" customHeight="1" x14ac:dyDescent="0.2">
      <c r="L416" s="17" t="str">
        <f t="shared" si="16"/>
        <v/>
      </c>
      <c r="M416" s="17"/>
      <c r="N416" s="18" t="str">
        <f t="shared" si="17"/>
        <v/>
      </c>
    </row>
    <row r="417" spans="12:14" ht="15" customHeight="1" x14ac:dyDescent="0.2">
      <c r="L417" s="17" t="str">
        <f t="shared" si="16"/>
        <v/>
      </c>
      <c r="M417" s="17"/>
      <c r="N417" s="18" t="str">
        <f t="shared" si="17"/>
        <v/>
      </c>
    </row>
    <row r="418" spans="12:14" ht="15" customHeight="1" x14ac:dyDescent="0.2">
      <c r="L418" s="17" t="str">
        <f t="shared" si="16"/>
        <v/>
      </c>
      <c r="M418" s="17"/>
      <c r="N418" s="18" t="str">
        <f t="shared" si="17"/>
        <v/>
      </c>
    </row>
    <row r="419" spans="12:14" ht="15" customHeight="1" x14ac:dyDescent="0.2">
      <c r="L419" s="17" t="str">
        <f t="shared" si="16"/>
        <v/>
      </c>
      <c r="M419" s="17"/>
      <c r="N419" s="18" t="str">
        <f t="shared" si="17"/>
        <v/>
      </c>
    </row>
    <row r="420" spans="12:14" x14ac:dyDescent="0.2">
      <c r="N420" s="18" t="str">
        <f t="shared" si="17"/>
        <v/>
      </c>
    </row>
    <row r="421" spans="12:14" x14ac:dyDescent="0.2">
      <c r="N421" s="18" t="str">
        <f t="shared" si="17"/>
        <v/>
      </c>
    </row>
    <row r="422" spans="12:14" x14ac:dyDescent="0.2">
      <c r="N422" s="18" t="str">
        <f t="shared" si="17"/>
        <v/>
      </c>
    </row>
    <row r="423" spans="12:14" x14ac:dyDescent="0.2">
      <c r="N423" s="18" t="str">
        <f t="shared" si="17"/>
        <v/>
      </c>
    </row>
    <row r="424" spans="12:14" x14ac:dyDescent="0.2">
      <c r="N424" s="18" t="str">
        <f t="shared" si="17"/>
        <v/>
      </c>
    </row>
    <row r="425" spans="12:14" x14ac:dyDescent="0.2">
      <c r="N425" s="18" t="str">
        <f t="shared" si="17"/>
        <v/>
      </c>
    </row>
    <row r="426" spans="12:14" x14ac:dyDescent="0.2">
      <c r="N426" s="18" t="str">
        <f t="shared" si="17"/>
        <v/>
      </c>
    </row>
    <row r="427" spans="12:14" x14ac:dyDescent="0.2">
      <c r="N427" s="18" t="str">
        <f t="shared" si="17"/>
        <v/>
      </c>
    </row>
    <row r="428" spans="12:14" x14ac:dyDescent="0.2">
      <c r="N428" s="18" t="str">
        <f t="shared" si="17"/>
        <v/>
      </c>
    </row>
    <row r="429" spans="12:14" x14ac:dyDescent="0.2">
      <c r="N429" s="18" t="str">
        <f t="shared" si="17"/>
        <v/>
      </c>
    </row>
    <row r="430" spans="12:14" x14ac:dyDescent="0.2">
      <c r="N430" s="18" t="str">
        <f t="shared" si="17"/>
        <v/>
      </c>
    </row>
    <row r="431" spans="12:14" x14ac:dyDescent="0.2">
      <c r="N431" s="18" t="str">
        <f t="shared" si="17"/>
        <v/>
      </c>
    </row>
    <row r="432" spans="12:14" x14ac:dyDescent="0.2">
      <c r="N432" s="18" t="str">
        <f t="shared" si="17"/>
        <v/>
      </c>
    </row>
    <row r="433" spans="14:14" x14ac:dyDescent="0.2">
      <c r="N433" s="18" t="str">
        <f t="shared" si="17"/>
        <v/>
      </c>
    </row>
    <row r="434" spans="14:14" x14ac:dyDescent="0.2">
      <c r="N434" s="18" t="str">
        <f t="shared" si="17"/>
        <v/>
      </c>
    </row>
    <row r="435" spans="14:14" x14ac:dyDescent="0.2">
      <c r="N435" s="18" t="str">
        <f t="shared" si="17"/>
        <v/>
      </c>
    </row>
    <row r="436" spans="14:14" x14ac:dyDescent="0.2">
      <c r="N436" s="18" t="str">
        <f t="shared" si="17"/>
        <v/>
      </c>
    </row>
    <row r="437" spans="14:14" x14ac:dyDescent="0.2">
      <c r="N437" s="18" t="str">
        <f t="shared" si="17"/>
        <v/>
      </c>
    </row>
    <row r="438" spans="14:14" x14ac:dyDescent="0.2">
      <c r="N438" s="18" t="str">
        <f t="shared" si="17"/>
        <v/>
      </c>
    </row>
    <row r="439" spans="14:14" x14ac:dyDescent="0.2">
      <c r="N439" s="18" t="str">
        <f t="shared" si="17"/>
        <v/>
      </c>
    </row>
    <row r="440" spans="14:14" x14ac:dyDescent="0.2">
      <c r="N440" s="18" t="str">
        <f t="shared" si="17"/>
        <v/>
      </c>
    </row>
    <row r="441" spans="14:14" x14ac:dyDescent="0.2">
      <c r="N441" s="18" t="str">
        <f t="shared" si="17"/>
        <v/>
      </c>
    </row>
    <row r="442" spans="14:14" x14ac:dyDescent="0.2">
      <c r="N442" s="18" t="str">
        <f t="shared" si="17"/>
        <v/>
      </c>
    </row>
    <row r="443" spans="14:14" x14ac:dyDescent="0.2">
      <c r="N443" s="18" t="str">
        <f t="shared" si="17"/>
        <v/>
      </c>
    </row>
    <row r="444" spans="14:14" x14ac:dyDescent="0.2">
      <c r="N444" s="18" t="str">
        <f t="shared" si="17"/>
        <v/>
      </c>
    </row>
    <row r="445" spans="14:14" x14ac:dyDescent="0.2">
      <c r="N445" s="18" t="str">
        <f t="shared" si="17"/>
        <v/>
      </c>
    </row>
    <row r="446" spans="14:14" x14ac:dyDescent="0.2">
      <c r="N446" s="18" t="str">
        <f t="shared" si="17"/>
        <v/>
      </c>
    </row>
    <row r="447" spans="14:14" x14ac:dyDescent="0.2">
      <c r="N447" s="18" t="str">
        <f t="shared" si="17"/>
        <v/>
      </c>
    </row>
    <row r="448" spans="14:14" x14ac:dyDescent="0.2">
      <c r="N448" s="18" t="str">
        <f t="shared" si="17"/>
        <v/>
      </c>
    </row>
    <row r="449" spans="14:14" x14ac:dyDescent="0.2">
      <c r="N449" s="18" t="str">
        <f t="shared" si="17"/>
        <v/>
      </c>
    </row>
    <row r="450" spans="14:14" x14ac:dyDescent="0.2">
      <c r="N450" s="18" t="str">
        <f t="shared" si="17"/>
        <v/>
      </c>
    </row>
    <row r="451" spans="14:14" x14ac:dyDescent="0.2">
      <c r="N451" s="18" t="str">
        <f t="shared" ref="N451:N514" si="18">IF(J451="","",TEXT(J451,"[$-419]mmmm yyyy"))</f>
        <v/>
      </c>
    </row>
    <row r="452" spans="14:14" x14ac:dyDescent="0.2">
      <c r="N452" s="18" t="str">
        <f t="shared" si="18"/>
        <v/>
      </c>
    </row>
    <row r="453" spans="14:14" x14ac:dyDescent="0.2">
      <c r="N453" s="18" t="str">
        <f t="shared" si="18"/>
        <v/>
      </c>
    </row>
    <row r="454" spans="14:14" x14ac:dyDescent="0.2">
      <c r="N454" s="18" t="str">
        <f t="shared" si="18"/>
        <v/>
      </c>
    </row>
    <row r="455" spans="14:14" x14ac:dyDescent="0.2">
      <c r="N455" s="18" t="str">
        <f t="shared" si="18"/>
        <v/>
      </c>
    </row>
    <row r="456" spans="14:14" x14ac:dyDescent="0.2">
      <c r="N456" s="18" t="str">
        <f t="shared" si="18"/>
        <v/>
      </c>
    </row>
    <row r="457" spans="14:14" x14ac:dyDescent="0.2">
      <c r="N457" s="18" t="str">
        <f t="shared" si="18"/>
        <v/>
      </c>
    </row>
    <row r="458" spans="14:14" x14ac:dyDescent="0.2">
      <c r="N458" s="18" t="str">
        <f t="shared" si="18"/>
        <v/>
      </c>
    </row>
    <row r="459" spans="14:14" x14ac:dyDescent="0.2">
      <c r="N459" s="18" t="str">
        <f t="shared" si="18"/>
        <v/>
      </c>
    </row>
    <row r="460" spans="14:14" x14ac:dyDescent="0.2">
      <c r="N460" s="18" t="str">
        <f t="shared" si="18"/>
        <v/>
      </c>
    </row>
    <row r="461" spans="14:14" x14ac:dyDescent="0.2">
      <c r="N461" s="18" t="str">
        <f t="shared" si="18"/>
        <v/>
      </c>
    </row>
    <row r="462" spans="14:14" x14ac:dyDescent="0.2">
      <c r="N462" s="18" t="str">
        <f t="shared" si="18"/>
        <v/>
      </c>
    </row>
    <row r="463" spans="14:14" x14ac:dyDescent="0.2">
      <c r="N463" s="18" t="str">
        <f t="shared" si="18"/>
        <v/>
      </c>
    </row>
    <row r="464" spans="14:14" x14ac:dyDescent="0.2">
      <c r="N464" s="18" t="str">
        <f t="shared" si="18"/>
        <v/>
      </c>
    </row>
    <row r="465" spans="14:14" x14ac:dyDescent="0.2">
      <c r="N465" s="18" t="str">
        <f t="shared" si="18"/>
        <v/>
      </c>
    </row>
    <row r="466" spans="14:14" x14ac:dyDescent="0.2">
      <c r="N466" s="18" t="str">
        <f t="shared" si="18"/>
        <v/>
      </c>
    </row>
    <row r="467" spans="14:14" x14ac:dyDescent="0.2">
      <c r="N467" s="18" t="str">
        <f t="shared" si="18"/>
        <v/>
      </c>
    </row>
    <row r="468" spans="14:14" x14ac:dyDescent="0.2">
      <c r="N468" s="18" t="str">
        <f t="shared" si="18"/>
        <v/>
      </c>
    </row>
    <row r="469" spans="14:14" x14ac:dyDescent="0.2">
      <c r="N469" s="18" t="str">
        <f t="shared" si="18"/>
        <v/>
      </c>
    </row>
    <row r="470" spans="14:14" x14ac:dyDescent="0.2">
      <c r="N470" s="18" t="str">
        <f t="shared" si="18"/>
        <v/>
      </c>
    </row>
    <row r="471" spans="14:14" x14ac:dyDescent="0.2">
      <c r="N471" s="18" t="str">
        <f t="shared" si="18"/>
        <v/>
      </c>
    </row>
    <row r="472" spans="14:14" x14ac:dyDescent="0.2">
      <c r="N472" s="18" t="str">
        <f t="shared" si="18"/>
        <v/>
      </c>
    </row>
    <row r="473" spans="14:14" x14ac:dyDescent="0.2">
      <c r="N473" s="18" t="str">
        <f t="shared" si="18"/>
        <v/>
      </c>
    </row>
    <row r="474" spans="14:14" x14ac:dyDescent="0.2">
      <c r="N474" s="18" t="str">
        <f t="shared" si="18"/>
        <v/>
      </c>
    </row>
    <row r="475" spans="14:14" x14ac:dyDescent="0.2">
      <c r="N475" s="18" t="str">
        <f t="shared" si="18"/>
        <v/>
      </c>
    </row>
    <row r="476" spans="14:14" x14ac:dyDescent="0.2">
      <c r="N476" s="18" t="str">
        <f t="shared" si="18"/>
        <v/>
      </c>
    </row>
    <row r="477" spans="14:14" x14ac:dyDescent="0.2">
      <c r="N477" s="18" t="str">
        <f t="shared" si="18"/>
        <v/>
      </c>
    </row>
    <row r="478" spans="14:14" x14ac:dyDescent="0.2">
      <c r="N478" s="18" t="str">
        <f t="shared" si="18"/>
        <v/>
      </c>
    </row>
    <row r="479" spans="14:14" x14ac:dyDescent="0.2">
      <c r="N479" s="18" t="str">
        <f t="shared" si="18"/>
        <v/>
      </c>
    </row>
    <row r="480" spans="14:14" x14ac:dyDescent="0.2">
      <c r="N480" s="18" t="str">
        <f t="shared" si="18"/>
        <v/>
      </c>
    </row>
    <row r="481" spans="14:14" x14ac:dyDescent="0.2">
      <c r="N481" s="18" t="str">
        <f t="shared" si="18"/>
        <v/>
      </c>
    </row>
    <row r="482" spans="14:14" x14ac:dyDescent="0.2">
      <c r="N482" s="18" t="str">
        <f t="shared" si="18"/>
        <v/>
      </c>
    </row>
    <row r="483" spans="14:14" x14ac:dyDescent="0.2">
      <c r="N483" s="18" t="str">
        <f t="shared" si="18"/>
        <v/>
      </c>
    </row>
    <row r="484" spans="14:14" x14ac:dyDescent="0.2">
      <c r="N484" s="18" t="str">
        <f t="shared" si="18"/>
        <v/>
      </c>
    </row>
    <row r="485" spans="14:14" x14ac:dyDescent="0.2">
      <c r="N485" s="18" t="str">
        <f t="shared" si="18"/>
        <v/>
      </c>
    </row>
    <row r="486" spans="14:14" x14ac:dyDescent="0.2">
      <c r="N486" s="18" t="str">
        <f t="shared" si="18"/>
        <v/>
      </c>
    </row>
    <row r="487" spans="14:14" x14ac:dyDescent="0.2">
      <c r="N487" s="18" t="str">
        <f t="shared" si="18"/>
        <v/>
      </c>
    </row>
    <row r="488" spans="14:14" x14ac:dyDescent="0.2">
      <c r="N488" s="18" t="str">
        <f t="shared" si="18"/>
        <v/>
      </c>
    </row>
    <row r="489" spans="14:14" x14ac:dyDescent="0.2">
      <c r="N489" s="18" t="str">
        <f t="shared" si="18"/>
        <v/>
      </c>
    </row>
    <row r="490" spans="14:14" x14ac:dyDescent="0.2">
      <c r="N490" s="18" t="str">
        <f t="shared" si="18"/>
        <v/>
      </c>
    </row>
    <row r="491" spans="14:14" x14ac:dyDescent="0.2">
      <c r="N491" s="18" t="str">
        <f t="shared" si="18"/>
        <v/>
      </c>
    </row>
    <row r="492" spans="14:14" x14ac:dyDescent="0.2">
      <c r="N492" s="18" t="str">
        <f t="shared" si="18"/>
        <v/>
      </c>
    </row>
    <row r="493" spans="14:14" x14ac:dyDescent="0.2">
      <c r="N493" s="18" t="str">
        <f t="shared" si="18"/>
        <v/>
      </c>
    </row>
    <row r="494" spans="14:14" x14ac:dyDescent="0.2">
      <c r="N494" s="18" t="str">
        <f t="shared" si="18"/>
        <v/>
      </c>
    </row>
    <row r="495" spans="14:14" x14ac:dyDescent="0.2">
      <c r="N495" s="18" t="str">
        <f t="shared" si="18"/>
        <v/>
      </c>
    </row>
    <row r="496" spans="14:14" x14ac:dyDescent="0.2">
      <c r="N496" s="18" t="str">
        <f t="shared" si="18"/>
        <v/>
      </c>
    </row>
    <row r="497" spans="14:14" x14ac:dyDescent="0.2">
      <c r="N497" s="18" t="str">
        <f t="shared" si="18"/>
        <v/>
      </c>
    </row>
    <row r="498" spans="14:14" x14ac:dyDescent="0.2">
      <c r="N498" s="18" t="str">
        <f t="shared" si="18"/>
        <v/>
      </c>
    </row>
    <row r="499" spans="14:14" x14ac:dyDescent="0.2">
      <c r="N499" s="18" t="str">
        <f t="shared" si="18"/>
        <v/>
      </c>
    </row>
    <row r="500" spans="14:14" x14ac:dyDescent="0.2">
      <c r="N500" s="18" t="str">
        <f t="shared" si="18"/>
        <v/>
      </c>
    </row>
    <row r="501" spans="14:14" x14ac:dyDescent="0.2">
      <c r="N501" s="18" t="str">
        <f t="shared" si="18"/>
        <v/>
      </c>
    </row>
    <row r="502" spans="14:14" x14ac:dyDescent="0.2">
      <c r="N502" s="18" t="str">
        <f t="shared" si="18"/>
        <v/>
      </c>
    </row>
    <row r="503" spans="14:14" x14ac:dyDescent="0.2">
      <c r="N503" s="18" t="str">
        <f t="shared" si="18"/>
        <v/>
      </c>
    </row>
    <row r="504" spans="14:14" x14ac:dyDescent="0.2">
      <c r="N504" s="18" t="str">
        <f t="shared" si="18"/>
        <v/>
      </c>
    </row>
    <row r="505" spans="14:14" x14ac:dyDescent="0.2">
      <c r="N505" s="18" t="str">
        <f t="shared" si="18"/>
        <v/>
      </c>
    </row>
    <row r="506" spans="14:14" x14ac:dyDescent="0.2">
      <c r="N506" s="18" t="str">
        <f t="shared" si="18"/>
        <v/>
      </c>
    </row>
    <row r="507" spans="14:14" x14ac:dyDescent="0.2">
      <c r="N507" s="18" t="str">
        <f t="shared" si="18"/>
        <v/>
      </c>
    </row>
    <row r="508" spans="14:14" x14ac:dyDescent="0.2">
      <c r="N508" s="18" t="str">
        <f t="shared" si="18"/>
        <v/>
      </c>
    </row>
    <row r="509" spans="14:14" x14ac:dyDescent="0.2">
      <c r="N509" s="18" t="str">
        <f t="shared" si="18"/>
        <v/>
      </c>
    </row>
    <row r="510" spans="14:14" x14ac:dyDescent="0.2">
      <c r="N510" s="18" t="str">
        <f t="shared" si="18"/>
        <v/>
      </c>
    </row>
    <row r="511" spans="14:14" x14ac:dyDescent="0.2">
      <c r="N511" s="18" t="str">
        <f t="shared" si="18"/>
        <v/>
      </c>
    </row>
    <row r="512" spans="14:14" x14ac:dyDescent="0.2">
      <c r="N512" s="18" t="str">
        <f t="shared" si="18"/>
        <v/>
      </c>
    </row>
    <row r="513" spans="14:14" x14ac:dyDescent="0.2">
      <c r="N513" s="18" t="str">
        <f t="shared" si="18"/>
        <v/>
      </c>
    </row>
    <row r="514" spans="14:14" x14ac:dyDescent="0.2">
      <c r="N514" s="18" t="str">
        <f t="shared" si="18"/>
        <v/>
      </c>
    </row>
    <row r="515" spans="14:14" x14ac:dyDescent="0.2">
      <c r="N515" s="18" t="str">
        <f t="shared" ref="N515:N544" si="19">IF(J515="","",TEXT(J515,"[$-419]mmmm yyyy"))</f>
        <v/>
      </c>
    </row>
    <row r="516" spans="14:14" x14ac:dyDescent="0.2">
      <c r="N516" s="18" t="str">
        <f t="shared" si="19"/>
        <v/>
      </c>
    </row>
    <row r="517" spans="14:14" x14ac:dyDescent="0.2">
      <c r="N517" s="18" t="str">
        <f t="shared" si="19"/>
        <v/>
      </c>
    </row>
    <row r="518" spans="14:14" x14ac:dyDescent="0.2">
      <c r="N518" s="18" t="str">
        <f t="shared" si="19"/>
        <v/>
      </c>
    </row>
    <row r="519" spans="14:14" x14ac:dyDescent="0.2">
      <c r="N519" s="18" t="str">
        <f t="shared" si="19"/>
        <v/>
      </c>
    </row>
    <row r="520" spans="14:14" x14ac:dyDescent="0.2">
      <c r="N520" s="18" t="str">
        <f t="shared" si="19"/>
        <v/>
      </c>
    </row>
    <row r="521" spans="14:14" x14ac:dyDescent="0.2">
      <c r="N521" s="18" t="str">
        <f t="shared" si="19"/>
        <v/>
      </c>
    </row>
    <row r="522" spans="14:14" x14ac:dyDescent="0.2">
      <c r="N522" s="18" t="str">
        <f t="shared" si="19"/>
        <v/>
      </c>
    </row>
    <row r="523" spans="14:14" x14ac:dyDescent="0.2">
      <c r="N523" s="18" t="str">
        <f t="shared" si="19"/>
        <v/>
      </c>
    </row>
    <row r="524" spans="14:14" x14ac:dyDescent="0.2">
      <c r="N524" s="18" t="str">
        <f t="shared" si="19"/>
        <v/>
      </c>
    </row>
    <row r="525" spans="14:14" x14ac:dyDescent="0.2">
      <c r="N525" s="18" t="str">
        <f t="shared" si="19"/>
        <v/>
      </c>
    </row>
    <row r="526" spans="14:14" x14ac:dyDescent="0.2">
      <c r="N526" s="18" t="str">
        <f t="shared" si="19"/>
        <v/>
      </c>
    </row>
    <row r="527" spans="14:14" x14ac:dyDescent="0.2">
      <c r="N527" s="18" t="str">
        <f t="shared" si="19"/>
        <v/>
      </c>
    </row>
    <row r="528" spans="14:14" x14ac:dyDescent="0.2">
      <c r="N528" s="18" t="str">
        <f t="shared" si="19"/>
        <v/>
      </c>
    </row>
    <row r="529" spans="14:14" x14ac:dyDescent="0.2">
      <c r="N529" s="18" t="str">
        <f t="shared" si="19"/>
        <v/>
      </c>
    </row>
    <row r="530" spans="14:14" x14ac:dyDescent="0.2">
      <c r="N530" s="18" t="str">
        <f t="shared" si="19"/>
        <v/>
      </c>
    </row>
    <row r="531" spans="14:14" x14ac:dyDescent="0.2">
      <c r="N531" s="18" t="str">
        <f t="shared" si="19"/>
        <v/>
      </c>
    </row>
    <row r="532" spans="14:14" x14ac:dyDescent="0.2">
      <c r="N532" s="18" t="str">
        <f t="shared" si="19"/>
        <v/>
      </c>
    </row>
    <row r="533" spans="14:14" x14ac:dyDescent="0.2">
      <c r="N533" s="18" t="str">
        <f t="shared" si="19"/>
        <v/>
      </c>
    </row>
    <row r="534" spans="14:14" x14ac:dyDescent="0.2">
      <c r="N534" s="18" t="str">
        <f t="shared" si="19"/>
        <v/>
      </c>
    </row>
    <row r="535" spans="14:14" x14ac:dyDescent="0.2">
      <c r="N535" s="18" t="str">
        <f t="shared" si="19"/>
        <v/>
      </c>
    </row>
    <row r="536" spans="14:14" x14ac:dyDescent="0.2">
      <c r="N536" s="18" t="str">
        <f t="shared" si="19"/>
        <v/>
      </c>
    </row>
    <row r="537" spans="14:14" x14ac:dyDescent="0.2">
      <c r="N537" s="18" t="str">
        <f t="shared" si="19"/>
        <v/>
      </c>
    </row>
    <row r="538" spans="14:14" x14ac:dyDescent="0.2">
      <c r="N538" s="18" t="str">
        <f t="shared" si="19"/>
        <v/>
      </c>
    </row>
    <row r="539" spans="14:14" x14ac:dyDescent="0.2">
      <c r="N539" s="18" t="str">
        <f t="shared" si="19"/>
        <v/>
      </c>
    </row>
    <row r="540" spans="14:14" x14ac:dyDescent="0.2">
      <c r="N540" s="18" t="str">
        <f t="shared" si="19"/>
        <v/>
      </c>
    </row>
    <row r="541" spans="14:14" x14ac:dyDescent="0.2">
      <c r="N541" s="18" t="str">
        <f t="shared" si="19"/>
        <v/>
      </c>
    </row>
    <row r="542" spans="14:14" x14ac:dyDescent="0.2">
      <c r="N542" s="18" t="str">
        <f t="shared" si="19"/>
        <v/>
      </c>
    </row>
    <row r="543" spans="14:14" x14ac:dyDescent="0.2">
      <c r="N543" s="18" t="str">
        <f t="shared" si="19"/>
        <v/>
      </c>
    </row>
    <row r="544" spans="14:14" x14ac:dyDescent="0.2">
      <c r="N544" s="18" t="str">
        <f t="shared" si="19"/>
        <v/>
      </c>
    </row>
    <row r="545" spans="14:14" x14ac:dyDescent="0.2">
      <c r="N545" s="18" t="str">
        <f t="shared" ref="N545:N577" si="20">IF(J545="","",TEXT(J545,"ММММ ГГГГ"))</f>
        <v/>
      </c>
    </row>
    <row r="546" spans="14:14" x14ac:dyDescent="0.2">
      <c r="N546" s="18" t="str">
        <f t="shared" si="20"/>
        <v/>
      </c>
    </row>
    <row r="547" spans="14:14" x14ac:dyDescent="0.2">
      <c r="N547" s="18" t="str">
        <f t="shared" si="20"/>
        <v/>
      </c>
    </row>
    <row r="548" spans="14:14" x14ac:dyDescent="0.2">
      <c r="N548" s="18" t="str">
        <f t="shared" si="20"/>
        <v/>
      </c>
    </row>
    <row r="549" spans="14:14" x14ac:dyDescent="0.2">
      <c r="N549" s="18" t="str">
        <f t="shared" si="20"/>
        <v/>
      </c>
    </row>
    <row r="550" spans="14:14" x14ac:dyDescent="0.2">
      <c r="N550" s="18" t="str">
        <f t="shared" si="20"/>
        <v/>
      </c>
    </row>
    <row r="551" spans="14:14" x14ac:dyDescent="0.2">
      <c r="N551" s="18" t="str">
        <f t="shared" si="20"/>
        <v/>
      </c>
    </row>
    <row r="552" spans="14:14" x14ac:dyDescent="0.2">
      <c r="N552" s="18" t="str">
        <f t="shared" si="20"/>
        <v/>
      </c>
    </row>
    <row r="553" spans="14:14" x14ac:dyDescent="0.2">
      <c r="N553" s="18" t="str">
        <f t="shared" si="20"/>
        <v/>
      </c>
    </row>
    <row r="554" spans="14:14" x14ac:dyDescent="0.2">
      <c r="N554" s="18" t="str">
        <f t="shared" si="20"/>
        <v/>
      </c>
    </row>
    <row r="555" spans="14:14" x14ac:dyDescent="0.2">
      <c r="N555" s="18" t="str">
        <f t="shared" si="20"/>
        <v/>
      </c>
    </row>
    <row r="556" spans="14:14" x14ac:dyDescent="0.2">
      <c r="N556" s="18" t="str">
        <f t="shared" si="20"/>
        <v/>
      </c>
    </row>
    <row r="557" spans="14:14" x14ac:dyDescent="0.2">
      <c r="N557" s="18" t="str">
        <f t="shared" si="20"/>
        <v/>
      </c>
    </row>
    <row r="558" spans="14:14" x14ac:dyDescent="0.2">
      <c r="N558" s="18" t="str">
        <f t="shared" si="20"/>
        <v/>
      </c>
    </row>
    <row r="559" spans="14:14" x14ac:dyDescent="0.2">
      <c r="N559" s="18" t="str">
        <f t="shared" si="20"/>
        <v/>
      </c>
    </row>
    <row r="560" spans="14:14" x14ac:dyDescent="0.2">
      <c r="N560" s="18" t="str">
        <f t="shared" si="20"/>
        <v/>
      </c>
    </row>
    <row r="561" spans="14:14" x14ac:dyDescent="0.2">
      <c r="N561" s="18" t="str">
        <f t="shared" si="20"/>
        <v/>
      </c>
    </row>
    <row r="562" spans="14:14" x14ac:dyDescent="0.2">
      <c r="N562" s="18" t="str">
        <f t="shared" si="20"/>
        <v/>
      </c>
    </row>
    <row r="563" spans="14:14" x14ac:dyDescent="0.2">
      <c r="N563" s="18" t="str">
        <f t="shared" si="20"/>
        <v/>
      </c>
    </row>
    <row r="564" spans="14:14" x14ac:dyDescent="0.2">
      <c r="N564" s="18" t="str">
        <f t="shared" si="20"/>
        <v/>
      </c>
    </row>
    <row r="565" spans="14:14" x14ac:dyDescent="0.2">
      <c r="N565" s="18" t="str">
        <f t="shared" si="20"/>
        <v/>
      </c>
    </row>
    <row r="566" spans="14:14" x14ac:dyDescent="0.2">
      <c r="N566" s="18" t="str">
        <f t="shared" si="20"/>
        <v/>
      </c>
    </row>
    <row r="567" spans="14:14" x14ac:dyDescent="0.2">
      <c r="N567" s="18" t="str">
        <f t="shared" si="20"/>
        <v/>
      </c>
    </row>
    <row r="568" spans="14:14" x14ac:dyDescent="0.2">
      <c r="N568" s="18" t="str">
        <f t="shared" si="20"/>
        <v/>
      </c>
    </row>
    <row r="569" spans="14:14" x14ac:dyDescent="0.2">
      <c r="N569" s="18" t="str">
        <f t="shared" si="20"/>
        <v/>
      </c>
    </row>
    <row r="570" spans="14:14" x14ac:dyDescent="0.2">
      <c r="N570" s="18" t="str">
        <f t="shared" si="20"/>
        <v/>
      </c>
    </row>
    <row r="571" spans="14:14" x14ac:dyDescent="0.2">
      <c r="N571" s="18" t="str">
        <f t="shared" si="20"/>
        <v/>
      </c>
    </row>
    <row r="572" spans="14:14" x14ac:dyDescent="0.2">
      <c r="N572" s="18" t="str">
        <f t="shared" si="20"/>
        <v/>
      </c>
    </row>
    <row r="573" spans="14:14" x14ac:dyDescent="0.2">
      <c r="N573" s="18" t="str">
        <f t="shared" si="20"/>
        <v/>
      </c>
    </row>
    <row r="574" spans="14:14" x14ac:dyDescent="0.2">
      <c r="N574" s="18" t="str">
        <f t="shared" si="20"/>
        <v/>
      </c>
    </row>
    <row r="575" spans="14:14" x14ac:dyDescent="0.2">
      <c r="N575" s="18" t="str">
        <f t="shared" si="20"/>
        <v/>
      </c>
    </row>
    <row r="576" spans="14:14" x14ac:dyDescent="0.2">
      <c r="N576" s="18" t="str">
        <f t="shared" si="20"/>
        <v/>
      </c>
    </row>
    <row r="577" spans="14:14" x14ac:dyDescent="0.2">
      <c r="N577" s="18" t="str">
        <f t="shared" si="20"/>
        <v/>
      </c>
    </row>
    <row r="578" spans="14:14" x14ac:dyDescent="0.2">
      <c r="N578" s="18" t="str">
        <f t="shared" ref="N578:N641" si="21">IF(J578="","",TEXT(J578,"ММММ ГГГГ"))</f>
        <v/>
      </c>
    </row>
    <row r="579" spans="14:14" x14ac:dyDescent="0.2">
      <c r="N579" s="18" t="str">
        <f t="shared" si="21"/>
        <v/>
      </c>
    </row>
    <row r="580" spans="14:14" x14ac:dyDescent="0.2">
      <c r="N580" s="18" t="str">
        <f t="shared" si="21"/>
        <v/>
      </c>
    </row>
    <row r="581" spans="14:14" x14ac:dyDescent="0.2">
      <c r="N581" s="18" t="str">
        <f t="shared" si="21"/>
        <v/>
      </c>
    </row>
    <row r="582" spans="14:14" x14ac:dyDescent="0.2">
      <c r="N582" s="18" t="str">
        <f t="shared" si="21"/>
        <v/>
      </c>
    </row>
    <row r="583" spans="14:14" x14ac:dyDescent="0.2">
      <c r="N583" s="18" t="str">
        <f t="shared" si="21"/>
        <v/>
      </c>
    </row>
    <row r="584" spans="14:14" x14ac:dyDescent="0.2">
      <c r="N584" s="18" t="str">
        <f t="shared" si="21"/>
        <v/>
      </c>
    </row>
    <row r="585" spans="14:14" x14ac:dyDescent="0.2">
      <c r="N585" s="18" t="str">
        <f t="shared" si="21"/>
        <v/>
      </c>
    </row>
    <row r="586" spans="14:14" x14ac:dyDescent="0.2">
      <c r="N586" s="18" t="str">
        <f t="shared" si="21"/>
        <v/>
      </c>
    </row>
    <row r="587" spans="14:14" x14ac:dyDescent="0.2">
      <c r="N587" s="18" t="str">
        <f t="shared" si="21"/>
        <v/>
      </c>
    </row>
    <row r="588" spans="14:14" x14ac:dyDescent="0.2">
      <c r="N588" s="18" t="str">
        <f t="shared" si="21"/>
        <v/>
      </c>
    </row>
    <row r="589" spans="14:14" x14ac:dyDescent="0.2">
      <c r="N589" s="18" t="str">
        <f t="shared" si="21"/>
        <v/>
      </c>
    </row>
    <row r="590" spans="14:14" x14ac:dyDescent="0.2">
      <c r="N590" s="18" t="str">
        <f t="shared" si="21"/>
        <v/>
      </c>
    </row>
    <row r="591" spans="14:14" x14ac:dyDescent="0.2">
      <c r="N591" s="18" t="str">
        <f t="shared" si="21"/>
        <v/>
      </c>
    </row>
    <row r="592" spans="14:14" x14ac:dyDescent="0.2">
      <c r="N592" s="18" t="str">
        <f t="shared" si="21"/>
        <v/>
      </c>
    </row>
    <row r="593" spans="14:14" x14ac:dyDescent="0.2">
      <c r="N593" s="18" t="str">
        <f t="shared" si="21"/>
        <v/>
      </c>
    </row>
    <row r="594" spans="14:14" x14ac:dyDescent="0.2">
      <c r="N594" s="18" t="str">
        <f t="shared" si="21"/>
        <v/>
      </c>
    </row>
    <row r="595" spans="14:14" x14ac:dyDescent="0.2">
      <c r="N595" s="18" t="str">
        <f t="shared" si="21"/>
        <v/>
      </c>
    </row>
    <row r="596" spans="14:14" x14ac:dyDescent="0.2">
      <c r="N596" s="18" t="str">
        <f t="shared" si="21"/>
        <v/>
      </c>
    </row>
    <row r="597" spans="14:14" x14ac:dyDescent="0.2">
      <c r="N597" s="18" t="str">
        <f t="shared" si="21"/>
        <v/>
      </c>
    </row>
    <row r="598" spans="14:14" x14ac:dyDescent="0.2">
      <c r="N598" s="18" t="str">
        <f t="shared" si="21"/>
        <v/>
      </c>
    </row>
    <row r="599" spans="14:14" x14ac:dyDescent="0.2">
      <c r="N599" s="18" t="str">
        <f t="shared" si="21"/>
        <v/>
      </c>
    </row>
    <row r="600" spans="14:14" x14ac:dyDescent="0.2">
      <c r="N600" s="18" t="str">
        <f t="shared" si="21"/>
        <v/>
      </c>
    </row>
    <row r="601" spans="14:14" x14ac:dyDescent="0.2">
      <c r="N601" s="18" t="str">
        <f t="shared" si="21"/>
        <v/>
      </c>
    </row>
    <row r="602" spans="14:14" x14ac:dyDescent="0.2">
      <c r="N602" s="18" t="str">
        <f t="shared" si="21"/>
        <v/>
      </c>
    </row>
    <row r="603" spans="14:14" x14ac:dyDescent="0.2">
      <c r="N603" s="18" t="str">
        <f t="shared" si="21"/>
        <v/>
      </c>
    </row>
    <row r="604" spans="14:14" x14ac:dyDescent="0.2">
      <c r="N604" s="18" t="str">
        <f t="shared" si="21"/>
        <v/>
      </c>
    </row>
    <row r="605" spans="14:14" x14ac:dyDescent="0.2">
      <c r="N605" s="18" t="str">
        <f t="shared" si="21"/>
        <v/>
      </c>
    </row>
    <row r="606" spans="14:14" x14ac:dyDescent="0.2">
      <c r="N606" s="18" t="str">
        <f t="shared" si="21"/>
        <v/>
      </c>
    </row>
    <row r="607" spans="14:14" x14ac:dyDescent="0.2">
      <c r="N607" s="18" t="str">
        <f t="shared" si="21"/>
        <v/>
      </c>
    </row>
    <row r="608" spans="14:14" x14ac:dyDescent="0.2">
      <c r="N608" s="18" t="str">
        <f t="shared" si="21"/>
        <v/>
      </c>
    </row>
    <row r="609" spans="14:14" x14ac:dyDescent="0.2">
      <c r="N609" s="18" t="str">
        <f t="shared" si="21"/>
        <v/>
      </c>
    </row>
    <row r="610" spans="14:14" x14ac:dyDescent="0.2">
      <c r="N610" s="18" t="str">
        <f t="shared" si="21"/>
        <v/>
      </c>
    </row>
    <row r="611" spans="14:14" x14ac:dyDescent="0.2">
      <c r="N611" s="18" t="str">
        <f t="shared" si="21"/>
        <v/>
      </c>
    </row>
    <row r="612" spans="14:14" x14ac:dyDescent="0.2">
      <c r="N612" s="18" t="str">
        <f t="shared" si="21"/>
        <v/>
      </c>
    </row>
    <row r="613" spans="14:14" x14ac:dyDescent="0.2">
      <c r="N613" s="18" t="str">
        <f t="shared" si="21"/>
        <v/>
      </c>
    </row>
    <row r="614" spans="14:14" x14ac:dyDescent="0.2">
      <c r="N614" s="18" t="str">
        <f t="shared" si="21"/>
        <v/>
      </c>
    </row>
    <row r="615" spans="14:14" x14ac:dyDescent="0.2">
      <c r="N615" s="18" t="str">
        <f t="shared" si="21"/>
        <v/>
      </c>
    </row>
    <row r="616" spans="14:14" x14ac:dyDescent="0.2">
      <c r="N616" s="18" t="str">
        <f t="shared" si="21"/>
        <v/>
      </c>
    </row>
    <row r="617" spans="14:14" x14ac:dyDescent="0.2">
      <c r="N617" s="18" t="str">
        <f t="shared" si="21"/>
        <v/>
      </c>
    </row>
    <row r="618" spans="14:14" x14ac:dyDescent="0.2">
      <c r="N618" s="18" t="str">
        <f t="shared" si="21"/>
        <v/>
      </c>
    </row>
    <row r="619" spans="14:14" x14ac:dyDescent="0.2">
      <c r="N619" s="18" t="str">
        <f t="shared" si="21"/>
        <v/>
      </c>
    </row>
    <row r="620" spans="14:14" x14ac:dyDescent="0.2">
      <c r="N620" s="18" t="str">
        <f t="shared" si="21"/>
        <v/>
      </c>
    </row>
    <row r="621" spans="14:14" x14ac:dyDescent="0.2">
      <c r="N621" s="18" t="str">
        <f t="shared" si="21"/>
        <v/>
      </c>
    </row>
    <row r="622" spans="14:14" x14ac:dyDescent="0.2">
      <c r="N622" s="18" t="str">
        <f t="shared" si="21"/>
        <v/>
      </c>
    </row>
    <row r="623" spans="14:14" x14ac:dyDescent="0.2">
      <c r="N623" s="18" t="str">
        <f t="shared" si="21"/>
        <v/>
      </c>
    </row>
    <row r="624" spans="14:14" x14ac:dyDescent="0.2">
      <c r="N624" s="18" t="str">
        <f t="shared" si="21"/>
        <v/>
      </c>
    </row>
    <row r="625" spans="14:14" x14ac:dyDescent="0.2">
      <c r="N625" s="18" t="str">
        <f t="shared" si="21"/>
        <v/>
      </c>
    </row>
    <row r="626" spans="14:14" x14ac:dyDescent="0.2">
      <c r="N626" s="18" t="str">
        <f t="shared" si="21"/>
        <v/>
      </c>
    </row>
    <row r="627" spans="14:14" x14ac:dyDescent="0.2">
      <c r="N627" s="18" t="str">
        <f t="shared" si="21"/>
        <v/>
      </c>
    </row>
    <row r="628" spans="14:14" x14ac:dyDescent="0.2">
      <c r="N628" s="18" t="str">
        <f t="shared" si="21"/>
        <v/>
      </c>
    </row>
    <row r="629" spans="14:14" x14ac:dyDescent="0.2">
      <c r="N629" s="18" t="str">
        <f t="shared" si="21"/>
        <v/>
      </c>
    </row>
    <row r="630" spans="14:14" x14ac:dyDescent="0.2">
      <c r="N630" s="18" t="str">
        <f t="shared" si="21"/>
        <v/>
      </c>
    </row>
    <row r="631" spans="14:14" x14ac:dyDescent="0.2">
      <c r="N631" s="18" t="str">
        <f t="shared" si="21"/>
        <v/>
      </c>
    </row>
    <row r="632" spans="14:14" x14ac:dyDescent="0.2">
      <c r="N632" s="18" t="str">
        <f t="shared" si="21"/>
        <v/>
      </c>
    </row>
    <row r="633" spans="14:14" x14ac:dyDescent="0.2">
      <c r="N633" s="18" t="str">
        <f t="shared" si="21"/>
        <v/>
      </c>
    </row>
    <row r="634" spans="14:14" x14ac:dyDescent="0.2">
      <c r="N634" s="18" t="str">
        <f t="shared" si="21"/>
        <v/>
      </c>
    </row>
    <row r="635" spans="14:14" x14ac:dyDescent="0.2">
      <c r="N635" s="18" t="str">
        <f t="shared" si="21"/>
        <v/>
      </c>
    </row>
    <row r="636" spans="14:14" x14ac:dyDescent="0.2">
      <c r="N636" s="18" t="str">
        <f t="shared" si="21"/>
        <v/>
      </c>
    </row>
    <row r="637" spans="14:14" x14ac:dyDescent="0.2">
      <c r="N637" s="18" t="str">
        <f t="shared" si="21"/>
        <v/>
      </c>
    </row>
    <row r="638" spans="14:14" x14ac:dyDescent="0.2">
      <c r="N638" s="18" t="str">
        <f t="shared" si="21"/>
        <v/>
      </c>
    </row>
    <row r="639" spans="14:14" x14ac:dyDescent="0.2">
      <c r="N639" s="18" t="str">
        <f t="shared" si="21"/>
        <v/>
      </c>
    </row>
    <row r="640" spans="14:14" x14ac:dyDescent="0.2">
      <c r="N640" s="18" t="str">
        <f t="shared" si="21"/>
        <v/>
      </c>
    </row>
    <row r="641" spans="14:14" x14ac:dyDescent="0.2">
      <c r="N641" s="18" t="str">
        <f t="shared" si="21"/>
        <v/>
      </c>
    </row>
    <row r="642" spans="14:14" x14ac:dyDescent="0.2">
      <c r="N642" s="18" t="str">
        <f t="shared" ref="N642:N705" si="22">IF(J642="","",TEXT(J642,"ММММ ГГГГ"))</f>
        <v/>
      </c>
    </row>
    <row r="643" spans="14:14" x14ac:dyDescent="0.2">
      <c r="N643" s="18" t="str">
        <f t="shared" si="22"/>
        <v/>
      </c>
    </row>
    <row r="644" spans="14:14" x14ac:dyDescent="0.2">
      <c r="N644" s="18" t="str">
        <f t="shared" si="22"/>
        <v/>
      </c>
    </row>
    <row r="645" spans="14:14" x14ac:dyDescent="0.2">
      <c r="N645" s="18" t="str">
        <f t="shared" si="22"/>
        <v/>
      </c>
    </row>
    <row r="646" spans="14:14" x14ac:dyDescent="0.2">
      <c r="N646" s="18" t="str">
        <f t="shared" si="22"/>
        <v/>
      </c>
    </row>
    <row r="647" spans="14:14" x14ac:dyDescent="0.2">
      <c r="N647" s="18" t="str">
        <f t="shared" si="22"/>
        <v/>
      </c>
    </row>
    <row r="648" spans="14:14" x14ac:dyDescent="0.2">
      <c r="N648" s="18" t="str">
        <f t="shared" si="22"/>
        <v/>
      </c>
    </row>
    <row r="649" spans="14:14" x14ac:dyDescent="0.2">
      <c r="N649" s="18" t="str">
        <f t="shared" si="22"/>
        <v/>
      </c>
    </row>
    <row r="650" spans="14:14" x14ac:dyDescent="0.2">
      <c r="N650" s="18" t="str">
        <f t="shared" si="22"/>
        <v/>
      </c>
    </row>
    <row r="651" spans="14:14" x14ac:dyDescent="0.2">
      <c r="N651" s="18" t="str">
        <f t="shared" si="22"/>
        <v/>
      </c>
    </row>
    <row r="652" spans="14:14" x14ac:dyDescent="0.2">
      <c r="N652" s="18" t="str">
        <f t="shared" si="22"/>
        <v/>
      </c>
    </row>
    <row r="653" spans="14:14" x14ac:dyDescent="0.2">
      <c r="N653" s="18" t="str">
        <f t="shared" si="22"/>
        <v/>
      </c>
    </row>
    <row r="654" spans="14:14" x14ac:dyDescent="0.2">
      <c r="N654" s="18" t="str">
        <f t="shared" si="22"/>
        <v/>
      </c>
    </row>
    <row r="655" spans="14:14" x14ac:dyDescent="0.2">
      <c r="N655" s="18" t="str">
        <f t="shared" si="22"/>
        <v/>
      </c>
    </row>
    <row r="656" spans="14:14" x14ac:dyDescent="0.2">
      <c r="N656" s="18" t="str">
        <f t="shared" si="22"/>
        <v/>
      </c>
    </row>
    <row r="657" spans="14:14" x14ac:dyDescent="0.2">
      <c r="N657" s="18" t="str">
        <f t="shared" si="22"/>
        <v/>
      </c>
    </row>
    <row r="658" spans="14:14" x14ac:dyDescent="0.2">
      <c r="N658" s="18" t="str">
        <f t="shared" si="22"/>
        <v/>
      </c>
    </row>
    <row r="659" spans="14:14" x14ac:dyDescent="0.2">
      <c r="N659" s="18" t="str">
        <f t="shared" si="22"/>
        <v/>
      </c>
    </row>
    <row r="660" spans="14:14" x14ac:dyDescent="0.2">
      <c r="N660" s="18" t="str">
        <f t="shared" si="22"/>
        <v/>
      </c>
    </row>
    <row r="661" spans="14:14" x14ac:dyDescent="0.2">
      <c r="N661" s="18" t="str">
        <f t="shared" si="22"/>
        <v/>
      </c>
    </row>
    <row r="662" spans="14:14" x14ac:dyDescent="0.2">
      <c r="N662" s="18" t="str">
        <f t="shared" si="22"/>
        <v/>
      </c>
    </row>
    <row r="663" spans="14:14" x14ac:dyDescent="0.2">
      <c r="N663" s="18" t="str">
        <f t="shared" si="22"/>
        <v/>
      </c>
    </row>
    <row r="664" spans="14:14" x14ac:dyDescent="0.2">
      <c r="N664" s="18" t="str">
        <f t="shared" si="22"/>
        <v/>
      </c>
    </row>
    <row r="665" spans="14:14" x14ac:dyDescent="0.2">
      <c r="N665" s="18" t="str">
        <f t="shared" si="22"/>
        <v/>
      </c>
    </row>
    <row r="666" spans="14:14" x14ac:dyDescent="0.2">
      <c r="N666" s="18" t="str">
        <f t="shared" si="22"/>
        <v/>
      </c>
    </row>
    <row r="667" spans="14:14" x14ac:dyDescent="0.2">
      <c r="N667" s="18" t="str">
        <f t="shared" si="22"/>
        <v/>
      </c>
    </row>
    <row r="668" spans="14:14" x14ac:dyDescent="0.2">
      <c r="N668" s="18" t="str">
        <f t="shared" si="22"/>
        <v/>
      </c>
    </row>
    <row r="669" spans="14:14" x14ac:dyDescent="0.2">
      <c r="N669" s="18" t="str">
        <f t="shared" si="22"/>
        <v/>
      </c>
    </row>
    <row r="670" spans="14:14" x14ac:dyDescent="0.2">
      <c r="N670" s="18" t="str">
        <f t="shared" si="22"/>
        <v/>
      </c>
    </row>
    <row r="671" spans="14:14" x14ac:dyDescent="0.2">
      <c r="N671" s="18" t="str">
        <f t="shared" si="22"/>
        <v/>
      </c>
    </row>
    <row r="672" spans="14:14" x14ac:dyDescent="0.2">
      <c r="N672" s="18" t="str">
        <f t="shared" si="22"/>
        <v/>
      </c>
    </row>
    <row r="673" spans="14:14" x14ac:dyDescent="0.2">
      <c r="N673" s="18" t="str">
        <f t="shared" si="22"/>
        <v/>
      </c>
    </row>
    <row r="674" spans="14:14" x14ac:dyDescent="0.2">
      <c r="N674" s="18" t="str">
        <f t="shared" si="22"/>
        <v/>
      </c>
    </row>
    <row r="675" spans="14:14" x14ac:dyDescent="0.2">
      <c r="N675" s="18" t="str">
        <f t="shared" si="22"/>
        <v/>
      </c>
    </row>
    <row r="676" spans="14:14" x14ac:dyDescent="0.2">
      <c r="N676" s="18" t="str">
        <f t="shared" si="22"/>
        <v/>
      </c>
    </row>
    <row r="677" spans="14:14" x14ac:dyDescent="0.2">
      <c r="N677" s="18" t="str">
        <f t="shared" si="22"/>
        <v/>
      </c>
    </row>
    <row r="678" spans="14:14" x14ac:dyDescent="0.2">
      <c r="N678" s="18" t="str">
        <f t="shared" si="22"/>
        <v/>
      </c>
    </row>
    <row r="679" spans="14:14" x14ac:dyDescent="0.2">
      <c r="N679" s="18" t="str">
        <f t="shared" si="22"/>
        <v/>
      </c>
    </row>
    <row r="680" spans="14:14" x14ac:dyDescent="0.2">
      <c r="N680" s="18" t="str">
        <f t="shared" si="22"/>
        <v/>
      </c>
    </row>
    <row r="681" spans="14:14" x14ac:dyDescent="0.2">
      <c r="N681" s="18" t="str">
        <f t="shared" si="22"/>
        <v/>
      </c>
    </row>
    <row r="682" spans="14:14" x14ac:dyDescent="0.2">
      <c r="N682" s="18" t="str">
        <f t="shared" si="22"/>
        <v/>
      </c>
    </row>
    <row r="683" spans="14:14" x14ac:dyDescent="0.2">
      <c r="N683" s="18" t="str">
        <f t="shared" si="22"/>
        <v/>
      </c>
    </row>
    <row r="684" spans="14:14" x14ac:dyDescent="0.2">
      <c r="N684" s="18" t="str">
        <f t="shared" si="22"/>
        <v/>
      </c>
    </row>
    <row r="685" spans="14:14" x14ac:dyDescent="0.2">
      <c r="N685" s="18" t="str">
        <f t="shared" si="22"/>
        <v/>
      </c>
    </row>
    <row r="686" spans="14:14" x14ac:dyDescent="0.2">
      <c r="N686" s="18" t="str">
        <f t="shared" si="22"/>
        <v/>
      </c>
    </row>
    <row r="687" spans="14:14" x14ac:dyDescent="0.2">
      <c r="N687" s="18" t="str">
        <f t="shared" si="22"/>
        <v/>
      </c>
    </row>
    <row r="688" spans="14:14" x14ac:dyDescent="0.2">
      <c r="N688" s="18" t="str">
        <f t="shared" si="22"/>
        <v/>
      </c>
    </row>
    <row r="689" spans="14:14" x14ac:dyDescent="0.2">
      <c r="N689" s="18" t="str">
        <f t="shared" si="22"/>
        <v/>
      </c>
    </row>
    <row r="690" spans="14:14" x14ac:dyDescent="0.2">
      <c r="N690" s="18" t="str">
        <f t="shared" si="22"/>
        <v/>
      </c>
    </row>
    <row r="691" spans="14:14" x14ac:dyDescent="0.2">
      <c r="N691" s="18" t="str">
        <f t="shared" si="22"/>
        <v/>
      </c>
    </row>
    <row r="692" spans="14:14" x14ac:dyDescent="0.2">
      <c r="N692" s="18" t="str">
        <f t="shared" si="22"/>
        <v/>
      </c>
    </row>
    <row r="693" spans="14:14" x14ac:dyDescent="0.2">
      <c r="N693" s="18" t="str">
        <f t="shared" si="22"/>
        <v/>
      </c>
    </row>
    <row r="694" spans="14:14" x14ac:dyDescent="0.2">
      <c r="N694" s="18" t="str">
        <f t="shared" si="22"/>
        <v/>
      </c>
    </row>
    <row r="695" spans="14:14" x14ac:dyDescent="0.2">
      <c r="N695" s="18" t="str">
        <f t="shared" si="22"/>
        <v/>
      </c>
    </row>
    <row r="696" spans="14:14" x14ac:dyDescent="0.2">
      <c r="N696" s="18" t="str">
        <f t="shared" si="22"/>
        <v/>
      </c>
    </row>
    <row r="697" spans="14:14" x14ac:dyDescent="0.2">
      <c r="N697" s="18" t="str">
        <f t="shared" si="22"/>
        <v/>
      </c>
    </row>
    <row r="698" spans="14:14" x14ac:dyDescent="0.2">
      <c r="N698" s="18" t="str">
        <f t="shared" si="22"/>
        <v/>
      </c>
    </row>
    <row r="699" spans="14:14" x14ac:dyDescent="0.2">
      <c r="N699" s="18" t="str">
        <f t="shared" si="22"/>
        <v/>
      </c>
    </row>
    <row r="700" spans="14:14" x14ac:dyDescent="0.2">
      <c r="N700" s="18" t="str">
        <f t="shared" si="22"/>
        <v/>
      </c>
    </row>
    <row r="701" spans="14:14" x14ac:dyDescent="0.2">
      <c r="N701" s="18" t="str">
        <f t="shared" si="22"/>
        <v/>
      </c>
    </row>
    <row r="702" spans="14:14" x14ac:dyDescent="0.2">
      <c r="N702" s="18" t="str">
        <f t="shared" si="22"/>
        <v/>
      </c>
    </row>
    <row r="703" spans="14:14" x14ac:dyDescent="0.2">
      <c r="N703" s="18" t="str">
        <f t="shared" si="22"/>
        <v/>
      </c>
    </row>
    <row r="704" spans="14:14" x14ac:dyDescent="0.2">
      <c r="N704" s="18" t="str">
        <f t="shared" si="22"/>
        <v/>
      </c>
    </row>
    <row r="705" spans="14:14" x14ac:dyDescent="0.2">
      <c r="N705" s="18" t="str">
        <f t="shared" si="22"/>
        <v/>
      </c>
    </row>
    <row r="706" spans="14:14" x14ac:dyDescent="0.2">
      <c r="N706" s="18" t="str">
        <f t="shared" ref="N706:N769" si="23">IF(J706="","",TEXT(J706,"ММММ ГГГГ"))</f>
        <v/>
      </c>
    </row>
    <row r="707" spans="14:14" x14ac:dyDescent="0.2">
      <c r="N707" s="18" t="str">
        <f t="shared" si="23"/>
        <v/>
      </c>
    </row>
    <row r="708" spans="14:14" x14ac:dyDescent="0.2">
      <c r="N708" s="18" t="str">
        <f t="shared" si="23"/>
        <v/>
      </c>
    </row>
    <row r="709" spans="14:14" x14ac:dyDescent="0.2">
      <c r="N709" s="18" t="str">
        <f t="shared" si="23"/>
        <v/>
      </c>
    </row>
    <row r="710" spans="14:14" x14ac:dyDescent="0.2">
      <c r="N710" s="18" t="str">
        <f t="shared" si="23"/>
        <v/>
      </c>
    </row>
    <row r="711" spans="14:14" x14ac:dyDescent="0.2">
      <c r="N711" s="18" t="str">
        <f t="shared" si="23"/>
        <v/>
      </c>
    </row>
    <row r="712" spans="14:14" x14ac:dyDescent="0.2">
      <c r="N712" s="18" t="str">
        <f t="shared" si="23"/>
        <v/>
      </c>
    </row>
    <row r="713" spans="14:14" x14ac:dyDescent="0.2">
      <c r="N713" s="18" t="str">
        <f t="shared" si="23"/>
        <v/>
      </c>
    </row>
    <row r="714" spans="14:14" x14ac:dyDescent="0.2">
      <c r="N714" s="18" t="str">
        <f t="shared" si="23"/>
        <v/>
      </c>
    </row>
    <row r="715" spans="14:14" x14ac:dyDescent="0.2">
      <c r="N715" s="18" t="str">
        <f t="shared" si="23"/>
        <v/>
      </c>
    </row>
    <row r="716" spans="14:14" x14ac:dyDescent="0.2">
      <c r="N716" s="18" t="str">
        <f t="shared" si="23"/>
        <v/>
      </c>
    </row>
    <row r="717" spans="14:14" x14ac:dyDescent="0.2">
      <c r="N717" s="18" t="str">
        <f t="shared" si="23"/>
        <v/>
      </c>
    </row>
    <row r="718" spans="14:14" x14ac:dyDescent="0.2">
      <c r="N718" s="18" t="str">
        <f t="shared" si="23"/>
        <v/>
      </c>
    </row>
    <row r="719" spans="14:14" x14ac:dyDescent="0.2">
      <c r="N719" s="18" t="str">
        <f t="shared" si="23"/>
        <v/>
      </c>
    </row>
    <row r="720" spans="14:14" x14ac:dyDescent="0.2">
      <c r="N720" s="18" t="str">
        <f t="shared" si="23"/>
        <v/>
      </c>
    </row>
    <row r="721" spans="14:14" x14ac:dyDescent="0.2">
      <c r="N721" s="18" t="str">
        <f t="shared" si="23"/>
        <v/>
      </c>
    </row>
    <row r="722" spans="14:14" x14ac:dyDescent="0.2">
      <c r="N722" s="18" t="str">
        <f t="shared" si="23"/>
        <v/>
      </c>
    </row>
    <row r="723" spans="14:14" x14ac:dyDescent="0.2">
      <c r="N723" s="18" t="str">
        <f t="shared" si="23"/>
        <v/>
      </c>
    </row>
    <row r="724" spans="14:14" x14ac:dyDescent="0.2">
      <c r="N724" s="18" t="str">
        <f t="shared" si="23"/>
        <v/>
      </c>
    </row>
    <row r="725" spans="14:14" x14ac:dyDescent="0.2">
      <c r="N725" s="18" t="str">
        <f t="shared" si="23"/>
        <v/>
      </c>
    </row>
    <row r="726" spans="14:14" x14ac:dyDescent="0.2">
      <c r="N726" s="18" t="str">
        <f t="shared" si="23"/>
        <v/>
      </c>
    </row>
    <row r="727" spans="14:14" x14ac:dyDescent="0.2">
      <c r="N727" s="18" t="str">
        <f t="shared" si="23"/>
        <v/>
      </c>
    </row>
    <row r="728" spans="14:14" x14ac:dyDescent="0.2">
      <c r="N728" s="18" t="str">
        <f t="shared" si="23"/>
        <v/>
      </c>
    </row>
    <row r="729" spans="14:14" x14ac:dyDescent="0.2">
      <c r="N729" s="18" t="str">
        <f t="shared" si="23"/>
        <v/>
      </c>
    </row>
    <row r="730" spans="14:14" x14ac:dyDescent="0.2">
      <c r="N730" s="18" t="str">
        <f t="shared" si="23"/>
        <v/>
      </c>
    </row>
    <row r="731" spans="14:14" x14ac:dyDescent="0.2">
      <c r="N731" s="18" t="str">
        <f t="shared" si="23"/>
        <v/>
      </c>
    </row>
    <row r="732" spans="14:14" x14ac:dyDescent="0.2">
      <c r="N732" s="18" t="str">
        <f t="shared" si="23"/>
        <v/>
      </c>
    </row>
    <row r="733" spans="14:14" x14ac:dyDescent="0.2">
      <c r="N733" s="18" t="str">
        <f t="shared" si="23"/>
        <v/>
      </c>
    </row>
    <row r="734" spans="14:14" x14ac:dyDescent="0.2">
      <c r="N734" s="18" t="str">
        <f t="shared" si="23"/>
        <v/>
      </c>
    </row>
    <row r="735" spans="14:14" x14ac:dyDescent="0.2">
      <c r="N735" s="18" t="str">
        <f t="shared" si="23"/>
        <v/>
      </c>
    </row>
    <row r="736" spans="14:14" x14ac:dyDescent="0.2">
      <c r="N736" s="18" t="str">
        <f t="shared" si="23"/>
        <v/>
      </c>
    </row>
    <row r="737" spans="14:14" x14ac:dyDescent="0.2">
      <c r="N737" s="18" t="str">
        <f t="shared" si="23"/>
        <v/>
      </c>
    </row>
    <row r="738" spans="14:14" x14ac:dyDescent="0.2">
      <c r="N738" s="18" t="str">
        <f t="shared" si="23"/>
        <v/>
      </c>
    </row>
    <row r="739" spans="14:14" x14ac:dyDescent="0.2">
      <c r="N739" s="18" t="str">
        <f t="shared" si="23"/>
        <v/>
      </c>
    </row>
    <row r="740" spans="14:14" x14ac:dyDescent="0.2">
      <c r="N740" s="18" t="str">
        <f t="shared" si="23"/>
        <v/>
      </c>
    </row>
    <row r="741" spans="14:14" x14ac:dyDescent="0.2">
      <c r="N741" s="18" t="str">
        <f t="shared" si="23"/>
        <v/>
      </c>
    </row>
    <row r="742" spans="14:14" x14ac:dyDescent="0.2">
      <c r="N742" s="18" t="str">
        <f t="shared" si="23"/>
        <v/>
      </c>
    </row>
    <row r="743" spans="14:14" x14ac:dyDescent="0.2">
      <c r="N743" s="18" t="str">
        <f t="shared" si="23"/>
        <v/>
      </c>
    </row>
    <row r="744" spans="14:14" x14ac:dyDescent="0.2">
      <c r="N744" s="18" t="str">
        <f t="shared" si="23"/>
        <v/>
      </c>
    </row>
    <row r="745" spans="14:14" x14ac:dyDescent="0.2">
      <c r="N745" s="18" t="str">
        <f t="shared" si="23"/>
        <v/>
      </c>
    </row>
    <row r="746" spans="14:14" x14ac:dyDescent="0.2">
      <c r="N746" s="18" t="str">
        <f t="shared" si="23"/>
        <v/>
      </c>
    </row>
    <row r="747" spans="14:14" x14ac:dyDescent="0.2">
      <c r="N747" s="18" t="str">
        <f t="shared" si="23"/>
        <v/>
      </c>
    </row>
    <row r="748" spans="14:14" x14ac:dyDescent="0.2">
      <c r="N748" s="18" t="str">
        <f t="shared" si="23"/>
        <v/>
      </c>
    </row>
    <row r="749" spans="14:14" x14ac:dyDescent="0.2">
      <c r="N749" s="18" t="str">
        <f t="shared" si="23"/>
        <v/>
      </c>
    </row>
    <row r="750" spans="14:14" x14ac:dyDescent="0.2">
      <c r="N750" s="18" t="str">
        <f t="shared" si="23"/>
        <v/>
      </c>
    </row>
    <row r="751" spans="14:14" x14ac:dyDescent="0.2">
      <c r="N751" s="18" t="str">
        <f t="shared" si="23"/>
        <v/>
      </c>
    </row>
    <row r="752" spans="14:14" x14ac:dyDescent="0.2">
      <c r="N752" s="18" t="str">
        <f t="shared" si="23"/>
        <v/>
      </c>
    </row>
    <row r="753" spans="14:14" x14ac:dyDescent="0.2">
      <c r="N753" s="18" t="str">
        <f t="shared" si="23"/>
        <v/>
      </c>
    </row>
    <row r="754" spans="14:14" x14ac:dyDescent="0.2">
      <c r="N754" s="18" t="str">
        <f t="shared" si="23"/>
        <v/>
      </c>
    </row>
    <row r="755" spans="14:14" x14ac:dyDescent="0.2">
      <c r="N755" s="18" t="str">
        <f t="shared" si="23"/>
        <v/>
      </c>
    </row>
    <row r="756" spans="14:14" x14ac:dyDescent="0.2">
      <c r="N756" s="18" t="str">
        <f t="shared" si="23"/>
        <v/>
      </c>
    </row>
    <row r="757" spans="14:14" x14ac:dyDescent="0.2">
      <c r="N757" s="18" t="str">
        <f t="shared" si="23"/>
        <v/>
      </c>
    </row>
    <row r="758" spans="14:14" x14ac:dyDescent="0.2">
      <c r="N758" s="18" t="str">
        <f t="shared" si="23"/>
        <v/>
      </c>
    </row>
    <row r="759" spans="14:14" x14ac:dyDescent="0.2">
      <c r="N759" s="18" t="str">
        <f t="shared" si="23"/>
        <v/>
      </c>
    </row>
    <row r="760" spans="14:14" x14ac:dyDescent="0.2">
      <c r="N760" s="18" t="str">
        <f t="shared" si="23"/>
        <v/>
      </c>
    </row>
    <row r="761" spans="14:14" x14ac:dyDescent="0.2">
      <c r="N761" s="18" t="str">
        <f t="shared" si="23"/>
        <v/>
      </c>
    </row>
    <row r="762" spans="14:14" x14ac:dyDescent="0.2">
      <c r="N762" s="18" t="str">
        <f t="shared" si="23"/>
        <v/>
      </c>
    </row>
    <row r="763" spans="14:14" x14ac:dyDescent="0.2">
      <c r="N763" s="18" t="str">
        <f t="shared" si="23"/>
        <v/>
      </c>
    </row>
    <row r="764" spans="14:14" x14ac:dyDescent="0.2">
      <c r="N764" s="18" t="str">
        <f t="shared" si="23"/>
        <v/>
      </c>
    </row>
    <row r="765" spans="14:14" x14ac:dyDescent="0.2">
      <c r="N765" s="18" t="str">
        <f t="shared" si="23"/>
        <v/>
      </c>
    </row>
    <row r="766" spans="14:14" x14ac:dyDescent="0.2">
      <c r="N766" s="18" t="str">
        <f t="shared" si="23"/>
        <v/>
      </c>
    </row>
    <row r="767" spans="14:14" x14ac:dyDescent="0.2">
      <c r="N767" s="18" t="str">
        <f t="shared" si="23"/>
        <v/>
      </c>
    </row>
    <row r="768" spans="14:14" x14ac:dyDescent="0.2">
      <c r="N768" s="18" t="str">
        <f t="shared" si="23"/>
        <v/>
      </c>
    </row>
    <row r="769" spans="14:14" x14ac:dyDescent="0.2">
      <c r="N769" s="18" t="str">
        <f t="shared" si="23"/>
        <v/>
      </c>
    </row>
    <row r="770" spans="14:14" x14ac:dyDescent="0.2">
      <c r="N770" s="18" t="str">
        <f t="shared" ref="N770:N833" si="24">IF(J770="","",TEXT(J770,"ММММ ГГГГ"))</f>
        <v/>
      </c>
    </row>
    <row r="771" spans="14:14" x14ac:dyDescent="0.2">
      <c r="N771" s="18" t="str">
        <f t="shared" si="24"/>
        <v/>
      </c>
    </row>
    <row r="772" spans="14:14" x14ac:dyDescent="0.2">
      <c r="N772" s="18" t="str">
        <f t="shared" si="24"/>
        <v/>
      </c>
    </row>
    <row r="773" spans="14:14" x14ac:dyDescent="0.2">
      <c r="N773" s="18" t="str">
        <f t="shared" si="24"/>
        <v/>
      </c>
    </row>
    <row r="774" spans="14:14" x14ac:dyDescent="0.2">
      <c r="N774" s="18" t="str">
        <f t="shared" si="24"/>
        <v/>
      </c>
    </row>
    <row r="775" spans="14:14" x14ac:dyDescent="0.2">
      <c r="N775" s="18" t="str">
        <f t="shared" si="24"/>
        <v/>
      </c>
    </row>
    <row r="776" spans="14:14" x14ac:dyDescent="0.2">
      <c r="N776" s="18" t="str">
        <f t="shared" si="24"/>
        <v/>
      </c>
    </row>
    <row r="777" spans="14:14" x14ac:dyDescent="0.2">
      <c r="N777" s="18" t="str">
        <f t="shared" si="24"/>
        <v/>
      </c>
    </row>
    <row r="778" spans="14:14" x14ac:dyDescent="0.2">
      <c r="N778" s="18" t="str">
        <f t="shared" si="24"/>
        <v/>
      </c>
    </row>
    <row r="779" spans="14:14" x14ac:dyDescent="0.2">
      <c r="N779" s="18" t="str">
        <f t="shared" si="24"/>
        <v/>
      </c>
    </row>
    <row r="780" spans="14:14" x14ac:dyDescent="0.2">
      <c r="N780" s="18" t="str">
        <f t="shared" si="24"/>
        <v/>
      </c>
    </row>
    <row r="781" spans="14:14" x14ac:dyDescent="0.2">
      <c r="N781" s="18" t="str">
        <f t="shared" si="24"/>
        <v/>
      </c>
    </row>
    <row r="782" spans="14:14" x14ac:dyDescent="0.2">
      <c r="N782" s="18" t="str">
        <f t="shared" si="24"/>
        <v/>
      </c>
    </row>
    <row r="783" spans="14:14" x14ac:dyDescent="0.2">
      <c r="N783" s="18" t="str">
        <f t="shared" si="24"/>
        <v/>
      </c>
    </row>
    <row r="784" spans="14:14" x14ac:dyDescent="0.2">
      <c r="N784" s="18" t="str">
        <f t="shared" si="24"/>
        <v/>
      </c>
    </row>
    <row r="785" spans="14:14" x14ac:dyDescent="0.2">
      <c r="N785" s="18" t="str">
        <f t="shared" si="24"/>
        <v/>
      </c>
    </row>
    <row r="786" spans="14:14" x14ac:dyDescent="0.2">
      <c r="N786" s="18" t="str">
        <f t="shared" si="24"/>
        <v/>
      </c>
    </row>
    <row r="787" spans="14:14" x14ac:dyDescent="0.2">
      <c r="N787" s="18" t="str">
        <f t="shared" si="24"/>
        <v/>
      </c>
    </row>
    <row r="788" spans="14:14" x14ac:dyDescent="0.2">
      <c r="N788" s="18" t="str">
        <f t="shared" si="24"/>
        <v/>
      </c>
    </row>
    <row r="789" spans="14:14" x14ac:dyDescent="0.2">
      <c r="N789" s="18" t="str">
        <f t="shared" si="24"/>
        <v/>
      </c>
    </row>
    <row r="790" spans="14:14" x14ac:dyDescent="0.2">
      <c r="N790" s="18" t="str">
        <f t="shared" si="24"/>
        <v/>
      </c>
    </row>
    <row r="791" spans="14:14" x14ac:dyDescent="0.2">
      <c r="N791" s="18" t="str">
        <f t="shared" si="24"/>
        <v/>
      </c>
    </row>
    <row r="792" spans="14:14" x14ac:dyDescent="0.2">
      <c r="N792" s="18" t="str">
        <f t="shared" si="24"/>
        <v/>
      </c>
    </row>
    <row r="793" spans="14:14" x14ac:dyDescent="0.2">
      <c r="N793" s="18" t="str">
        <f t="shared" si="24"/>
        <v/>
      </c>
    </row>
    <row r="794" spans="14:14" x14ac:dyDescent="0.2">
      <c r="N794" s="18" t="str">
        <f t="shared" si="24"/>
        <v/>
      </c>
    </row>
    <row r="795" spans="14:14" x14ac:dyDescent="0.2">
      <c r="N795" s="18" t="str">
        <f t="shared" si="24"/>
        <v/>
      </c>
    </row>
    <row r="796" spans="14:14" x14ac:dyDescent="0.2">
      <c r="N796" s="18" t="str">
        <f t="shared" si="24"/>
        <v/>
      </c>
    </row>
    <row r="797" spans="14:14" x14ac:dyDescent="0.2">
      <c r="N797" s="18" t="str">
        <f t="shared" si="24"/>
        <v/>
      </c>
    </row>
    <row r="798" spans="14:14" x14ac:dyDescent="0.2">
      <c r="N798" s="18" t="str">
        <f t="shared" si="24"/>
        <v/>
      </c>
    </row>
    <row r="799" spans="14:14" x14ac:dyDescent="0.2">
      <c r="N799" s="18" t="str">
        <f t="shared" si="24"/>
        <v/>
      </c>
    </row>
    <row r="800" spans="14:14" x14ac:dyDescent="0.2">
      <c r="N800" s="18" t="str">
        <f t="shared" si="24"/>
        <v/>
      </c>
    </row>
    <row r="801" spans="14:14" x14ac:dyDescent="0.2">
      <c r="N801" s="18" t="str">
        <f t="shared" si="24"/>
        <v/>
      </c>
    </row>
    <row r="802" spans="14:14" x14ac:dyDescent="0.2">
      <c r="N802" s="18" t="str">
        <f t="shared" si="24"/>
        <v/>
      </c>
    </row>
    <row r="803" spans="14:14" x14ac:dyDescent="0.2">
      <c r="N803" s="18" t="str">
        <f t="shared" si="24"/>
        <v/>
      </c>
    </row>
    <row r="804" spans="14:14" x14ac:dyDescent="0.2">
      <c r="N804" s="18" t="str">
        <f t="shared" si="24"/>
        <v/>
      </c>
    </row>
    <row r="805" spans="14:14" x14ac:dyDescent="0.2">
      <c r="N805" s="18" t="str">
        <f t="shared" si="24"/>
        <v/>
      </c>
    </row>
    <row r="806" spans="14:14" x14ac:dyDescent="0.2">
      <c r="N806" s="18" t="str">
        <f t="shared" si="24"/>
        <v/>
      </c>
    </row>
    <row r="807" spans="14:14" x14ac:dyDescent="0.2">
      <c r="N807" s="18" t="str">
        <f t="shared" si="24"/>
        <v/>
      </c>
    </row>
    <row r="808" spans="14:14" x14ac:dyDescent="0.2">
      <c r="N808" s="18" t="str">
        <f t="shared" si="24"/>
        <v/>
      </c>
    </row>
    <row r="809" spans="14:14" x14ac:dyDescent="0.2">
      <c r="N809" s="18" t="str">
        <f t="shared" si="24"/>
        <v/>
      </c>
    </row>
    <row r="810" spans="14:14" x14ac:dyDescent="0.2">
      <c r="N810" s="18" t="str">
        <f t="shared" si="24"/>
        <v/>
      </c>
    </row>
    <row r="811" spans="14:14" x14ac:dyDescent="0.2">
      <c r="N811" s="18" t="str">
        <f t="shared" si="24"/>
        <v/>
      </c>
    </row>
    <row r="812" spans="14:14" x14ac:dyDescent="0.2">
      <c r="N812" s="18" t="str">
        <f t="shared" si="24"/>
        <v/>
      </c>
    </row>
    <row r="813" spans="14:14" x14ac:dyDescent="0.2">
      <c r="N813" s="18" t="str">
        <f t="shared" si="24"/>
        <v/>
      </c>
    </row>
    <row r="814" spans="14:14" x14ac:dyDescent="0.2">
      <c r="N814" s="18" t="str">
        <f t="shared" si="24"/>
        <v/>
      </c>
    </row>
    <row r="815" spans="14:14" x14ac:dyDescent="0.2">
      <c r="N815" s="18" t="str">
        <f t="shared" si="24"/>
        <v/>
      </c>
    </row>
    <row r="816" spans="14:14" x14ac:dyDescent="0.2">
      <c r="N816" s="18" t="str">
        <f t="shared" si="24"/>
        <v/>
      </c>
    </row>
    <row r="817" spans="14:14" x14ac:dyDescent="0.2">
      <c r="N817" s="18" t="str">
        <f t="shared" si="24"/>
        <v/>
      </c>
    </row>
    <row r="818" spans="14:14" x14ac:dyDescent="0.2">
      <c r="N818" s="18" t="str">
        <f t="shared" si="24"/>
        <v/>
      </c>
    </row>
    <row r="819" spans="14:14" x14ac:dyDescent="0.2">
      <c r="N819" s="18" t="str">
        <f t="shared" si="24"/>
        <v/>
      </c>
    </row>
    <row r="820" spans="14:14" x14ac:dyDescent="0.2">
      <c r="N820" s="18" t="str">
        <f t="shared" si="24"/>
        <v/>
      </c>
    </row>
    <row r="821" spans="14:14" x14ac:dyDescent="0.2">
      <c r="N821" s="18" t="str">
        <f t="shared" si="24"/>
        <v/>
      </c>
    </row>
    <row r="822" spans="14:14" x14ac:dyDescent="0.2">
      <c r="N822" s="18" t="str">
        <f t="shared" si="24"/>
        <v/>
      </c>
    </row>
    <row r="823" spans="14:14" x14ac:dyDescent="0.2">
      <c r="N823" s="18" t="str">
        <f t="shared" si="24"/>
        <v/>
      </c>
    </row>
    <row r="824" spans="14:14" x14ac:dyDescent="0.2">
      <c r="N824" s="18" t="str">
        <f t="shared" si="24"/>
        <v/>
      </c>
    </row>
    <row r="825" spans="14:14" x14ac:dyDescent="0.2">
      <c r="N825" s="18" t="str">
        <f t="shared" si="24"/>
        <v/>
      </c>
    </row>
    <row r="826" spans="14:14" x14ac:dyDescent="0.2">
      <c r="N826" s="18" t="str">
        <f t="shared" si="24"/>
        <v/>
      </c>
    </row>
    <row r="827" spans="14:14" x14ac:dyDescent="0.2">
      <c r="N827" s="18" t="str">
        <f t="shared" si="24"/>
        <v/>
      </c>
    </row>
    <row r="828" spans="14:14" x14ac:dyDescent="0.2">
      <c r="N828" s="18" t="str">
        <f t="shared" si="24"/>
        <v/>
      </c>
    </row>
    <row r="829" spans="14:14" x14ac:dyDescent="0.2">
      <c r="N829" s="18" t="str">
        <f t="shared" si="24"/>
        <v/>
      </c>
    </row>
    <row r="830" spans="14:14" x14ac:dyDescent="0.2">
      <c r="N830" s="18" t="str">
        <f t="shared" si="24"/>
        <v/>
      </c>
    </row>
    <row r="831" spans="14:14" x14ac:dyDescent="0.2">
      <c r="N831" s="18" t="str">
        <f t="shared" si="24"/>
        <v/>
      </c>
    </row>
    <row r="832" spans="14:14" x14ac:dyDescent="0.2">
      <c r="N832" s="18" t="str">
        <f t="shared" si="24"/>
        <v/>
      </c>
    </row>
    <row r="833" spans="14:14" x14ac:dyDescent="0.2">
      <c r="N833" s="18" t="str">
        <f t="shared" si="24"/>
        <v/>
      </c>
    </row>
    <row r="834" spans="14:14" x14ac:dyDescent="0.2">
      <c r="N834" s="18" t="str">
        <f t="shared" ref="N834:N897" si="25">IF(J834="","",TEXT(J834,"ММММ ГГГГ"))</f>
        <v/>
      </c>
    </row>
    <row r="835" spans="14:14" x14ac:dyDescent="0.2">
      <c r="N835" s="18" t="str">
        <f t="shared" si="25"/>
        <v/>
      </c>
    </row>
    <row r="836" spans="14:14" x14ac:dyDescent="0.2">
      <c r="N836" s="18" t="str">
        <f t="shared" si="25"/>
        <v/>
      </c>
    </row>
    <row r="837" spans="14:14" x14ac:dyDescent="0.2">
      <c r="N837" s="18" t="str">
        <f t="shared" si="25"/>
        <v/>
      </c>
    </row>
    <row r="838" spans="14:14" x14ac:dyDescent="0.2">
      <c r="N838" s="18" t="str">
        <f t="shared" si="25"/>
        <v/>
      </c>
    </row>
    <row r="839" spans="14:14" x14ac:dyDescent="0.2">
      <c r="N839" s="18" t="str">
        <f t="shared" si="25"/>
        <v/>
      </c>
    </row>
    <row r="840" spans="14:14" x14ac:dyDescent="0.2">
      <c r="N840" s="18" t="str">
        <f t="shared" si="25"/>
        <v/>
      </c>
    </row>
    <row r="841" spans="14:14" x14ac:dyDescent="0.2">
      <c r="N841" s="18" t="str">
        <f t="shared" si="25"/>
        <v/>
      </c>
    </row>
    <row r="842" spans="14:14" x14ac:dyDescent="0.2">
      <c r="N842" s="18" t="str">
        <f t="shared" si="25"/>
        <v/>
      </c>
    </row>
    <row r="843" spans="14:14" x14ac:dyDescent="0.2">
      <c r="N843" s="18" t="str">
        <f t="shared" si="25"/>
        <v/>
      </c>
    </row>
    <row r="844" spans="14:14" x14ac:dyDescent="0.2">
      <c r="N844" s="18" t="str">
        <f t="shared" si="25"/>
        <v/>
      </c>
    </row>
    <row r="845" spans="14:14" x14ac:dyDescent="0.2">
      <c r="N845" s="18" t="str">
        <f t="shared" si="25"/>
        <v/>
      </c>
    </row>
    <row r="846" spans="14:14" x14ac:dyDescent="0.2">
      <c r="N846" s="18" t="str">
        <f t="shared" si="25"/>
        <v/>
      </c>
    </row>
    <row r="847" spans="14:14" x14ac:dyDescent="0.2">
      <c r="N847" s="18" t="str">
        <f t="shared" si="25"/>
        <v/>
      </c>
    </row>
    <row r="848" spans="14:14" x14ac:dyDescent="0.2">
      <c r="N848" s="18" t="str">
        <f t="shared" si="25"/>
        <v/>
      </c>
    </row>
    <row r="849" spans="14:14" x14ac:dyDescent="0.2">
      <c r="N849" s="18" t="str">
        <f t="shared" si="25"/>
        <v/>
      </c>
    </row>
    <row r="850" spans="14:14" x14ac:dyDescent="0.2">
      <c r="N850" s="18" t="str">
        <f t="shared" si="25"/>
        <v/>
      </c>
    </row>
    <row r="851" spans="14:14" x14ac:dyDescent="0.2">
      <c r="N851" s="18" t="str">
        <f t="shared" si="25"/>
        <v/>
      </c>
    </row>
    <row r="852" spans="14:14" x14ac:dyDescent="0.2">
      <c r="N852" s="18" t="str">
        <f t="shared" si="25"/>
        <v/>
      </c>
    </row>
    <row r="853" spans="14:14" x14ac:dyDescent="0.2">
      <c r="N853" s="18" t="str">
        <f t="shared" si="25"/>
        <v/>
      </c>
    </row>
    <row r="854" spans="14:14" x14ac:dyDescent="0.2">
      <c r="N854" s="18" t="str">
        <f t="shared" si="25"/>
        <v/>
      </c>
    </row>
    <row r="855" spans="14:14" x14ac:dyDescent="0.2">
      <c r="N855" s="18" t="str">
        <f t="shared" si="25"/>
        <v/>
      </c>
    </row>
    <row r="856" spans="14:14" x14ac:dyDescent="0.2">
      <c r="N856" s="18" t="str">
        <f t="shared" si="25"/>
        <v/>
      </c>
    </row>
    <row r="857" spans="14:14" x14ac:dyDescent="0.2">
      <c r="N857" s="18" t="str">
        <f t="shared" si="25"/>
        <v/>
      </c>
    </row>
    <row r="858" spans="14:14" x14ac:dyDescent="0.2">
      <c r="N858" s="18" t="str">
        <f t="shared" si="25"/>
        <v/>
      </c>
    </row>
    <row r="859" spans="14:14" x14ac:dyDescent="0.2">
      <c r="N859" s="18" t="str">
        <f t="shared" si="25"/>
        <v/>
      </c>
    </row>
    <row r="860" spans="14:14" x14ac:dyDescent="0.2">
      <c r="N860" s="18" t="str">
        <f t="shared" si="25"/>
        <v/>
      </c>
    </row>
    <row r="861" spans="14:14" x14ac:dyDescent="0.2">
      <c r="N861" s="18" t="str">
        <f t="shared" si="25"/>
        <v/>
      </c>
    </row>
    <row r="862" spans="14:14" x14ac:dyDescent="0.2">
      <c r="N862" s="18" t="str">
        <f t="shared" si="25"/>
        <v/>
      </c>
    </row>
    <row r="863" spans="14:14" x14ac:dyDescent="0.2">
      <c r="N863" s="18" t="str">
        <f t="shared" si="25"/>
        <v/>
      </c>
    </row>
    <row r="864" spans="14:14" x14ac:dyDescent="0.2">
      <c r="N864" s="18" t="str">
        <f t="shared" si="25"/>
        <v/>
      </c>
    </row>
    <row r="865" spans="14:14" x14ac:dyDescent="0.2">
      <c r="N865" s="18" t="str">
        <f t="shared" si="25"/>
        <v/>
      </c>
    </row>
    <row r="866" spans="14:14" x14ac:dyDescent="0.2">
      <c r="N866" s="18" t="str">
        <f t="shared" si="25"/>
        <v/>
      </c>
    </row>
    <row r="867" spans="14:14" x14ac:dyDescent="0.2">
      <c r="N867" s="18" t="str">
        <f t="shared" si="25"/>
        <v/>
      </c>
    </row>
    <row r="868" spans="14:14" x14ac:dyDescent="0.2">
      <c r="N868" s="18" t="str">
        <f t="shared" si="25"/>
        <v/>
      </c>
    </row>
    <row r="869" spans="14:14" x14ac:dyDescent="0.2">
      <c r="N869" s="18" t="str">
        <f t="shared" si="25"/>
        <v/>
      </c>
    </row>
    <row r="870" spans="14:14" x14ac:dyDescent="0.2">
      <c r="N870" s="18" t="str">
        <f t="shared" si="25"/>
        <v/>
      </c>
    </row>
    <row r="871" spans="14:14" x14ac:dyDescent="0.2">
      <c r="N871" s="18" t="str">
        <f t="shared" si="25"/>
        <v/>
      </c>
    </row>
    <row r="872" spans="14:14" x14ac:dyDescent="0.2">
      <c r="N872" s="18" t="str">
        <f t="shared" si="25"/>
        <v/>
      </c>
    </row>
    <row r="873" spans="14:14" x14ac:dyDescent="0.2">
      <c r="N873" s="18" t="str">
        <f t="shared" si="25"/>
        <v/>
      </c>
    </row>
    <row r="874" spans="14:14" x14ac:dyDescent="0.2">
      <c r="N874" s="18" t="str">
        <f t="shared" si="25"/>
        <v/>
      </c>
    </row>
    <row r="875" spans="14:14" x14ac:dyDescent="0.2">
      <c r="N875" s="18" t="str">
        <f t="shared" si="25"/>
        <v/>
      </c>
    </row>
    <row r="876" spans="14:14" x14ac:dyDescent="0.2">
      <c r="N876" s="18" t="str">
        <f t="shared" si="25"/>
        <v/>
      </c>
    </row>
    <row r="877" spans="14:14" x14ac:dyDescent="0.2">
      <c r="N877" s="18" t="str">
        <f t="shared" si="25"/>
        <v/>
      </c>
    </row>
    <row r="878" spans="14:14" x14ac:dyDescent="0.2">
      <c r="N878" s="18" t="str">
        <f t="shared" si="25"/>
        <v/>
      </c>
    </row>
    <row r="879" spans="14:14" x14ac:dyDescent="0.2">
      <c r="N879" s="18" t="str">
        <f t="shared" si="25"/>
        <v/>
      </c>
    </row>
    <row r="880" spans="14:14" x14ac:dyDescent="0.2">
      <c r="N880" s="18" t="str">
        <f t="shared" si="25"/>
        <v/>
      </c>
    </row>
    <row r="881" spans="14:14" x14ac:dyDescent="0.2">
      <c r="N881" s="18" t="str">
        <f t="shared" si="25"/>
        <v/>
      </c>
    </row>
    <row r="882" spans="14:14" x14ac:dyDescent="0.2">
      <c r="N882" s="18" t="str">
        <f t="shared" si="25"/>
        <v/>
      </c>
    </row>
    <row r="883" spans="14:14" x14ac:dyDescent="0.2">
      <c r="N883" s="18" t="str">
        <f t="shared" si="25"/>
        <v/>
      </c>
    </row>
    <row r="884" spans="14:14" x14ac:dyDescent="0.2">
      <c r="N884" s="18" t="str">
        <f t="shared" si="25"/>
        <v/>
      </c>
    </row>
    <row r="885" spans="14:14" x14ac:dyDescent="0.2">
      <c r="N885" s="18" t="str">
        <f t="shared" si="25"/>
        <v/>
      </c>
    </row>
    <row r="886" spans="14:14" x14ac:dyDescent="0.2">
      <c r="N886" s="18" t="str">
        <f t="shared" si="25"/>
        <v/>
      </c>
    </row>
    <row r="887" spans="14:14" x14ac:dyDescent="0.2">
      <c r="N887" s="18" t="str">
        <f t="shared" si="25"/>
        <v/>
      </c>
    </row>
    <row r="888" spans="14:14" x14ac:dyDescent="0.2">
      <c r="N888" s="18" t="str">
        <f t="shared" si="25"/>
        <v/>
      </c>
    </row>
    <row r="889" spans="14:14" x14ac:dyDescent="0.2">
      <c r="N889" s="18" t="str">
        <f t="shared" si="25"/>
        <v/>
      </c>
    </row>
    <row r="890" spans="14:14" x14ac:dyDescent="0.2">
      <c r="N890" s="18" t="str">
        <f t="shared" si="25"/>
        <v/>
      </c>
    </row>
    <row r="891" spans="14:14" x14ac:dyDescent="0.2">
      <c r="N891" s="18" t="str">
        <f t="shared" si="25"/>
        <v/>
      </c>
    </row>
    <row r="892" spans="14:14" x14ac:dyDescent="0.2">
      <c r="N892" s="18" t="str">
        <f t="shared" si="25"/>
        <v/>
      </c>
    </row>
    <row r="893" spans="14:14" x14ac:dyDescent="0.2">
      <c r="N893" s="18" t="str">
        <f t="shared" si="25"/>
        <v/>
      </c>
    </row>
    <row r="894" spans="14:14" x14ac:dyDescent="0.2">
      <c r="N894" s="18" t="str">
        <f t="shared" si="25"/>
        <v/>
      </c>
    </row>
    <row r="895" spans="14:14" x14ac:dyDescent="0.2">
      <c r="N895" s="18" t="str">
        <f t="shared" si="25"/>
        <v/>
      </c>
    </row>
    <row r="896" spans="14:14" x14ac:dyDescent="0.2">
      <c r="N896" s="18" t="str">
        <f t="shared" si="25"/>
        <v/>
      </c>
    </row>
    <row r="897" spans="14:14" x14ac:dyDescent="0.2">
      <c r="N897" s="18" t="str">
        <f t="shared" si="25"/>
        <v/>
      </c>
    </row>
    <row r="898" spans="14:14" x14ac:dyDescent="0.2">
      <c r="N898" s="18" t="str">
        <f t="shared" ref="N898:N961" si="26">IF(J898="","",TEXT(J898,"ММММ ГГГГ"))</f>
        <v/>
      </c>
    </row>
    <row r="899" spans="14:14" x14ac:dyDescent="0.2">
      <c r="N899" s="18" t="str">
        <f t="shared" si="26"/>
        <v/>
      </c>
    </row>
    <row r="900" spans="14:14" x14ac:dyDescent="0.2">
      <c r="N900" s="18" t="str">
        <f t="shared" si="26"/>
        <v/>
      </c>
    </row>
    <row r="901" spans="14:14" x14ac:dyDescent="0.2">
      <c r="N901" s="18" t="str">
        <f t="shared" si="26"/>
        <v/>
      </c>
    </row>
    <row r="902" spans="14:14" x14ac:dyDescent="0.2">
      <c r="N902" s="18" t="str">
        <f t="shared" si="26"/>
        <v/>
      </c>
    </row>
    <row r="903" spans="14:14" x14ac:dyDescent="0.2">
      <c r="N903" s="18" t="str">
        <f t="shared" si="26"/>
        <v/>
      </c>
    </row>
    <row r="904" spans="14:14" x14ac:dyDescent="0.2">
      <c r="N904" s="18" t="str">
        <f t="shared" si="26"/>
        <v/>
      </c>
    </row>
    <row r="905" spans="14:14" x14ac:dyDescent="0.2">
      <c r="N905" s="18" t="str">
        <f t="shared" si="26"/>
        <v/>
      </c>
    </row>
    <row r="906" spans="14:14" x14ac:dyDescent="0.2">
      <c r="N906" s="18" t="str">
        <f t="shared" si="26"/>
        <v/>
      </c>
    </row>
    <row r="907" spans="14:14" x14ac:dyDescent="0.2">
      <c r="N907" s="18" t="str">
        <f t="shared" si="26"/>
        <v/>
      </c>
    </row>
    <row r="908" spans="14:14" x14ac:dyDescent="0.2">
      <c r="N908" s="18" t="str">
        <f t="shared" si="26"/>
        <v/>
      </c>
    </row>
    <row r="909" spans="14:14" x14ac:dyDescent="0.2">
      <c r="N909" s="18" t="str">
        <f t="shared" si="26"/>
        <v/>
      </c>
    </row>
    <row r="910" spans="14:14" x14ac:dyDescent="0.2">
      <c r="N910" s="18" t="str">
        <f t="shared" si="26"/>
        <v/>
      </c>
    </row>
    <row r="911" spans="14:14" x14ac:dyDescent="0.2">
      <c r="N911" s="18" t="str">
        <f t="shared" si="26"/>
        <v/>
      </c>
    </row>
    <row r="912" spans="14:14" x14ac:dyDescent="0.2">
      <c r="N912" s="18" t="str">
        <f t="shared" si="26"/>
        <v/>
      </c>
    </row>
    <row r="913" spans="14:14" x14ac:dyDescent="0.2">
      <c r="N913" s="18" t="str">
        <f t="shared" si="26"/>
        <v/>
      </c>
    </row>
    <row r="914" spans="14:14" x14ac:dyDescent="0.2">
      <c r="N914" s="18" t="str">
        <f t="shared" si="26"/>
        <v/>
      </c>
    </row>
    <row r="915" spans="14:14" x14ac:dyDescent="0.2">
      <c r="N915" s="18" t="str">
        <f t="shared" si="26"/>
        <v/>
      </c>
    </row>
    <row r="916" spans="14:14" x14ac:dyDescent="0.2">
      <c r="N916" s="18" t="str">
        <f t="shared" si="26"/>
        <v/>
      </c>
    </row>
    <row r="917" spans="14:14" x14ac:dyDescent="0.2">
      <c r="N917" s="18" t="str">
        <f t="shared" si="26"/>
        <v/>
      </c>
    </row>
    <row r="918" spans="14:14" x14ac:dyDescent="0.2">
      <c r="N918" s="18" t="str">
        <f t="shared" si="26"/>
        <v/>
      </c>
    </row>
    <row r="919" spans="14:14" x14ac:dyDescent="0.2">
      <c r="N919" s="18" t="str">
        <f t="shared" si="26"/>
        <v/>
      </c>
    </row>
    <row r="920" spans="14:14" x14ac:dyDescent="0.2">
      <c r="N920" s="18" t="str">
        <f t="shared" si="26"/>
        <v/>
      </c>
    </row>
    <row r="921" spans="14:14" x14ac:dyDescent="0.2">
      <c r="N921" s="18" t="str">
        <f t="shared" si="26"/>
        <v/>
      </c>
    </row>
    <row r="922" spans="14:14" x14ac:dyDescent="0.2">
      <c r="N922" s="18" t="str">
        <f t="shared" si="26"/>
        <v/>
      </c>
    </row>
    <row r="923" spans="14:14" x14ac:dyDescent="0.2">
      <c r="N923" s="18" t="str">
        <f t="shared" si="26"/>
        <v/>
      </c>
    </row>
    <row r="924" spans="14:14" x14ac:dyDescent="0.2">
      <c r="N924" s="18" t="str">
        <f t="shared" si="26"/>
        <v/>
      </c>
    </row>
    <row r="925" spans="14:14" x14ac:dyDescent="0.2">
      <c r="N925" s="18" t="str">
        <f t="shared" si="26"/>
        <v/>
      </c>
    </row>
    <row r="926" spans="14:14" x14ac:dyDescent="0.2">
      <c r="N926" s="18" t="str">
        <f t="shared" si="26"/>
        <v/>
      </c>
    </row>
    <row r="927" spans="14:14" x14ac:dyDescent="0.2">
      <c r="N927" s="18" t="str">
        <f t="shared" si="26"/>
        <v/>
      </c>
    </row>
    <row r="928" spans="14:14" x14ac:dyDescent="0.2">
      <c r="N928" s="18" t="str">
        <f t="shared" si="26"/>
        <v/>
      </c>
    </row>
    <row r="929" spans="14:14" x14ac:dyDescent="0.2">
      <c r="N929" s="18" t="str">
        <f t="shared" si="26"/>
        <v/>
      </c>
    </row>
    <row r="930" spans="14:14" x14ac:dyDescent="0.2">
      <c r="N930" s="18" t="str">
        <f t="shared" si="26"/>
        <v/>
      </c>
    </row>
    <row r="931" spans="14:14" x14ac:dyDescent="0.2">
      <c r="N931" s="18" t="str">
        <f t="shared" si="26"/>
        <v/>
      </c>
    </row>
    <row r="932" spans="14:14" x14ac:dyDescent="0.2">
      <c r="N932" s="18" t="str">
        <f t="shared" si="26"/>
        <v/>
      </c>
    </row>
    <row r="933" spans="14:14" x14ac:dyDescent="0.2">
      <c r="N933" s="18" t="str">
        <f t="shared" si="26"/>
        <v/>
      </c>
    </row>
    <row r="934" spans="14:14" x14ac:dyDescent="0.2">
      <c r="N934" s="18" t="str">
        <f t="shared" si="26"/>
        <v/>
      </c>
    </row>
    <row r="935" spans="14:14" x14ac:dyDescent="0.2">
      <c r="N935" s="18" t="str">
        <f t="shared" si="26"/>
        <v/>
      </c>
    </row>
    <row r="936" spans="14:14" x14ac:dyDescent="0.2">
      <c r="N936" s="18" t="str">
        <f t="shared" si="26"/>
        <v/>
      </c>
    </row>
    <row r="937" spans="14:14" x14ac:dyDescent="0.2">
      <c r="N937" s="18" t="str">
        <f t="shared" si="26"/>
        <v/>
      </c>
    </row>
    <row r="938" spans="14:14" x14ac:dyDescent="0.2">
      <c r="N938" s="18" t="str">
        <f t="shared" si="26"/>
        <v/>
      </c>
    </row>
    <row r="939" spans="14:14" x14ac:dyDescent="0.2">
      <c r="N939" s="18" t="str">
        <f t="shared" si="26"/>
        <v/>
      </c>
    </row>
    <row r="940" spans="14:14" x14ac:dyDescent="0.2">
      <c r="N940" s="18" t="str">
        <f t="shared" si="26"/>
        <v/>
      </c>
    </row>
    <row r="941" spans="14:14" x14ac:dyDescent="0.2">
      <c r="N941" s="18" t="str">
        <f t="shared" si="26"/>
        <v/>
      </c>
    </row>
    <row r="942" spans="14:14" x14ac:dyDescent="0.2">
      <c r="N942" s="18" t="str">
        <f t="shared" si="26"/>
        <v/>
      </c>
    </row>
    <row r="943" spans="14:14" x14ac:dyDescent="0.2">
      <c r="N943" s="18" t="str">
        <f t="shared" si="26"/>
        <v/>
      </c>
    </row>
    <row r="944" spans="14:14" x14ac:dyDescent="0.2">
      <c r="N944" s="18" t="str">
        <f t="shared" si="26"/>
        <v/>
      </c>
    </row>
    <row r="945" spans="14:14" x14ac:dyDescent="0.2">
      <c r="N945" s="18" t="str">
        <f t="shared" si="26"/>
        <v/>
      </c>
    </row>
    <row r="946" spans="14:14" x14ac:dyDescent="0.2">
      <c r="N946" s="18" t="str">
        <f t="shared" si="26"/>
        <v/>
      </c>
    </row>
    <row r="947" spans="14:14" x14ac:dyDescent="0.2">
      <c r="N947" s="18" t="str">
        <f t="shared" si="26"/>
        <v/>
      </c>
    </row>
    <row r="948" spans="14:14" x14ac:dyDescent="0.2">
      <c r="N948" s="18" t="str">
        <f t="shared" si="26"/>
        <v/>
      </c>
    </row>
    <row r="949" spans="14:14" x14ac:dyDescent="0.2">
      <c r="N949" s="18" t="str">
        <f t="shared" si="26"/>
        <v/>
      </c>
    </row>
    <row r="950" spans="14:14" x14ac:dyDescent="0.2">
      <c r="N950" s="18" t="str">
        <f t="shared" si="26"/>
        <v/>
      </c>
    </row>
    <row r="951" spans="14:14" x14ac:dyDescent="0.2">
      <c r="N951" s="18" t="str">
        <f t="shared" si="26"/>
        <v/>
      </c>
    </row>
    <row r="952" spans="14:14" x14ac:dyDescent="0.2">
      <c r="N952" s="18" t="str">
        <f t="shared" si="26"/>
        <v/>
      </c>
    </row>
    <row r="953" spans="14:14" x14ac:dyDescent="0.2">
      <c r="N953" s="18" t="str">
        <f t="shared" si="26"/>
        <v/>
      </c>
    </row>
    <row r="954" spans="14:14" x14ac:dyDescent="0.2">
      <c r="N954" s="18" t="str">
        <f t="shared" si="26"/>
        <v/>
      </c>
    </row>
    <row r="955" spans="14:14" x14ac:dyDescent="0.2">
      <c r="N955" s="18" t="str">
        <f t="shared" si="26"/>
        <v/>
      </c>
    </row>
    <row r="956" spans="14:14" x14ac:dyDescent="0.2">
      <c r="N956" s="18" t="str">
        <f t="shared" si="26"/>
        <v/>
      </c>
    </row>
    <row r="957" spans="14:14" x14ac:dyDescent="0.2">
      <c r="N957" s="18" t="str">
        <f t="shared" si="26"/>
        <v/>
      </c>
    </row>
    <row r="958" spans="14:14" x14ac:dyDescent="0.2">
      <c r="N958" s="18" t="str">
        <f t="shared" si="26"/>
        <v/>
      </c>
    </row>
    <row r="959" spans="14:14" x14ac:dyDescent="0.2">
      <c r="N959" s="18" t="str">
        <f t="shared" si="26"/>
        <v/>
      </c>
    </row>
    <row r="960" spans="14:14" x14ac:dyDescent="0.2">
      <c r="N960" s="18" t="str">
        <f t="shared" si="26"/>
        <v/>
      </c>
    </row>
    <row r="961" spans="14:14" x14ac:dyDescent="0.2">
      <c r="N961" s="18" t="str">
        <f t="shared" si="26"/>
        <v/>
      </c>
    </row>
    <row r="962" spans="14:14" x14ac:dyDescent="0.2">
      <c r="N962" s="18" t="str">
        <f t="shared" ref="N962:N1025" si="27">IF(J962="","",TEXT(J962,"ММММ ГГГГ"))</f>
        <v/>
      </c>
    </row>
    <row r="963" spans="14:14" x14ac:dyDescent="0.2">
      <c r="N963" s="18" t="str">
        <f t="shared" si="27"/>
        <v/>
      </c>
    </row>
    <row r="964" spans="14:14" x14ac:dyDescent="0.2">
      <c r="N964" s="18" t="str">
        <f t="shared" si="27"/>
        <v/>
      </c>
    </row>
    <row r="965" spans="14:14" x14ac:dyDescent="0.2">
      <c r="N965" s="18" t="str">
        <f t="shared" si="27"/>
        <v/>
      </c>
    </row>
    <row r="966" spans="14:14" x14ac:dyDescent="0.2">
      <c r="N966" s="18" t="str">
        <f t="shared" si="27"/>
        <v/>
      </c>
    </row>
    <row r="967" spans="14:14" x14ac:dyDescent="0.2">
      <c r="N967" s="18" t="str">
        <f t="shared" si="27"/>
        <v/>
      </c>
    </row>
    <row r="968" spans="14:14" x14ac:dyDescent="0.2">
      <c r="N968" s="18" t="str">
        <f t="shared" si="27"/>
        <v/>
      </c>
    </row>
    <row r="969" spans="14:14" x14ac:dyDescent="0.2">
      <c r="N969" s="18" t="str">
        <f t="shared" si="27"/>
        <v/>
      </c>
    </row>
    <row r="970" spans="14:14" x14ac:dyDescent="0.2">
      <c r="N970" s="18" t="str">
        <f t="shared" si="27"/>
        <v/>
      </c>
    </row>
    <row r="971" spans="14:14" x14ac:dyDescent="0.2">
      <c r="N971" s="18" t="str">
        <f t="shared" si="27"/>
        <v/>
      </c>
    </row>
    <row r="972" spans="14:14" x14ac:dyDescent="0.2">
      <c r="N972" s="18" t="str">
        <f t="shared" si="27"/>
        <v/>
      </c>
    </row>
    <row r="973" spans="14:14" x14ac:dyDescent="0.2">
      <c r="N973" s="18" t="str">
        <f t="shared" si="27"/>
        <v/>
      </c>
    </row>
    <row r="974" spans="14:14" x14ac:dyDescent="0.2">
      <c r="N974" s="18" t="str">
        <f t="shared" si="27"/>
        <v/>
      </c>
    </row>
    <row r="975" spans="14:14" x14ac:dyDescent="0.2">
      <c r="N975" s="18" t="str">
        <f t="shared" si="27"/>
        <v/>
      </c>
    </row>
    <row r="976" spans="14:14" x14ac:dyDescent="0.2">
      <c r="N976" s="18" t="str">
        <f t="shared" si="27"/>
        <v/>
      </c>
    </row>
    <row r="977" spans="14:14" x14ac:dyDescent="0.2">
      <c r="N977" s="18" t="str">
        <f t="shared" si="27"/>
        <v/>
      </c>
    </row>
    <row r="978" spans="14:14" x14ac:dyDescent="0.2">
      <c r="N978" s="18" t="str">
        <f t="shared" si="27"/>
        <v/>
      </c>
    </row>
    <row r="979" spans="14:14" x14ac:dyDescent="0.2">
      <c r="N979" s="18" t="str">
        <f t="shared" si="27"/>
        <v/>
      </c>
    </row>
    <row r="980" spans="14:14" x14ac:dyDescent="0.2">
      <c r="N980" s="18" t="str">
        <f t="shared" si="27"/>
        <v/>
      </c>
    </row>
    <row r="981" spans="14:14" x14ac:dyDescent="0.2">
      <c r="N981" s="18" t="str">
        <f t="shared" si="27"/>
        <v/>
      </c>
    </row>
    <row r="982" spans="14:14" x14ac:dyDescent="0.2">
      <c r="N982" s="18" t="str">
        <f t="shared" si="27"/>
        <v/>
      </c>
    </row>
    <row r="983" spans="14:14" x14ac:dyDescent="0.2">
      <c r="N983" s="18" t="str">
        <f t="shared" si="27"/>
        <v/>
      </c>
    </row>
    <row r="984" spans="14:14" x14ac:dyDescent="0.2">
      <c r="N984" s="18" t="str">
        <f t="shared" si="27"/>
        <v/>
      </c>
    </row>
    <row r="985" spans="14:14" x14ac:dyDescent="0.2">
      <c r="N985" s="18" t="str">
        <f t="shared" si="27"/>
        <v/>
      </c>
    </row>
    <row r="986" spans="14:14" x14ac:dyDescent="0.2">
      <c r="N986" s="18" t="str">
        <f t="shared" si="27"/>
        <v/>
      </c>
    </row>
    <row r="987" spans="14:14" x14ac:dyDescent="0.2">
      <c r="N987" s="18" t="str">
        <f t="shared" si="27"/>
        <v/>
      </c>
    </row>
    <row r="988" spans="14:14" x14ac:dyDescent="0.2">
      <c r="N988" s="18" t="str">
        <f t="shared" si="27"/>
        <v/>
      </c>
    </row>
    <row r="989" spans="14:14" x14ac:dyDescent="0.2">
      <c r="N989" s="18" t="str">
        <f t="shared" si="27"/>
        <v/>
      </c>
    </row>
    <row r="990" spans="14:14" x14ac:dyDescent="0.2">
      <c r="N990" s="18" t="str">
        <f t="shared" si="27"/>
        <v/>
      </c>
    </row>
    <row r="991" spans="14:14" x14ac:dyDescent="0.2">
      <c r="N991" s="18" t="str">
        <f t="shared" si="27"/>
        <v/>
      </c>
    </row>
    <row r="992" spans="14:14" x14ac:dyDescent="0.2">
      <c r="N992" s="18" t="str">
        <f t="shared" si="27"/>
        <v/>
      </c>
    </row>
    <row r="993" spans="14:14" x14ac:dyDescent="0.2">
      <c r="N993" s="18" t="str">
        <f t="shared" si="27"/>
        <v/>
      </c>
    </row>
    <row r="994" spans="14:14" x14ac:dyDescent="0.2">
      <c r="N994" s="18" t="str">
        <f t="shared" si="27"/>
        <v/>
      </c>
    </row>
    <row r="995" spans="14:14" x14ac:dyDescent="0.2">
      <c r="N995" s="18" t="str">
        <f t="shared" si="27"/>
        <v/>
      </c>
    </row>
    <row r="996" spans="14:14" x14ac:dyDescent="0.2">
      <c r="N996" s="18" t="str">
        <f t="shared" si="27"/>
        <v/>
      </c>
    </row>
    <row r="997" spans="14:14" x14ac:dyDescent="0.2">
      <c r="N997" s="18" t="str">
        <f t="shared" si="27"/>
        <v/>
      </c>
    </row>
    <row r="998" spans="14:14" x14ac:dyDescent="0.2">
      <c r="N998" s="18" t="str">
        <f t="shared" si="27"/>
        <v/>
      </c>
    </row>
    <row r="999" spans="14:14" x14ac:dyDescent="0.2">
      <c r="N999" s="18" t="str">
        <f t="shared" si="27"/>
        <v/>
      </c>
    </row>
    <row r="1000" spans="14:14" x14ac:dyDescent="0.2">
      <c r="N1000" s="18" t="str">
        <f t="shared" si="27"/>
        <v/>
      </c>
    </row>
    <row r="1001" spans="14:14" x14ac:dyDescent="0.2">
      <c r="N1001" s="18" t="str">
        <f t="shared" si="27"/>
        <v/>
      </c>
    </row>
    <row r="1002" spans="14:14" x14ac:dyDescent="0.2">
      <c r="N1002" s="18" t="str">
        <f t="shared" si="27"/>
        <v/>
      </c>
    </row>
    <row r="1003" spans="14:14" x14ac:dyDescent="0.2">
      <c r="N1003" s="18" t="str">
        <f t="shared" si="27"/>
        <v/>
      </c>
    </row>
    <row r="1004" spans="14:14" x14ac:dyDescent="0.2">
      <c r="N1004" s="18" t="str">
        <f t="shared" si="27"/>
        <v/>
      </c>
    </row>
    <row r="1005" spans="14:14" x14ac:dyDescent="0.2">
      <c r="N1005" s="18" t="str">
        <f t="shared" si="27"/>
        <v/>
      </c>
    </row>
    <row r="1006" spans="14:14" x14ac:dyDescent="0.2">
      <c r="N1006" s="18" t="str">
        <f t="shared" si="27"/>
        <v/>
      </c>
    </row>
    <row r="1007" spans="14:14" x14ac:dyDescent="0.2">
      <c r="N1007" s="18" t="str">
        <f t="shared" si="27"/>
        <v/>
      </c>
    </row>
    <row r="1008" spans="14:14" x14ac:dyDescent="0.2">
      <c r="N1008" s="18" t="str">
        <f t="shared" si="27"/>
        <v/>
      </c>
    </row>
    <row r="1009" spans="14:14" x14ac:dyDescent="0.2">
      <c r="N1009" s="18" t="str">
        <f t="shared" si="27"/>
        <v/>
      </c>
    </row>
    <row r="1010" spans="14:14" x14ac:dyDescent="0.2">
      <c r="N1010" s="18" t="str">
        <f t="shared" si="27"/>
        <v/>
      </c>
    </row>
    <row r="1011" spans="14:14" x14ac:dyDescent="0.2">
      <c r="N1011" s="18" t="str">
        <f t="shared" si="27"/>
        <v/>
      </c>
    </row>
    <row r="1012" spans="14:14" x14ac:dyDescent="0.2">
      <c r="N1012" s="18" t="str">
        <f t="shared" si="27"/>
        <v/>
      </c>
    </row>
    <row r="1013" spans="14:14" x14ac:dyDescent="0.2">
      <c r="N1013" s="18" t="str">
        <f t="shared" si="27"/>
        <v/>
      </c>
    </row>
    <row r="1014" spans="14:14" x14ac:dyDescent="0.2">
      <c r="N1014" s="18" t="str">
        <f t="shared" si="27"/>
        <v/>
      </c>
    </row>
    <row r="1015" spans="14:14" x14ac:dyDescent="0.2">
      <c r="N1015" s="18" t="str">
        <f t="shared" si="27"/>
        <v/>
      </c>
    </row>
    <row r="1016" spans="14:14" x14ac:dyDescent="0.2">
      <c r="N1016" s="18" t="str">
        <f t="shared" si="27"/>
        <v/>
      </c>
    </row>
    <row r="1017" spans="14:14" x14ac:dyDescent="0.2">
      <c r="N1017" s="18" t="str">
        <f t="shared" si="27"/>
        <v/>
      </c>
    </row>
    <row r="1018" spans="14:14" x14ac:dyDescent="0.2">
      <c r="N1018" s="18" t="str">
        <f t="shared" si="27"/>
        <v/>
      </c>
    </row>
    <row r="1019" spans="14:14" x14ac:dyDescent="0.2">
      <c r="N1019" s="18" t="str">
        <f t="shared" si="27"/>
        <v/>
      </c>
    </row>
    <row r="1020" spans="14:14" x14ac:dyDescent="0.2">
      <c r="N1020" s="18" t="str">
        <f t="shared" si="27"/>
        <v/>
      </c>
    </row>
    <row r="1021" spans="14:14" x14ac:dyDescent="0.2">
      <c r="N1021" s="18" t="str">
        <f t="shared" si="27"/>
        <v/>
      </c>
    </row>
    <row r="1022" spans="14:14" x14ac:dyDescent="0.2">
      <c r="N1022" s="18" t="str">
        <f t="shared" si="27"/>
        <v/>
      </c>
    </row>
    <row r="1023" spans="14:14" x14ac:dyDescent="0.2">
      <c r="N1023" s="18" t="str">
        <f t="shared" si="27"/>
        <v/>
      </c>
    </row>
    <row r="1024" spans="14:14" x14ac:dyDescent="0.2">
      <c r="N1024" s="18" t="str">
        <f t="shared" si="27"/>
        <v/>
      </c>
    </row>
    <row r="1025" spans="14:14" x14ac:dyDescent="0.2">
      <c r="N1025" s="18" t="str">
        <f t="shared" si="27"/>
        <v/>
      </c>
    </row>
    <row r="1026" spans="14:14" x14ac:dyDescent="0.2">
      <c r="N1026" s="18" t="str">
        <f t="shared" ref="N1026:N1089" si="28">IF(J1026="","",TEXT(J1026,"ММММ ГГГГ"))</f>
        <v/>
      </c>
    </row>
    <row r="1027" spans="14:14" x14ac:dyDescent="0.2">
      <c r="N1027" s="18" t="str">
        <f t="shared" si="28"/>
        <v/>
      </c>
    </row>
    <row r="1028" spans="14:14" x14ac:dyDescent="0.2">
      <c r="N1028" s="18" t="str">
        <f t="shared" si="28"/>
        <v/>
      </c>
    </row>
    <row r="1029" spans="14:14" x14ac:dyDescent="0.2">
      <c r="N1029" s="18" t="str">
        <f t="shared" si="28"/>
        <v/>
      </c>
    </row>
    <row r="1030" spans="14:14" x14ac:dyDescent="0.2">
      <c r="N1030" s="18" t="str">
        <f t="shared" si="28"/>
        <v/>
      </c>
    </row>
    <row r="1031" spans="14:14" x14ac:dyDescent="0.2">
      <c r="N1031" s="18" t="str">
        <f t="shared" si="28"/>
        <v/>
      </c>
    </row>
    <row r="1032" spans="14:14" x14ac:dyDescent="0.2">
      <c r="N1032" s="18" t="str">
        <f t="shared" si="28"/>
        <v/>
      </c>
    </row>
    <row r="1033" spans="14:14" x14ac:dyDescent="0.2">
      <c r="N1033" s="18" t="str">
        <f t="shared" si="28"/>
        <v/>
      </c>
    </row>
    <row r="1034" spans="14:14" x14ac:dyDescent="0.2">
      <c r="N1034" s="18" t="str">
        <f t="shared" si="28"/>
        <v/>
      </c>
    </row>
    <row r="1035" spans="14:14" x14ac:dyDescent="0.2">
      <c r="N1035" s="18" t="str">
        <f t="shared" si="28"/>
        <v/>
      </c>
    </row>
    <row r="1036" spans="14:14" x14ac:dyDescent="0.2">
      <c r="N1036" s="18" t="str">
        <f t="shared" si="28"/>
        <v/>
      </c>
    </row>
    <row r="1037" spans="14:14" x14ac:dyDescent="0.2">
      <c r="N1037" s="18" t="str">
        <f t="shared" si="28"/>
        <v/>
      </c>
    </row>
    <row r="1038" spans="14:14" x14ac:dyDescent="0.2">
      <c r="N1038" s="18" t="str">
        <f t="shared" si="28"/>
        <v/>
      </c>
    </row>
    <row r="1039" spans="14:14" x14ac:dyDescent="0.2">
      <c r="N1039" s="18" t="str">
        <f t="shared" si="28"/>
        <v/>
      </c>
    </row>
    <row r="1040" spans="14:14" x14ac:dyDescent="0.2">
      <c r="N1040" s="18" t="str">
        <f t="shared" si="28"/>
        <v/>
      </c>
    </row>
    <row r="1041" spans="14:14" x14ac:dyDescent="0.2">
      <c r="N1041" s="18" t="str">
        <f t="shared" si="28"/>
        <v/>
      </c>
    </row>
    <row r="1042" spans="14:14" x14ac:dyDescent="0.2">
      <c r="N1042" s="18" t="str">
        <f t="shared" si="28"/>
        <v/>
      </c>
    </row>
    <row r="1043" spans="14:14" x14ac:dyDescent="0.2">
      <c r="N1043" s="18" t="str">
        <f t="shared" si="28"/>
        <v/>
      </c>
    </row>
    <row r="1044" spans="14:14" x14ac:dyDescent="0.2">
      <c r="N1044" s="18" t="str">
        <f t="shared" si="28"/>
        <v/>
      </c>
    </row>
    <row r="1045" spans="14:14" x14ac:dyDescent="0.2">
      <c r="N1045" s="18" t="str">
        <f t="shared" si="28"/>
        <v/>
      </c>
    </row>
    <row r="1046" spans="14:14" x14ac:dyDescent="0.2">
      <c r="N1046" s="18" t="str">
        <f t="shared" si="28"/>
        <v/>
      </c>
    </row>
    <row r="1047" spans="14:14" x14ac:dyDescent="0.2">
      <c r="N1047" s="18" t="str">
        <f t="shared" si="28"/>
        <v/>
      </c>
    </row>
    <row r="1048" spans="14:14" x14ac:dyDescent="0.2">
      <c r="N1048" s="18" t="str">
        <f t="shared" si="28"/>
        <v/>
      </c>
    </row>
    <row r="1049" spans="14:14" x14ac:dyDescent="0.2">
      <c r="N1049" s="18" t="str">
        <f t="shared" si="28"/>
        <v/>
      </c>
    </row>
    <row r="1050" spans="14:14" x14ac:dyDescent="0.2">
      <c r="N1050" s="18" t="str">
        <f t="shared" si="28"/>
        <v/>
      </c>
    </row>
    <row r="1051" spans="14:14" x14ac:dyDescent="0.2">
      <c r="N1051" s="18" t="str">
        <f t="shared" si="28"/>
        <v/>
      </c>
    </row>
    <row r="1052" spans="14:14" x14ac:dyDescent="0.2">
      <c r="N1052" s="18" t="str">
        <f t="shared" si="28"/>
        <v/>
      </c>
    </row>
    <row r="1053" spans="14:14" x14ac:dyDescent="0.2">
      <c r="N1053" s="18" t="str">
        <f t="shared" si="28"/>
        <v/>
      </c>
    </row>
    <row r="1054" spans="14:14" x14ac:dyDescent="0.2">
      <c r="N1054" s="18" t="str">
        <f t="shared" si="28"/>
        <v/>
      </c>
    </row>
    <row r="1055" spans="14:14" x14ac:dyDescent="0.2">
      <c r="N1055" s="18" t="str">
        <f t="shared" si="28"/>
        <v/>
      </c>
    </row>
    <row r="1056" spans="14:14" x14ac:dyDescent="0.2">
      <c r="N1056" s="18" t="str">
        <f t="shared" si="28"/>
        <v/>
      </c>
    </row>
    <row r="1057" spans="14:14" x14ac:dyDescent="0.2">
      <c r="N1057" s="18" t="str">
        <f t="shared" si="28"/>
        <v/>
      </c>
    </row>
    <row r="1058" spans="14:14" x14ac:dyDescent="0.2">
      <c r="N1058" s="18" t="str">
        <f t="shared" si="28"/>
        <v/>
      </c>
    </row>
    <row r="1059" spans="14:14" x14ac:dyDescent="0.2">
      <c r="N1059" s="18" t="str">
        <f t="shared" si="28"/>
        <v/>
      </c>
    </row>
    <row r="1060" spans="14:14" x14ac:dyDescent="0.2">
      <c r="N1060" s="18" t="str">
        <f t="shared" si="28"/>
        <v/>
      </c>
    </row>
    <row r="1061" spans="14:14" x14ac:dyDescent="0.2">
      <c r="N1061" s="18" t="str">
        <f t="shared" si="28"/>
        <v/>
      </c>
    </row>
    <row r="1062" spans="14:14" x14ac:dyDescent="0.2">
      <c r="N1062" s="18" t="str">
        <f t="shared" si="28"/>
        <v/>
      </c>
    </row>
    <row r="1063" spans="14:14" x14ac:dyDescent="0.2">
      <c r="N1063" s="18" t="str">
        <f t="shared" si="28"/>
        <v/>
      </c>
    </row>
    <row r="1064" spans="14:14" x14ac:dyDescent="0.2">
      <c r="N1064" s="18" t="str">
        <f t="shared" si="28"/>
        <v/>
      </c>
    </row>
    <row r="1065" spans="14:14" x14ac:dyDescent="0.2">
      <c r="N1065" s="18" t="str">
        <f t="shared" si="28"/>
        <v/>
      </c>
    </row>
    <row r="1066" spans="14:14" x14ac:dyDescent="0.2">
      <c r="N1066" s="18" t="str">
        <f t="shared" si="28"/>
        <v/>
      </c>
    </row>
    <row r="1067" spans="14:14" x14ac:dyDescent="0.2">
      <c r="N1067" s="18" t="str">
        <f t="shared" si="28"/>
        <v/>
      </c>
    </row>
    <row r="1068" spans="14:14" x14ac:dyDescent="0.2">
      <c r="N1068" s="18" t="str">
        <f t="shared" si="28"/>
        <v/>
      </c>
    </row>
    <row r="1069" spans="14:14" x14ac:dyDescent="0.2">
      <c r="N1069" s="18" t="str">
        <f t="shared" si="28"/>
        <v/>
      </c>
    </row>
    <row r="1070" spans="14:14" x14ac:dyDescent="0.2">
      <c r="N1070" s="18" t="str">
        <f t="shared" si="28"/>
        <v/>
      </c>
    </row>
    <row r="1071" spans="14:14" x14ac:dyDescent="0.2">
      <c r="N1071" s="18" t="str">
        <f t="shared" si="28"/>
        <v/>
      </c>
    </row>
    <row r="1072" spans="14:14" x14ac:dyDescent="0.2">
      <c r="N1072" s="18" t="str">
        <f t="shared" si="28"/>
        <v/>
      </c>
    </row>
    <row r="1073" spans="14:14" x14ac:dyDescent="0.2">
      <c r="N1073" s="18" t="str">
        <f t="shared" si="28"/>
        <v/>
      </c>
    </row>
    <row r="1074" spans="14:14" x14ac:dyDescent="0.2">
      <c r="N1074" s="18" t="str">
        <f t="shared" si="28"/>
        <v/>
      </c>
    </row>
    <row r="1075" spans="14:14" x14ac:dyDescent="0.2">
      <c r="N1075" s="18" t="str">
        <f t="shared" si="28"/>
        <v/>
      </c>
    </row>
    <row r="1076" spans="14:14" x14ac:dyDescent="0.2">
      <c r="N1076" s="18" t="str">
        <f t="shared" si="28"/>
        <v/>
      </c>
    </row>
    <row r="1077" spans="14:14" x14ac:dyDescent="0.2">
      <c r="N1077" s="18" t="str">
        <f t="shared" si="28"/>
        <v/>
      </c>
    </row>
    <row r="1078" spans="14:14" x14ac:dyDescent="0.2">
      <c r="N1078" s="18" t="str">
        <f t="shared" si="28"/>
        <v/>
      </c>
    </row>
    <row r="1079" spans="14:14" x14ac:dyDescent="0.2">
      <c r="N1079" s="18" t="str">
        <f t="shared" si="28"/>
        <v/>
      </c>
    </row>
    <row r="1080" spans="14:14" x14ac:dyDescent="0.2">
      <c r="N1080" s="18" t="str">
        <f t="shared" si="28"/>
        <v/>
      </c>
    </row>
    <row r="1081" spans="14:14" x14ac:dyDescent="0.2">
      <c r="N1081" s="18" t="str">
        <f t="shared" si="28"/>
        <v/>
      </c>
    </row>
    <row r="1082" spans="14:14" x14ac:dyDescent="0.2">
      <c r="N1082" s="18" t="str">
        <f t="shared" si="28"/>
        <v/>
      </c>
    </row>
    <row r="1083" spans="14:14" x14ac:dyDescent="0.2">
      <c r="N1083" s="18" t="str">
        <f t="shared" si="28"/>
        <v/>
      </c>
    </row>
    <row r="1084" spans="14:14" x14ac:dyDescent="0.2">
      <c r="N1084" s="18" t="str">
        <f t="shared" si="28"/>
        <v/>
      </c>
    </row>
    <row r="1085" spans="14:14" x14ac:dyDescent="0.2">
      <c r="N1085" s="18" t="str">
        <f t="shared" si="28"/>
        <v/>
      </c>
    </row>
    <row r="1086" spans="14:14" x14ac:dyDescent="0.2">
      <c r="N1086" s="18" t="str">
        <f t="shared" si="28"/>
        <v/>
      </c>
    </row>
    <row r="1087" spans="14:14" x14ac:dyDescent="0.2">
      <c r="N1087" s="18" t="str">
        <f t="shared" si="28"/>
        <v/>
      </c>
    </row>
    <row r="1088" spans="14:14" x14ac:dyDescent="0.2">
      <c r="N1088" s="18" t="str">
        <f t="shared" si="28"/>
        <v/>
      </c>
    </row>
    <row r="1089" spans="14:14" x14ac:dyDescent="0.2">
      <c r="N1089" s="18" t="str">
        <f t="shared" si="28"/>
        <v/>
      </c>
    </row>
    <row r="1090" spans="14:14" x14ac:dyDescent="0.2">
      <c r="N1090" s="18" t="str">
        <f t="shared" ref="N1090:N1153" si="29">IF(J1090="","",TEXT(J1090,"ММММ ГГГГ"))</f>
        <v/>
      </c>
    </row>
    <row r="1091" spans="14:14" x14ac:dyDescent="0.2">
      <c r="N1091" s="18" t="str">
        <f t="shared" si="29"/>
        <v/>
      </c>
    </row>
    <row r="1092" spans="14:14" x14ac:dyDescent="0.2">
      <c r="N1092" s="18" t="str">
        <f t="shared" si="29"/>
        <v/>
      </c>
    </row>
    <row r="1093" spans="14:14" x14ac:dyDescent="0.2">
      <c r="N1093" s="18" t="str">
        <f t="shared" si="29"/>
        <v/>
      </c>
    </row>
    <row r="1094" spans="14:14" x14ac:dyDescent="0.2">
      <c r="N1094" s="18" t="str">
        <f t="shared" si="29"/>
        <v/>
      </c>
    </row>
    <row r="1095" spans="14:14" x14ac:dyDescent="0.2">
      <c r="N1095" s="18" t="str">
        <f t="shared" si="29"/>
        <v/>
      </c>
    </row>
    <row r="1096" spans="14:14" x14ac:dyDescent="0.2">
      <c r="N1096" s="18" t="str">
        <f t="shared" si="29"/>
        <v/>
      </c>
    </row>
    <row r="1097" spans="14:14" x14ac:dyDescent="0.2">
      <c r="N1097" s="18" t="str">
        <f t="shared" si="29"/>
        <v/>
      </c>
    </row>
    <row r="1098" spans="14:14" x14ac:dyDescent="0.2">
      <c r="N1098" s="18" t="str">
        <f t="shared" si="29"/>
        <v/>
      </c>
    </row>
    <row r="1099" spans="14:14" x14ac:dyDescent="0.2">
      <c r="N1099" s="18" t="str">
        <f t="shared" si="29"/>
        <v/>
      </c>
    </row>
    <row r="1100" spans="14:14" x14ac:dyDescent="0.2">
      <c r="N1100" s="18" t="str">
        <f t="shared" si="29"/>
        <v/>
      </c>
    </row>
    <row r="1101" spans="14:14" x14ac:dyDescent="0.2">
      <c r="N1101" s="18" t="str">
        <f t="shared" si="29"/>
        <v/>
      </c>
    </row>
    <row r="1102" spans="14:14" x14ac:dyDescent="0.2">
      <c r="N1102" s="18" t="str">
        <f t="shared" si="29"/>
        <v/>
      </c>
    </row>
    <row r="1103" spans="14:14" x14ac:dyDescent="0.2">
      <c r="N1103" s="18" t="str">
        <f t="shared" si="29"/>
        <v/>
      </c>
    </row>
    <row r="1104" spans="14:14" x14ac:dyDescent="0.2">
      <c r="N1104" s="18" t="str">
        <f t="shared" si="29"/>
        <v/>
      </c>
    </row>
    <row r="1105" spans="14:14" x14ac:dyDescent="0.2">
      <c r="N1105" s="18" t="str">
        <f t="shared" si="29"/>
        <v/>
      </c>
    </row>
    <row r="1106" spans="14:14" x14ac:dyDescent="0.2">
      <c r="N1106" s="18" t="str">
        <f t="shared" si="29"/>
        <v/>
      </c>
    </row>
    <row r="1107" spans="14:14" x14ac:dyDescent="0.2">
      <c r="N1107" s="18" t="str">
        <f t="shared" si="29"/>
        <v/>
      </c>
    </row>
    <row r="1108" spans="14:14" x14ac:dyDescent="0.2">
      <c r="N1108" s="18" t="str">
        <f t="shared" si="29"/>
        <v/>
      </c>
    </row>
    <row r="1109" spans="14:14" x14ac:dyDescent="0.2">
      <c r="N1109" s="18" t="str">
        <f t="shared" si="29"/>
        <v/>
      </c>
    </row>
    <row r="1110" spans="14:14" x14ac:dyDescent="0.2">
      <c r="N1110" s="18" t="str">
        <f t="shared" si="29"/>
        <v/>
      </c>
    </row>
    <row r="1111" spans="14:14" x14ac:dyDescent="0.2">
      <c r="N1111" s="18" t="str">
        <f t="shared" si="29"/>
        <v/>
      </c>
    </row>
    <row r="1112" spans="14:14" x14ac:dyDescent="0.2">
      <c r="N1112" s="18" t="str">
        <f t="shared" si="29"/>
        <v/>
      </c>
    </row>
    <row r="1113" spans="14:14" x14ac:dyDescent="0.2">
      <c r="N1113" s="18" t="str">
        <f t="shared" si="29"/>
        <v/>
      </c>
    </row>
    <row r="1114" spans="14:14" x14ac:dyDescent="0.2">
      <c r="N1114" s="18" t="str">
        <f t="shared" si="29"/>
        <v/>
      </c>
    </row>
    <row r="1115" spans="14:14" x14ac:dyDescent="0.2">
      <c r="N1115" s="18" t="str">
        <f t="shared" si="29"/>
        <v/>
      </c>
    </row>
    <row r="1116" spans="14:14" x14ac:dyDescent="0.2">
      <c r="N1116" s="18" t="str">
        <f t="shared" si="29"/>
        <v/>
      </c>
    </row>
    <row r="1117" spans="14:14" x14ac:dyDescent="0.2">
      <c r="N1117" s="18" t="str">
        <f t="shared" si="29"/>
        <v/>
      </c>
    </row>
    <row r="1118" spans="14:14" x14ac:dyDescent="0.2">
      <c r="N1118" s="18" t="str">
        <f t="shared" si="29"/>
        <v/>
      </c>
    </row>
    <row r="1119" spans="14:14" x14ac:dyDescent="0.2">
      <c r="N1119" s="18" t="str">
        <f t="shared" si="29"/>
        <v/>
      </c>
    </row>
    <row r="1120" spans="14:14" x14ac:dyDescent="0.2">
      <c r="N1120" s="18" t="str">
        <f t="shared" si="29"/>
        <v/>
      </c>
    </row>
    <row r="1121" spans="14:14" x14ac:dyDescent="0.2">
      <c r="N1121" s="18" t="str">
        <f t="shared" si="29"/>
        <v/>
      </c>
    </row>
    <row r="1122" spans="14:14" x14ac:dyDescent="0.2">
      <c r="N1122" s="18" t="str">
        <f t="shared" si="29"/>
        <v/>
      </c>
    </row>
    <row r="1123" spans="14:14" x14ac:dyDescent="0.2">
      <c r="N1123" s="18" t="str">
        <f t="shared" si="29"/>
        <v/>
      </c>
    </row>
    <row r="1124" spans="14:14" x14ac:dyDescent="0.2">
      <c r="N1124" s="18" t="str">
        <f t="shared" si="29"/>
        <v/>
      </c>
    </row>
    <row r="1125" spans="14:14" x14ac:dyDescent="0.2">
      <c r="N1125" s="18" t="str">
        <f t="shared" si="29"/>
        <v/>
      </c>
    </row>
    <row r="1126" spans="14:14" x14ac:dyDescent="0.2">
      <c r="N1126" s="18" t="str">
        <f t="shared" si="29"/>
        <v/>
      </c>
    </row>
    <row r="1127" spans="14:14" x14ac:dyDescent="0.2">
      <c r="N1127" s="18" t="str">
        <f t="shared" si="29"/>
        <v/>
      </c>
    </row>
    <row r="1128" spans="14:14" x14ac:dyDescent="0.2">
      <c r="N1128" s="18" t="str">
        <f t="shared" si="29"/>
        <v/>
      </c>
    </row>
    <row r="1129" spans="14:14" x14ac:dyDescent="0.2">
      <c r="N1129" s="18" t="str">
        <f t="shared" si="29"/>
        <v/>
      </c>
    </row>
    <row r="1130" spans="14:14" x14ac:dyDescent="0.2">
      <c r="N1130" s="18" t="str">
        <f t="shared" si="29"/>
        <v/>
      </c>
    </row>
    <row r="1131" spans="14:14" x14ac:dyDescent="0.2">
      <c r="N1131" s="18" t="str">
        <f t="shared" si="29"/>
        <v/>
      </c>
    </row>
    <row r="1132" spans="14:14" x14ac:dyDescent="0.2">
      <c r="N1132" s="18" t="str">
        <f t="shared" si="29"/>
        <v/>
      </c>
    </row>
    <row r="1133" spans="14:14" x14ac:dyDescent="0.2">
      <c r="N1133" s="18" t="str">
        <f t="shared" si="29"/>
        <v/>
      </c>
    </row>
    <row r="1134" spans="14:14" x14ac:dyDescent="0.2">
      <c r="N1134" s="18" t="str">
        <f t="shared" si="29"/>
        <v/>
      </c>
    </row>
    <row r="1135" spans="14:14" x14ac:dyDescent="0.2">
      <c r="N1135" s="18" t="str">
        <f t="shared" si="29"/>
        <v/>
      </c>
    </row>
    <row r="1136" spans="14:14" x14ac:dyDescent="0.2">
      <c r="N1136" s="18" t="str">
        <f t="shared" si="29"/>
        <v/>
      </c>
    </row>
    <row r="1137" spans="14:14" x14ac:dyDescent="0.2">
      <c r="N1137" s="18" t="str">
        <f t="shared" si="29"/>
        <v/>
      </c>
    </row>
    <row r="1138" spans="14:14" x14ac:dyDescent="0.2">
      <c r="N1138" s="18" t="str">
        <f t="shared" si="29"/>
        <v/>
      </c>
    </row>
    <row r="1139" spans="14:14" x14ac:dyDescent="0.2">
      <c r="N1139" s="18" t="str">
        <f t="shared" si="29"/>
        <v/>
      </c>
    </row>
    <row r="1140" spans="14:14" x14ac:dyDescent="0.2">
      <c r="N1140" s="18" t="str">
        <f t="shared" si="29"/>
        <v/>
      </c>
    </row>
    <row r="1141" spans="14:14" x14ac:dyDescent="0.2">
      <c r="N1141" s="18" t="str">
        <f t="shared" si="29"/>
        <v/>
      </c>
    </row>
    <row r="1142" spans="14:14" x14ac:dyDescent="0.2">
      <c r="N1142" s="18" t="str">
        <f t="shared" si="29"/>
        <v/>
      </c>
    </row>
    <row r="1143" spans="14:14" x14ac:dyDescent="0.2">
      <c r="N1143" s="18" t="str">
        <f t="shared" si="29"/>
        <v/>
      </c>
    </row>
    <row r="1144" spans="14:14" x14ac:dyDescent="0.2">
      <c r="N1144" s="18" t="str">
        <f t="shared" si="29"/>
        <v/>
      </c>
    </row>
    <row r="1145" spans="14:14" x14ac:dyDescent="0.2">
      <c r="N1145" s="18" t="str">
        <f t="shared" si="29"/>
        <v/>
      </c>
    </row>
    <row r="1146" spans="14:14" x14ac:dyDescent="0.2">
      <c r="N1146" s="18" t="str">
        <f t="shared" si="29"/>
        <v/>
      </c>
    </row>
    <row r="1147" spans="14:14" x14ac:dyDescent="0.2">
      <c r="N1147" s="18" t="str">
        <f t="shared" si="29"/>
        <v/>
      </c>
    </row>
    <row r="1148" spans="14:14" x14ac:dyDescent="0.2">
      <c r="N1148" s="18" t="str">
        <f t="shared" si="29"/>
        <v/>
      </c>
    </row>
    <row r="1149" spans="14:14" x14ac:dyDescent="0.2">
      <c r="N1149" s="18" t="str">
        <f t="shared" si="29"/>
        <v/>
      </c>
    </row>
    <row r="1150" spans="14:14" x14ac:dyDescent="0.2">
      <c r="N1150" s="18" t="str">
        <f t="shared" si="29"/>
        <v/>
      </c>
    </row>
    <row r="1151" spans="14:14" x14ac:dyDescent="0.2">
      <c r="N1151" s="18" t="str">
        <f t="shared" si="29"/>
        <v/>
      </c>
    </row>
    <row r="1152" spans="14:14" x14ac:dyDescent="0.2">
      <c r="N1152" s="18" t="str">
        <f t="shared" si="29"/>
        <v/>
      </c>
    </row>
    <row r="1153" spans="14:14" x14ac:dyDescent="0.2">
      <c r="N1153" s="18" t="str">
        <f t="shared" si="29"/>
        <v/>
      </c>
    </row>
    <row r="1154" spans="14:14" x14ac:dyDescent="0.2">
      <c r="N1154" s="18" t="str">
        <f t="shared" ref="N1154:N1217" si="30">IF(J1154="","",TEXT(J1154,"ММММ ГГГГ"))</f>
        <v/>
      </c>
    </row>
    <row r="1155" spans="14:14" x14ac:dyDescent="0.2">
      <c r="N1155" s="18" t="str">
        <f t="shared" si="30"/>
        <v/>
      </c>
    </row>
    <row r="1156" spans="14:14" x14ac:dyDescent="0.2">
      <c r="N1156" s="18" t="str">
        <f t="shared" si="30"/>
        <v/>
      </c>
    </row>
    <row r="1157" spans="14:14" x14ac:dyDescent="0.2">
      <c r="N1157" s="18" t="str">
        <f t="shared" si="30"/>
        <v/>
      </c>
    </row>
    <row r="1158" spans="14:14" x14ac:dyDescent="0.2">
      <c r="N1158" s="18" t="str">
        <f t="shared" si="30"/>
        <v/>
      </c>
    </row>
    <row r="1159" spans="14:14" x14ac:dyDescent="0.2">
      <c r="N1159" s="18" t="str">
        <f t="shared" si="30"/>
        <v/>
      </c>
    </row>
    <row r="1160" spans="14:14" x14ac:dyDescent="0.2">
      <c r="N1160" s="18" t="str">
        <f t="shared" si="30"/>
        <v/>
      </c>
    </row>
    <row r="1161" spans="14:14" x14ac:dyDescent="0.2">
      <c r="N1161" s="18" t="str">
        <f t="shared" si="30"/>
        <v/>
      </c>
    </row>
    <row r="1162" spans="14:14" x14ac:dyDescent="0.2">
      <c r="N1162" s="18" t="str">
        <f t="shared" si="30"/>
        <v/>
      </c>
    </row>
    <row r="1163" spans="14:14" x14ac:dyDescent="0.2">
      <c r="N1163" s="18" t="str">
        <f t="shared" si="30"/>
        <v/>
      </c>
    </row>
    <row r="1164" spans="14:14" x14ac:dyDescent="0.2">
      <c r="N1164" s="18" t="str">
        <f t="shared" si="30"/>
        <v/>
      </c>
    </row>
    <row r="1165" spans="14:14" x14ac:dyDescent="0.2">
      <c r="N1165" s="18" t="str">
        <f t="shared" si="30"/>
        <v/>
      </c>
    </row>
    <row r="1166" spans="14:14" x14ac:dyDescent="0.2">
      <c r="N1166" s="18" t="str">
        <f t="shared" si="30"/>
        <v/>
      </c>
    </row>
    <row r="1167" spans="14:14" x14ac:dyDescent="0.2">
      <c r="N1167" s="18" t="str">
        <f t="shared" si="30"/>
        <v/>
      </c>
    </row>
    <row r="1168" spans="14:14" x14ac:dyDescent="0.2">
      <c r="N1168" s="18" t="str">
        <f t="shared" si="30"/>
        <v/>
      </c>
    </row>
    <row r="1169" spans="14:14" x14ac:dyDescent="0.2">
      <c r="N1169" s="18" t="str">
        <f t="shared" si="30"/>
        <v/>
      </c>
    </row>
    <row r="1170" spans="14:14" x14ac:dyDescent="0.2">
      <c r="N1170" s="18" t="str">
        <f t="shared" si="30"/>
        <v/>
      </c>
    </row>
    <row r="1171" spans="14:14" x14ac:dyDescent="0.2">
      <c r="N1171" s="18" t="str">
        <f t="shared" si="30"/>
        <v/>
      </c>
    </row>
    <row r="1172" spans="14:14" x14ac:dyDescent="0.2">
      <c r="N1172" s="18" t="str">
        <f t="shared" si="30"/>
        <v/>
      </c>
    </row>
    <row r="1173" spans="14:14" x14ac:dyDescent="0.2">
      <c r="N1173" s="18" t="str">
        <f t="shared" si="30"/>
        <v/>
      </c>
    </row>
    <row r="1174" spans="14:14" x14ac:dyDescent="0.2">
      <c r="N1174" s="18" t="str">
        <f t="shared" si="30"/>
        <v/>
      </c>
    </row>
    <row r="1175" spans="14:14" x14ac:dyDescent="0.2">
      <c r="N1175" s="18" t="str">
        <f t="shared" si="30"/>
        <v/>
      </c>
    </row>
    <row r="1176" spans="14:14" x14ac:dyDescent="0.2">
      <c r="N1176" s="18" t="str">
        <f t="shared" si="30"/>
        <v/>
      </c>
    </row>
    <row r="1177" spans="14:14" x14ac:dyDescent="0.2">
      <c r="N1177" s="18" t="str">
        <f t="shared" si="30"/>
        <v/>
      </c>
    </row>
    <row r="1178" spans="14:14" x14ac:dyDescent="0.2">
      <c r="N1178" s="18" t="str">
        <f t="shared" si="30"/>
        <v/>
      </c>
    </row>
    <row r="1179" spans="14:14" x14ac:dyDescent="0.2">
      <c r="N1179" s="18" t="str">
        <f t="shared" si="30"/>
        <v/>
      </c>
    </row>
    <row r="1180" spans="14:14" x14ac:dyDescent="0.2">
      <c r="N1180" s="18" t="str">
        <f t="shared" si="30"/>
        <v/>
      </c>
    </row>
    <row r="1181" spans="14:14" x14ac:dyDescent="0.2">
      <c r="N1181" s="18" t="str">
        <f t="shared" si="30"/>
        <v/>
      </c>
    </row>
    <row r="1182" spans="14:14" x14ac:dyDescent="0.2">
      <c r="N1182" s="18" t="str">
        <f t="shared" si="30"/>
        <v/>
      </c>
    </row>
    <row r="1183" spans="14:14" x14ac:dyDescent="0.2">
      <c r="N1183" s="18" t="str">
        <f t="shared" si="30"/>
        <v/>
      </c>
    </row>
    <row r="1184" spans="14:14" x14ac:dyDescent="0.2">
      <c r="N1184" s="18" t="str">
        <f t="shared" si="30"/>
        <v/>
      </c>
    </row>
    <row r="1185" spans="14:14" x14ac:dyDescent="0.2">
      <c r="N1185" s="18" t="str">
        <f t="shared" si="30"/>
        <v/>
      </c>
    </row>
    <row r="1186" spans="14:14" x14ac:dyDescent="0.2">
      <c r="N1186" s="18" t="str">
        <f t="shared" si="30"/>
        <v/>
      </c>
    </row>
    <row r="1187" spans="14:14" x14ac:dyDescent="0.2">
      <c r="N1187" s="18" t="str">
        <f t="shared" si="30"/>
        <v/>
      </c>
    </row>
    <row r="1188" spans="14:14" x14ac:dyDescent="0.2">
      <c r="N1188" s="18" t="str">
        <f t="shared" si="30"/>
        <v/>
      </c>
    </row>
    <row r="1189" spans="14:14" x14ac:dyDescent="0.2">
      <c r="N1189" s="18" t="str">
        <f t="shared" si="30"/>
        <v/>
      </c>
    </row>
    <row r="1190" spans="14:14" x14ac:dyDescent="0.2">
      <c r="N1190" s="18" t="str">
        <f t="shared" si="30"/>
        <v/>
      </c>
    </row>
    <row r="1191" spans="14:14" x14ac:dyDescent="0.2">
      <c r="N1191" s="18" t="str">
        <f t="shared" si="30"/>
        <v/>
      </c>
    </row>
    <row r="1192" spans="14:14" x14ac:dyDescent="0.2">
      <c r="N1192" s="18" t="str">
        <f t="shared" si="30"/>
        <v/>
      </c>
    </row>
    <row r="1193" spans="14:14" x14ac:dyDescent="0.2">
      <c r="N1193" s="18" t="str">
        <f t="shared" si="30"/>
        <v/>
      </c>
    </row>
    <row r="1194" spans="14:14" x14ac:dyDescent="0.2">
      <c r="N1194" s="18" t="str">
        <f t="shared" si="30"/>
        <v/>
      </c>
    </row>
    <row r="1195" spans="14:14" x14ac:dyDescent="0.2">
      <c r="N1195" s="18" t="str">
        <f t="shared" si="30"/>
        <v/>
      </c>
    </row>
    <row r="1196" spans="14:14" x14ac:dyDescent="0.2">
      <c r="N1196" s="18" t="str">
        <f t="shared" si="30"/>
        <v/>
      </c>
    </row>
    <row r="1197" spans="14:14" x14ac:dyDescent="0.2">
      <c r="N1197" s="18" t="str">
        <f t="shared" si="30"/>
        <v/>
      </c>
    </row>
    <row r="1198" spans="14:14" x14ac:dyDescent="0.2">
      <c r="N1198" s="18" t="str">
        <f t="shared" si="30"/>
        <v/>
      </c>
    </row>
    <row r="1199" spans="14:14" x14ac:dyDescent="0.2">
      <c r="N1199" s="18" t="str">
        <f t="shared" si="30"/>
        <v/>
      </c>
    </row>
    <row r="1200" spans="14:14" x14ac:dyDescent="0.2">
      <c r="N1200" s="18" t="str">
        <f t="shared" si="30"/>
        <v/>
      </c>
    </row>
    <row r="1201" spans="14:14" x14ac:dyDescent="0.2">
      <c r="N1201" s="18" t="str">
        <f t="shared" si="30"/>
        <v/>
      </c>
    </row>
    <row r="1202" spans="14:14" x14ac:dyDescent="0.2">
      <c r="N1202" s="18" t="str">
        <f t="shared" si="30"/>
        <v/>
      </c>
    </row>
    <row r="1203" spans="14:14" x14ac:dyDescent="0.2">
      <c r="N1203" s="18" t="str">
        <f t="shared" si="30"/>
        <v/>
      </c>
    </row>
    <row r="1204" spans="14:14" x14ac:dyDescent="0.2">
      <c r="N1204" s="18" t="str">
        <f t="shared" si="30"/>
        <v/>
      </c>
    </row>
    <row r="1205" spans="14:14" x14ac:dyDescent="0.2">
      <c r="N1205" s="18" t="str">
        <f t="shared" si="30"/>
        <v/>
      </c>
    </row>
    <row r="1206" spans="14:14" x14ac:dyDescent="0.2">
      <c r="N1206" s="18" t="str">
        <f t="shared" si="30"/>
        <v/>
      </c>
    </row>
    <row r="1207" spans="14:14" x14ac:dyDescent="0.2">
      <c r="N1207" s="18" t="str">
        <f t="shared" si="30"/>
        <v/>
      </c>
    </row>
    <row r="1208" spans="14:14" x14ac:dyDescent="0.2">
      <c r="N1208" s="18" t="str">
        <f t="shared" si="30"/>
        <v/>
      </c>
    </row>
    <row r="1209" spans="14:14" x14ac:dyDescent="0.2">
      <c r="N1209" s="18" t="str">
        <f t="shared" si="30"/>
        <v/>
      </c>
    </row>
    <row r="1210" spans="14:14" x14ac:dyDescent="0.2">
      <c r="N1210" s="18" t="str">
        <f t="shared" si="30"/>
        <v/>
      </c>
    </row>
    <row r="1211" spans="14:14" x14ac:dyDescent="0.2">
      <c r="N1211" s="18" t="str">
        <f t="shared" si="30"/>
        <v/>
      </c>
    </row>
    <row r="1212" spans="14:14" x14ac:dyDescent="0.2">
      <c r="N1212" s="18" t="str">
        <f t="shared" si="30"/>
        <v/>
      </c>
    </row>
    <row r="1213" spans="14:14" x14ac:dyDescent="0.2">
      <c r="N1213" s="18" t="str">
        <f t="shared" si="30"/>
        <v/>
      </c>
    </row>
    <row r="1214" spans="14:14" x14ac:dyDescent="0.2">
      <c r="N1214" s="18" t="str">
        <f t="shared" si="30"/>
        <v/>
      </c>
    </row>
    <row r="1215" spans="14:14" x14ac:dyDescent="0.2">
      <c r="N1215" s="18" t="str">
        <f t="shared" si="30"/>
        <v/>
      </c>
    </row>
    <row r="1216" spans="14:14" x14ac:dyDescent="0.2">
      <c r="N1216" s="18" t="str">
        <f t="shared" si="30"/>
        <v/>
      </c>
    </row>
    <row r="1217" spans="14:14" x14ac:dyDescent="0.2">
      <c r="N1217" s="18" t="str">
        <f t="shared" si="30"/>
        <v/>
      </c>
    </row>
    <row r="1218" spans="14:14" x14ac:dyDescent="0.2">
      <c r="N1218" s="18" t="str">
        <f t="shared" ref="N1218:N1281" si="31">IF(J1218="","",TEXT(J1218,"ММММ ГГГГ"))</f>
        <v/>
      </c>
    </row>
    <row r="1219" spans="14:14" x14ac:dyDescent="0.2">
      <c r="N1219" s="18" t="str">
        <f t="shared" si="31"/>
        <v/>
      </c>
    </row>
    <row r="1220" spans="14:14" x14ac:dyDescent="0.2">
      <c r="N1220" s="18" t="str">
        <f t="shared" si="31"/>
        <v/>
      </c>
    </row>
    <row r="1221" spans="14:14" x14ac:dyDescent="0.2">
      <c r="N1221" s="18" t="str">
        <f t="shared" si="31"/>
        <v/>
      </c>
    </row>
    <row r="1222" spans="14:14" x14ac:dyDescent="0.2">
      <c r="N1222" s="18" t="str">
        <f t="shared" si="31"/>
        <v/>
      </c>
    </row>
    <row r="1223" spans="14:14" x14ac:dyDescent="0.2">
      <c r="N1223" s="18" t="str">
        <f t="shared" si="31"/>
        <v/>
      </c>
    </row>
    <row r="1224" spans="14:14" x14ac:dyDescent="0.2">
      <c r="N1224" s="18" t="str">
        <f t="shared" si="31"/>
        <v/>
      </c>
    </row>
    <row r="1225" spans="14:14" x14ac:dyDescent="0.2">
      <c r="N1225" s="18" t="str">
        <f t="shared" si="31"/>
        <v/>
      </c>
    </row>
    <row r="1226" spans="14:14" x14ac:dyDescent="0.2">
      <c r="N1226" s="18" t="str">
        <f t="shared" si="31"/>
        <v/>
      </c>
    </row>
    <row r="1227" spans="14:14" x14ac:dyDescent="0.2">
      <c r="N1227" s="18" t="str">
        <f t="shared" si="31"/>
        <v/>
      </c>
    </row>
    <row r="1228" spans="14:14" x14ac:dyDescent="0.2">
      <c r="N1228" s="18" t="str">
        <f t="shared" si="31"/>
        <v/>
      </c>
    </row>
    <row r="1229" spans="14:14" x14ac:dyDescent="0.2">
      <c r="N1229" s="18" t="str">
        <f t="shared" si="31"/>
        <v/>
      </c>
    </row>
    <row r="1230" spans="14:14" x14ac:dyDescent="0.2">
      <c r="N1230" s="18" t="str">
        <f t="shared" si="31"/>
        <v/>
      </c>
    </row>
    <row r="1231" spans="14:14" x14ac:dyDescent="0.2">
      <c r="N1231" s="18" t="str">
        <f t="shared" si="31"/>
        <v/>
      </c>
    </row>
    <row r="1232" spans="14:14" x14ac:dyDescent="0.2">
      <c r="N1232" s="18" t="str">
        <f t="shared" si="31"/>
        <v/>
      </c>
    </row>
    <row r="1233" spans="14:14" x14ac:dyDescent="0.2">
      <c r="N1233" s="18" t="str">
        <f t="shared" si="31"/>
        <v/>
      </c>
    </row>
    <row r="1234" spans="14:14" x14ac:dyDescent="0.2">
      <c r="N1234" s="18" t="str">
        <f t="shared" si="31"/>
        <v/>
      </c>
    </row>
    <row r="1235" spans="14:14" x14ac:dyDescent="0.2">
      <c r="N1235" s="18" t="str">
        <f t="shared" si="31"/>
        <v/>
      </c>
    </row>
    <row r="1236" spans="14:14" x14ac:dyDescent="0.2">
      <c r="N1236" s="18" t="str">
        <f t="shared" si="31"/>
        <v/>
      </c>
    </row>
    <row r="1237" spans="14:14" x14ac:dyDescent="0.2">
      <c r="N1237" s="18" t="str">
        <f t="shared" si="31"/>
        <v/>
      </c>
    </row>
    <row r="1238" spans="14:14" x14ac:dyDescent="0.2">
      <c r="N1238" s="18" t="str">
        <f t="shared" si="31"/>
        <v/>
      </c>
    </row>
    <row r="1239" spans="14:14" x14ac:dyDescent="0.2">
      <c r="N1239" s="18" t="str">
        <f t="shared" si="31"/>
        <v/>
      </c>
    </row>
    <row r="1240" spans="14:14" x14ac:dyDescent="0.2">
      <c r="N1240" s="18" t="str">
        <f t="shared" si="31"/>
        <v/>
      </c>
    </row>
    <row r="1241" spans="14:14" x14ac:dyDescent="0.2">
      <c r="N1241" s="18" t="str">
        <f t="shared" si="31"/>
        <v/>
      </c>
    </row>
    <row r="1242" spans="14:14" x14ac:dyDescent="0.2">
      <c r="N1242" s="18" t="str">
        <f t="shared" si="31"/>
        <v/>
      </c>
    </row>
    <row r="1243" spans="14:14" x14ac:dyDescent="0.2">
      <c r="N1243" s="18" t="str">
        <f t="shared" si="31"/>
        <v/>
      </c>
    </row>
    <row r="1244" spans="14:14" x14ac:dyDescent="0.2">
      <c r="N1244" s="18" t="str">
        <f t="shared" si="31"/>
        <v/>
      </c>
    </row>
    <row r="1245" spans="14:14" x14ac:dyDescent="0.2">
      <c r="N1245" s="18" t="str">
        <f t="shared" si="31"/>
        <v/>
      </c>
    </row>
    <row r="1246" spans="14:14" x14ac:dyDescent="0.2">
      <c r="N1246" s="18" t="str">
        <f t="shared" si="31"/>
        <v/>
      </c>
    </row>
    <row r="1247" spans="14:14" x14ac:dyDescent="0.2">
      <c r="N1247" s="18" t="str">
        <f t="shared" si="31"/>
        <v/>
      </c>
    </row>
    <row r="1248" spans="14:14" x14ac:dyDescent="0.2">
      <c r="N1248" s="18" t="str">
        <f t="shared" si="31"/>
        <v/>
      </c>
    </row>
    <row r="1249" spans="14:14" x14ac:dyDescent="0.2">
      <c r="N1249" s="18" t="str">
        <f t="shared" si="31"/>
        <v/>
      </c>
    </row>
    <row r="1250" spans="14:14" x14ac:dyDescent="0.2">
      <c r="N1250" s="18" t="str">
        <f t="shared" si="31"/>
        <v/>
      </c>
    </row>
    <row r="1251" spans="14:14" x14ac:dyDescent="0.2">
      <c r="N1251" s="18" t="str">
        <f t="shared" si="31"/>
        <v/>
      </c>
    </row>
    <row r="1252" spans="14:14" x14ac:dyDescent="0.2">
      <c r="N1252" s="18" t="str">
        <f t="shared" si="31"/>
        <v/>
      </c>
    </row>
    <row r="1253" spans="14:14" x14ac:dyDescent="0.2">
      <c r="N1253" s="18" t="str">
        <f t="shared" si="31"/>
        <v/>
      </c>
    </row>
    <row r="1254" spans="14:14" x14ac:dyDescent="0.2">
      <c r="N1254" s="18" t="str">
        <f t="shared" si="31"/>
        <v/>
      </c>
    </row>
    <row r="1255" spans="14:14" x14ac:dyDescent="0.2">
      <c r="N1255" s="18" t="str">
        <f t="shared" si="31"/>
        <v/>
      </c>
    </row>
    <row r="1256" spans="14:14" x14ac:dyDescent="0.2">
      <c r="N1256" s="18" t="str">
        <f t="shared" si="31"/>
        <v/>
      </c>
    </row>
    <row r="1257" spans="14:14" x14ac:dyDescent="0.2">
      <c r="N1257" s="18" t="str">
        <f t="shared" si="31"/>
        <v/>
      </c>
    </row>
    <row r="1258" spans="14:14" x14ac:dyDescent="0.2">
      <c r="N1258" s="18" t="str">
        <f t="shared" si="31"/>
        <v/>
      </c>
    </row>
    <row r="1259" spans="14:14" x14ac:dyDescent="0.2">
      <c r="N1259" s="18" t="str">
        <f t="shared" si="31"/>
        <v/>
      </c>
    </row>
    <row r="1260" spans="14:14" x14ac:dyDescent="0.2">
      <c r="N1260" s="18" t="str">
        <f t="shared" si="31"/>
        <v/>
      </c>
    </row>
    <row r="1261" spans="14:14" x14ac:dyDescent="0.2">
      <c r="N1261" s="18" t="str">
        <f t="shared" si="31"/>
        <v/>
      </c>
    </row>
    <row r="1262" spans="14:14" x14ac:dyDescent="0.2">
      <c r="N1262" s="18" t="str">
        <f t="shared" si="31"/>
        <v/>
      </c>
    </row>
    <row r="1263" spans="14:14" x14ac:dyDescent="0.2">
      <c r="N1263" s="18" t="str">
        <f t="shared" si="31"/>
        <v/>
      </c>
    </row>
    <row r="1264" spans="14:14" x14ac:dyDescent="0.2">
      <c r="N1264" s="18" t="str">
        <f t="shared" si="31"/>
        <v/>
      </c>
    </row>
    <row r="1265" spans="14:14" x14ac:dyDescent="0.2">
      <c r="N1265" s="18" t="str">
        <f t="shared" si="31"/>
        <v/>
      </c>
    </row>
    <row r="1266" spans="14:14" x14ac:dyDescent="0.2">
      <c r="N1266" s="18" t="str">
        <f t="shared" si="31"/>
        <v/>
      </c>
    </row>
    <row r="1267" spans="14:14" x14ac:dyDescent="0.2">
      <c r="N1267" s="18" t="str">
        <f t="shared" si="31"/>
        <v/>
      </c>
    </row>
    <row r="1268" spans="14:14" x14ac:dyDescent="0.2">
      <c r="N1268" s="18" t="str">
        <f t="shared" si="31"/>
        <v/>
      </c>
    </row>
    <row r="1269" spans="14:14" x14ac:dyDescent="0.2">
      <c r="N1269" s="18" t="str">
        <f t="shared" si="31"/>
        <v/>
      </c>
    </row>
    <row r="1270" spans="14:14" x14ac:dyDescent="0.2">
      <c r="N1270" s="18" t="str">
        <f t="shared" si="31"/>
        <v/>
      </c>
    </row>
    <row r="1271" spans="14:14" x14ac:dyDescent="0.2">
      <c r="N1271" s="18" t="str">
        <f t="shared" si="31"/>
        <v/>
      </c>
    </row>
    <row r="1272" spans="14:14" x14ac:dyDescent="0.2">
      <c r="N1272" s="18" t="str">
        <f t="shared" si="31"/>
        <v/>
      </c>
    </row>
    <row r="1273" spans="14:14" x14ac:dyDescent="0.2">
      <c r="N1273" s="18" t="str">
        <f t="shared" si="31"/>
        <v/>
      </c>
    </row>
    <row r="1274" spans="14:14" x14ac:dyDescent="0.2">
      <c r="N1274" s="18" t="str">
        <f t="shared" si="31"/>
        <v/>
      </c>
    </row>
    <row r="1275" spans="14:14" x14ac:dyDescent="0.2">
      <c r="N1275" s="18" t="str">
        <f t="shared" si="31"/>
        <v/>
      </c>
    </row>
    <row r="1276" spans="14:14" x14ac:dyDescent="0.2">
      <c r="N1276" s="18" t="str">
        <f t="shared" si="31"/>
        <v/>
      </c>
    </row>
    <row r="1277" spans="14:14" x14ac:dyDescent="0.2">
      <c r="N1277" s="18" t="str">
        <f t="shared" si="31"/>
        <v/>
      </c>
    </row>
    <row r="1278" spans="14:14" x14ac:dyDescent="0.2">
      <c r="N1278" s="18" t="str">
        <f t="shared" si="31"/>
        <v/>
      </c>
    </row>
    <row r="1279" spans="14:14" x14ac:dyDescent="0.2">
      <c r="N1279" s="18" t="str">
        <f t="shared" si="31"/>
        <v/>
      </c>
    </row>
    <row r="1280" spans="14:14" x14ac:dyDescent="0.2">
      <c r="N1280" s="18" t="str">
        <f t="shared" si="31"/>
        <v/>
      </c>
    </row>
    <row r="1281" spans="14:14" x14ac:dyDescent="0.2">
      <c r="N1281" s="18" t="str">
        <f t="shared" si="31"/>
        <v/>
      </c>
    </row>
    <row r="1282" spans="14:14" x14ac:dyDescent="0.2">
      <c r="N1282" s="18" t="str">
        <f t="shared" ref="N1282:N1345" si="32">IF(J1282="","",TEXT(J1282,"ММММ ГГГГ"))</f>
        <v/>
      </c>
    </row>
    <row r="1283" spans="14:14" x14ac:dyDescent="0.2">
      <c r="N1283" s="18" t="str">
        <f t="shared" si="32"/>
        <v/>
      </c>
    </row>
    <row r="1284" spans="14:14" x14ac:dyDescent="0.2">
      <c r="N1284" s="18" t="str">
        <f t="shared" si="32"/>
        <v/>
      </c>
    </row>
    <row r="1285" spans="14:14" x14ac:dyDescent="0.2">
      <c r="N1285" s="18" t="str">
        <f t="shared" si="32"/>
        <v/>
      </c>
    </row>
    <row r="1286" spans="14:14" x14ac:dyDescent="0.2">
      <c r="N1286" s="18" t="str">
        <f t="shared" si="32"/>
        <v/>
      </c>
    </row>
    <row r="1287" spans="14:14" x14ac:dyDescent="0.2">
      <c r="N1287" s="18" t="str">
        <f t="shared" si="32"/>
        <v/>
      </c>
    </row>
    <row r="1288" spans="14:14" x14ac:dyDescent="0.2">
      <c r="N1288" s="18" t="str">
        <f t="shared" si="32"/>
        <v/>
      </c>
    </row>
    <row r="1289" spans="14:14" x14ac:dyDescent="0.2">
      <c r="N1289" s="18" t="str">
        <f t="shared" si="32"/>
        <v/>
      </c>
    </row>
    <row r="1290" spans="14:14" x14ac:dyDescent="0.2">
      <c r="N1290" s="18" t="str">
        <f t="shared" si="32"/>
        <v/>
      </c>
    </row>
    <row r="1291" spans="14:14" x14ac:dyDescent="0.2">
      <c r="N1291" s="18" t="str">
        <f t="shared" si="32"/>
        <v/>
      </c>
    </row>
    <row r="1292" spans="14:14" x14ac:dyDescent="0.2">
      <c r="N1292" s="18" t="str">
        <f t="shared" si="32"/>
        <v/>
      </c>
    </row>
    <row r="1293" spans="14:14" x14ac:dyDescent="0.2">
      <c r="N1293" s="18" t="str">
        <f t="shared" si="32"/>
        <v/>
      </c>
    </row>
    <row r="1294" spans="14:14" x14ac:dyDescent="0.2">
      <c r="N1294" s="18" t="str">
        <f t="shared" si="32"/>
        <v/>
      </c>
    </row>
    <row r="1295" spans="14:14" x14ac:dyDescent="0.2">
      <c r="N1295" s="18" t="str">
        <f t="shared" si="32"/>
        <v/>
      </c>
    </row>
    <row r="1296" spans="14:14" x14ac:dyDescent="0.2">
      <c r="N1296" s="18" t="str">
        <f t="shared" si="32"/>
        <v/>
      </c>
    </row>
    <row r="1297" spans="14:14" x14ac:dyDescent="0.2">
      <c r="N1297" s="18" t="str">
        <f t="shared" si="32"/>
        <v/>
      </c>
    </row>
    <row r="1298" spans="14:14" x14ac:dyDescent="0.2">
      <c r="N1298" s="18" t="str">
        <f t="shared" si="32"/>
        <v/>
      </c>
    </row>
    <row r="1299" spans="14:14" x14ac:dyDescent="0.2">
      <c r="N1299" s="18" t="str">
        <f t="shared" si="32"/>
        <v/>
      </c>
    </row>
    <row r="1300" spans="14:14" x14ac:dyDescent="0.2">
      <c r="N1300" s="18" t="str">
        <f t="shared" si="32"/>
        <v/>
      </c>
    </row>
    <row r="1301" spans="14:14" x14ac:dyDescent="0.2">
      <c r="N1301" s="18" t="str">
        <f t="shared" si="32"/>
        <v/>
      </c>
    </row>
    <row r="1302" spans="14:14" x14ac:dyDescent="0.2">
      <c r="N1302" s="18" t="str">
        <f t="shared" si="32"/>
        <v/>
      </c>
    </row>
    <row r="1303" spans="14:14" x14ac:dyDescent="0.2">
      <c r="N1303" s="18" t="str">
        <f t="shared" si="32"/>
        <v/>
      </c>
    </row>
    <row r="1304" spans="14:14" x14ac:dyDescent="0.2">
      <c r="N1304" s="18" t="str">
        <f t="shared" si="32"/>
        <v/>
      </c>
    </row>
    <row r="1305" spans="14:14" x14ac:dyDescent="0.2">
      <c r="N1305" s="18" t="str">
        <f t="shared" si="32"/>
        <v/>
      </c>
    </row>
    <row r="1306" spans="14:14" x14ac:dyDescent="0.2">
      <c r="N1306" s="18" t="str">
        <f t="shared" si="32"/>
        <v/>
      </c>
    </row>
    <row r="1307" spans="14:14" x14ac:dyDescent="0.2">
      <c r="N1307" s="18" t="str">
        <f t="shared" si="32"/>
        <v/>
      </c>
    </row>
    <row r="1308" spans="14:14" x14ac:dyDescent="0.2">
      <c r="N1308" s="18" t="str">
        <f t="shared" si="32"/>
        <v/>
      </c>
    </row>
    <row r="1309" spans="14:14" x14ac:dyDescent="0.2">
      <c r="N1309" s="18" t="str">
        <f t="shared" si="32"/>
        <v/>
      </c>
    </row>
    <row r="1310" spans="14:14" x14ac:dyDescent="0.2">
      <c r="N1310" s="18" t="str">
        <f t="shared" si="32"/>
        <v/>
      </c>
    </row>
    <row r="1311" spans="14:14" x14ac:dyDescent="0.2">
      <c r="N1311" s="18" t="str">
        <f t="shared" si="32"/>
        <v/>
      </c>
    </row>
    <row r="1312" spans="14:14" x14ac:dyDescent="0.2">
      <c r="N1312" s="18" t="str">
        <f t="shared" si="32"/>
        <v/>
      </c>
    </row>
    <row r="1313" spans="14:14" x14ac:dyDescent="0.2">
      <c r="N1313" s="18" t="str">
        <f t="shared" si="32"/>
        <v/>
      </c>
    </row>
    <row r="1314" spans="14:14" x14ac:dyDescent="0.2">
      <c r="N1314" s="18" t="str">
        <f t="shared" si="32"/>
        <v/>
      </c>
    </row>
    <row r="1315" spans="14:14" x14ac:dyDescent="0.2">
      <c r="N1315" s="18" t="str">
        <f t="shared" si="32"/>
        <v/>
      </c>
    </row>
    <row r="1316" spans="14:14" x14ac:dyDescent="0.2">
      <c r="N1316" s="18" t="str">
        <f t="shared" si="32"/>
        <v/>
      </c>
    </row>
    <row r="1317" spans="14:14" x14ac:dyDescent="0.2">
      <c r="N1317" s="18" t="str">
        <f t="shared" si="32"/>
        <v/>
      </c>
    </row>
    <row r="1318" spans="14:14" x14ac:dyDescent="0.2">
      <c r="N1318" s="18" t="str">
        <f t="shared" si="32"/>
        <v/>
      </c>
    </row>
    <row r="1319" spans="14:14" x14ac:dyDescent="0.2">
      <c r="N1319" s="18" t="str">
        <f t="shared" si="32"/>
        <v/>
      </c>
    </row>
    <row r="1320" spans="14:14" x14ac:dyDescent="0.2">
      <c r="N1320" s="18" t="str">
        <f t="shared" si="32"/>
        <v/>
      </c>
    </row>
    <row r="1321" spans="14:14" x14ac:dyDescent="0.2">
      <c r="N1321" s="18" t="str">
        <f t="shared" si="32"/>
        <v/>
      </c>
    </row>
    <row r="1322" spans="14:14" x14ac:dyDescent="0.2">
      <c r="N1322" s="18" t="str">
        <f t="shared" si="32"/>
        <v/>
      </c>
    </row>
    <row r="1323" spans="14:14" x14ac:dyDescent="0.2">
      <c r="N1323" s="18" t="str">
        <f t="shared" si="32"/>
        <v/>
      </c>
    </row>
    <row r="1324" spans="14:14" x14ac:dyDescent="0.2">
      <c r="N1324" s="18" t="str">
        <f t="shared" si="32"/>
        <v/>
      </c>
    </row>
    <row r="1325" spans="14:14" x14ac:dyDescent="0.2">
      <c r="N1325" s="18" t="str">
        <f t="shared" si="32"/>
        <v/>
      </c>
    </row>
    <row r="1326" spans="14:14" x14ac:dyDescent="0.2">
      <c r="N1326" s="18" t="str">
        <f t="shared" si="32"/>
        <v/>
      </c>
    </row>
    <row r="1327" spans="14:14" x14ac:dyDescent="0.2">
      <c r="N1327" s="18" t="str">
        <f t="shared" si="32"/>
        <v/>
      </c>
    </row>
    <row r="1328" spans="14:14" x14ac:dyDescent="0.2">
      <c r="N1328" s="18" t="str">
        <f t="shared" si="32"/>
        <v/>
      </c>
    </row>
    <row r="1329" spans="14:14" x14ac:dyDescent="0.2">
      <c r="N1329" s="18" t="str">
        <f t="shared" si="32"/>
        <v/>
      </c>
    </row>
    <row r="1330" spans="14:14" x14ac:dyDescent="0.2">
      <c r="N1330" s="18" t="str">
        <f t="shared" si="32"/>
        <v/>
      </c>
    </row>
    <row r="1331" spans="14:14" x14ac:dyDescent="0.2">
      <c r="N1331" s="18" t="str">
        <f t="shared" si="32"/>
        <v/>
      </c>
    </row>
    <row r="1332" spans="14:14" x14ac:dyDescent="0.2">
      <c r="N1332" s="18" t="str">
        <f t="shared" si="32"/>
        <v/>
      </c>
    </row>
    <row r="1333" spans="14:14" x14ac:dyDescent="0.2">
      <c r="N1333" s="18" t="str">
        <f t="shared" si="32"/>
        <v/>
      </c>
    </row>
    <row r="1334" spans="14:14" x14ac:dyDescent="0.2">
      <c r="N1334" s="18" t="str">
        <f t="shared" si="32"/>
        <v/>
      </c>
    </row>
    <row r="1335" spans="14:14" x14ac:dyDescent="0.2">
      <c r="N1335" s="18" t="str">
        <f t="shared" si="32"/>
        <v/>
      </c>
    </row>
    <row r="1336" spans="14:14" x14ac:dyDescent="0.2">
      <c r="N1336" s="18" t="str">
        <f t="shared" si="32"/>
        <v/>
      </c>
    </row>
    <row r="1337" spans="14:14" x14ac:dyDescent="0.2">
      <c r="N1337" s="18" t="str">
        <f t="shared" si="32"/>
        <v/>
      </c>
    </row>
    <row r="1338" spans="14:14" x14ac:dyDescent="0.2">
      <c r="N1338" s="18" t="str">
        <f t="shared" si="32"/>
        <v/>
      </c>
    </row>
    <row r="1339" spans="14:14" x14ac:dyDescent="0.2">
      <c r="N1339" s="18" t="str">
        <f t="shared" si="32"/>
        <v/>
      </c>
    </row>
    <row r="1340" spans="14:14" x14ac:dyDescent="0.2">
      <c r="N1340" s="18" t="str">
        <f t="shared" si="32"/>
        <v/>
      </c>
    </row>
    <row r="1341" spans="14:14" x14ac:dyDescent="0.2">
      <c r="N1341" s="18" t="str">
        <f t="shared" si="32"/>
        <v/>
      </c>
    </row>
    <row r="1342" spans="14:14" x14ac:dyDescent="0.2">
      <c r="N1342" s="18" t="str">
        <f t="shared" si="32"/>
        <v/>
      </c>
    </row>
    <row r="1343" spans="14:14" x14ac:dyDescent="0.2">
      <c r="N1343" s="18" t="str">
        <f t="shared" si="32"/>
        <v/>
      </c>
    </row>
    <row r="1344" spans="14:14" x14ac:dyDescent="0.2">
      <c r="N1344" s="18" t="str">
        <f t="shared" si="32"/>
        <v/>
      </c>
    </row>
    <row r="1345" spans="14:14" x14ac:dyDescent="0.2">
      <c r="N1345" s="18" t="str">
        <f t="shared" si="32"/>
        <v/>
      </c>
    </row>
    <row r="1346" spans="14:14" x14ac:dyDescent="0.2">
      <c r="N1346" s="18" t="str">
        <f t="shared" ref="N1346:N1359" si="33">IF(J1346="","",TEXT(J1346,"ММММ ГГГГ"))</f>
        <v/>
      </c>
    </row>
    <row r="1347" spans="14:14" x14ac:dyDescent="0.2">
      <c r="N1347" s="18" t="str">
        <f t="shared" si="33"/>
        <v/>
      </c>
    </row>
    <row r="1348" spans="14:14" x14ac:dyDescent="0.2">
      <c r="N1348" s="18" t="str">
        <f t="shared" si="33"/>
        <v/>
      </c>
    </row>
    <row r="1349" spans="14:14" x14ac:dyDescent="0.2">
      <c r="N1349" s="18" t="str">
        <f t="shared" si="33"/>
        <v/>
      </c>
    </row>
    <row r="1350" spans="14:14" x14ac:dyDescent="0.2">
      <c r="N1350" s="18" t="str">
        <f t="shared" si="33"/>
        <v/>
      </c>
    </row>
    <row r="1351" spans="14:14" x14ac:dyDescent="0.2">
      <c r="N1351" s="18" t="str">
        <f t="shared" si="33"/>
        <v/>
      </c>
    </row>
    <row r="1352" spans="14:14" x14ac:dyDescent="0.2">
      <c r="N1352" s="18" t="str">
        <f t="shared" si="33"/>
        <v/>
      </c>
    </row>
    <row r="1353" spans="14:14" x14ac:dyDescent="0.2">
      <c r="N1353" s="18" t="str">
        <f t="shared" si="33"/>
        <v/>
      </c>
    </row>
    <row r="1354" spans="14:14" x14ac:dyDescent="0.2">
      <c r="N1354" s="18" t="str">
        <f t="shared" si="33"/>
        <v/>
      </c>
    </row>
    <row r="1355" spans="14:14" x14ac:dyDescent="0.2">
      <c r="N1355" s="18" t="str">
        <f t="shared" si="33"/>
        <v/>
      </c>
    </row>
    <row r="1356" spans="14:14" x14ac:dyDescent="0.2">
      <c r="N1356" s="18" t="str">
        <f t="shared" si="33"/>
        <v/>
      </c>
    </row>
    <row r="1357" spans="14:14" x14ac:dyDescent="0.2">
      <c r="N1357" s="18" t="str">
        <f t="shared" si="33"/>
        <v/>
      </c>
    </row>
    <row r="1358" spans="14:14" x14ac:dyDescent="0.2">
      <c r="N1358" s="18" t="str">
        <f t="shared" si="33"/>
        <v/>
      </c>
    </row>
    <row r="1359" spans="14:14" x14ac:dyDescent="0.2">
      <c r="N1359" s="18" t="str">
        <f t="shared" si="33"/>
        <v/>
      </c>
    </row>
  </sheetData>
  <mergeCells count="12">
    <mergeCell ref="O6:O10"/>
    <mergeCell ref="F2:F5"/>
    <mergeCell ref="E2:E5"/>
    <mergeCell ref="F15:F17"/>
    <mergeCell ref="E6:E10"/>
    <mergeCell ref="F6:F10"/>
    <mergeCell ref="O2:O5"/>
    <mergeCell ref="D6:D10"/>
    <mergeCell ref="B6:B10"/>
    <mergeCell ref="B2:B5"/>
    <mergeCell ref="D2:D5"/>
    <mergeCell ref="F22:F25"/>
  </mergeCells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5"/>
  <dimension ref="A1:D207"/>
  <sheetViews>
    <sheetView topLeftCell="A25" zoomScale="85" zoomScaleNormal="85" workbookViewId="0">
      <selection activeCell="AL80" sqref="AL80"/>
    </sheetView>
  </sheetViews>
  <sheetFormatPr baseColWidth="10" defaultColWidth="9" defaultRowHeight="15" x14ac:dyDescent="0.2"/>
  <cols>
    <col min="1" max="1" width="24.5" customWidth="1"/>
    <col min="2" max="2" width="14.1640625" style="186" customWidth="1"/>
    <col min="3" max="3" width="13.6640625" customWidth="1"/>
    <col min="4" max="4" width="16.5" style="1" customWidth="1"/>
  </cols>
  <sheetData>
    <row r="1" spans="1:2" x14ac:dyDescent="0.2">
      <c r="A1" s="2" t="s">
        <v>143</v>
      </c>
    </row>
    <row r="2" spans="1:2" x14ac:dyDescent="0.2">
      <c r="A2" t="s">
        <v>273</v>
      </c>
      <c r="B2" s="186" t="s">
        <v>274</v>
      </c>
    </row>
    <row r="3" spans="1:2" x14ac:dyDescent="0.2">
      <c r="A3" t="s">
        <v>275</v>
      </c>
      <c r="B3" s="186">
        <v>1</v>
      </c>
    </row>
    <row r="5" spans="1:2" x14ac:dyDescent="0.2">
      <c r="A5" s="2" t="s">
        <v>144</v>
      </c>
    </row>
    <row r="6" spans="1:2" x14ac:dyDescent="0.2">
      <c r="A6" t="s">
        <v>273</v>
      </c>
      <c r="B6" s="186" t="s">
        <v>274</v>
      </c>
    </row>
    <row r="7" spans="1:2" x14ac:dyDescent="0.2">
      <c r="A7" t="s">
        <v>275</v>
      </c>
      <c r="B7" s="186">
        <v>1</v>
      </c>
    </row>
    <row r="9" spans="1:2" x14ac:dyDescent="0.2">
      <c r="A9" s="2" t="s">
        <v>145</v>
      </c>
    </row>
    <row r="10" spans="1:2" x14ac:dyDescent="0.2">
      <c r="A10" t="s">
        <v>273</v>
      </c>
      <c r="B10" s="186" t="s">
        <v>274</v>
      </c>
    </row>
    <row r="11" spans="1:2" x14ac:dyDescent="0.2">
      <c r="A11" t="s">
        <v>275</v>
      </c>
      <c r="B11" s="186">
        <v>1</v>
      </c>
    </row>
    <row r="13" spans="1:2" x14ac:dyDescent="0.2">
      <c r="A13" s="2" t="s">
        <v>146</v>
      </c>
    </row>
    <row r="14" spans="1:2" x14ac:dyDescent="0.2">
      <c r="A14" t="s">
        <v>273</v>
      </c>
      <c r="B14" s="186" t="s">
        <v>274</v>
      </c>
    </row>
    <row r="15" spans="1:2" x14ac:dyDescent="0.2">
      <c r="A15" t="s">
        <v>275</v>
      </c>
      <c r="B15" s="186">
        <v>0.96</v>
      </c>
    </row>
    <row r="17" spans="1:2" x14ac:dyDescent="0.2">
      <c r="A17" s="2" t="s">
        <v>276</v>
      </c>
    </row>
    <row r="18" spans="1:2" x14ac:dyDescent="0.2">
      <c r="A18" t="s">
        <v>273</v>
      </c>
      <c r="B18" s="186" t="s">
        <v>274</v>
      </c>
    </row>
    <row r="19" spans="1:2" x14ac:dyDescent="0.2">
      <c r="A19" t="s">
        <v>275</v>
      </c>
      <c r="B19" s="186">
        <v>0.96</v>
      </c>
    </row>
    <row r="21" spans="1:2" x14ac:dyDescent="0.2">
      <c r="A21" s="2" t="s">
        <v>277</v>
      </c>
    </row>
    <row r="22" spans="1:2" x14ac:dyDescent="0.2">
      <c r="A22" t="s">
        <v>273</v>
      </c>
      <c r="B22" s="186" t="s">
        <v>274</v>
      </c>
    </row>
    <row r="23" spans="1:2" x14ac:dyDescent="0.2">
      <c r="A23" t="s">
        <v>275</v>
      </c>
      <c r="B23" s="186">
        <v>0.85</v>
      </c>
    </row>
    <row r="25" spans="1:2" x14ac:dyDescent="0.2">
      <c r="A25" s="2" t="s">
        <v>278</v>
      </c>
    </row>
    <row r="26" spans="1:2" x14ac:dyDescent="0.2">
      <c r="A26" t="s">
        <v>273</v>
      </c>
      <c r="B26" s="186" t="s">
        <v>274</v>
      </c>
    </row>
    <row r="27" spans="1:2" x14ac:dyDescent="0.2">
      <c r="A27" t="s">
        <v>275</v>
      </c>
      <c r="B27" s="186">
        <v>1</v>
      </c>
    </row>
    <row r="29" spans="1:2" x14ac:dyDescent="0.2">
      <c r="A29" s="2" t="s">
        <v>279</v>
      </c>
    </row>
    <row r="30" spans="1:2" x14ac:dyDescent="0.2">
      <c r="A30" t="s">
        <v>273</v>
      </c>
      <c r="B30" s="186" t="s">
        <v>274</v>
      </c>
    </row>
    <row r="31" spans="1:2" x14ac:dyDescent="0.2">
      <c r="A31" t="s">
        <v>275</v>
      </c>
      <c r="B31" s="186">
        <v>1</v>
      </c>
    </row>
    <row r="33" spans="1:2" x14ac:dyDescent="0.2">
      <c r="A33" s="2" t="s">
        <v>280</v>
      </c>
    </row>
    <row r="34" spans="1:2" x14ac:dyDescent="0.2">
      <c r="A34" t="s">
        <v>273</v>
      </c>
      <c r="B34" s="186" t="s">
        <v>274</v>
      </c>
    </row>
    <row r="35" spans="1:2" x14ac:dyDescent="0.2">
      <c r="A35" t="s">
        <v>275</v>
      </c>
      <c r="B35" s="186">
        <v>0.94</v>
      </c>
    </row>
    <row r="37" spans="1:2" x14ac:dyDescent="0.2">
      <c r="A37" s="2" t="s">
        <v>281</v>
      </c>
    </row>
    <row r="38" spans="1:2" x14ac:dyDescent="0.2">
      <c r="A38" t="s">
        <v>273</v>
      </c>
      <c r="B38" s="186" t="s">
        <v>274</v>
      </c>
    </row>
    <row r="39" spans="1:2" x14ac:dyDescent="0.2">
      <c r="A39" t="s">
        <v>275</v>
      </c>
      <c r="B39" s="186">
        <v>0.95099999999999996</v>
      </c>
    </row>
    <row r="41" spans="1:2" x14ac:dyDescent="0.2">
      <c r="A41" s="2" t="s">
        <v>282</v>
      </c>
    </row>
    <row r="42" spans="1:2" x14ac:dyDescent="0.2">
      <c r="A42" t="s">
        <v>273</v>
      </c>
      <c r="B42" s="186" t="s">
        <v>274</v>
      </c>
    </row>
    <row r="43" spans="1:2" x14ac:dyDescent="0.2">
      <c r="A43" t="s">
        <v>275</v>
      </c>
      <c r="B43" s="186">
        <v>0.98</v>
      </c>
    </row>
    <row r="45" spans="1:2" x14ac:dyDescent="0.2">
      <c r="A45" s="2" t="s">
        <v>283</v>
      </c>
    </row>
    <row r="46" spans="1:2" x14ac:dyDescent="0.2">
      <c r="A46" t="s">
        <v>273</v>
      </c>
      <c r="B46" s="186" t="s">
        <v>274</v>
      </c>
    </row>
    <row r="47" spans="1:2" x14ac:dyDescent="0.2">
      <c r="A47" t="s">
        <v>275</v>
      </c>
    </row>
    <row r="49" spans="1:2" x14ac:dyDescent="0.2">
      <c r="A49" s="2" t="s">
        <v>284</v>
      </c>
    </row>
    <row r="50" spans="1:2" x14ac:dyDescent="0.2">
      <c r="A50" t="s">
        <v>273</v>
      </c>
      <c r="B50" s="186" t="s">
        <v>274</v>
      </c>
    </row>
    <row r="51" spans="1:2" x14ac:dyDescent="0.2">
      <c r="A51" t="s">
        <v>275</v>
      </c>
    </row>
    <row r="53" spans="1:2" x14ac:dyDescent="0.2">
      <c r="A53" s="2" t="s">
        <v>285</v>
      </c>
    </row>
    <row r="54" spans="1:2" x14ac:dyDescent="0.2">
      <c r="A54" t="s">
        <v>273</v>
      </c>
      <c r="B54" s="186" t="s">
        <v>274</v>
      </c>
    </row>
    <row r="55" spans="1:2" x14ac:dyDescent="0.2">
      <c r="A55" t="s">
        <v>275</v>
      </c>
    </row>
    <row r="57" spans="1:2" x14ac:dyDescent="0.2">
      <c r="A57" s="2" t="s">
        <v>286</v>
      </c>
    </row>
    <row r="58" spans="1:2" x14ac:dyDescent="0.2">
      <c r="A58" t="s">
        <v>273</v>
      </c>
      <c r="B58" s="186" t="s">
        <v>274</v>
      </c>
    </row>
    <row r="59" spans="1:2" x14ac:dyDescent="0.2">
      <c r="A59" t="s">
        <v>275</v>
      </c>
    </row>
    <row r="61" spans="1:2" x14ac:dyDescent="0.2">
      <c r="A61" s="2" t="s">
        <v>287</v>
      </c>
    </row>
    <row r="62" spans="1:2" x14ac:dyDescent="0.2">
      <c r="A62" t="s">
        <v>273</v>
      </c>
      <c r="B62" s="186" t="s">
        <v>274</v>
      </c>
    </row>
    <row r="63" spans="1:2" x14ac:dyDescent="0.2">
      <c r="A63" t="s">
        <v>275</v>
      </c>
    </row>
    <row r="65" spans="1:2" x14ac:dyDescent="0.2">
      <c r="A65" s="2" t="s">
        <v>288</v>
      </c>
    </row>
    <row r="66" spans="1:2" x14ac:dyDescent="0.2">
      <c r="A66" t="s">
        <v>273</v>
      </c>
      <c r="B66" s="186" t="s">
        <v>274</v>
      </c>
    </row>
    <row r="67" spans="1:2" x14ac:dyDescent="0.2">
      <c r="A67" t="s">
        <v>275</v>
      </c>
    </row>
    <row r="69" spans="1:2" x14ac:dyDescent="0.2">
      <c r="A69" s="2" t="s">
        <v>289</v>
      </c>
    </row>
    <row r="70" spans="1:2" x14ac:dyDescent="0.2">
      <c r="A70" t="s">
        <v>273</v>
      </c>
      <c r="B70" s="186" t="s">
        <v>274</v>
      </c>
    </row>
    <row r="71" spans="1:2" x14ac:dyDescent="0.2">
      <c r="A71" t="s">
        <v>275</v>
      </c>
    </row>
    <row r="73" spans="1:2" x14ac:dyDescent="0.2">
      <c r="A73" s="2" t="s">
        <v>290</v>
      </c>
    </row>
    <row r="74" spans="1:2" x14ac:dyDescent="0.2">
      <c r="A74" t="s">
        <v>273</v>
      </c>
      <c r="B74" s="186" t="s">
        <v>274</v>
      </c>
    </row>
    <row r="75" spans="1:2" x14ac:dyDescent="0.2">
      <c r="A75" t="s">
        <v>275</v>
      </c>
    </row>
    <row r="77" spans="1:2" x14ac:dyDescent="0.2">
      <c r="A77" s="2" t="s">
        <v>291</v>
      </c>
    </row>
    <row r="78" spans="1:2" x14ac:dyDescent="0.2">
      <c r="A78" t="s">
        <v>273</v>
      </c>
      <c r="B78" s="186" t="s">
        <v>274</v>
      </c>
    </row>
    <row r="79" spans="1:2" x14ac:dyDescent="0.2">
      <c r="A79" t="s">
        <v>275</v>
      </c>
    </row>
    <row r="81" spans="1:2" x14ac:dyDescent="0.2">
      <c r="A81" s="2" t="s">
        <v>292</v>
      </c>
    </row>
    <row r="82" spans="1:2" x14ac:dyDescent="0.2">
      <c r="A82" t="s">
        <v>273</v>
      </c>
      <c r="B82" s="186" t="s">
        <v>274</v>
      </c>
    </row>
    <row r="83" spans="1:2" x14ac:dyDescent="0.2">
      <c r="A83" t="s">
        <v>275</v>
      </c>
    </row>
    <row r="85" spans="1:2" x14ac:dyDescent="0.2">
      <c r="A85" s="2" t="s">
        <v>293</v>
      </c>
    </row>
    <row r="86" spans="1:2" x14ac:dyDescent="0.2">
      <c r="A86" t="s">
        <v>273</v>
      </c>
      <c r="B86" s="186" t="s">
        <v>274</v>
      </c>
    </row>
    <row r="87" spans="1:2" x14ac:dyDescent="0.2">
      <c r="A87" t="s">
        <v>275</v>
      </c>
    </row>
    <row r="89" spans="1:2" x14ac:dyDescent="0.2">
      <c r="A89" s="2" t="s">
        <v>294</v>
      </c>
    </row>
    <row r="90" spans="1:2" x14ac:dyDescent="0.2">
      <c r="A90" t="s">
        <v>273</v>
      </c>
      <c r="B90" s="186" t="s">
        <v>274</v>
      </c>
    </row>
    <row r="91" spans="1:2" x14ac:dyDescent="0.2">
      <c r="A91" t="s">
        <v>275</v>
      </c>
    </row>
    <row r="93" spans="1:2" x14ac:dyDescent="0.2">
      <c r="A93" s="2" t="s">
        <v>295</v>
      </c>
    </row>
    <row r="94" spans="1:2" x14ac:dyDescent="0.2">
      <c r="A94" t="s">
        <v>273</v>
      </c>
      <c r="B94" s="186" t="s">
        <v>274</v>
      </c>
    </row>
    <row r="95" spans="1:2" x14ac:dyDescent="0.2">
      <c r="A95" t="s">
        <v>275</v>
      </c>
    </row>
    <row r="97" spans="1:2" x14ac:dyDescent="0.2">
      <c r="A97" s="2" t="s">
        <v>296</v>
      </c>
    </row>
    <row r="98" spans="1:2" x14ac:dyDescent="0.2">
      <c r="A98" t="s">
        <v>273</v>
      </c>
      <c r="B98" s="186" t="s">
        <v>274</v>
      </c>
    </row>
    <row r="99" spans="1:2" x14ac:dyDescent="0.2">
      <c r="A99" t="s">
        <v>275</v>
      </c>
    </row>
    <row r="101" spans="1:2" x14ac:dyDescent="0.2">
      <c r="A101" s="2" t="s">
        <v>297</v>
      </c>
    </row>
    <row r="102" spans="1:2" x14ac:dyDescent="0.2">
      <c r="A102" t="s">
        <v>273</v>
      </c>
      <c r="B102" s="186" t="s">
        <v>274</v>
      </c>
    </row>
    <row r="103" spans="1:2" x14ac:dyDescent="0.2">
      <c r="A103" t="s">
        <v>275</v>
      </c>
    </row>
    <row r="105" spans="1:2" x14ac:dyDescent="0.2">
      <c r="A105" s="2" t="s">
        <v>298</v>
      </c>
    </row>
    <row r="106" spans="1:2" x14ac:dyDescent="0.2">
      <c r="A106" t="s">
        <v>273</v>
      </c>
      <c r="B106" s="186" t="s">
        <v>274</v>
      </c>
    </row>
    <row r="107" spans="1:2" x14ac:dyDescent="0.2">
      <c r="A107" t="s">
        <v>275</v>
      </c>
    </row>
    <row r="109" spans="1:2" x14ac:dyDescent="0.2">
      <c r="A109" s="2" t="s">
        <v>299</v>
      </c>
    </row>
    <row r="110" spans="1:2" x14ac:dyDescent="0.2">
      <c r="A110" t="s">
        <v>273</v>
      </c>
      <c r="B110" s="186" t="s">
        <v>274</v>
      </c>
    </row>
    <row r="111" spans="1:2" x14ac:dyDescent="0.2">
      <c r="A111" t="s">
        <v>275</v>
      </c>
    </row>
    <row r="113" spans="1:2" x14ac:dyDescent="0.2">
      <c r="A113" s="2" t="s">
        <v>300</v>
      </c>
    </row>
    <row r="114" spans="1:2" x14ac:dyDescent="0.2">
      <c r="A114" t="s">
        <v>273</v>
      </c>
      <c r="B114" s="186" t="s">
        <v>274</v>
      </c>
    </row>
    <row r="115" spans="1:2" x14ac:dyDescent="0.2">
      <c r="A115" t="s">
        <v>275</v>
      </c>
    </row>
    <row r="117" spans="1:2" x14ac:dyDescent="0.2">
      <c r="A117" s="2" t="s">
        <v>301</v>
      </c>
    </row>
    <row r="118" spans="1:2" x14ac:dyDescent="0.2">
      <c r="A118" t="s">
        <v>273</v>
      </c>
      <c r="B118" s="186" t="s">
        <v>274</v>
      </c>
    </row>
    <row r="119" spans="1:2" x14ac:dyDescent="0.2">
      <c r="A119" t="s">
        <v>275</v>
      </c>
    </row>
    <row r="121" spans="1:2" x14ac:dyDescent="0.2">
      <c r="A121" s="2" t="s">
        <v>302</v>
      </c>
    </row>
    <row r="122" spans="1:2" x14ac:dyDescent="0.2">
      <c r="A122" t="s">
        <v>273</v>
      </c>
      <c r="B122" s="186" t="s">
        <v>274</v>
      </c>
    </row>
    <row r="123" spans="1:2" x14ac:dyDescent="0.2">
      <c r="A123" t="s">
        <v>275</v>
      </c>
    </row>
    <row r="125" spans="1:2" x14ac:dyDescent="0.2">
      <c r="A125" s="2" t="s">
        <v>303</v>
      </c>
    </row>
    <row r="126" spans="1:2" x14ac:dyDescent="0.2">
      <c r="A126" t="s">
        <v>273</v>
      </c>
      <c r="B126" s="186" t="s">
        <v>274</v>
      </c>
    </row>
    <row r="127" spans="1:2" x14ac:dyDescent="0.2">
      <c r="A127" t="s">
        <v>275</v>
      </c>
    </row>
    <row r="129" spans="1:2" x14ac:dyDescent="0.2">
      <c r="A129" s="2" t="s">
        <v>304</v>
      </c>
    </row>
    <row r="130" spans="1:2" x14ac:dyDescent="0.2">
      <c r="A130" t="s">
        <v>273</v>
      </c>
      <c r="B130" s="186" t="s">
        <v>274</v>
      </c>
    </row>
    <row r="131" spans="1:2" x14ac:dyDescent="0.2">
      <c r="A131" t="s">
        <v>275</v>
      </c>
    </row>
    <row r="133" spans="1:2" x14ac:dyDescent="0.2">
      <c r="A133" s="2" t="s">
        <v>305</v>
      </c>
    </row>
    <row r="134" spans="1:2" x14ac:dyDescent="0.2">
      <c r="A134" t="s">
        <v>273</v>
      </c>
      <c r="B134" s="186" t="s">
        <v>274</v>
      </c>
    </row>
    <row r="135" spans="1:2" x14ac:dyDescent="0.2">
      <c r="A135" t="s">
        <v>275</v>
      </c>
    </row>
    <row r="137" spans="1:2" x14ac:dyDescent="0.2">
      <c r="A137" s="2" t="s">
        <v>306</v>
      </c>
    </row>
    <row r="138" spans="1:2" x14ac:dyDescent="0.2">
      <c r="A138" t="s">
        <v>273</v>
      </c>
      <c r="B138" s="186" t="s">
        <v>274</v>
      </c>
    </row>
    <row r="139" spans="1:2" x14ac:dyDescent="0.2">
      <c r="A139" t="s">
        <v>275</v>
      </c>
    </row>
    <row r="141" spans="1:2" x14ac:dyDescent="0.2">
      <c r="A141" s="2" t="s">
        <v>307</v>
      </c>
    </row>
    <row r="142" spans="1:2" x14ac:dyDescent="0.2">
      <c r="A142" t="s">
        <v>273</v>
      </c>
      <c r="B142" s="186" t="s">
        <v>274</v>
      </c>
    </row>
    <row r="143" spans="1:2" x14ac:dyDescent="0.2">
      <c r="A143" t="s">
        <v>275</v>
      </c>
    </row>
    <row r="145" spans="1:2" x14ac:dyDescent="0.2">
      <c r="A145" s="2" t="s">
        <v>308</v>
      </c>
    </row>
    <row r="146" spans="1:2" x14ac:dyDescent="0.2">
      <c r="A146" t="s">
        <v>273</v>
      </c>
      <c r="B146" s="186" t="s">
        <v>274</v>
      </c>
    </row>
    <row r="147" spans="1:2" x14ac:dyDescent="0.2">
      <c r="A147" t="s">
        <v>275</v>
      </c>
    </row>
    <row r="149" spans="1:2" x14ac:dyDescent="0.2">
      <c r="A149" s="2" t="s">
        <v>309</v>
      </c>
    </row>
    <row r="150" spans="1:2" x14ac:dyDescent="0.2">
      <c r="A150" t="s">
        <v>273</v>
      </c>
      <c r="B150" s="186" t="s">
        <v>274</v>
      </c>
    </row>
    <row r="151" spans="1:2" x14ac:dyDescent="0.2">
      <c r="A151" t="s">
        <v>275</v>
      </c>
    </row>
    <row r="153" spans="1:2" x14ac:dyDescent="0.2">
      <c r="A153" s="2" t="s">
        <v>310</v>
      </c>
    </row>
    <row r="154" spans="1:2" x14ac:dyDescent="0.2">
      <c r="A154" t="s">
        <v>273</v>
      </c>
      <c r="B154" s="186" t="s">
        <v>274</v>
      </c>
    </row>
    <row r="155" spans="1:2" x14ac:dyDescent="0.2">
      <c r="A155" t="s">
        <v>275</v>
      </c>
    </row>
    <row r="157" spans="1:2" ht="14.25" customHeight="1" x14ac:dyDescent="0.2">
      <c r="A157" s="2" t="s">
        <v>311</v>
      </c>
    </row>
    <row r="158" spans="1:2" x14ac:dyDescent="0.2">
      <c r="A158" t="s">
        <v>273</v>
      </c>
      <c r="B158" s="186" t="s">
        <v>274</v>
      </c>
    </row>
    <row r="159" spans="1:2" x14ac:dyDescent="0.2">
      <c r="A159" t="s">
        <v>275</v>
      </c>
    </row>
    <row r="161" spans="1:2" x14ac:dyDescent="0.2">
      <c r="A161" s="2" t="s">
        <v>312</v>
      </c>
    </row>
    <row r="162" spans="1:2" x14ac:dyDescent="0.2">
      <c r="A162" t="s">
        <v>273</v>
      </c>
      <c r="B162" s="186" t="s">
        <v>274</v>
      </c>
    </row>
    <row r="163" spans="1:2" x14ac:dyDescent="0.2">
      <c r="A163" t="s">
        <v>275</v>
      </c>
    </row>
    <row r="165" spans="1:2" x14ac:dyDescent="0.2">
      <c r="A165" s="2" t="s">
        <v>313</v>
      </c>
    </row>
    <row r="166" spans="1:2" x14ac:dyDescent="0.2">
      <c r="A166" t="s">
        <v>273</v>
      </c>
      <c r="B166" s="186" t="s">
        <v>274</v>
      </c>
    </row>
    <row r="167" spans="1:2" x14ac:dyDescent="0.2">
      <c r="A167" t="s">
        <v>275</v>
      </c>
    </row>
    <row r="169" spans="1:2" x14ac:dyDescent="0.2">
      <c r="A169" s="2" t="s">
        <v>314</v>
      </c>
    </row>
    <row r="170" spans="1:2" x14ac:dyDescent="0.2">
      <c r="A170" t="s">
        <v>273</v>
      </c>
      <c r="B170" s="186" t="s">
        <v>274</v>
      </c>
    </row>
    <row r="171" spans="1:2" x14ac:dyDescent="0.2">
      <c r="A171" t="s">
        <v>275</v>
      </c>
    </row>
    <row r="173" spans="1:2" x14ac:dyDescent="0.2">
      <c r="A173" s="2" t="s">
        <v>315</v>
      </c>
    </row>
    <row r="174" spans="1:2" x14ac:dyDescent="0.2">
      <c r="A174" t="s">
        <v>273</v>
      </c>
      <c r="B174" s="186" t="s">
        <v>274</v>
      </c>
    </row>
    <row r="175" spans="1:2" x14ac:dyDescent="0.2">
      <c r="A175" t="s">
        <v>275</v>
      </c>
    </row>
    <row r="177" spans="1:2" x14ac:dyDescent="0.2">
      <c r="A177" s="2" t="s">
        <v>316</v>
      </c>
    </row>
    <row r="178" spans="1:2" x14ac:dyDescent="0.2">
      <c r="A178" t="s">
        <v>273</v>
      </c>
      <c r="B178" s="186" t="s">
        <v>274</v>
      </c>
    </row>
    <row r="179" spans="1:2" x14ac:dyDescent="0.2">
      <c r="A179" t="s">
        <v>275</v>
      </c>
    </row>
    <row r="181" spans="1:2" x14ac:dyDescent="0.2">
      <c r="A181" s="2" t="s">
        <v>317</v>
      </c>
    </row>
    <row r="182" spans="1:2" x14ac:dyDescent="0.2">
      <c r="A182" t="s">
        <v>273</v>
      </c>
      <c r="B182" s="186" t="s">
        <v>274</v>
      </c>
    </row>
    <row r="183" spans="1:2" x14ac:dyDescent="0.2">
      <c r="A183" t="s">
        <v>275</v>
      </c>
    </row>
    <row r="185" spans="1:2" x14ac:dyDescent="0.2">
      <c r="A185" s="2" t="s">
        <v>318</v>
      </c>
    </row>
    <row r="186" spans="1:2" x14ac:dyDescent="0.2">
      <c r="A186" t="s">
        <v>273</v>
      </c>
      <c r="B186" s="186" t="s">
        <v>274</v>
      </c>
    </row>
    <row r="187" spans="1:2" x14ac:dyDescent="0.2">
      <c r="A187" t="s">
        <v>275</v>
      </c>
    </row>
    <row r="189" spans="1:2" x14ac:dyDescent="0.2">
      <c r="A189" s="2" t="s">
        <v>319</v>
      </c>
    </row>
    <row r="190" spans="1:2" x14ac:dyDescent="0.2">
      <c r="A190" t="s">
        <v>273</v>
      </c>
      <c r="B190" s="186" t="s">
        <v>274</v>
      </c>
    </row>
    <row r="191" spans="1:2" x14ac:dyDescent="0.2">
      <c r="A191" t="s">
        <v>275</v>
      </c>
    </row>
    <row r="193" spans="1:2" x14ac:dyDescent="0.2">
      <c r="A193" s="2" t="s">
        <v>320</v>
      </c>
    </row>
    <row r="194" spans="1:2" x14ac:dyDescent="0.2">
      <c r="A194" t="s">
        <v>273</v>
      </c>
      <c r="B194" s="186" t="s">
        <v>274</v>
      </c>
    </row>
    <row r="195" spans="1:2" x14ac:dyDescent="0.2">
      <c r="A195" t="s">
        <v>275</v>
      </c>
    </row>
    <row r="197" spans="1:2" x14ac:dyDescent="0.2">
      <c r="A197" s="2" t="s">
        <v>321</v>
      </c>
    </row>
    <row r="198" spans="1:2" x14ac:dyDescent="0.2">
      <c r="A198" t="s">
        <v>273</v>
      </c>
      <c r="B198" s="186" t="s">
        <v>274</v>
      </c>
    </row>
    <row r="199" spans="1:2" x14ac:dyDescent="0.2">
      <c r="A199" t="s">
        <v>275</v>
      </c>
    </row>
    <row r="201" spans="1:2" x14ac:dyDescent="0.2">
      <c r="A201" s="2" t="s">
        <v>322</v>
      </c>
    </row>
    <row r="202" spans="1:2" x14ac:dyDescent="0.2">
      <c r="A202" t="s">
        <v>273</v>
      </c>
      <c r="B202" s="186" t="s">
        <v>274</v>
      </c>
    </row>
    <row r="203" spans="1:2" x14ac:dyDescent="0.2">
      <c r="A203" t="s">
        <v>275</v>
      </c>
    </row>
    <row r="205" spans="1:2" x14ac:dyDescent="0.2">
      <c r="A205" s="2" t="s">
        <v>323</v>
      </c>
    </row>
    <row r="206" spans="1:2" x14ac:dyDescent="0.2">
      <c r="A206" t="s">
        <v>273</v>
      </c>
      <c r="B206" s="186" t="s">
        <v>274</v>
      </c>
    </row>
    <row r="207" spans="1:2" x14ac:dyDescent="0.2">
      <c r="A207" t="s">
        <v>275</v>
      </c>
    </row>
  </sheetData>
  <pageMargins left="0.7" right="0.7" top="0.75" bottom="0.75" header="0.3" footer="0.3"/>
  <pageSetup paperSize="9" orientation="portrait"/>
  <tableParts count="5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ДЛЯ КАЮ</vt:lpstr>
      <vt:lpstr>Поступления_Тех</vt:lpstr>
      <vt:lpstr>Отгрузки_Тех</vt:lpstr>
      <vt:lpstr>Деньги_Отгрузки</vt:lpstr>
      <vt:lpstr>НИР_ТР</vt:lpstr>
      <vt:lpstr>Реестр_План_Факт</vt:lpstr>
      <vt:lpstr>Реестр_План_Тех</vt:lpstr>
      <vt:lpstr>Карантин</vt:lpstr>
      <vt:lpstr>Сортность</vt:lpstr>
      <vt:lpstr>График ТО обоудования</vt:lpstr>
      <vt:lpstr>Чистота_Порядок</vt:lpstr>
      <vt:lpstr>ВЭД_ТМЦ</vt:lpstr>
      <vt:lpstr>Реестр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2025-04-09T09:30:00Z</cp:lastPrinted>
  <dcterms:created xsi:type="dcterms:W3CDTF">2024-12-20T11:54:00Z</dcterms:created>
  <dcterms:modified xsi:type="dcterms:W3CDTF">2026-03-20T13:16:48Z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39424590B6414A65B4EDFE6DEBCD5A87_12</vt:lpwstr>
  </property>
  <property fmtid="{D5CDD505-2E9C-101B-9397-08002B2CF9AE}" pid="3" name="KSOProductBuildVer">
    <vt:lpwstr>1049-12.2.0.22549</vt:lpwstr>
  </property>
</Properties>
</file>